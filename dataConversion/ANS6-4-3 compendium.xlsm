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an/Desktop/github/ZapMeNot/dataConversion/"/>
    </mc:Choice>
  </mc:AlternateContent>
  <xr:revisionPtr revIDLastSave="0" documentId="13_ncr:1_{4D227C37-7D9E-084D-90A6-D596CAFFC0C6}" xr6:coauthVersionLast="47" xr6:coauthVersionMax="47" xr10:uidLastSave="{00000000-0000-0000-0000-000000000000}"/>
  <bookViews>
    <workbookView xWindow="0" yWindow="500" windowWidth="28800" windowHeight="16060" firstSheet="1" activeTab="6" xr2:uid="{F5D138CD-512B-CE43-B8D1-AD8A6D4B58D8}"/>
  </bookViews>
  <sheets>
    <sheet name="README" sheetId="7" r:id="rId1"/>
    <sheet name="densities" sheetId="18" r:id="rId2"/>
    <sheet name="ANSI mass atten coeff" sheetId="1" r:id="rId3"/>
    <sheet name="DLC mass atten coeff" sheetId="13" r:id="rId4"/>
    <sheet name="final atten coeff" sheetId="17" r:id="rId5"/>
    <sheet name="ANSI Buildup Factors" sheetId="16" r:id="rId6"/>
    <sheet name="Mg Testing" sheetId="22" r:id="rId7"/>
    <sheet name="DLC Buildup Factors" sheetId="15" r:id="rId8"/>
    <sheet name="final G-P Buildup Factors" sheetId="21" r:id="rId9"/>
    <sheet name="mass energy abs coef" sheetId="3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2" l="1"/>
  <c r="D4" i="22"/>
  <c r="E4" i="22"/>
  <c r="F4" i="22"/>
  <c r="G4" i="22"/>
  <c r="H4" i="22"/>
  <c r="I4" i="22"/>
  <c r="J4" i="22"/>
  <c r="C5" i="22"/>
  <c r="D5" i="22"/>
  <c r="E5" i="22"/>
  <c r="F5" i="22"/>
  <c r="G5" i="22"/>
  <c r="H5" i="22"/>
  <c r="I5" i="22"/>
  <c r="J5" i="22"/>
  <c r="C6" i="22"/>
  <c r="D6" i="22"/>
  <c r="E6" i="22"/>
  <c r="F6" i="22"/>
  <c r="G6" i="22"/>
  <c r="H6" i="22"/>
  <c r="I6" i="22"/>
  <c r="J6" i="22"/>
  <c r="C7" i="22"/>
  <c r="D7" i="22"/>
  <c r="E7" i="22"/>
  <c r="F7" i="22"/>
  <c r="G7" i="22"/>
  <c r="H7" i="22"/>
  <c r="I7" i="22"/>
  <c r="J7" i="22"/>
  <c r="C8" i="22"/>
  <c r="D8" i="22"/>
  <c r="E8" i="22"/>
  <c r="F8" i="22"/>
  <c r="G8" i="22"/>
  <c r="H8" i="22"/>
  <c r="I8" i="22"/>
  <c r="J8" i="22"/>
  <c r="C9" i="22"/>
  <c r="D9" i="22"/>
  <c r="E9" i="22"/>
  <c r="F9" i="22"/>
  <c r="G9" i="22"/>
  <c r="H9" i="22"/>
  <c r="I9" i="22"/>
  <c r="J9" i="22"/>
  <c r="C10" i="22"/>
  <c r="D10" i="22"/>
  <c r="E10" i="22"/>
  <c r="F10" i="22"/>
  <c r="G10" i="22"/>
  <c r="H10" i="22"/>
  <c r="I10" i="22"/>
  <c r="J10" i="22"/>
  <c r="C11" i="22"/>
  <c r="D11" i="22"/>
  <c r="E11" i="22"/>
  <c r="F11" i="22"/>
  <c r="G11" i="22"/>
  <c r="H11" i="22"/>
  <c r="I11" i="22"/>
  <c r="J11" i="22"/>
  <c r="C12" i="22"/>
  <c r="D12" i="22"/>
  <c r="E12" i="22"/>
  <c r="F12" i="22"/>
  <c r="G12" i="22"/>
  <c r="H12" i="22"/>
  <c r="I12" i="22"/>
  <c r="J12" i="22"/>
  <c r="C13" i="22"/>
  <c r="D13" i="22"/>
  <c r="E13" i="22"/>
  <c r="F13" i="22"/>
  <c r="G13" i="22"/>
  <c r="H13" i="22"/>
  <c r="I13" i="22"/>
  <c r="J13" i="22"/>
  <c r="C14" i="22"/>
  <c r="D14" i="22"/>
  <c r="E14" i="22"/>
  <c r="F14" i="22"/>
  <c r="G14" i="22"/>
  <c r="H14" i="22"/>
  <c r="I14" i="22"/>
  <c r="J14" i="22"/>
  <c r="C15" i="22"/>
  <c r="D15" i="22"/>
  <c r="E15" i="22"/>
  <c r="F15" i="22"/>
  <c r="G15" i="22"/>
  <c r="H15" i="22"/>
  <c r="I15" i="22"/>
  <c r="J15" i="22"/>
  <c r="C16" i="22"/>
  <c r="D16" i="22"/>
  <c r="E16" i="22"/>
  <c r="F16" i="22"/>
  <c r="G16" i="22"/>
  <c r="H16" i="22"/>
  <c r="I16" i="22"/>
  <c r="J16" i="22"/>
  <c r="C17" i="22"/>
  <c r="D17" i="22"/>
  <c r="E17" i="22"/>
  <c r="F17" i="22"/>
  <c r="G17" i="22"/>
  <c r="H17" i="22"/>
  <c r="I17" i="22"/>
  <c r="J17" i="22"/>
  <c r="C18" i="22"/>
  <c r="D18" i="22"/>
  <c r="E18" i="22"/>
  <c r="F18" i="22"/>
  <c r="G18" i="22"/>
  <c r="H18" i="22"/>
  <c r="I18" i="22"/>
  <c r="J18" i="22"/>
  <c r="C19" i="22"/>
  <c r="D19" i="22"/>
  <c r="E19" i="22"/>
  <c r="F19" i="22"/>
  <c r="G19" i="22"/>
  <c r="H19" i="22"/>
  <c r="I19" i="22"/>
  <c r="J19" i="22"/>
  <c r="C20" i="22"/>
  <c r="D20" i="22"/>
  <c r="E20" i="22"/>
  <c r="F20" i="22"/>
  <c r="G20" i="22"/>
  <c r="H20" i="22"/>
  <c r="I20" i="22"/>
  <c r="J20" i="22"/>
  <c r="C21" i="22"/>
  <c r="D21" i="22"/>
  <c r="E21" i="22"/>
  <c r="F21" i="22"/>
  <c r="G21" i="22"/>
  <c r="H21" i="22"/>
  <c r="I21" i="22"/>
  <c r="J21" i="22"/>
  <c r="C22" i="22"/>
  <c r="D22" i="22"/>
  <c r="E22" i="22"/>
  <c r="F22" i="22"/>
  <c r="G22" i="22"/>
  <c r="H22" i="22"/>
  <c r="I22" i="22"/>
  <c r="J22" i="22"/>
  <c r="C23" i="22"/>
  <c r="D23" i="22"/>
  <c r="E23" i="22"/>
  <c r="F23" i="22"/>
  <c r="G23" i="22"/>
  <c r="H23" i="22"/>
  <c r="I23" i="22"/>
  <c r="J23" i="22"/>
  <c r="C24" i="22"/>
  <c r="D24" i="22"/>
  <c r="E24" i="22"/>
  <c r="F24" i="22"/>
  <c r="G24" i="22"/>
  <c r="H24" i="22"/>
  <c r="I24" i="22"/>
  <c r="J24" i="22"/>
  <c r="C25" i="22"/>
  <c r="D25" i="22"/>
  <c r="E25" i="22"/>
  <c r="F25" i="22"/>
  <c r="G25" i="22"/>
  <c r="H25" i="22"/>
  <c r="I25" i="22"/>
  <c r="J25" i="22"/>
  <c r="C26" i="22"/>
  <c r="D26" i="22"/>
  <c r="E26" i="22"/>
  <c r="F26" i="22"/>
  <c r="G26" i="22"/>
  <c r="H26" i="22"/>
  <c r="I26" i="22"/>
  <c r="J26" i="22"/>
  <c r="C27" i="22"/>
  <c r="D27" i="22"/>
  <c r="E27" i="22"/>
  <c r="F27" i="22"/>
  <c r="G27" i="22"/>
  <c r="H27" i="22"/>
  <c r="I27" i="22"/>
  <c r="J27" i="22"/>
  <c r="C28" i="22"/>
  <c r="D28" i="22"/>
  <c r="E28" i="22"/>
  <c r="F28" i="22"/>
  <c r="G28" i="22"/>
  <c r="H28" i="22"/>
  <c r="I28" i="22"/>
  <c r="J28" i="22"/>
  <c r="C29" i="22"/>
  <c r="D29" i="22"/>
  <c r="E29" i="22"/>
  <c r="F29" i="22"/>
  <c r="G29" i="22"/>
  <c r="H29" i="22"/>
  <c r="I29" i="22"/>
  <c r="J29" i="22"/>
  <c r="B28" i="22"/>
  <c r="B29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" i="22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8" i="3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B57" i="1"/>
  <c r="A1461" i="21"/>
  <c r="A1407" i="21"/>
  <c r="A1353" i="21"/>
  <c r="A1283" i="21"/>
  <c r="A1217" i="21"/>
  <c r="A1147" i="21"/>
  <c r="A1075" i="21"/>
  <c r="A1003" i="21"/>
  <c r="A937" i="21"/>
  <c r="A869" i="21"/>
  <c r="A815" i="21"/>
  <c r="A761" i="21"/>
  <c r="A707" i="21"/>
  <c r="A653" i="21"/>
  <c r="A599" i="21"/>
  <c r="A545" i="21"/>
  <c r="A491" i="21"/>
  <c r="A437" i="21"/>
  <c r="A383" i="21"/>
  <c r="A329" i="21"/>
  <c r="A275" i="21"/>
  <c r="A221" i="21"/>
  <c r="K797" i="16"/>
  <c r="A1464" i="21" s="1"/>
  <c r="L797" i="16"/>
  <c r="A1491" i="21" s="1"/>
  <c r="K798" i="16"/>
  <c r="A1465" i="21" s="1"/>
  <c r="L798" i="16"/>
  <c r="A1492" i="21" s="1"/>
  <c r="K799" i="16"/>
  <c r="A1466" i="21" s="1"/>
  <c r="L799" i="16"/>
  <c r="A1493" i="21" s="1"/>
  <c r="K800" i="16"/>
  <c r="A1467" i="21" s="1"/>
  <c r="L800" i="16"/>
  <c r="A1494" i="21" s="1"/>
  <c r="K801" i="16"/>
  <c r="A1468" i="21" s="1"/>
  <c r="L801" i="16"/>
  <c r="A1495" i="21" s="1"/>
  <c r="K802" i="16"/>
  <c r="A1469" i="21" s="1"/>
  <c r="L802" i="16"/>
  <c r="A1496" i="21" s="1"/>
  <c r="K803" i="16"/>
  <c r="A1470" i="21" s="1"/>
  <c r="L803" i="16"/>
  <c r="A1497" i="21" s="1"/>
  <c r="K804" i="16"/>
  <c r="A1471" i="21" s="1"/>
  <c r="L804" i="16"/>
  <c r="A1498" i="21" s="1"/>
  <c r="K805" i="16"/>
  <c r="A1472" i="21" s="1"/>
  <c r="L805" i="16"/>
  <c r="A1499" i="21" s="1"/>
  <c r="K806" i="16"/>
  <c r="A1473" i="21" s="1"/>
  <c r="L806" i="16"/>
  <c r="A1500" i="21" s="1"/>
  <c r="K807" i="16"/>
  <c r="A1474" i="21" s="1"/>
  <c r="L807" i="16"/>
  <c r="A1501" i="21" s="1"/>
  <c r="K808" i="16"/>
  <c r="A1475" i="21" s="1"/>
  <c r="L808" i="16"/>
  <c r="A1502" i="21" s="1"/>
  <c r="K809" i="16"/>
  <c r="A1476" i="21" s="1"/>
  <c r="L809" i="16"/>
  <c r="A1503" i="21" s="1"/>
  <c r="K810" i="16"/>
  <c r="A1477" i="21" s="1"/>
  <c r="L810" i="16"/>
  <c r="A1504" i="21" s="1"/>
  <c r="K811" i="16"/>
  <c r="A1478" i="21" s="1"/>
  <c r="L811" i="16"/>
  <c r="A1505" i="21" s="1"/>
  <c r="K812" i="16"/>
  <c r="A1479" i="21" s="1"/>
  <c r="L812" i="16"/>
  <c r="A1506" i="21" s="1"/>
  <c r="K813" i="16"/>
  <c r="A1480" i="21" s="1"/>
  <c r="L813" i="16"/>
  <c r="A1507" i="21" s="1"/>
  <c r="K814" i="16"/>
  <c r="A1481" i="21" s="1"/>
  <c r="L814" i="16"/>
  <c r="A1508" i="21" s="1"/>
  <c r="K815" i="16"/>
  <c r="A1482" i="21" s="1"/>
  <c r="L815" i="16"/>
  <c r="A1509" i="21" s="1"/>
  <c r="K816" i="16"/>
  <c r="A1483" i="21" s="1"/>
  <c r="L816" i="16"/>
  <c r="A1510" i="21" s="1"/>
  <c r="K817" i="16"/>
  <c r="A1484" i="21" s="1"/>
  <c r="L817" i="16"/>
  <c r="A1511" i="21" s="1"/>
  <c r="K818" i="16"/>
  <c r="A1485" i="21" s="1"/>
  <c r="L818" i="16"/>
  <c r="A1512" i="21" s="1"/>
  <c r="K819" i="16"/>
  <c r="A1486" i="21" s="1"/>
  <c r="L819" i="16"/>
  <c r="A1513" i="21" s="1"/>
  <c r="K820" i="16"/>
  <c r="A1487" i="21" s="1"/>
  <c r="L820" i="16"/>
  <c r="A1514" i="21" s="1"/>
  <c r="L796" i="16"/>
  <c r="A1490" i="21" s="1"/>
  <c r="K796" i="16"/>
  <c r="A1463" i="21" s="1"/>
  <c r="K768" i="16"/>
  <c r="A1410" i="21" s="1"/>
  <c r="L768" i="16"/>
  <c r="A1437" i="21" s="1"/>
  <c r="K769" i="16"/>
  <c r="A1411" i="21" s="1"/>
  <c r="L769" i="16"/>
  <c r="A1438" i="21" s="1"/>
  <c r="K770" i="16"/>
  <c r="A1412" i="21" s="1"/>
  <c r="L770" i="16"/>
  <c r="A1439" i="21" s="1"/>
  <c r="K771" i="16"/>
  <c r="A1413" i="21" s="1"/>
  <c r="L771" i="16"/>
  <c r="A1440" i="21" s="1"/>
  <c r="K772" i="16"/>
  <c r="A1414" i="21" s="1"/>
  <c r="L772" i="16"/>
  <c r="A1441" i="21" s="1"/>
  <c r="K773" i="16"/>
  <c r="A1415" i="21" s="1"/>
  <c r="L773" i="16"/>
  <c r="A1442" i="21" s="1"/>
  <c r="K774" i="16"/>
  <c r="A1416" i="21" s="1"/>
  <c r="L774" i="16"/>
  <c r="A1443" i="21" s="1"/>
  <c r="K775" i="16"/>
  <c r="A1417" i="21" s="1"/>
  <c r="L775" i="16"/>
  <c r="A1444" i="21" s="1"/>
  <c r="K776" i="16"/>
  <c r="A1418" i="21" s="1"/>
  <c r="L776" i="16"/>
  <c r="A1445" i="21" s="1"/>
  <c r="K777" i="16"/>
  <c r="A1419" i="21" s="1"/>
  <c r="L777" i="16"/>
  <c r="A1446" i="21" s="1"/>
  <c r="K778" i="16"/>
  <c r="A1420" i="21" s="1"/>
  <c r="L778" i="16"/>
  <c r="A1447" i="21" s="1"/>
  <c r="K779" i="16"/>
  <c r="A1421" i="21" s="1"/>
  <c r="L779" i="16"/>
  <c r="A1448" i="21" s="1"/>
  <c r="K780" i="16"/>
  <c r="A1422" i="21" s="1"/>
  <c r="L780" i="16"/>
  <c r="A1449" i="21" s="1"/>
  <c r="K781" i="16"/>
  <c r="A1423" i="21" s="1"/>
  <c r="L781" i="16"/>
  <c r="A1450" i="21" s="1"/>
  <c r="K782" i="16"/>
  <c r="A1424" i="21" s="1"/>
  <c r="L782" i="16"/>
  <c r="A1451" i="21" s="1"/>
  <c r="K783" i="16"/>
  <c r="A1425" i="21" s="1"/>
  <c r="L783" i="16"/>
  <c r="A1452" i="21" s="1"/>
  <c r="K784" i="16"/>
  <c r="A1426" i="21" s="1"/>
  <c r="L784" i="16"/>
  <c r="A1453" i="21" s="1"/>
  <c r="K785" i="16"/>
  <c r="A1427" i="21" s="1"/>
  <c r="L785" i="16"/>
  <c r="A1454" i="21" s="1"/>
  <c r="K786" i="16"/>
  <c r="A1428" i="21" s="1"/>
  <c r="L786" i="16"/>
  <c r="A1455" i="21" s="1"/>
  <c r="K787" i="16"/>
  <c r="A1429" i="21" s="1"/>
  <c r="L787" i="16"/>
  <c r="A1456" i="21" s="1"/>
  <c r="K788" i="16"/>
  <c r="A1430" i="21" s="1"/>
  <c r="L788" i="16"/>
  <c r="A1457" i="21" s="1"/>
  <c r="K789" i="16"/>
  <c r="A1431" i="21" s="1"/>
  <c r="L789" i="16"/>
  <c r="A1458" i="21" s="1"/>
  <c r="K790" i="16"/>
  <c r="A1432" i="21" s="1"/>
  <c r="L790" i="16"/>
  <c r="A1459" i="21" s="1"/>
  <c r="K791" i="16"/>
  <c r="A1433" i="21" s="1"/>
  <c r="L791" i="16"/>
  <c r="A1460" i="21" s="1"/>
  <c r="L767" i="16"/>
  <c r="A1436" i="21" s="1"/>
  <c r="K767" i="16"/>
  <c r="A1409" i="21" s="1"/>
  <c r="K739" i="16"/>
  <c r="A1356" i="21" s="1"/>
  <c r="L739" i="16"/>
  <c r="A1383" i="21" s="1"/>
  <c r="K740" i="16"/>
  <c r="A1357" i="21" s="1"/>
  <c r="L740" i="16"/>
  <c r="A1384" i="21" s="1"/>
  <c r="K741" i="16"/>
  <c r="A1358" i="21" s="1"/>
  <c r="L741" i="16"/>
  <c r="A1385" i="21" s="1"/>
  <c r="K742" i="16"/>
  <c r="A1359" i="21" s="1"/>
  <c r="L742" i="16"/>
  <c r="A1386" i="21" s="1"/>
  <c r="K743" i="16"/>
  <c r="A1360" i="21" s="1"/>
  <c r="L743" i="16"/>
  <c r="A1387" i="21" s="1"/>
  <c r="K744" i="16"/>
  <c r="A1361" i="21" s="1"/>
  <c r="L744" i="16"/>
  <c r="A1388" i="21" s="1"/>
  <c r="K745" i="16"/>
  <c r="A1362" i="21" s="1"/>
  <c r="L745" i="16"/>
  <c r="A1389" i="21" s="1"/>
  <c r="K746" i="16"/>
  <c r="A1363" i="21" s="1"/>
  <c r="L746" i="16"/>
  <c r="A1390" i="21" s="1"/>
  <c r="K747" i="16"/>
  <c r="A1364" i="21" s="1"/>
  <c r="L747" i="16"/>
  <c r="A1391" i="21" s="1"/>
  <c r="K748" i="16"/>
  <c r="A1365" i="21" s="1"/>
  <c r="L748" i="16"/>
  <c r="A1392" i="21" s="1"/>
  <c r="K749" i="16"/>
  <c r="A1366" i="21" s="1"/>
  <c r="L749" i="16"/>
  <c r="A1393" i="21" s="1"/>
  <c r="K750" i="16"/>
  <c r="A1367" i="21" s="1"/>
  <c r="L750" i="16"/>
  <c r="A1394" i="21" s="1"/>
  <c r="K751" i="16"/>
  <c r="A1368" i="21" s="1"/>
  <c r="L751" i="16"/>
  <c r="A1395" i="21" s="1"/>
  <c r="K752" i="16"/>
  <c r="A1369" i="21" s="1"/>
  <c r="L752" i="16"/>
  <c r="A1396" i="21" s="1"/>
  <c r="K753" i="16"/>
  <c r="A1370" i="21" s="1"/>
  <c r="L753" i="16"/>
  <c r="A1397" i="21" s="1"/>
  <c r="K754" i="16"/>
  <c r="A1371" i="21" s="1"/>
  <c r="L754" i="16"/>
  <c r="A1398" i="21" s="1"/>
  <c r="K755" i="16"/>
  <c r="A1372" i="21" s="1"/>
  <c r="L755" i="16"/>
  <c r="A1399" i="21" s="1"/>
  <c r="K756" i="16"/>
  <c r="A1373" i="21" s="1"/>
  <c r="L756" i="16"/>
  <c r="A1400" i="21" s="1"/>
  <c r="K757" i="16"/>
  <c r="A1374" i="21" s="1"/>
  <c r="L757" i="16"/>
  <c r="A1401" i="21" s="1"/>
  <c r="K758" i="16"/>
  <c r="A1375" i="21" s="1"/>
  <c r="L758" i="16"/>
  <c r="A1402" i="21" s="1"/>
  <c r="K759" i="16"/>
  <c r="A1376" i="21" s="1"/>
  <c r="L759" i="16"/>
  <c r="A1403" i="21" s="1"/>
  <c r="K760" i="16"/>
  <c r="A1377" i="21" s="1"/>
  <c r="L760" i="16"/>
  <c r="A1404" i="21" s="1"/>
  <c r="K761" i="16"/>
  <c r="A1378" i="21" s="1"/>
  <c r="L761" i="16"/>
  <c r="A1405" i="21" s="1"/>
  <c r="K762" i="16"/>
  <c r="A1379" i="21" s="1"/>
  <c r="L762" i="16"/>
  <c r="A1406" i="21" s="1"/>
  <c r="L738" i="16"/>
  <c r="A1382" i="21" s="1"/>
  <c r="K738" i="16"/>
  <c r="A1355" i="21" s="1"/>
  <c r="K702" i="16"/>
  <c r="A1286" i="21" s="1"/>
  <c r="L702" i="16"/>
  <c r="A1321" i="21" s="1"/>
  <c r="K703" i="16"/>
  <c r="A1287" i="21" s="1"/>
  <c r="K704" i="16"/>
  <c r="A1288" i="21" s="1"/>
  <c r="K705" i="16"/>
  <c r="A1289" i="21" s="1"/>
  <c r="K706" i="16"/>
  <c r="A1290" i="21" s="1"/>
  <c r="L706" i="16"/>
  <c r="A1325" i="21" s="1"/>
  <c r="K707" i="16"/>
  <c r="A1291" i="21" s="1"/>
  <c r="L707" i="16"/>
  <c r="A1326" i="21" s="1"/>
  <c r="K708" i="16"/>
  <c r="A1292" i="21" s="1"/>
  <c r="L708" i="16"/>
  <c r="A1327" i="21" s="1"/>
  <c r="K709" i="16"/>
  <c r="A1293" i="21" s="1"/>
  <c r="L709" i="16"/>
  <c r="A1328" i="21" s="1"/>
  <c r="K710" i="16"/>
  <c r="A1294" i="21" s="1"/>
  <c r="L710" i="16"/>
  <c r="A1329" i="21" s="1"/>
  <c r="K711" i="16"/>
  <c r="A1295" i="21" s="1"/>
  <c r="L711" i="16"/>
  <c r="A1330" i="21" s="1"/>
  <c r="K712" i="16"/>
  <c r="A1296" i="21" s="1"/>
  <c r="L712" i="16"/>
  <c r="A1331" i="21" s="1"/>
  <c r="K713" i="16"/>
  <c r="A1297" i="21" s="1"/>
  <c r="L713" i="16"/>
  <c r="A1332" i="21" s="1"/>
  <c r="K714" i="16"/>
  <c r="A1298" i="21" s="1"/>
  <c r="L714" i="16"/>
  <c r="A1333" i="21" s="1"/>
  <c r="K715" i="16"/>
  <c r="A1299" i="21" s="1"/>
  <c r="L715" i="16"/>
  <c r="A1334" i="21" s="1"/>
  <c r="K716" i="16"/>
  <c r="A1300" i="21" s="1"/>
  <c r="L716" i="16"/>
  <c r="A1335" i="21" s="1"/>
  <c r="K717" i="16"/>
  <c r="A1301" i="21" s="1"/>
  <c r="L717" i="16"/>
  <c r="A1336" i="21" s="1"/>
  <c r="K718" i="16"/>
  <c r="A1302" i="21" s="1"/>
  <c r="L718" i="16"/>
  <c r="A1337" i="21" s="1"/>
  <c r="K719" i="16"/>
  <c r="A1303" i="21" s="1"/>
  <c r="L719" i="16"/>
  <c r="A1338" i="21" s="1"/>
  <c r="K720" i="16"/>
  <c r="A1304" i="21" s="1"/>
  <c r="L720" i="16"/>
  <c r="A1339" i="21" s="1"/>
  <c r="K721" i="16"/>
  <c r="A1305" i="21" s="1"/>
  <c r="L721" i="16"/>
  <c r="A1340" i="21" s="1"/>
  <c r="K722" i="16"/>
  <c r="A1306" i="21" s="1"/>
  <c r="L722" i="16"/>
  <c r="A1341" i="21" s="1"/>
  <c r="K723" i="16"/>
  <c r="A1307" i="21" s="1"/>
  <c r="L723" i="16"/>
  <c r="A1342" i="21" s="1"/>
  <c r="K724" i="16"/>
  <c r="A1308" i="21" s="1"/>
  <c r="L724" i="16"/>
  <c r="A1343" i="21" s="1"/>
  <c r="K725" i="16"/>
  <c r="A1309" i="21" s="1"/>
  <c r="L725" i="16"/>
  <c r="A1344" i="21" s="1"/>
  <c r="K726" i="16"/>
  <c r="A1310" i="21" s="1"/>
  <c r="L726" i="16"/>
  <c r="A1345" i="21" s="1"/>
  <c r="K727" i="16"/>
  <c r="A1311" i="21" s="1"/>
  <c r="L727" i="16"/>
  <c r="A1346" i="21" s="1"/>
  <c r="K728" i="16"/>
  <c r="A1312" i="21" s="1"/>
  <c r="L728" i="16"/>
  <c r="A1347" i="21" s="1"/>
  <c r="K729" i="16"/>
  <c r="A1313" i="21" s="1"/>
  <c r="L729" i="16"/>
  <c r="A1348" i="21" s="1"/>
  <c r="K730" i="16"/>
  <c r="A1314" i="21" s="1"/>
  <c r="L730" i="16"/>
  <c r="A1349" i="21" s="1"/>
  <c r="K731" i="16"/>
  <c r="A1315" i="21" s="1"/>
  <c r="L731" i="16"/>
  <c r="A1350" i="21" s="1"/>
  <c r="K732" i="16"/>
  <c r="A1316" i="21" s="1"/>
  <c r="K733" i="16"/>
  <c r="A1317" i="21" s="1"/>
  <c r="L733" i="16"/>
  <c r="A1352" i="21" s="1"/>
  <c r="L701" i="16"/>
  <c r="A1320" i="21" s="1"/>
  <c r="K701" i="16"/>
  <c r="A1285" i="21" s="1"/>
  <c r="K667" i="16"/>
  <c r="A1220" i="21" s="1"/>
  <c r="L667" i="16"/>
  <c r="A1253" i="21" s="1"/>
  <c r="K668" i="16"/>
  <c r="A1221" i="21" s="1"/>
  <c r="L668" i="16"/>
  <c r="A1254" i="21" s="1"/>
  <c r="K669" i="16"/>
  <c r="A1222" i="21" s="1"/>
  <c r="L669" i="16"/>
  <c r="A1255" i="21" s="1"/>
  <c r="K670" i="16"/>
  <c r="A1223" i="21" s="1"/>
  <c r="L670" i="16"/>
  <c r="A1256" i="21" s="1"/>
  <c r="K671" i="16"/>
  <c r="A1224" i="21" s="1"/>
  <c r="L671" i="16"/>
  <c r="A1257" i="21" s="1"/>
  <c r="K672" i="16"/>
  <c r="A1225" i="21" s="1"/>
  <c r="L672" i="16"/>
  <c r="A1258" i="21" s="1"/>
  <c r="K673" i="16"/>
  <c r="A1226" i="21" s="1"/>
  <c r="L673" i="16"/>
  <c r="A1259" i="21" s="1"/>
  <c r="K674" i="16"/>
  <c r="A1227" i="21" s="1"/>
  <c r="L674" i="16"/>
  <c r="A1260" i="21" s="1"/>
  <c r="K675" i="16"/>
  <c r="A1228" i="21" s="1"/>
  <c r="L675" i="16"/>
  <c r="A1261" i="21" s="1"/>
  <c r="K676" i="16"/>
  <c r="A1229" i="21" s="1"/>
  <c r="K677" i="16"/>
  <c r="A1230" i="21" s="1"/>
  <c r="L677" i="16"/>
  <c r="A1263" i="21" s="1"/>
  <c r="K678" i="16"/>
  <c r="A1231" i="21" s="1"/>
  <c r="L678" i="16"/>
  <c r="A1264" i="21" s="1"/>
  <c r="K679" i="16"/>
  <c r="A1232" i="21" s="1"/>
  <c r="L679" i="16"/>
  <c r="A1265" i="21" s="1"/>
  <c r="K680" i="16"/>
  <c r="A1233" i="21" s="1"/>
  <c r="L680" i="16"/>
  <c r="A1266" i="21" s="1"/>
  <c r="K681" i="16"/>
  <c r="A1234" i="21" s="1"/>
  <c r="L681" i="16"/>
  <c r="A1267" i="21" s="1"/>
  <c r="K682" i="16"/>
  <c r="A1235" i="21" s="1"/>
  <c r="L682" i="16"/>
  <c r="A1268" i="21" s="1"/>
  <c r="K683" i="16"/>
  <c r="A1236" i="21" s="1"/>
  <c r="L683" i="16"/>
  <c r="A1269" i="21" s="1"/>
  <c r="K684" i="16"/>
  <c r="A1237" i="21" s="1"/>
  <c r="K685" i="16"/>
  <c r="A1238" i="21" s="1"/>
  <c r="L685" i="16"/>
  <c r="A1271" i="21" s="1"/>
  <c r="K686" i="16"/>
  <c r="A1239" i="21" s="1"/>
  <c r="L686" i="16"/>
  <c r="A1272" i="21" s="1"/>
  <c r="K687" i="16"/>
  <c r="A1240" i="21" s="1"/>
  <c r="L687" i="16"/>
  <c r="A1273" i="21" s="1"/>
  <c r="K688" i="16"/>
  <c r="A1241" i="21" s="1"/>
  <c r="L688" i="16"/>
  <c r="A1274" i="21" s="1"/>
  <c r="K689" i="16"/>
  <c r="A1242" i="21" s="1"/>
  <c r="L689" i="16"/>
  <c r="A1275" i="21" s="1"/>
  <c r="K690" i="16"/>
  <c r="A1243" i="21" s="1"/>
  <c r="L690" i="16"/>
  <c r="A1276" i="21" s="1"/>
  <c r="K691" i="16"/>
  <c r="A1244" i="21" s="1"/>
  <c r="L691" i="16"/>
  <c r="A1277" i="21" s="1"/>
  <c r="K692" i="16"/>
  <c r="A1245" i="21" s="1"/>
  <c r="L692" i="16"/>
  <c r="A1278" i="21" s="1"/>
  <c r="K693" i="16"/>
  <c r="A1246" i="21" s="1"/>
  <c r="L693" i="16"/>
  <c r="A1279" i="21" s="1"/>
  <c r="K694" i="16"/>
  <c r="A1247" i="21" s="1"/>
  <c r="L694" i="16"/>
  <c r="A1280" i="21" s="1"/>
  <c r="K695" i="16"/>
  <c r="A1248" i="21" s="1"/>
  <c r="L695" i="16"/>
  <c r="A1281" i="21" s="1"/>
  <c r="K696" i="16"/>
  <c r="A1249" i="21" s="1"/>
  <c r="L696" i="16"/>
  <c r="A1282" i="21" s="1"/>
  <c r="L666" i="16"/>
  <c r="A1252" i="21" s="1"/>
  <c r="K666" i="16"/>
  <c r="A1219" i="21" s="1"/>
  <c r="K630" i="16"/>
  <c r="A1150" i="21" s="1"/>
  <c r="L630" i="16"/>
  <c r="A1185" i="21" s="1"/>
  <c r="K631" i="16"/>
  <c r="A1151" i="21" s="1"/>
  <c r="L631" i="16"/>
  <c r="A1186" i="21" s="1"/>
  <c r="K632" i="16"/>
  <c r="A1152" i="21" s="1"/>
  <c r="L632" i="16"/>
  <c r="A1187" i="21" s="1"/>
  <c r="K633" i="16"/>
  <c r="A1153" i="21" s="1"/>
  <c r="L633" i="16"/>
  <c r="A1188" i="21" s="1"/>
  <c r="K634" i="16"/>
  <c r="A1154" i="21" s="1"/>
  <c r="L634" i="16"/>
  <c r="A1189" i="21" s="1"/>
  <c r="K635" i="16"/>
  <c r="A1155" i="21" s="1"/>
  <c r="L635" i="16"/>
  <c r="A1190" i="21" s="1"/>
  <c r="K636" i="16"/>
  <c r="A1156" i="21" s="1"/>
  <c r="L636" i="16"/>
  <c r="A1191" i="21" s="1"/>
  <c r="K637" i="16"/>
  <c r="A1157" i="21" s="1"/>
  <c r="L637" i="16"/>
  <c r="A1192" i="21" s="1"/>
  <c r="K638" i="16"/>
  <c r="A1158" i="21" s="1"/>
  <c r="L638" i="16"/>
  <c r="A1193" i="21" s="1"/>
  <c r="K639" i="16"/>
  <c r="A1159" i="21" s="1"/>
  <c r="L639" i="16"/>
  <c r="A1194" i="21" s="1"/>
  <c r="K640" i="16"/>
  <c r="A1160" i="21" s="1"/>
  <c r="L640" i="16"/>
  <c r="A1195" i="21" s="1"/>
  <c r="K641" i="16"/>
  <c r="A1161" i="21" s="1"/>
  <c r="L641" i="16"/>
  <c r="A1196" i="21" s="1"/>
  <c r="K642" i="16"/>
  <c r="A1162" i="21" s="1"/>
  <c r="L642" i="16"/>
  <c r="A1197" i="21" s="1"/>
  <c r="K643" i="16"/>
  <c r="A1163" i="21" s="1"/>
  <c r="K644" i="16"/>
  <c r="A1164" i="21" s="1"/>
  <c r="L644" i="16"/>
  <c r="A1199" i="21" s="1"/>
  <c r="K645" i="16"/>
  <c r="A1165" i="21" s="1"/>
  <c r="L645" i="16"/>
  <c r="A1200" i="21" s="1"/>
  <c r="K646" i="16"/>
  <c r="A1166" i="21" s="1"/>
  <c r="L646" i="16"/>
  <c r="A1201" i="21" s="1"/>
  <c r="K647" i="16"/>
  <c r="A1167" i="21" s="1"/>
  <c r="L647" i="16"/>
  <c r="A1202" i="21" s="1"/>
  <c r="K648" i="16"/>
  <c r="A1168" i="21" s="1"/>
  <c r="L648" i="16"/>
  <c r="A1203" i="21" s="1"/>
  <c r="K649" i="16"/>
  <c r="A1169" i="21" s="1"/>
  <c r="K650" i="16"/>
  <c r="A1170" i="21" s="1"/>
  <c r="L650" i="16"/>
  <c r="A1205" i="21" s="1"/>
  <c r="K651" i="16"/>
  <c r="A1171" i="21" s="1"/>
  <c r="L651" i="16"/>
  <c r="A1206" i="21" s="1"/>
  <c r="K652" i="16"/>
  <c r="A1172" i="21" s="1"/>
  <c r="L652" i="16"/>
  <c r="A1207" i="21" s="1"/>
  <c r="K653" i="16"/>
  <c r="A1173" i="21" s="1"/>
  <c r="L653" i="16"/>
  <c r="A1208" i="21" s="1"/>
  <c r="K654" i="16"/>
  <c r="A1174" i="21" s="1"/>
  <c r="L654" i="16"/>
  <c r="A1209" i="21" s="1"/>
  <c r="K655" i="16"/>
  <c r="A1175" i="21" s="1"/>
  <c r="L655" i="16"/>
  <c r="A1210" i="21" s="1"/>
  <c r="K656" i="16"/>
  <c r="A1176" i="21" s="1"/>
  <c r="L656" i="16"/>
  <c r="A1211" i="21" s="1"/>
  <c r="K657" i="16"/>
  <c r="A1177" i="21" s="1"/>
  <c r="L657" i="16"/>
  <c r="A1212" i="21" s="1"/>
  <c r="K658" i="16"/>
  <c r="A1178" i="21" s="1"/>
  <c r="L658" i="16"/>
  <c r="A1213" i="21" s="1"/>
  <c r="K659" i="16"/>
  <c r="A1179" i="21" s="1"/>
  <c r="L659" i="16"/>
  <c r="A1214" i="21" s="1"/>
  <c r="K660" i="16"/>
  <c r="A1180" i="21" s="1"/>
  <c r="L660" i="16"/>
  <c r="A1215" i="21" s="1"/>
  <c r="K661" i="16"/>
  <c r="A1181" i="21" s="1"/>
  <c r="L661" i="16"/>
  <c r="A1216" i="21" s="1"/>
  <c r="L629" i="16"/>
  <c r="A1184" i="21" s="1"/>
  <c r="K629" i="16"/>
  <c r="A1149" i="21" s="1"/>
  <c r="K592" i="16"/>
  <c r="A1078" i="21" s="1"/>
  <c r="L592" i="16"/>
  <c r="A1114" i="21" s="1"/>
  <c r="K593" i="16"/>
  <c r="A1079" i="21" s="1"/>
  <c r="L593" i="16"/>
  <c r="A1115" i="21" s="1"/>
  <c r="K594" i="16"/>
  <c r="A1080" i="21" s="1"/>
  <c r="L594" i="16"/>
  <c r="A1116" i="21" s="1"/>
  <c r="K595" i="16"/>
  <c r="A1081" i="21" s="1"/>
  <c r="L595" i="16"/>
  <c r="A1117" i="21" s="1"/>
  <c r="K596" i="16"/>
  <c r="A1082" i="21" s="1"/>
  <c r="L596" i="16"/>
  <c r="A1118" i="21" s="1"/>
  <c r="K597" i="16"/>
  <c r="A1083" i="21" s="1"/>
  <c r="L597" i="16"/>
  <c r="A1119" i="21" s="1"/>
  <c r="K598" i="16"/>
  <c r="A1084" i="21" s="1"/>
  <c r="L598" i="16"/>
  <c r="A1120" i="21" s="1"/>
  <c r="K599" i="16"/>
  <c r="A1085" i="21" s="1"/>
  <c r="L599" i="16"/>
  <c r="A1121" i="21" s="1"/>
  <c r="K600" i="16"/>
  <c r="A1086" i="21" s="1"/>
  <c r="L600" i="16"/>
  <c r="A1122" i="21" s="1"/>
  <c r="K601" i="16"/>
  <c r="A1087" i="21" s="1"/>
  <c r="K602" i="16"/>
  <c r="A1088" i="21" s="1"/>
  <c r="L602" i="16"/>
  <c r="A1124" i="21" s="1"/>
  <c r="K603" i="16"/>
  <c r="A1089" i="21" s="1"/>
  <c r="L603" i="16"/>
  <c r="A1125" i="21" s="1"/>
  <c r="K604" i="16"/>
  <c r="A1090" i="21" s="1"/>
  <c r="L604" i="16"/>
  <c r="A1126" i="21" s="1"/>
  <c r="K605" i="16"/>
  <c r="A1091" i="21" s="1"/>
  <c r="L605" i="16"/>
  <c r="A1127" i="21" s="1"/>
  <c r="K606" i="16"/>
  <c r="A1092" i="21" s="1"/>
  <c r="L606" i="16"/>
  <c r="A1128" i="21" s="1"/>
  <c r="K607" i="16"/>
  <c r="A1093" i="21" s="1"/>
  <c r="L607" i="16"/>
  <c r="A1129" i="21" s="1"/>
  <c r="K608" i="16"/>
  <c r="A1094" i="21" s="1"/>
  <c r="L608" i="16"/>
  <c r="A1130" i="21" s="1"/>
  <c r="K609" i="16"/>
  <c r="A1095" i="21" s="1"/>
  <c r="L609" i="16"/>
  <c r="A1131" i="21" s="1"/>
  <c r="K610" i="16"/>
  <c r="A1096" i="21" s="1"/>
  <c r="L610" i="16"/>
  <c r="A1132" i="21" s="1"/>
  <c r="K611" i="16"/>
  <c r="A1097" i="21" s="1"/>
  <c r="L611" i="16"/>
  <c r="A1133" i="21" s="1"/>
  <c r="K612" i="16"/>
  <c r="A1098" i="21" s="1"/>
  <c r="L612" i="16"/>
  <c r="A1134" i="21" s="1"/>
  <c r="K613" i="16"/>
  <c r="A1099" i="21" s="1"/>
  <c r="L613" i="16"/>
  <c r="A1135" i="21" s="1"/>
  <c r="K614" i="16"/>
  <c r="A1100" i="21" s="1"/>
  <c r="L614" i="16"/>
  <c r="A1136" i="21" s="1"/>
  <c r="K615" i="16"/>
  <c r="A1101" i="21" s="1"/>
  <c r="L615" i="16"/>
  <c r="A1137" i="21" s="1"/>
  <c r="K616" i="16"/>
  <c r="A1102" i="21" s="1"/>
  <c r="L616" i="16"/>
  <c r="A1138" i="21" s="1"/>
  <c r="K617" i="16"/>
  <c r="A1103" i="21" s="1"/>
  <c r="L617" i="16"/>
  <c r="A1139" i="21" s="1"/>
  <c r="K618" i="16"/>
  <c r="A1104" i="21" s="1"/>
  <c r="L618" i="16"/>
  <c r="A1140" i="21" s="1"/>
  <c r="K619" i="16"/>
  <c r="A1105" i="21" s="1"/>
  <c r="L619" i="16"/>
  <c r="A1141" i="21" s="1"/>
  <c r="K620" i="16"/>
  <c r="A1106" i="21" s="1"/>
  <c r="L620" i="16"/>
  <c r="A1142" i="21" s="1"/>
  <c r="K621" i="16"/>
  <c r="A1107" i="21" s="1"/>
  <c r="L621" i="16"/>
  <c r="A1143" i="21" s="1"/>
  <c r="K622" i="16"/>
  <c r="A1108" i="21" s="1"/>
  <c r="L622" i="16"/>
  <c r="A1144" i="21" s="1"/>
  <c r="K623" i="16"/>
  <c r="A1109" i="21" s="1"/>
  <c r="L623" i="16"/>
  <c r="A1145" i="21" s="1"/>
  <c r="K624" i="16"/>
  <c r="A1110" i="21" s="1"/>
  <c r="L624" i="16"/>
  <c r="A1146" i="21" s="1"/>
  <c r="L591" i="16"/>
  <c r="A1113" i="21" s="1"/>
  <c r="K591" i="16"/>
  <c r="A1077" i="21" s="1"/>
  <c r="K554" i="16"/>
  <c r="A1006" i="21" s="1"/>
  <c r="L554" i="16"/>
  <c r="A1042" i="21" s="1"/>
  <c r="K555" i="16"/>
  <c r="A1007" i="21" s="1"/>
  <c r="L555" i="16"/>
  <c r="A1043" i="21" s="1"/>
  <c r="K556" i="16"/>
  <c r="A1008" i="21" s="1"/>
  <c r="L556" i="16"/>
  <c r="A1044" i="21" s="1"/>
  <c r="K557" i="16"/>
  <c r="A1009" i="21" s="1"/>
  <c r="L557" i="16"/>
  <c r="A1045" i="21" s="1"/>
  <c r="K558" i="16"/>
  <c r="A1010" i="21" s="1"/>
  <c r="L558" i="16"/>
  <c r="A1046" i="21" s="1"/>
  <c r="K559" i="16"/>
  <c r="A1011" i="21" s="1"/>
  <c r="L559" i="16"/>
  <c r="A1047" i="21" s="1"/>
  <c r="K560" i="16"/>
  <c r="A1012" i="21" s="1"/>
  <c r="L560" i="16"/>
  <c r="A1048" i="21" s="1"/>
  <c r="K561" i="16"/>
  <c r="A1013" i="21" s="1"/>
  <c r="L561" i="16"/>
  <c r="A1049" i="21" s="1"/>
  <c r="K562" i="16"/>
  <c r="A1014" i="21" s="1"/>
  <c r="L562" i="16"/>
  <c r="A1050" i="21" s="1"/>
  <c r="K563" i="16"/>
  <c r="A1015" i="21" s="1"/>
  <c r="L563" i="16"/>
  <c r="A1051" i="21" s="1"/>
  <c r="K564" i="16"/>
  <c r="A1016" i="21" s="1"/>
  <c r="L564" i="16"/>
  <c r="A1052" i="21" s="1"/>
  <c r="K565" i="16"/>
  <c r="A1017" i="21" s="1"/>
  <c r="K566" i="16"/>
  <c r="A1018" i="21" s="1"/>
  <c r="L566" i="16"/>
  <c r="A1054" i="21" s="1"/>
  <c r="K567" i="16"/>
  <c r="A1019" i="21" s="1"/>
  <c r="L567" i="16"/>
  <c r="A1055" i="21" s="1"/>
  <c r="K568" i="16"/>
  <c r="A1020" i="21" s="1"/>
  <c r="L568" i="16"/>
  <c r="A1056" i="21" s="1"/>
  <c r="K569" i="16"/>
  <c r="A1021" i="21" s="1"/>
  <c r="L569" i="16"/>
  <c r="A1057" i="21" s="1"/>
  <c r="K570" i="16"/>
  <c r="A1022" i="21" s="1"/>
  <c r="L570" i="16"/>
  <c r="A1058" i="21" s="1"/>
  <c r="K571" i="16"/>
  <c r="A1023" i="21" s="1"/>
  <c r="L571" i="16"/>
  <c r="A1059" i="21" s="1"/>
  <c r="K572" i="16"/>
  <c r="A1024" i="21" s="1"/>
  <c r="L572" i="16"/>
  <c r="A1060" i="21" s="1"/>
  <c r="K573" i="16"/>
  <c r="A1025" i="21" s="1"/>
  <c r="L573" i="16"/>
  <c r="A1061" i="21" s="1"/>
  <c r="K574" i="16"/>
  <c r="A1026" i="21" s="1"/>
  <c r="L574" i="16"/>
  <c r="A1062" i="21" s="1"/>
  <c r="K575" i="16"/>
  <c r="A1027" i="21" s="1"/>
  <c r="L575" i="16"/>
  <c r="A1063" i="21" s="1"/>
  <c r="K576" i="16"/>
  <c r="A1028" i="21" s="1"/>
  <c r="L576" i="16"/>
  <c r="A1064" i="21" s="1"/>
  <c r="K577" i="16"/>
  <c r="A1029" i="21" s="1"/>
  <c r="L577" i="16"/>
  <c r="A1065" i="21" s="1"/>
  <c r="K578" i="16"/>
  <c r="A1030" i="21" s="1"/>
  <c r="L578" i="16"/>
  <c r="A1066" i="21" s="1"/>
  <c r="K579" i="16"/>
  <c r="A1031" i="21" s="1"/>
  <c r="L579" i="16"/>
  <c r="A1067" i="21" s="1"/>
  <c r="K580" i="16"/>
  <c r="A1032" i="21" s="1"/>
  <c r="L580" i="16"/>
  <c r="A1068" i="21" s="1"/>
  <c r="K581" i="16"/>
  <c r="A1033" i="21" s="1"/>
  <c r="L581" i="16"/>
  <c r="A1069" i="21" s="1"/>
  <c r="K582" i="16"/>
  <c r="A1034" i="21" s="1"/>
  <c r="L582" i="16"/>
  <c r="A1070" i="21" s="1"/>
  <c r="K583" i="16"/>
  <c r="A1035" i="21" s="1"/>
  <c r="L583" i="16"/>
  <c r="A1071" i="21" s="1"/>
  <c r="K584" i="16"/>
  <c r="A1036" i="21" s="1"/>
  <c r="L584" i="16"/>
  <c r="A1072" i="21" s="1"/>
  <c r="K585" i="16"/>
  <c r="A1037" i="21" s="1"/>
  <c r="K586" i="16"/>
  <c r="A1038" i="21" s="1"/>
  <c r="L586" i="16"/>
  <c r="A1074" i="21" s="1"/>
  <c r="L553" i="16"/>
  <c r="A1041" i="21" s="1"/>
  <c r="K553" i="16"/>
  <c r="A1005" i="21" s="1"/>
  <c r="K519" i="16"/>
  <c r="A940" i="21" s="1"/>
  <c r="L519" i="16"/>
  <c r="A973" i="21" s="1"/>
  <c r="K520" i="16"/>
  <c r="A941" i="21" s="1"/>
  <c r="L520" i="16"/>
  <c r="A974" i="21" s="1"/>
  <c r="K521" i="16"/>
  <c r="A942" i="21" s="1"/>
  <c r="L521" i="16"/>
  <c r="A975" i="21" s="1"/>
  <c r="K522" i="16"/>
  <c r="A943" i="21" s="1"/>
  <c r="L522" i="16"/>
  <c r="A976" i="21" s="1"/>
  <c r="K523" i="16"/>
  <c r="A944" i="21" s="1"/>
  <c r="L523" i="16"/>
  <c r="A977" i="21" s="1"/>
  <c r="K524" i="16"/>
  <c r="A945" i="21" s="1"/>
  <c r="L524" i="16"/>
  <c r="A978" i="21" s="1"/>
  <c r="K525" i="16"/>
  <c r="A946" i="21" s="1"/>
  <c r="L525" i="16"/>
  <c r="A979" i="21" s="1"/>
  <c r="K526" i="16"/>
  <c r="A947" i="21" s="1"/>
  <c r="L526" i="16"/>
  <c r="A980" i="21" s="1"/>
  <c r="K527" i="16"/>
  <c r="A948" i="21" s="1"/>
  <c r="K528" i="16"/>
  <c r="A949" i="21" s="1"/>
  <c r="K529" i="16"/>
  <c r="A950" i="21" s="1"/>
  <c r="K530" i="16"/>
  <c r="A951" i="21" s="1"/>
  <c r="L530" i="16"/>
  <c r="A984" i="21" s="1"/>
  <c r="K531" i="16"/>
  <c r="A952" i="21" s="1"/>
  <c r="L531" i="16"/>
  <c r="A985" i="21" s="1"/>
  <c r="K532" i="16"/>
  <c r="A953" i="21" s="1"/>
  <c r="K533" i="16"/>
  <c r="A954" i="21" s="1"/>
  <c r="L533" i="16"/>
  <c r="A987" i="21" s="1"/>
  <c r="K534" i="16"/>
  <c r="A955" i="21" s="1"/>
  <c r="L534" i="16"/>
  <c r="A988" i="21" s="1"/>
  <c r="K535" i="16"/>
  <c r="A956" i="21" s="1"/>
  <c r="L535" i="16"/>
  <c r="A989" i="21" s="1"/>
  <c r="K536" i="16"/>
  <c r="A957" i="21" s="1"/>
  <c r="L536" i="16"/>
  <c r="A990" i="21" s="1"/>
  <c r="K537" i="16"/>
  <c r="A958" i="21" s="1"/>
  <c r="L537" i="16"/>
  <c r="A991" i="21" s="1"/>
  <c r="K538" i="16"/>
  <c r="A959" i="21" s="1"/>
  <c r="L538" i="16"/>
  <c r="A992" i="21" s="1"/>
  <c r="K539" i="16"/>
  <c r="A960" i="21" s="1"/>
  <c r="L539" i="16"/>
  <c r="A993" i="21" s="1"/>
  <c r="K540" i="16"/>
  <c r="A961" i="21" s="1"/>
  <c r="L540" i="16"/>
  <c r="A994" i="21" s="1"/>
  <c r="K541" i="16"/>
  <c r="A962" i="21" s="1"/>
  <c r="L541" i="16"/>
  <c r="A995" i="21" s="1"/>
  <c r="K542" i="16"/>
  <c r="A963" i="21" s="1"/>
  <c r="L542" i="16"/>
  <c r="A996" i="21" s="1"/>
  <c r="K543" i="16"/>
  <c r="A964" i="21" s="1"/>
  <c r="L543" i="16"/>
  <c r="A997" i="21" s="1"/>
  <c r="K544" i="16"/>
  <c r="A965" i="21" s="1"/>
  <c r="L544" i="16"/>
  <c r="A998" i="21" s="1"/>
  <c r="K545" i="16"/>
  <c r="A966" i="21" s="1"/>
  <c r="L545" i="16"/>
  <c r="A999" i="21" s="1"/>
  <c r="K546" i="16"/>
  <c r="A967" i="21" s="1"/>
  <c r="L546" i="16"/>
  <c r="A1000" i="21" s="1"/>
  <c r="K547" i="16"/>
  <c r="A968" i="21" s="1"/>
  <c r="L547" i="16"/>
  <c r="A1001" i="21" s="1"/>
  <c r="K548" i="16"/>
  <c r="A969" i="21" s="1"/>
  <c r="K518" i="16"/>
  <c r="A939" i="21" s="1"/>
  <c r="K483" i="16"/>
  <c r="A872" i="21" s="1"/>
  <c r="L483" i="16"/>
  <c r="A906" i="21" s="1"/>
  <c r="K484" i="16"/>
  <c r="A873" i="21" s="1"/>
  <c r="L484" i="16"/>
  <c r="A907" i="21" s="1"/>
  <c r="K485" i="16"/>
  <c r="A874" i="21" s="1"/>
  <c r="L485" i="16"/>
  <c r="A908" i="21" s="1"/>
  <c r="K486" i="16"/>
  <c r="A875" i="21" s="1"/>
  <c r="L486" i="16"/>
  <c r="A909" i="21" s="1"/>
  <c r="K487" i="16"/>
  <c r="A876" i="21" s="1"/>
  <c r="L487" i="16"/>
  <c r="A910" i="21" s="1"/>
  <c r="K488" i="16"/>
  <c r="A877" i="21" s="1"/>
  <c r="L488" i="16"/>
  <c r="A911" i="21" s="1"/>
  <c r="K489" i="16"/>
  <c r="A878" i="21" s="1"/>
  <c r="L489" i="16"/>
  <c r="A912" i="21" s="1"/>
  <c r="K490" i="16"/>
  <c r="A879" i="21" s="1"/>
  <c r="L490" i="16"/>
  <c r="A913" i="21" s="1"/>
  <c r="K491" i="16"/>
  <c r="A880" i="21" s="1"/>
  <c r="L491" i="16"/>
  <c r="A914" i="21" s="1"/>
  <c r="K492" i="16"/>
  <c r="A881" i="21" s="1"/>
  <c r="L492" i="16"/>
  <c r="A915" i="21" s="1"/>
  <c r="K493" i="16"/>
  <c r="A882" i="21" s="1"/>
  <c r="L493" i="16"/>
  <c r="A916" i="21" s="1"/>
  <c r="K494" i="16"/>
  <c r="A883" i="21" s="1"/>
  <c r="L494" i="16"/>
  <c r="A917" i="21" s="1"/>
  <c r="K495" i="16"/>
  <c r="A884" i="21" s="1"/>
  <c r="L495" i="16"/>
  <c r="A918" i="21" s="1"/>
  <c r="K496" i="16"/>
  <c r="A885" i="21" s="1"/>
  <c r="L496" i="16"/>
  <c r="A919" i="21" s="1"/>
  <c r="K497" i="16"/>
  <c r="A886" i="21" s="1"/>
  <c r="L497" i="16"/>
  <c r="A920" i="21" s="1"/>
  <c r="K498" i="16"/>
  <c r="A887" i="21" s="1"/>
  <c r="L498" i="16"/>
  <c r="A921" i="21" s="1"/>
  <c r="K499" i="16"/>
  <c r="A888" i="21" s="1"/>
  <c r="L499" i="16"/>
  <c r="A922" i="21" s="1"/>
  <c r="K500" i="16"/>
  <c r="A889" i="21" s="1"/>
  <c r="L500" i="16"/>
  <c r="A923" i="21" s="1"/>
  <c r="K501" i="16"/>
  <c r="A890" i="21" s="1"/>
  <c r="L501" i="16"/>
  <c r="A924" i="21" s="1"/>
  <c r="K502" i="16"/>
  <c r="A891" i="21" s="1"/>
  <c r="L502" i="16"/>
  <c r="A925" i="21" s="1"/>
  <c r="K503" i="16"/>
  <c r="A892" i="21" s="1"/>
  <c r="L503" i="16"/>
  <c r="A926" i="21" s="1"/>
  <c r="K504" i="16"/>
  <c r="A893" i="21" s="1"/>
  <c r="L504" i="16"/>
  <c r="A927" i="21" s="1"/>
  <c r="K505" i="16"/>
  <c r="A894" i="21" s="1"/>
  <c r="L505" i="16"/>
  <c r="A928" i="21" s="1"/>
  <c r="K506" i="16"/>
  <c r="A895" i="21" s="1"/>
  <c r="L506" i="16"/>
  <c r="A929" i="21" s="1"/>
  <c r="K507" i="16"/>
  <c r="A896" i="21" s="1"/>
  <c r="L507" i="16"/>
  <c r="A930" i="21" s="1"/>
  <c r="K508" i="16"/>
  <c r="A897" i="21" s="1"/>
  <c r="L508" i="16"/>
  <c r="A931" i="21" s="1"/>
  <c r="K509" i="16"/>
  <c r="A898" i="21" s="1"/>
  <c r="L509" i="16"/>
  <c r="A932" i="21" s="1"/>
  <c r="K510" i="16"/>
  <c r="A899" i="21" s="1"/>
  <c r="L510" i="16"/>
  <c r="A933" i="21" s="1"/>
  <c r="K511" i="16"/>
  <c r="A900" i="21" s="1"/>
  <c r="L511" i="16"/>
  <c r="A934" i="21" s="1"/>
  <c r="K512" i="16"/>
  <c r="A901" i="21" s="1"/>
  <c r="L512" i="16"/>
  <c r="A935" i="21" s="1"/>
  <c r="K513" i="16"/>
  <c r="A902" i="21" s="1"/>
  <c r="L513" i="16"/>
  <c r="A936" i="21" s="1"/>
  <c r="L482" i="16"/>
  <c r="A905" i="21" s="1"/>
  <c r="K482" i="16"/>
  <c r="A871" i="21" s="1"/>
  <c r="K454" i="16"/>
  <c r="A818" i="21" s="1"/>
  <c r="L454" i="16"/>
  <c r="A845" i="21" s="1"/>
  <c r="K455" i="16"/>
  <c r="A819" i="21" s="1"/>
  <c r="L455" i="16"/>
  <c r="A846" i="21" s="1"/>
  <c r="K456" i="16"/>
  <c r="A820" i="21" s="1"/>
  <c r="L456" i="16"/>
  <c r="A847" i="21" s="1"/>
  <c r="K457" i="16"/>
  <c r="A821" i="21" s="1"/>
  <c r="L457" i="16"/>
  <c r="A848" i="21" s="1"/>
  <c r="K458" i="16"/>
  <c r="A822" i="21" s="1"/>
  <c r="L458" i="16"/>
  <c r="A849" i="21" s="1"/>
  <c r="K459" i="16"/>
  <c r="A823" i="21" s="1"/>
  <c r="L459" i="16"/>
  <c r="A850" i="21" s="1"/>
  <c r="K460" i="16"/>
  <c r="A824" i="21" s="1"/>
  <c r="L460" i="16"/>
  <c r="A851" i="21" s="1"/>
  <c r="K461" i="16"/>
  <c r="A825" i="21" s="1"/>
  <c r="L461" i="16"/>
  <c r="A852" i="21" s="1"/>
  <c r="K462" i="16"/>
  <c r="A826" i="21" s="1"/>
  <c r="L462" i="16"/>
  <c r="A853" i="21" s="1"/>
  <c r="K463" i="16"/>
  <c r="A827" i="21" s="1"/>
  <c r="L463" i="16"/>
  <c r="A854" i="21" s="1"/>
  <c r="K464" i="16"/>
  <c r="A828" i="21" s="1"/>
  <c r="L464" i="16"/>
  <c r="A855" i="21" s="1"/>
  <c r="K465" i="16"/>
  <c r="A829" i="21" s="1"/>
  <c r="L465" i="16"/>
  <c r="A856" i="21" s="1"/>
  <c r="K466" i="16"/>
  <c r="A830" i="21" s="1"/>
  <c r="L466" i="16"/>
  <c r="A857" i="21" s="1"/>
  <c r="K467" i="16"/>
  <c r="A831" i="21" s="1"/>
  <c r="L467" i="16"/>
  <c r="A858" i="21" s="1"/>
  <c r="K468" i="16"/>
  <c r="A832" i="21" s="1"/>
  <c r="L468" i="16"/>
  <c r="A859" i="21" s="1"/>
  <c r="K469" i="16"/>
  <c r="A833" i="21" s="1"/>
  <c r="L469" i="16"/>
  <c r="A860" i="21" s="1"/>
  <c r="K470" i="16"/>
  <c r="A834" i="21" s="1"/>
  <c r="L470" i="16"/>
  <c r="A861" i="21" s="1"/>
  <c r="K471" i="16"/>
  <c r="A835" i="21" s="1"/>
  <c r="L471" i="16"/>
  <c r="A862" i="21" s="1"/>
  <c r="K472" i="16"/>
  <c r="A836" i="21" s="1"/>
  <c r="L472" i="16"/>
  <c r="A863" i="21" s="1"/>
  <c r="K473" i="16"/>
  <c r="A837" i="21" s="1"/>
  <c r="L473" i="16"/>
  <c r="A864" i="21" s="1"/>
  <c r="K474" i="16"/>
  <c r="A838" i="21" s="1"/>
  <c r="L474" i="16"/>
  <c r="A865" i="21" s="1"/>
  <c r="K475" i="16"/>
  <c r="A839" i="21" s="1"/>
  <c r="L475" i="16"/>
  <c r="A866" i="21" s="1"/>
  <c r="K476" i="16"/>
  <c r="A840" i="21" s="1"/>
  <c r="L476" i="16"/>
  <c r="A867" i="21" s="1"/>
  <c r="K477" i="16"/>
  <c r="A841" i="21" s="1"/>
  <c r="L477" i="16"/>
  <c r="A868" i="21" s="1"/>
  <c r="L453" i="16"/>
  <c r="A844" i="21" s="1"/>
  <c r="K453" i="16"/>
  <c r="A817" i="21" s="1"/>
  <c r="K425" i="16"/>
  <c r="A764" i="21" s="1"/>
  <c r="L425" i="16"/>
  <c r="A791" i="21" s="1"/>
  <c r="K426" i="16"/>
  <c r="A765" i="21" s="1"/>
  <c r="L426" i="16"/>
  <c r="A792" i="21" s="1"/>
  <c r="K427" i="16"/>
  <c r="A766" i="21" s="1"/>
  <c r="L427" i="16"/>
  <c r="A793" i="21" s="1"/>
  <c r="K428" i="16"/>
  <c r="A767" i="21" s="1"/>
  <c r="L428" i="16"/>
  <c r="A794" i="21" s="1"/>
  <c r="K429" i="16"/>
  <c r="A768" i="21" s="1"/>
  <c r="L429" i="16"/>
  <c r="A795" i="21" s="1"/>
  <c r="K430" i="16"/>
  <c r="A769" i="21" s="1"/>
  <c r="L430" i="16"/>
  <c r="A796" i="21" s="1"/>
  <c r="K431" i="16"/>
  <c r="A770" i="21" s="1"/>
  <c r="L431" i="16"/>
  <c r="A797" i="21" s="1"/>
  <c r="K432" i="16"/>
  <c r="A771" i="21" s="1"/>
  <c r="L432" i="16"/>
  <c r="A798" i="21" s="1"/>
  <c r="K433" i="16"/>
  <c r="A772" i="21" s="1"/>
  <c r="L433" i="16"/>
  <c r="A799" i="21" s="1"/>
  <c r="K434" i="16"/>
  <c r="A773" i="21" s="1"/>
  <c r="L434" i="16"/>
  <c r="A800" i="21" s="1"/>
  <c r="K435" i="16"/>
  <c r="A774" i="21" s="1"/>
  <c r="L435" i="16"/>
  <c r="A801" i="21" s="1"/>
  <c r="K436" i="16"/>
  <c r="A775" i="21" s="1"/>
  <c r="L436" i="16"/>
  <c r="A802" i="21" s="1"/>
  <c r="K437" i="16"/>
  <c r="A776" i="21" s="1"/>
  <c r="L437" i="16"/>
  <c r="A803" i="21" s="1"/>
  <c r="K438" i="16"/>
  <c r="A777" i="21" s="1"/>
  <c r="L438" i="16"/>
  <c r="A804" i="21" s="1"/>
  <c r="K439" i="16"/>
  <c r="A778" i="21" s="1"/>
  <c r="L439" i="16"/>
  <c r="A805" i="21" s="1"/>
  <c r="K440" i="16"/>
  <c r="A779" i="21" s="1"/>
  <c r="L440" i="16"/>
  <c r="A806" i="21" s="1"/>
  <c r="K441" i="16"/>
  <c r="A780" i="21" s="1"/>
  <c r="L441" i="16"/>
  <c r="A807" i="21" s="1"/>
  <c r="K442" i="16"/>
  <c r="A781" i="21" s="1"/>
  <c r="L442" i="16"/>
  <c r="A808" i="21" s="1"/>
  <c r="K443" i="16"/>
  <c r="A782" i="21" s="1"/>
  <c r="L443" i="16"/>
  <c r="A809" i="21" s="1"/>
  <c r="K444" i="16"/>
  <c r="A783" i="21" s="1"/>
  <c r="L444" i="16"/>
  <c r="A810" i="21" s="1"/>
  <c r="K445" i="16"/>
  <c r="A784" i="21" s="1"/>
  <c r="L445" i="16"/>
  <c r="A811" i="21" s="1"/>
  <c r="K446" i="16"/>
  <c r="A785" i="21" s="1"/>
  <c r="L446" i="16"/>
  <c r="A812" i="21" s="1"/>
  <c r="K447" i="16"/>
  <c r="A786" i="21" s="1"/>
  <c r="L447" i="16"/>
  <c r="A813" i="21" s="1"/>
  <c r="K448" i="16"/>
  <c r="A787" i="21" s="1"/>
  <c r="L448" i="16"/>
  <c r="A814" i="21" s="1"/>
  <c r="L424" i="16"/>
  <c r="A790" i="21" s="1"/>
  <c r="K424" i="16"/>
  <c r="A763" i="21" s="1"/>
  <c r="K396" i="16"/>
  <c r="A710" i="21" s="1"/>
  <c r="L396" i="16"/>
  <c r="A737" i="21" s="1"/>
  <c r="K397" i="16"/>
  <c r="A711" i="21" s="1"/>
  <c r="L397" i="16"/>
  <c r="A738" i="21" s="1"/>
  <c r="K398" i="16"/>
  <c r="A712" i="21" s="1"/>
  <c r="L398" i="16"/>
  <c r="A739" i="21" s="1"/>
  <c r="K399" i="16"/>
  <c r="A713" i="21" s="1"/>
  <c r="L399" i="16"/>
  <c r="A740" i="21" s="1"/>
  <c r="K400" i="16"/>
  <c r="A714" i="21" s="1"/>
  <c r="L400" i="16"/>
  <c r="A741" i="21" s="1"/>
  <c r="K401" i="16"/>
  <c r="A715" i="21" s="1"/>
  <c r="L401" i="16"/>
  <c r="A742" i="21" s="1"/>
  <c r="K402" i="16"/>
  <c r="A716" i="21" s="1"/>
  <c r="L402" i="16"/>
  <c r="A743" i="21" s="1"/>
  <c r="K403" i="16"/>
  <c r="A717" i="21" s="1"/>
  <c r="L403" i="16"/>
  <c r="A744" i="21" s="1"/>
  <c r="K404" i="16"/>
  <c r="A718" i="21" s="1"/>
  <c r="L404" i="16"/>
  <c r="A745" i="21" s="1"/>
  <c r="K405" i="16"/>
  <c r="A719" i="21" s="1"/>
  <c r="L405" i="16"/>
  <c r="A746" i="21" s="1"/>
  <c r="K406" i="16"/>
  <c r="A720" i="21" s="1"/>
  <c r="L406" i="16"/>
  <c r="A747" i="21" s="1"/>
  <c r="K407" i="16"/>
  <c r="A721" i="21" s="1"/>
  <c r="L407" i="16"/>
  <c r="A748" i="21" s="1"/>
  <c r="K408" i="16"/>
  <c r="A722" i="21" s="1"/>
  <c r="L408" i="16"/>
  <c r="A749" i="21" s="1"/>
  <c r="K409" i="16"/>
  <c r="A723" i="21" s="1"/>
  <c r="L409" i="16"/>
  <c r="A750" i="21" s="1"/>
  <c r="K410" i="16"/>
  <c r="A724" i="21" s="1"/>
  <c r="L410" i="16"/>
  <c r="A751" i="21" s="1"/>
  <c r="K411" i="16"/>
  <c r="A725" i="21" s="1"/>
  <c r="L411" i="16"/>
  <c r="A752" i="21" s="1"/>
  <c r="K412" i="16"/>
  <c r="A726" i="21" s="1"/>
  <c r="L412" i="16"/>
  <c r="A753" i="21" s="1"/>
  <c r="K413" i="16"/>
  <c r="A727" i="21" s="1"/>
  <c r="L413" i="16"/>
  <c r="A754" i="21" s="1"/>
  <c r="K414" i="16"/>
  <c r="A728" i="21" s="1"/>
  <c r="L414" i="16"/>
  <c r="A755" i="21" s="1"/>
  <c r="K415" i="16"/>
  <c r="A729" i="21" s="1"/>
  <c r="L415" i="16"/>
  <c r="A756" i="21" s="1"/>
  <c r="K416" i="16"/>
  <c r="A730" i="21" s="1"/>
  <c r="L416" i="16"/>
  <c r="A757" i="21" s="1"/>
  <c r="K417" i="16"/>
  <c r="A731" i="21" s="1"/>
  <c r="L417" i="16"/>
  <c r="A758" i="21" s="1"/>
  <c r="K418" i="16"/>
  <c r="A732" i="21" s="1"/>
  <c r="L418" i="16"/>
  <c r="A759" i="21" s="1"/>
  <c r="K419" i="16"/>
  <c r="A733" i="21" s="1"/>
  <c r="L419" i="16"/>
  <c r="A760" i="21" s="1"/>
  <c r="L395" i="16"/>
  <c r="A736" i="21" s="1"/>
  <c r="K395" i="16"/>
  <c r="A709" i="21" s="1"/>
  <c r="K367" i="16"/>
  <c r="A656" i="21" s="1"/>
  <c r="L367" i="16"/>
  <c r="A683" i="21" s="1"/>
  <c r="K368" i="16"/>
  <c r="A657" i="21" s="1"/>
  <c r="L368" i="16"/>
  <c r="A684" i="21" s="1"/>
  <c r="K369" i="16"/>
  <c r="A658" i="21" s="1"/>
  <c r="L369" i="16"/>
  <c r="A685" i="21" s="1"/>
  <c r="K370" i="16"/>
  <c r="A659" i="21" s="1"/>
  <c r="L370" i="16"/>
  <c r="A686" i="21" s="1"/>
  <c r="K371" i="16"/>
  <c r="A660" i="21" s="1"/>
  <c r="L371" i="16"/>
  <c r="A687" i="21" s="1"/>
  <c r="K372" i="16"/>
  <c r="A661" i="21" s="1"/>
  <c r="L372" i="16"/>
  <c r="A688" i="21" s="1"/>
  <c r="K373" i="16"/>
  <c r="A662" i="21" s="1"/>
  <c r="L373" i="16"/>
  <c r="A689" i="21" s="1"/>
  <c r="K374" i="16"/>
  <c r="A663" i="21" s="1"/>
  <c r="L374" i="16"/>
  <c r="A690" i="21" s="1"/>
  <c r="K375" i="16"/>
  <c r="A664" i="21" s="1"/>
  <c r="L375" i="16"/>
  <c r="A691" i="21" s="1"/>
  <c r="K376" i="16"/>
  <c r="A665" i="21" s="1"/>
  <c r="L376" i="16"/>
  <c r="A692" i="21" s="1"/>
  <c r="K377" i="16"/>
  <c r="A666" i="21" s="1"/>
  <c r="L377" i="16"/>
  <c r="A693" i="21" s="1"/>
  <c r="K378" i="16"/>
  <c r="A667" i="21" s="1"/>
  <c r="L378" i="16"/>
  <c r="A694" i="21" s="1"/>
  <c r="K379" i="16"/>
  <c r="A668" i="21" s="1"/>
  <c r="L379" i="16"/>
  <c r="A695" i="21" s="1"/>
  <c r="K380" i="16"/>
  <c r="A669" i="21" s="1"/>
  <c r="L380" i="16"/>
  <c r="A696" i="21" s="1"/>
  <c r="K381" i="16"/>
  <c r="A670" i="21" s="1"/>
  <c r="L381" i="16"/>
  <c r="A697" i="21" s="1"/>
  <c r="K382" i="16"/>
  <c r="A671" i="21" s="1"/>
  <c r="L382" i="16"/>
  <c r="A698" i="21" s="1"/>
  <c r="K383" i="16"/>
  <c r="A672" i="21" s="1"/>
  <c r="L383" i="16"/>
  <c r="A699" i="21" s="1"/>
  <c r="K384" i="16"/>
  <c r="A673" i="21" s="1"/>
  <c r="L384" i="16"/>
  <c r="A700" i="21" s="1"/>
  <c r="K385" i="16"/>
  <c r="A674" i="21" s="1"/>
  <c r="L385" i="16"/>
  <c r="A701" i="21" s="1"/>
  <c r="K386" i="16"/>
  <c r="A675" i="21" s="1"/>
  <c r="L386" i="16"/>
  <c r="A702" i="21" s="1"/>
  <c r="K387" i="16"/>
  <c r="A676" i="21" s="1"/>
  <c r="L387" i="16"/>
  <c r="A703" i="21" s="1"/>
  <c r="K388" i="16"/>
  <c r="A677" i="21" s="1"/>
  <c r="L388" i="16"/>
  <c r="A704" i="21" s="1"/>
  <c r="K389" i="16"/>
  <c r="A678" i="21" s="1"/>
  <c r="L389" i="16"/>
  <c r="A705" i="21" s="1"/>
  <c r="K390" i="16"/>
  <c r="A679" i="21" s="1"/>
  <c r="L390" i="16"/>
  <c r="A706" i="21" s="1"/>
  <c r="L366" i="16"/>
  <c r="A682" i="21" s="1"/>
  <c r="K366" i="16"/>
  <c r="A655" i="21" s="1"/>
  <c r="K338" i="16"/>
  <c r="A602" i="21" s="1"/>
  <c r="L338" i="16"/>
  <c r="A629" i="21" s="1"/>
  <c r="K339" i="16"/>
  <c r="A603" i="21" s="1"/>
  <c r="L339" i="16"/>
  <c r="A630" i="21" s="1"/>
  <c r="K340" i="16"/>
  <c r="A604" i="21" s="1"/>
  <c r="L340" i="16"/>
  <c r="A631" i="21" s="1"/>
  <c r="K341" i="16"/>
  <c r="A605" i="21" s="1"/>
  <c r="L341" i="16"/>
  <c r="A632" i="21" s="1"/>
  <c r="K342" i="16"/>
  <c r="A606" i="21" s="1"/>
  <c r="L342" i="16"/>
  <c r="A633" i="21" s="1"/>
  <c r="K343" i="16"/>
  <c r="A607" i="21" s="1"/>
  <c r="L343" i="16"/>
  <c r="A634" i="21" s="1"/>
  <c r="K344" i="16"/>
  <c r="A608" i="21" s="1"/>
  <c r="L344" i="16"/>
  <c r="A635" i="21" s="1"/>
  <c r="K345" i="16"/>
  <c r="A609" i="21" s="1"/>
  <c r="L345" i="16"/>
  <c r="A636" i="21" s="1"/>
  <c r="K346" i="16"/>
  <c r="A610" i="21" s="1"/>
  <c r="L346" i="16"/>
  <c r="A637" i="21" s="1"/>
  <c r="K347" i="16"/>
  <c r="A611" i="21" s="1"/>
  <c r="L347" i="16"/>
  <c r="A638" i="21" s="1"/>
  <c r="K348" i="16"/>
  <c r="A612" i="21" s="1"/>
  <c r="L348" i="16"/>
  <c r="A639" i="21" s="1"/>
  <c r="K349" i="16"/>
  <c r="A613" i="21" s="1"/>
  <c r="L349" i="16"/>
  <c r="A640" i="21" s="1"/>
  <c r="K350" i="16"/>
  <c r="A614" i="21" s="1"/>
  <c r="L350" i="16"/>
  <c r="A641" i="21" s="1"/>
  <c r="K351" i="16"/>
  <c r="A615" i="21" s="1"/>
  <c r="L351" i="16"/>
  <c r="A642" i="21" s="1"/>
  <c r="K352" i="16"/>
  <c r="A616" i="21" s="1"/>
  <c r="L352" i="16"/>
  <c r="A643" i="21" s="1"/>
  <c r="K353" i="16"/>
  <c r="A617" i="21" s="1"/>
  <c r="L353" i="16"/>
  <c r="A644" i="21" s="1"/>
  <c r="K354" i="16"/>
  <c r="A618" i="21" s="1"/>
  <c r="L354" i="16"/>
  <c r="A645" i="21" s="1"/>
  <c r="K355" i="16"/>
  <c r="A619" i="21" s="1"/>
  <c r="L355" i="16"/>
  <c r="A646" i="21" s="1"/>
  <c r="K356" i="16"/>
  <c r="A620" i="21" s="1"/>
  <c r="L356" i="16"/>
  <c r="A647" i="21" s="1"/>
  <c r="K357" i="16"/>
  <c r="A621" i="21" s="1"/>
  <c r="L357" i="16"/>
  <c r="A648" i="21" s="1"/>
  <c r="K358" i="16"/>
  <c r="A622" i="21" s="1"/>
  <c r="L358" i="16"/>
  <c r="A649" i="21" s="1"/>
  <c r="K359" i="16"/>
  <c r="A623" i="21" s="1"/>
  <c r="L359" i="16"/>
  <c r="A650" i="21" s="1"/>
  <c r="K360" i="16"/>
  <c r="A624" i="21" s="1"/>
  <c r="L360" i="16"/>
  <c r="A651" i="21" s="1"/>
  <c r="K361" i="16"/>
  <c r="A625" i="21" s="1"/>
  <c r="L361" i="16"/>
  <c r="A652" i="21" s="1"/>
  <c r="L337" i="16"/>
  <c r="A628" i="21" s="1"/>
  <c r="K337" i="16"/>
  <c r="A601" i="21" s="1"/>
  <c r="K309" i="16"/>
  <c r="A548" i="21" s="1"/>
  <c r="L309" i="16"/>
  <c r="A575" i="21" s="1"/>
  <c r="K310" i="16"/>
  <c r="A549" i="21" s="1"/>
  <c r="L310" i="16"/>
  <c r="A576" i="21" s="1"/>
  <c r="K311" i="16"/>
  <c r="A550" i="21" s="1"/>
  <c r="L311" i="16"/>
  <c r="A577" i="21" s="1"/>
  <c r="K312" i="16"/>
  <c r="A551" i="21" s="1"/>
  <c r="L312" i="16"/>
  <c r="A578" i="21" s="1"/>
  <c r="K313" i="16"/>
  <c r="A552" i="21" s="1"/>
  <c r="K314" i="16"/>
  <c r="A553" i="21" s="1"/>
  <c r="L314" i="16"/>
  <c r="A580" i="21" s="1"/>
  <c r="K315" i="16"/>
  <c r="A554" i="21" s="1"/>
  <c r="L315" i="16"/>
  <c r="A581" i="21" s="1"/>
  <c r="K316" i="16"/>
  <c r="A555" i="21" s="1"/>
  <c r="L316" i="16"/>
  <c r="A582" i="21" s="1"/>
  <c r="K317" i="16"/>
  <c r="A556" i="21" s="1"/>
  <c r="L317" i="16"/>
  <c r="A583" i="21" s="1"/>
  <c r="K318" i="16"/>
  <c r="A557" i="21" s="1"/>
  <c r="L318" i="16"/>
  <c r="A584" i="21" s="1"/>
  <c r="K319" i="16"/>
  <c r="A558" i="21" s="1"/>
  <c r="L319" i="16"/>
  <c r="A585" i="21" s="1"/>
  <c r="K320" i="16"/>
  <c r="A559" i="21" s="1"/>
  <c r="L320" i="16"/>
  <c r="A586" i="21" s="1"/>
  <c r="K321" i="16"/>
  <c r="A560" i="21" s="1"/>
  <c r="L321" i="16"/>
  <c r="A587" i="21" s="1"/>
  <c r="K322" i="16"/>
  <c r="A561" i="21" s="1"/>
  <c r="L322" i="16"/>
  <c r="A588" i="21" s="1"/>
  <c r="K323" i="16"/>
  <c r="A562" i="21" s="1"/>
  <c r="L323" i="16"/>
  <c r="A589" i="21" s="1"/>
  <c r="K324" i="16"/>
  <c r="A563" i="21" s="1"/>
  <c r="L324" i="16"/>
  <c r="A590" i="21" s="1"/>
  <c r="K325" i="16"/>
  <c r="A564" i="21" s="1"/>
  <c r="L325" i="16"/>
  <c r="A591" i="21" s="1"/>
  <c r="K326" i="16"/>
  <c r="A565" i="21" s="1"/>
  <c r="L326" i="16"/>
  <c r="A592" i="21" s="1"/>
  <c r="K327" i="16"/>
  <c r="A566" i="21" s="1"/>
  <c r="L327" i="16"/>
  <c r="A593" i="21" s="1"/>
  <c r="K328" i="16"/>
  <c r="A567" i="21" s="1"/>
  <c r="L328" i="16"/>
  <c r="A594" i="21" s="1"/>
  <c r="K329" i="16"/>
  <c r="A568" i="21" s="1"/>
  <c r="L329" i="16"/>
  <c r="A595" i="21" s="1"/>
  <c r="K330" i="16"/>
  <c r="A569" i="21" s="1"/>
  <c r="L330" i="16"/>
  <c r="A596" i="21" s="1"/>
  <c r="K331" i="16"/>
  <c r="A570" i="21" s="1"/>
  <c r="L331" i="16"/>
  <c r="A597" i="21" s="1"/>
  <c r="K332" i="16"/>
  <c r="A571" i="21" s="1"/>
  <c r="L332" i="16"/>
  <c r="A598" i="21" s="1"/>
  <c r="L308" i="16"/>
  <c r="A574" i="21" s="1"/>
  <c r="K308" i="16"/>
  <c r="A547" i="21" s="1"/>
  <c r="K280" i="16"/>
  <c r="A494" i="21" s="1"/>
  <c r="L280" i="16"/>
  <c r="A521" i="21" s="1"/>
  <c r="K281" i="16"/>
  <c r="A495" i="21" s="1"/>
  <c r="L281" i="16"/>
  <c r="A522" i="21" s="1"/>
  <c r="K282" i="16"/>
  <c r="A496" i="21" s="1"/>
  <c r="L282" i="16"/>
  <c r="A523" i="21" s="1"/>
  <c r="K283" i="16"/>
  <c r="A497" i="21" s="1"/>
  <c r="L283" i="16"/>
  <c r="A524" i="21" s="1"/>
  <c r="K284" i="16"/>
  <c r="A498" i="21" s="1"/>
  <c r="L284" i="16"/>
  <c r="A525" i="21" s="1"/>
  <c r="K285" i="16"/>
  <c r="A499" i="21" s="1"/>
  <c r="L285" i="16"/>
  <c r="A526" i="21" s="1"/>
  <c r="K286" i="16"/>
  <c r="A500" i="21" s="1"/>
  <c r="L286" i="16"/>
  <c r="A527" i="21" s="1"/>
  <c r="K287" i="16"/>
  <c r="A501" i="21" s="1"/>
  <c r="L287" i="16"/>
  <c r="A528" i="21" s="1"/>
  <c r="K288" i="16"/>
  <c r="A502" i="21" s="1"/>
  <c r="L288" i="16"/>
  <c r="A529" i="21" s="1"/>
  <c r="K289" i="16"/>
  <c r="A503" i="21" s="1"/>
  <c r="L289" i="16"/>
  <c r="A530" i="21" s="1"/>
  <c r="K290" i="16"/>
  <c r="A504" i="21" s="1"/>
  <c r="L290" i="16"/>
  <c r="A531" i="21" s="1"/>
  <c r="K291" i="16"/>
  <c r="A505" i="21" s="1"/>
  <c r="L291" i="16"/>
  <c r="A532" i="21" s="1"/>
  <c r="K292" i="16"/>
  <c r="A506" i="21" s="1"/>
  <c r="L292" i="16"/>
  <c r="A533" i="21" s="1"/>
  <c r="K293" i="16"/>
  <c r="A507" i="21" s="1"/>
  <c r="L293" i="16"/>
  <c r="A534" i="21" s="1"/>
  <c r="K294" i="16"/>
  <c r="A508" i="21" s="1"/>
  <c r="L294" i="16"/>
  <c r="A535" i="21" s="1"/>
  <c r="K295" i="16"/>
  <c r="A509" i="21" s="1"/>
  <c r="L295" i="16"/>
  <c r="A536" i="21" s="1"/>
  <c r="K296" i="16"/>
  <c r="A510" i="21" s="1"/>
  <c r="L296" i="16"/>
  <c r="A537" i="21" s="1"/>
  <c r="K297" i="16"/>
  <c r="A511" i="21" s="1"/>
  <c r="L297" i="16"/>
  <c r="A538" i="21" s="1"/>
  <c r="K298" i="16"/>
  <c r="A512" i="21" s="1"/>
  <c r="L298" i="16"/>
  <c r="A539" i="21" s="1"/>
  <c r="K299" i="16"/>
  <c r="A513" i="21" s="1"/>
  <c r="L299" i="16"/>
  <c r="A540" i="21" s="1"/>
  <c r="K300" i="16"/>
  <c r="A514" i="21" s="1"/>
  <c r="L300" i="16"/>
  <c r="A541" i="21" s="1"/>
  <c r="K301" i="16"/>
  <c r="A515" i="21" s="1"/>
  <c r="L301" i="16"/>
  <c r="A542" i="21" s="1"/>
  <c r="K302" i="16"/>
  <c r="A516" i="21" s="1"/>
  <c r="L302" i="16"/>
  <c r="A543" i="21" s="1"/>
  <c r="K303" i="16"/>
  <c r="A517" i="21" s="1"/>
  <c r="L303" i="16"/>
  <c r="A544" i="21" s="1"/>
  <c r="L279" i="16"/>
  <c r="A520" i="21" s="1"/>
  <c r="K279" i="16"/>
  <c r="A493" i="21" s="1"/>
  <c r="K251" i="16"/>
  <c r="A440" i="21" s="1"/>
  <c r="L251" i="16"/>
  <c r="A467" i="21" s="1"/>
  <c r="K252" i="16"/>
  <c r="A441" i="21" s="1"/>
  <c r="L252" i="16"/>
  <c r="A468" i="21" s="1"/>
  <c r="K253" i="16"/>
  <c r="A442" i="21" s="1"/>
  <c r="L253" i="16"/>
  <c r="A469" i="21" s="1"/>
  <c r="K254" i="16"/>
  <c r="A443" i="21" s="1"/>
  <c r="L254" i="16"/>
  <c r="A470" i="21" s="1"/>
  <c r="K255" i="16"/>
  <c r="A444" i="21" s="1"/>
  <c r="L255" i="16"/>
  <c r="A471" i="21" s="1"/>
  <c r="K256" i="16"/>
  <c r="A445" i="21" s="1"/>
  <c r="L256" i="16"/>
  <c r="A472" i="21" s="1"/>
  <c r="K257" i="16"/>
  <c r="A446" i="21" s="1"/>
  <c r="L257" i="16"/>
  <c r="A473" i="21" s="1"/>
  <c r="K258" i="16"/>
  <c r="A447" i="21" s="1"/>
  <c r="L258" i="16"/>
  <c r="A474" i="21" s="1"/>
  <c r="K259" i="16"/>
  <c r="A448" i="21" s="1"/>
  <c r="L259" i="16"/>
  <c r="A475" i="21" s="1"/>
  <c r="K260" i="16"/>
  <c r="A449" i="21" s="1"/>
  <c r="L260" i="16"/>
  <c r="A476" i="21" s="1"/>
  <c r="K261" i="16"/>
  <c r="A450" i="21" s="1"/>
  <c r="L261" i="16"/>
  <c r="A477" i="21" s="1"/>
  <c r="K262" i="16"/>
  <c r="A451" i="21" s="1"/>
  <c r="L262" i="16"/>
  <c r="A478" i="21" s="1"/>
  <c r="K263" i="16"/>
  <c r="A452" i="21" s="1"/>
  <c r="L263" i="16"/>
  <c r="A479" i="21" s="1"/>
  <c r="K264" i="16"/>
  <c r="A453" i="21" s="1"/>
  <c r="L264" i="16"/>
  <c r="A480" i="21" s="1"/>
  <c r="K265" i="16"/>
  <c r="A454" i="21" s="1"/>
  <c r="L265" i="16"/>
  <c r="A481" i="21" s="1"/>
  <c r="K266" i="16"/>
  <c r="A455" i="21" s="1"/>
  <c r="L266" i="16"/>
  <c r="A482" i="21" s="1"/>
  <c r="K267" i="16"/>
  <c r="A456" i="21" s="1"/>
  <c r="L267" i="16"/>
  <c r="A483" i="21" s="1"/>
  <c r="K268" i="16"/>
  <c r="A457" i="21" s="1"/>
  <c r="L268" i="16"/>
  <c r="A484" i="21" s="1"/>
  <c r="K269" i="16"/>
  <c r="A458" i="21" s="1"/>
  <c r="L269" i="16"/>
  <c r="A485" i="21" s="1"/>
  <c r="K270" i="16"/>
  <c r="A459" i="21" s="1"/>
  <c r="L270" i="16"/>
  <c r="A486" i="21" s="1"/>
  <c r="K271" i="16"/>
  <c r="A460" i="21" s="1"/>
  <c r="L271" i="16"/>
  <c r="A487" i="21" s="1"/>
  <c r="K272" i="16"/>
  <c r="A461" i="21" s="1"/>
  <c r="L272" i="16"/>
  <c r="A488" i="21" s="1"/>
  <c r="K273" i="16"/>
  <c r="A462" i="21" s="1"/>
  <c r="L273" i="16"/>
  <c r="A489" i="21" s="1"/>
  <c r="K274" i="16"/>
  <c r="A463" i="21" s="1"/>
  <c r="L274" i="16"/>
  <c r="A490" i="21" s="1"/>
  <c r="L250" i="16"/>
  <c r="A466" i="21" s="1"/>
  <c r="K250" i="16"/>
  <c r="A439" i="21" s="1"/>
  <c r="K222" i="16"/>
  <c r="A386" i="21" s="1"/>
  <c r="L222" i="16"/>
  <c r="A413" i="21" s="1"/>
  <c r="K223" i="16"/>
  <c r="A387" i="21" s="1"/>
  <c r="L223" i="16"/>
  <c r="A414" i="21" s="1"/>
  <c r="K224" i="16"/>
  <c r="A388" i="21" s="1"/>
  <c r="L224" i="16"/>
  <c r="A415" i="21" s="1"/>
  <c r="K225" i="16"/>
  <c r="A389" i="21" s="1"/>
  <c r="L225" i="16"/>
  <c r="A416" i="21" s="1"/>
  <c r="K226" i="16"/>
  <c r="A390" i="21" s="1"/>
  <c r="L226" i="16"/>
  <c r="A417" i="21" s="1"/>
  <c r="K227" i="16"/>
  <c r="A391" i="21" s="1"/>
  <c r="L227" i="16"/>
  <c r="A418" i="21" s="1"/>
  <c r="K228" i="16"/>
  <c r="A392" i="21" s="1"/>
  <c r="L228" i="16"/>
  <c r="A419" i="21" s="1"/>
  <c r="K229" i="16"/>
  <c r="A393" i="21" s="1"/>
  <c r="L229" i="16"/>
  <c r="A420" i="21" s="1"/>
  <c r="K230" i="16"/>
  <c r="A394" i="21" s="1"/>
  <c r="L230" i="16"/>
  <c r="A421" i="21" s="1"/>
  <c r="K231" i="16"/>
  <c r="A395" i="21" s="1"/>
  <c r="L231" i="16"/>
  <c r="A422" i="21" s="1"/>
  <c r="K232" i="16"/>
  <c r="A396" i="21" s="1"/>
  <c r="L232" i="16"/>
  <c r="A423" i="21" s="1"/>
  <c r="K233" i="16"/>
  <c r="A397" i="21" s="1"/>
  <c r="L233" i="16"/>
  <c r="A424" i="21" s="1"/>
  <c r="K234" i="16"/>
  <c r="A398" i="21" s="1"/>
  <c r="L234" i="16"/>
  <c r="A425" i="21" s="1"/>
  <c r="K235" i="16"/>
  <c r="A399" i="21" s="1"/>
  <c r="L235" i="16"/>
  <c r="A426" i="21" s="1"/>
  <c r="K236" i="16"/>
  <c r="A400" i="21" s="1"/>
  <c r="L236" i="16"/>
  <c r="A427" i="21" s="1"/>
  <c r="K237" i="16"/>
  <c r="A401" i="21" s="1"/>
  <c r="L237" i="16"/>
  <c r="A428" i="21" s="1"/>
  <c r="K238" i="16"/>
  <c r="A402" i="21" s="1"/>
  <c r="L238" i="16"/>
  <c r="A429" i="21" s="1"/>
  <c r="K239" i="16"/>
  <c r="A403" i="21" s="1"/>
  <c r="L239" i="16"/>
  <c r="A430" i="21" s="1"/>
  <c r="K240" i="16"/>
  <c r="A404" i="21" s="1"/>
  <c r="L240" i="16"/>
  <c r="A431" i="21" s="1"/>
  <c r="K241" i="16"/>
  <c r="A405" i="21" s="1"/>
  <c r="L241" i="16"/>
  <c r="A432" i="21" s="1"/>
  <c r="K242" i="16"/>
  <c r="A406" i="21" s="1"/>
  <c r="L242" i="16"/>
  <c r="A433" i="21" s="1"/>
  <c r="K243" i="16"/>
  <c r="A407" i="21" s="1"/>
  <c r="L243" i="16"/>
  <c r="A434" i="21" s="1"/>
  <c r="K244" i="16"/>
  <c r="A408" i="21" s="1"/>
  <c r="L244" i="16"/>
  <c r="A435" i="21" s="1"/>
  <c r="K245" i="16"/>
  <c r="A409" i="21" s="1"/>
  <c r="L245" i="16"/>
  <c r="A436" i="21" s="1"/>
  <c r="L221" i="16"/>
  <c r="A412" i="21" s="1"/>
  <c r="K221" i="16"/>
  <c r="A385" i="21" s="1"/>
  <c r="K193" i="16"/>
  <c r="A332" i="21" s="1"/>
  <c r="L193" i="16"/>
  <c r="A359" i="21" s="1"/>
  <c r="K194" i="16"/>
  <c r="A333" i="21" s="1"/>
  <c r="L194" i="16"/>
  <c r="A360" i="21" s="1"/>
  <c r="K195" i="16"/>
  <c r="A334" i="21" s="1"/>
  <c r="L195" i="16"/>
  <c r="A361" i="21" s="1"/>
  <c r="K196" i="16"/>
  <c r="A335" i="21" s="1"/>
  <c r="L196" i="16"/>
  <c r="A362" i="21" s="1"/>
  <c r="K197" i="16"/>
  <c r="A336" i="21" s="1"/>
  <c r="L197" i="16"/>
  <c r="A363" i="21" s="1"/>
  <c r="K198" i="16"/>
  <c r="A337" i="21" s="1"/>
  <c r="L198" i="16"/>
  <c r="A364" i="21" s="1"/>
  <c r="K199" i="16"/>
  <c r="A338" i="21" s="1"/>
  <c r="L199" i="16"/>
  <c r="A365" i="21" s="1"/>
  <c r="K200" i="16"/>
  <c r="A339" i="21" s="1"/>
  <c r="L200" i="16"/>
  <c r="A366" i="21" s="1"/>
  <c r="K201" i="16"/>
  <c r="A340" i="21" s="1"/>
  <c r="L201" i="16"/>
  <c r="A367" i="21" s="1"/>
  <c r="K202" i="16"/>
  <c r="A341" i="21" s="1"/>
  <c r="L202" i="16"/>
  <c r="A368" i="21" s="1"/>
  <c r="K203" i="16"/>
  <c r="A342" i="21" s="1"/>
  <c r="L203" i="16"/>
  <c r="A369" i="21" s="1"/>
  <c r="K204" i="16"/>
  <c r="A343" i="21" s="1"/>
  <c r="L204" i="16"/>
  <c r="A370" i="21" s="1"/>
  <c r="K205" i="16"/>
  <c r="A344" i="21" s="1"/>
  <c r="L205" i="16"/>
  <c r="A371" i="21" s="1"/>
  <c r="K206" i="16"/>
  <c r="A345" i="21" s="1"/>
  <c r="L206" i="16"/>
  <c r="A372" i="21" s="1"/>
  <c r="K207" i="16"/>
  <c r="A346" i="21" s="1"/>
  <c r="L207" i="16"/>
  <c r="A373" i="21" s="1"/>
  <c r="K208" i="16"/>
  <c r="A347" i="21" s="1"/>
  <c r="L208" i="16"/>
  <c r="A374" i="21" s="1"/>
  <c r="K209" i="16"/>
  <c r="A348" i="21" s="1"/>
  <c r="L209" i="16"/>
  <c r="A375" i="21" s="1"/>
  <c r="K210" i="16"/>
  <c r="A349" i="21" s="1"/>
  <c r="L210" i="16"/>
  <c r="A376" i="21" s="1"/>
  <c r="K211" i="16"/>
  <c r="A350" i="21" s="1"/>
  <c r="L211" i="16"/>
  <c r="A377" i="21" s="1"/>
  <c r="K212" i="16"/>
  <c r="A351" i="21" s="1"/>
  <c r="L212" i="16"/>
  <c r="A378" i="21" s="1"/>
  <c r="K213" i="16"/>
  <c r="A352" i="21" s="1"/>
  <c r="L213" i="16"/>
  <c r="A379" i="21" s="1"/>
  <c r="K214" i="16"/>
  <c r="A353" i="21" s="1"/>
  <c r="L214" i="16"/>
  <c r="A380" i="21" s="1"/>
  <c r="K215" i="16"/>
  <c r="A354" i="21" s="1"/>
  <c r="L215" i="16"/>
  <c r="A381" i="21" s="1"/>
  <c r="K216" i="16"/>
  <c r="A355" i="21" s="1"/>
  <c r="L216" i="16"/>
  <c r="A382" i="21" s="1"/>
  <c r="L192" i="16"/>
  <c r="A358" i="21" s="1"/>
  <c r="K192" i="16"/>
  <c r="A331" i="21" s="1"/>
  <c r="K164" i="16"/>
  <c r="A278" i="21" s="1"/>
  <c r="L164" i="16"/>
  <c r="A305" i="21" s="1"/>
  <c r="K165" i="16"/>
  <c r="A279" i="21" s="1"/>
  <c r="L165" i="16"/>
  <c r="A306" i="21" s="1"/>
  <c r="K166" i="16"/>
  <c r="A280" i="21" s="1"/>
  <c r="L166" i="16"/>
  <c r="A307" i="21" s="1"/>
  <c r="K167" i="16"/>
  <c r="A281" i="21" s="1"/>
  <c r="L167" i="16"/>
  <c r="A308" i="21" s="1"/>
  <c r="K168" i="16"/>
  <c r="A282" i="21" s="1"/>
  <c r="L168" i="16"/>
  <c r="A309" i="21" s="1"/>
  <c r="K169" i="16"/>
  <c r="A283" i="21" s="1"/>
  <c r="L169" i="16"/>
  <c r="A310" i="21" s="1"/>
  <c r="K170" i="16"/>
  <c r="A284" i="21" s="1"/>
  <c r="L170" i="16"/>
  <c r="A311" i="21" s="1"/>
  <c r="K171" i="16"/>
  <c r="A285" i="21" s="1"/>
  <c r="L171" i="16"/>
  <c r="A312" i="21" s="1"/>
  <c r="K172" i="16"/>
  <c r="A286" i="21" s="1"/>
  <c r="L172" i="16"/>
  <c r="A313" i="21" s="1"/>
  <c r="K173" i="16"/>
  <c r="A287" i="21" s="1"/>
  <c r="L173" i="16"/>
  <c r="A314" i="21" s="1"/>
  <c r="K174" i="16"/>
  <c r="A288" i="21" s="1"/>
  <c r="L174" i="16"/>
  <c r="A315" i="21" s="1"/>
  <c r="K175" i="16"/>
  <c r="A289" i="21" s="1"/>
  <c r="L175" i="16"/>
  <c r="A316" i="21" s="1"/>
  <c r="K176" i="16"/>
  <c r="A290" i="21" s="1"/>
  <c r="L176" i="16"/>
  <c r="A317" i="21" s="1"/>
  <c r="K177" i="16"/>
  <c r="A291" i="21" s="1"/>
  <c r="L177" i="16"/>
  <c r="A318" i="21" s="1"/>
  <c r="K178" i="16"/>
  <c r="A292" i="21" s="1"/>
  <c r="L178" i="16"/>
  <c r="A319" i="21" s="1"/>
  <c r="K179" i="16"/>
  <c r="A293" i="21" s="1"/>
  <c r="L179" i="16"/>
  <c r="A320" i="21" s="1"/>
  <c r="K180" i="16"/>
  <c r="A294" i="21" s="1"/>
  <c r="L180" i="16"/>
  <c r="A321" i="21" s="1"/>
  <c r="K181" i="16"/>
  <c r="A295" i="21" s="1"/>
  <c r="L181" i="16"/>
  <c r="A322" i="21" s="1"/>
  <c r="K182" i="16"/>
  <c r="A296" i="21" s="1"/>
  <c r="L182" i="16"/>
  <c r="A323" i="21" s="1"/>
  <c r="K183" i="16"/>
  <c r="A297" i="21" s="1"/>
  <c r="L183" i="16"/>
  <c r="A324" i="21" s="1"/>
  <c r="K184" i="16"/>
  <c r="A298" i="21" s="1"/>
  <c r="L184" i="16"/>
  <c r="A325" i="21" s="1"/>
  <c r="K185" i="16"/>
  <c r="A299" i="21" s="1"/>
  <c r="L185" i="16"/>
  <c r="A326" i="21" s="1"/>
  <c r="K186" i="16"/>
  <c r="A300" i="21" s="1"/>
  <c r="L186" i="16"/>
  <c r="A327" i="21" s="1"/>
  <c r="K187" i="16"/>
  <c r="A301" i="21" s="1"/>
  <c r="L187" i="16"/>
  <c r="A328" i="21" s="1"/>
  <c r="L163" i="16"/>
  <c r="A304" i="21" s="1"/>
  <c r="K163" i="16"/>
  <c r="A277" i="21" s="1"/>
  <c r="K135" i="16"/>
  <c r="A224" i="21" s="1"/>
  <c r="L135" i="16"/>
  <c r="A251" i="21" s="1"/>
  <c r="K136" i="16"/>
  <c r="A225" i="21" s="1"/>
  <c r="L136" i="16"/>
  <c r="A252" i="21" s="1"/>
  <c r="K137" i="16"/>
  <c r="A226" i="21" s="1"/>
  <c r="L137" i="16"/>
  <c r="A253" i="21" s="1"/>
  <c r="K138" i="16"/>
  <c r="A227" i="21" s="1"/>
  <c r="L138" i="16"/>
  <c r="A254" i="21" s="1"/>
  <c r="K139" i="16"/>
  <c r="A228" i="21" s="1"/>
  <c r="L139" i="16"/>
  <c r="A255" i="21" s="1"/>
  <c r="K140" i="16"/>
  <c r="A229" i="21" s="1"/>
  <c r="L140" i="16"/>
  <c r="A256" i="21" s="1"/>
  <c r="K141" i="16"/>
  <c r="A230" i="21" s="1"/>
  <c r="L141" i="16"/>
  <c r="A257" i="21" s="1"/>
  <c r="K142" i="16"/>
  <c r="A231" i="21" s="1"/>
  <c r="L142" i="16"/>
  <c r="A258" i="21" s="1"/>
  <c r="K143" i="16"/>
  <c r="A232" i="21" s="1"/>
  <c r="L143" i="16"/>
  <c r="A259" i="21" s="1"/>
  <c r="K144" i="16"/>
  <c r="A233" i="21" s="1"/>
  <c r="L144" i="16"/>
  <c r="A260" i="21" s="1"/>
  <c r="K145" i="16"/>
  <c r="A234" i="21" s="1"/>
  <c r="L145" i="16"/>
  <c r="A261" i="21" s="1"/>
  <c r="K146" i="16"/>
  <c r="A235" i="21" s="1"/>
  <c r="L146" i="16"/>
  <c r="A262" i="21" s="1"/>
  <c r="K147" i="16"/>
  <c r="A236" i="21" s="1"/>
  <c r="L147" i="16"/>
  <c r="A263" i="21" s="1"/>
  <c r="K148" i="16"/>
  <c r="A237" i="21" s="1"/>
  <c r="L148" i="16"/>
  <c r="A264" i="21" s="1"/>
  <c r="K149" i="16"/>
  <c r="A238" i="21" s="1"/>
  <c r="L149" i="16"/>
  <c r="A265" i="21" s="1"/>
  <c r="K150" i="16"/>
  <c r="A239" i="21" s="1"/>
  <c r="L150" i="16"/>
  <c r="A266" i="21" s="1"/>
  <c r="K151" i="16"/>
  <c r="A240" i="21" s="1"/>
  <c r="L151" i="16"/>
  <c r="A267" i="21" s="1"/>
  <c r="K152" i="16"/>
  <c r="A241" i="21" s="1"/>
  <c r="L152" i="16"/>
  <c r="A268" i="21" s="1"/>
  <c r="K153" i="16"/>
  <c r="A242" i="21" s="1"/>
  <c r="L153" i="16"/>
  <c r="A269" i="21" s="1"/>
  <c r="K154" i="16"/>
  <c r="A243" i="21" s="1"/>
  <c r="L154" i="16"/>
  <c r="A270" i="21" s="1"/>
  <c r="K155" i="16"/>
  <c r="A244" i="21" s="1"/>
  <c r="L155" i="16"/>
  <c r="A271" i="21" s="1"/>
  <c r="K156" i="16"/>
  <c r="A245" i="21" s="1"/>
  <c r="L156" i="16"/>
  <c r="A272" i="21" s="1"/>
  <c r="K157" i="16"/>
  <c r="A246" i="21" s="1"/>
  <c r="L157" i="16"/>
  <c r="A273" i="21" s="1"/>
  <c r="K158" i="16"/>
  <c r="A247" i="21" s="1"/>
  <c r="L158" i="16"/>
  <c r="A274" i="21" s="1"/>
  <c r="L134" i="16"/>
  <c r="A250" i="21" s="1"/>
  <c r="K134" i="16"/>
  <c r="A223" i="21" s="1"/>
  <c r="K106" i="16"/>
  <c r="A170" i="21" s="1"/>
  <c r="L106" i="16"/>
  <c r="A197" i="21" s="1"/>
  <c r="K107" i="16"/>
  <c r="A171" i="21" s="1"/>
  <c r="L107" i="16"/>
  <c r="A198" i="21" s="1"/>
  <c r="K108" i="16"/>
  <c r="A172" i="21" s="1"/>
  <c r="L108" i="16"/>
  <c r="A199" i="21" s="1"/>
  <c r="K109" i="16"/>
  <c r="A173" i="21" s="1"/>
  <c r="L109" i="16"/>
  <c r="A200" i="21" s="1"/>
  <c r="K110" i="16"/>
  <c r="A174" i="21" s="1"/>
  <c r="L110" i="16"/>
  <c r="A201" i="21" s="1"/>
  <c r="K111" i="16"/>
  <c r="A175" i="21" s="1"/>
  <c r="L111" i="16"/>
  <c r="A202" i="21" s="1"/>
  <c r="K112" i="16"/>
  <c r="A176" i="21" s="1"/>
  <c r="L112" i="16"/>
  <c r="A203" i="21" s="1"/>
  <c r="K113" i="16"/>
  <c r="A177" i="21" s="1"/>
  <c r="L113" i="16"/>
  <c r="A204" i="21" s="1"/>
  <c r="K114" i="16"/>
  <c r="A178" i="21" s="1"/>
  <c r="L114" i="16"/>
  <c r="A205" i="21" s="1"/>
  <c r="K115" i="16"/>
  <c r="A179" i="21" s="1"/>
  <c r="L115" i="16"/>
  <c r="A206" i="21" s="1"/>
  <c r="K116" i="16"/>
  <c r="A180" i="21" s="1"/>
  <c r="L116" i="16"/>
  <c r="A207" i="21" s="1"/>
  <c r="K117" i="16"/>
  <c r="A181" i="21" s="1"/>
  <c r="L117" i="16"/>
  <c r="A208" i="21" s="1"/>
  <c r="K118" i="16"/>
  <c r="A182" i="21" s="1"/>
  <c r="L118" i="16"/>
  <c r="A209" i="21" s="1"/>
  <c r="K119" i="16"/>
  <c r="A183" i="21" s="1"/>
  <c r="L119" i="16"/>
  <c r="A210" i="21" s="1"/>
  <c r="K120" i="16"/>
  <c r="A184" i="21" s="1"/>
  <c r="L120" i="16"/>
  <c r="A211" i="21" s="1"/>
  <c r="K121" i="16"/>
  <c r="A185" i="21" s="1"/>
  <c r="L121" i="16"/>
  <c r="A212" i="21" s="1"/>
  <c r="K122" i="16"/>
  <c r="A186" i="21" s="1"/>
  <c r="L122" i="16"/>
  <c r="A213" i="21" s="1"/>
  <c r="K123" i="16"/>
  <c r="A187" i="21" s="1"/>
  <c r="L123" i="16"/>
  <c r="A214" i="21" s="1"/>
  <c r="K124" i="16"/>
  <c r="A188" i="21" s="1"/>
  <c r="L124" i="16"/>
  <c r="A215" i="21" s="1"/>
  <c r="K125" i="16"/>
  <c r="A189" i="21" s="1"/>
  <c r="L125" i="16"/>
  <c r="A216" i="21" s="1"/>
  <c r="K126" i="16"/>
  <c r="A190" i="21" s="1"/>
  <c r="L126" i="16"/>
  <c r="A217" i="21" s="1"/>
  <c r="K127" i="16"/>
  <c r="A191" i="21" s="1"/>
  <c r="L127" i="16"/>
  <c r="A218" i="21" s="1"/>
  <c r="K128" i="16"/>
  <c r="A192" i="21" s="1"/>
  <c r="L128" i="16"/>
  <c r="A219" i="21" s="1"/>
  <c r="K129" i="16"/>
  <c r="A193" i="21" s="1"/>
  <c r="L129" i="16"/>
  <c r="A220" i="21" s="1"/>
  <c r="L105" i="16"/>
  <c r="A196" i="21" s="1"/>
  <c r="K105" i="16"/>
  <c r="A169" i="21" s="1"/>
  <c r="K77" i="16"/>
  <c r="A116" i="21" s="1"/>
  <c r="L77" i="16"/>
  <c r="A143" i="21" s="1"/>
  <c r="K78" i="16"/>
  <c r="A117" i="21" s="1"/>
  <c r="L78" i="16"/>
  <c r="A144" i="21" s="1"/>
  <c r="K79" i="16"/>
  <c r="A118" i="21" s="1"/>
  <c r="L79" i="16"/>
  <c r="A145" i="21" s="1"/>
  <c r="K80" i="16"/>
  <c r="A119" i="21" s="1"/>
  <c r="L80" i="16"/>
  <c r="A146" i="21" s="1"/>
  <c r="K81" i="16"/>
  <c r="A120" i="21" s="1"/>
  <c r="L81" i="16"/>
  <c r="A147" i="21" s="1"/>
  <c r="K82" i="16"/>
  <c r="A121" i="21" s="1"/>
  <c r="L82" i="16"/>
  <c r="A148" i="21" s="1"/>
  <c r="K83" i="16"/>
  <c r="A122" i="21" s="1"/>
  <c r="L83" i="16"/>
  <c r="A149" i="21" s="1"/>
  <c r="K84" i="16"/>
  <c r="A123" i="21" s="1"/>
  <c r="L84" i="16"/>
  <c r="A150" i="21" s="1"/>
  <c r="K85" i="16"/>
  <c r="A124" i="21" s="1"/>
  <c r="L85" i="16"/>
  <c r="A151" i="21" s="1"/>
  <c r="K86" i="16"/>
  <c r="A125" i="21" s="1"/>
  <c r="L86" i="16"/>
  <c r="A152" i="21" s="1"/>
  <c r="K87" i="16"/>
  <c r="A126" i="21" s="1"/>
  <c r="L87" i="16"/>
  <c r="A153" i="21" s="1"/>
  <c r="K88" i="16"/>
  <c r="A127" i="21" s="1"/>
  <c r="L88" i="16"/>
  <c r="A154" i="21" s="1"/>
  <c r="K89" i="16"/>
  <c r="A128" i="21" s="1"/>
  <c r="L89" i="16"/>
  <c r="A155" i="21" s="1"/>
  <c r="K90" i="16"/>
  <c r="A129" i="21" s="1"/>
  <c r="L90" i="16"/>
  <c r="A156" i="21" s="1"/>
  <c r="K91" i="16"/>
  <c r="A130" i="21" s="1"/>
  <c r="L91" i="16"/>
  <c r="A157" i="21" s="1"/>
  <c r="K92" i="16"/>
  <c r="A131" i="21" s="1"/>
  <c r="L92" i="16"/>
  <c r="A158" i="21" s="1"/>
  <c r="K93" i="16"/>
  <c r="A132" i="21" s="1"/>
  <c r="L93" i="16"/>
  <c r="A159" i="21" s="1"/>
  <c r="K94" i="16"/>
  <c r="A133" i="21" s="1"/>
  <c r="L94" i="16"/>
  <c r="A160" i="21" s="1"/>
  <c r="K95" i="16"/>
  <c r="A134" i="21" s="1"/>
  <c r="L95" i="16"/>
  <c r="A161" i="21" s="1"/>
  <c r="K96" i="16"/>
  <c r="A135" i="21" s="1"/>
  <c r="L96" i="16"/>
  <c r="A162" i="21" s="1"/>
  <c r="K97" i="16"/>
  <c r="A136" i="21" s="1"/>
  <c r="L97" i="16"/>
  <c r="A163" i="21" s="1"/>
  <c r="K98" i="16"/>
  <c r="A137" i="21" s="1"/>
  <c r="L98" i="16"/>
  <c r="A164" i="21" s="1"/>
  <c r="K99" i="16"/>
  <c r="A138" i="21" s="1"/>
  <c r="L99" i="16"/>
  <c r="A165" i="21" s="1"/>
  <c r="K100" i="16"/>
  <c r="A139" i="21" s="1"/>
  <c r="L100" i="16"/>
  <c r="A166" i="21" s="1"/>
  <c r="L76" i="16"/>
  <c r="A142" i="21" s="1"/>
  <c r="K76" i="16"/>
  <c r="A115" i="21" s="1"/>
  <c r="K48" i="16"/>
  <c r="A62" i="21" s="1"/>
  <c r="L48" i="16"/>
  <c r="A89" i="21" s="1"/>
  <c r="K49" i="16"/>
  <c r="A63" i="21" s="1"/>
  <c r="L49" i="16"/>
  <c r="A90" i="21" s="1"/>
  <c r="K50" i="16"/>
  <c r="A64" i="21" s="1"/>
  <c r="L50" i="16"/>
  <c r="A91" i="21" s="1"/>
  <c r="K51" i="16"/>
  <c r="A65" i="21" s="1"/>
  <c r="L51" i="16"/>
  <c r="A92" i="21" s="1"/>
  <c r="K52" i="16"/>
  <c r="A66" i="21" s="1"/>
  <c r="L52" i="16"/>
  <c r="A93" i="21" s="1"/>
  <c r="K53" i="16"/>
  <c r="A67" i="21" s="1"/>
  <c r="L53" i="16"/>
  <c r="A94" i="21" s="1"/>
  <c r="K54" i="16"/>
  <c r="A68" i="21" s="1"/>
  <c r="L54" i="16"/>
  <c r="A95" i="21" s="1"/>
  <c r="K55" i="16"/>
  <c r="A69" i="21" s="1"/>
  <c r="L55" i="16"/>
  <c r="A96" i="21" s="1"/>
  <c r="K56" i="16"/>
  <c r="A70" i="21" s="1"/>
  <c r="L56" i="16"/>
  <c r="A97" i="21" s="1"/>
  <c r="K57" i="16"/>
  <c r="A71" i="21" s="1"/>
  <c r="L57" i="16"/>
  <c r="A98" i="21" s="1"/>
  <c r="K58" i="16"/>
  <c r="A72" i="21" s="1"/>
  <c r="L58" i="16"/>
  <c r="A99" i="21" s="1"/>
  <c r="K59" i="16"/>
  <c r="A73" i="21" s="1"/>
  <c r="L59" i="16"/>
  <c r="A100" i="21" s="1"/>
  <c r="K60" i="16"/>
  <c r="A74" i="21" s="1"/>
  <c r="L60" i="16"/>
  <c r="A101" i="21" s="1"/>
  <c r="K61" i="16"/>
  <c r="A75" i="21" s="1"/>
  <c r="L61" i="16"/>
  <c r="A102" i="21" s="1"/>
  <c r="K62" i="16"/>
  <c r="A76" i="21" s="1"/>
  <c r="L62" i="16"/>
  <c r="A103" i="21" s="1"/>
  <c r="K63" i="16"/>
  <c r="A77" i="21" s="1"/>
  <c r="L63" i="16"/>
  <c r="A104" i="21" s="1"/>
  <c r="K64" i="16"/>
  <c r="A78" i="21" s="1"/>
  <c r="L64" i="16"/>
  <c r="A105" i="21" s="1"/>
  <c r="K65" i="16"/>
  <c r="A79" i="21" s="1"/>
  <c r="L65" i="16"/>
  <c r="A106" i="21" s="1"/>
  <c r="K66" i="16"/>
  <c r="A80" i="21" s="1"/>
  <c r="L66" i="16"/>
  <c r="A107" i="21" s="1"/>
  <c r="K67" i="16"/>
  <c r="A81" i="21" s="1"/>
  <c r="L67" i="16"/>
  <c r="A108" i="21" s="1"/>
  <c r="K68" i="16"/>
  <c r="A82" i="21" s="1"/>
  <c r="L68" i="16"/>
  <c r="A109" i="21" s="1"/>
  <c r="K69" i="16"/>
  <c r="A83" i="21" s="1"/>
  <c r="L69" i="16"/>
  <c r="A110" i="21" s="1"/>
  <c r="K70" i="16"/>
  <c r="A84" i="21" s="1"/>
  <c r="L70" i="16"/>
  <c r="A111" i="21" s="1"/>
  <c r="K71" i="16"/>
  <c r="A85" i="21" s="1"/>
  <c r="L71" i="16"/>
  <c r="A112" i="21" s="1"/>
  <c r="L47" i="16"/>
  <c r="A88" i="21" s="1"/>
  <c r="K47" i="16"/>
  <c r="A61" i="21" s="1"/>
  <c r="L19" i="16"/>
  <c r="A35" i="21" s="1"/>
  <c r="L20" i="16"/>
  <c r="A36" i="21" s="1"/>
  <c r="L21" i="16"/>
  <c r="A37" i="21" s="1"/>
  <c r="L22" i="16"/>
  <c r="A38" i="21" s="1"/>
  <c r="L23" i="16"/>
  <c r="A39" i="21" s="1"/>
  <c r="L24" i="16"/>
  <c r="A40" i="21" s="1"/>
  <c r="L25" i="16"/>
  <c r="A41" i="21" s="1"/>
  <c r="L26" i="16"/>
  <c r="A42" i="21" s="1"/>
  <c r="L27" i="16"/>
  <c r="A43" i="21" s="1"/>
  <c r="L28" i="16"/>
  <c r="A44" i="21" s="1"/>
  <c r="L29" i="16"/>
  <c r="A45" i="21" s="1"/>
  <c r="L30" i="16"/>
  <c r="A46" i="21" s="1"/>
  <c r="L31" i="16"/>
  <c r="A47" i="21" s="1"/>
  <c r="L32" i="16"/>
  <c r="A48" i="21" s="1"/>
  <c r="L33" i="16"/>
  <c r="A49" i="21" s="1"/>
  <c r="L34" i="16"/>
  <c r="A50" i="21" s="1"/>
  <c r="L35" i="16"/>
  <c r="A51" i="21" s="1"/>
  <c r="L36" i="16"/>
  <c r="A52" i="21" s="1"/>
  <c r="L37" i="16"/>
  <c r="A53" i="21" s="1"/>
  <c r="L38" i="16"/>
  <c r="A54" i="21" s="1"/>
  <c r="L39" i="16"/>
  <c r="A55" i="21" s="1"/>
  <c r="L40" i="16"/>
  <c r="A56" i="21" s="1"/>
  <c r="L41" i="16"/>
  <c r="A57" i="21" s="1"/>
  <c r="L42" i="16"/>
  <c r="A58" i="21" s="1"/>
  <c r="L18" i="16"/>
  <c r="A34" i="21" s="1"/>
  <c r="K19" i="16"/>
  <c r="A8" i="21" s="1"/>
  <c r="K20" i="16"/>
  <c r="A9" i="21" s="1"/>
  <c r="K21" i="16"/>
  <c r="A10" i="21" s="1"/>
  <c r="K22" i="16"/>
  <c r="A11" i="21" s="1"/>
  <c r="K23" i="16"/>
  <c r="A12" i="21" s="1"/>
  <c r="K24" i="16"/>
  <c r="A13" i="21" s="1"/>
  <c r="K25" i="16"/>
  <c r="A14" i="21" s="1"/>
  <c r="K26" i="16"/>
  <c r="A15" i="21" s="1"/>
  <c r="K27" i="16"/>
  <c r="A16" i="21" s="1"/>
  <c r="K28" i="16"/>
  <c r="A17" i="21" s="1"/>
  <c r="K29" i="16"/>
  <c r="A18" i="21" s="1"/>
  <c r="K30" i="16"/>
  <c r="A19" i="21" s="1"/>
  <c r="K31" i="16"/>
  <c r="A20" i="21" s="1"/>
  <c r="K32" i="16"/>
  <c r="A21" i="21" s="1"/>
  <c r="K33" i="16"/>
  <c r="A22" i="21" s="1"/>
  <c r="K34" i="16"/>
  <c r="A23" i="21" s="1"/>
  <c r="K35" i="16"/>
  <c r="A24" i="21" s="1"/>
  <c r="K36" i="16"/>
  <c r="A25" i="21" s="1"/>
  <c r="K37" i="16"/>
  <c r="A26" i="21" s="1"/>
  <c r="K38" i="16"/>
  <c r="A27" i="21" s="1"/>
  <c r="K39" i="16"/>
  <c r="A28" i="21" s="1"/>
  <c r="K40" i="16"/>
  <c r="A29" i="21" s="1"/>
  <c r="K41" i="16"/>
  <c r="A30" i="21" s="1"/>
  <c r="K42" i="16"/>
  <c r="A31" i="21" s="1"/>
  <c r="K18" i="16"/>
  <c r="A7" i="21" s="1"/>
  <c r="A167" i="21"/>
  <c r="A113" i="21"/>
  <c r="A59" i="21"/>
  <c r="A5" i="21"/>
  <c r="A3500" i="17"/>
  <c r="A3499" i="17"/>
  <c r="A3498" i="17"/>
  <c r="A3497" i="17"/>
  <c r="A3496" i="17"/>
  <c r="A3495" i="17"/>
  <c r="A3494" i="17"/>
  <c r="A3493" i="17"/>
  <c r="A3492" i="17"/>
  <c r="A3491" i="17"/>
  <c r="A3490" i="17"/>
  <c r="A3489" i="17"/>
  <c r="A3488" i="17"/>
  <c r="A3487" i="17"/>
  <c r="A3486" i="17"/>
  <c r="A3485" i="17"/>
  <c r="A3484" i="17"/>
  <c r="A3483" i="17"/>
  <c r="A3482" i="17"/>
  <c r="A3481" i="17"/>
  <c r="A3480" i="17"/>
  <c r="A3479" i="17"/>
  <c r="A3478" i="17"/>
  <c r="A3477" i="17"/>
  <c r="A3476" i="17"/>
  <c r="A3475" i="17"/>
  <c r="A3474" i="17"/>
  <c r="A3473" i="17"/>
  <c r="A3465" i="17"/>
  <c r="A3464" i="17"/>
  <c r="A3463" i="17"/>
  <c r="A3462" i="17"/>
  <c r="A3461" i="17"/>
  <c r="A3460" i="17"/>
  <c r="A3459" i="17"/>
  <c r="A3458" i="17"/>
  <c r="A3457" i="17"/>
  <c r="A3456" i="17"/>
  <c r="A3455" i="17"/>
  <c r="A3454" i="17"/>
  <c r="A3453" i="17"/>
  <c r="A3452" i="17"/>
  <c r="A3451" i="17"/>
  <c r="A3450" i="17"/>
  <c r="A3449" i="17"/>
  <c r="A3448" i="17"/>
  <c r="A3447" i="17"/>
  <c r="A3446" i="17"/>
  <c r="A3445" i="17"/>
  <c r="A3444" i="17"/>
  <c r="A3443" i="17"/>
  <c r="A3442" i="17"/>
  <c r="A3441" i="17"/>
  <c r="A3440" i="17"/>
  <c r="A3439" i="17"/>
  <c r="A3438" i="17"/>
  <c r="A3430" i="17"/>
  <c r="A3429" i="17"/>
  <c r="A3428" i="17"/>
  <c r="A3427" i="17"/>
  <c r="A3426" i="17"/>
  <c r="A3425" i="17"/>
  <c r="A3424" i="17"/>
  <c r="A3423" i="17"/>
  <c r="A3422" i="17"/>
  <c r="A3421" i="17"/>
  <c r="A3420" i="17"/>
  <c r="A3419" i="17"/>
  <c r="A3418" i="17"/>
  <c r="A3417" i="17"/>
  <c r="A3416" i="17"/>
  <c r="A3415" i="17"/>
  <c r="A3414" i="17"/>
  <c r="A3413" i="17"/>
  <c r="A3412" i="17"/>
  <c r="A3411" i="17"/>
  <c r="A3410" i="17"/>
  <c r="A3409" i="17"/>
  <c r="A3408" i="17"/>
  <c r="A3407" i="17"/>
  <c r="A3406" i="17"/>
  <c r="A3405" i="17"/>
  <c r="A3404" i="17"/>
  <c r="A3403" i="17"/>
  <c r="A3395" i="17"/>
  <c r="A3394" i="17"/>
  <c r="A3393" i="17"/>
  <c r="A3392" i="17"/>
  <c r="A3391" i="17"/>
  <c r="A3390" i="17"/>
  <c r="A3389" i="17"/>
  <c r="A3388" i="17"/>
  <c r="A3387" i="17"/>
  <c r="A3386" i="17"/>
  <c r="A3385" i="17"/>
  <c r="A3384" i="17"/>
  <c r="A3383" i="17"/>
  <c r="A3382" i="17"/>
  <c r="A3381" i="17"/>
  <c r="A3380" i="17"/>
  <c r="A3379" i="17"/>
  <c r="A3378" i="17"/>
  <c r="A3377" i="17"/>
  <c r="A3376" i="17"/>
  <c r="A3375" i="17"/>
  <c r="A3374" i="17"/>
  <c r="A3373" i="17"/>
  <c r="A3372" i="17"/>
  <c r="A3371" i="17"/>
  <c r="A3370" i="17"/>
  <c r="A3369" i="17"/>
  <c r="A3368" i="17"/>
  <c r="A3360" i="17"/>
  <c r="A3359" i="17"/>
  <c r="A3358" i="17"/>
  <c r="A3357" i="17"/>
  <c r="A3356" i="17"/>
  <c r="A3355" i="17"/>
  <c r="A3354" i="17"/>
  <c r="A3353" i="17"/>
  <c r="A3352" i="17"/>
  <c r="A3351" i="17"/>
  <c r="A3350" i="17"/>
  <c r="A3349" i="17"/>
  <c r="A3348" i="17"/>
  <c r="A3347" i="17"/>
  <c r="A3346" i="17"/>
  <c r="A3345" i="17"/>
  <c r="A3344" i="17"/>
  <c r="A3343" i="17"/>
  <c r="A3342" i="17"/>
  <c r="A3341" i="17"/>
  <c r="A3340" i="17"/>
  <c r="A3339" i="17"/>
  <c r="A3338" i="17"/>
  <c r="A3337" i="17"/>
  <c r="A3336" i="17"/>
  <c r="A3335" i="17"/>
  <c r="A3334" i="17"/>
  <c r="A3333" i="17"/>
  <c r="A3325" i="17"/>
  <c r="A3324" i="17"/>
  <c r="A3323" i="17"/>
  <c r="A3322" i="17"/>
  <c r="A3321" i="17"/>
  <c r="A3320" i="17"/>
  <c r="A3319" i="17"/>
  <c r="A3318" i="17"/>
  <c r="A3317" i="17"/>
  <c r="A3316" i="17"/>
  <c r="A3315" i="17"/>
  <c r="A3314" i="17"/>
  <c r="A3313" i="17"/>
  <c r="A3312" i="17"/>
  <c r="A3311" i="17"/>
  <c r="A3310" i="17"/>
  <c r="A3309" i="17"/>
  <c r="A3308" i="17"/>
  <c r="A3307" i="17"/>
  <c r="A3306" i="17"/>
  <c r="A3305" i="17"/>
  <c r="A3304" i="17"/>
  <c r="A3303" i="17"/>
  <c r="A3302" i="17"/>
  <c r="A3301" i="17"/>
  <c r="A3300" i="17"/>
  <c r="A3299" i="17"/>
  <c r="A3298" i="17"/>
  <c r="A3290" i="17"/>
  <c r="A3289" i="17"/>
  <c r="A3288" i="17"/>
  <c r="A3287" i="17"/>
  <c r="A3286" i="17"/>
  <c r="A3285" i="17"/>
  <c r="A3284" i="17"/>
  <c r="A3283" i="17"/>
  <c r="A3282" i="17"/>
  <c r="A3281" i="17"/>
  <c r="A3280" i="17"/>
  <c r="A3279" i="17"/>
  <c r="A3278" i="17"/>
  <c r="A3277" i="17"/>
  <c r="A3276" i="17"/>
  <c r="A3275" i="17"/>
  <c r="A3274" i="17"/>
  <c r="A3273" i="17"/>
  <c r="A3272" i="17"/>
  <c r="A3271" i="17"/>
  <c r="A3270" i="17"/>
  <c r="A3269" i="17"/>
  <c r="A3268" i="17"/>
  <c r="A3267" i="17"/>
  <c r="A3266" i="17"/>
  <c r="A3265" i="17"/>
  <c r="A3264" i="17"/>
  <c r="A3263" i="17"/>
  <c r="A3255" i="17"/>
  <c r="A3254" i="17"/>
  <c r="A3253" i="17"/>
  <c r="A3252" i="17"/>
  <c r="A3251" i="17"/>
  <c r="A3250" i="17"/>
  <c r="A3249" i="17"/>
  <c r="A3248" i="17"/>
  <c r="A3247" i="17"/>
  <c r="A3246" i="17"/>
  <c r="A3245" i="17"/>
  <c r="A3244" i="17"/>
  <c r="A3243" i="17"/>
  <c r="A3242" i="17"/>
  <c r="A3241" i="17"/>
  <c r="A3240" i="17"/>
  <c r="A3239" i="17"/>
  <c r="A3238" i="17"/>
  <c r="A3237" i="17"/>
  <c r="A3236" i="17"/>
  <c r="A3235" i="17"/>
  <c r="A3234" i="17"/>
  <c r="A3233" i="17"/>
  <c r="A3232" i="17"/>
  <c r="A3231" i="17"/>
  <c r="A3230" i="17"/>
  <c r="A3229" i="17"/>
  <c r="A3228" i="17"/>
  <c r="A3220" i="17"/>
  <c r="A3219" i="17"/>
  <c r="A3218" i="17"/>
  <c r="A3217" i="17"/>
  <c r="A3216" i="17"/>
  <c r="A3215" i="17"/>
  <c r="A3214" i="17"/>
  <c r="A3213" i="17"/>
  <c r="A3212" i="17"/>
  <c r="A3211" i="17"/>
  <c r="A3210" i="17"/>
  <c r="A3209" i="17"/>
  <c r="A3208" i="17"/>
  <c r="A3207" i="17"/>
  <c r="A3206" i="17"/>
  <c r="A3205" i="17"/>
  <c r="A3204" i="17"/>
  <c r="A3203" i="17"/>
  <c r="A3202" i="17"/>
  <c r="A3201" i="17"/>
  <c r="A3200" i="17"/>
  <c r="A3199" i="17"/>
  <c r="A3198" i="17"/>
  <c r="A3197" i="17"/>
  <c r="A3196" i="17"/>
  <c r="A3195" i="17"/>
  <c r="A3194" i="17"/>
  <c r="A3193" i="17"/>
  <c r="A3185" i="17"/>
  <c r="A3184" i="17"/>
  <c r="A3183" i="17"/>
  <c r="A3182" i="17"/>
  <c r="A3181" i="17"/>
  <c r="A3180" i="17"/>
  <c r="A3179" i="17"/>
  <c r="A3178" i="17"/>
  <c r="A3177" i="17"/>
  <c r="A3176" i="17"/>
  <c r="A3175" i="17"/>
  <c r="A3174" i="17"/>
  <c r="A3173" i="17"/>
  <c r="A3172" i="17"/>
  <c r="A3171" i="17"/>
  <c r="A3170" i="17"/>
  <c r="A3169" i="17"/>
  <c r="A3168" i="17"/>
  <c r="A3167" i="17"/>
  <c r="A3166" i="17"/>
  <c r="A3165" i="17"/>
  <c r="A3164" i="17"/>
  <c r="A3163" i="17"/>
  <c r="A3162" i="17"/>
  <c r="A3161" i="17"/>
  <c r="A3160" i="17"/>
  <c r="A3159" i="17"/>
  <c r="A3158" i="17"/>
  <c r="A3150" i="17"/>
  <c r="A3149" i="17"/>
  <c r="A3148" i="17"/>
  <c r="A3147" i="17"/>
  <c r="A3146" i="17"/>
  <c r="A3145" i="17"/>
  <c r="A3144" i="17"/>
  <c r="A3143" i="17"/>
  <c r="A3142" i="17"/>
  <c r="A3141" i="17"/>
  <c r="A3140" i="17"/>
  <c r="A3139" i="17"/>
  <c r="A3138" i="17"/>
  <c r="A3137" i="17"/>
  <c r="A3136" i="17"/>
  <c r="A3135" i="17"/>
  <c r="A3134" i="17"/>
  <c r="A3133" i="17"/>
  <c r="A3132" i="17"/>
  <c r="A3131" i="17"/>
  <c r="A3130" i="17"/>
  <c r="A3129" i="17"/>
  <c r="A3128" i="17"/>
  <c r="A3127" i="17"/>
  <c r="A3126" i="17"/>
  <c r="A3125" i="17"/>
  <c r="A3124" i="17"/>
  <c r="A3123" i="17"/>
  <c r="A3115" i="17"/>
  <c r="A3114" i="17"/>
  <c r="A3113" i="17"/>
  <c r="A3112" i="17"/>
  <c r="A3111" i="17"/>
  <c r="A3110" i="17"/>
  <c r="A3109" i="17"/>
  <c r="A3108" i="17"/>
  <c r="A3107" i="17"/>
  <c r="A3106" i="17"/>
  <c r="A3105" i="17"/>
  <c r="A3104" i="17"/>
  <c r="A3103" i="17"/>
  <c r="A3102" i="17"/>
  <c r="A3101" i="17"/>
  <c r="A3100" i="17"/>
  <c r="A3099" i="17"/>
  <c r="A3098" i="17"/>
  <c r="A3097" i="17"/>
  <c r="A3096" i="17"/>
  <c r="A3095" i="17"/>
  <c r="A3094" i="17"/>
  <c r="A3093" i="17"/>
  <c r="A3092" i="17"/>
  <c r="A3091" i="17"/>
  <c r="A3090" i="17"/>
  <c r="A3089" i="17"/>
  <c r="A3088" i="17"/>
  <c r="A3080" i="17"/>
  <c r="A3079" i="17"/>
  <c r="A3078" i="17"/>
  <c r="A3077" i="17"/>
  <c r="A3076" i="17"/>
  <c r="A3075" i="17"/>
  <c r="A3074" i="17"/>
  <c r="A3073" i="17"/>
  <c r="A3072" i="17"/>
  <c r="A3071" i="17"/>
  <c r="A3070" i="17"/>
  <c r="A3069" i="17"/>
  <c r="A3068" i="17"/>
  <c r="A3067" i="17"/>
  <c r="A3066" i="17"/>
  <c r="A3065" i="17"/>
  <c r="A3064" i="17"/>
  <c r="A3063" i="17"/>
  <c r="A3062" i="17"/>
  <c r="A3061" i="17"/>
  <c r="A3060" i="17"/>
  <c r="A3059" i="17"/>
  <c r="A3058" i="17"/>
  <c r="A3057" i="17"/>
  <c r="A3056" i="17"/>
  <c r="A3055" i="17"/>
  <c r="A3054" i="17"/>
  <c r="A3053" i="17"/>
  <c r="A3045" i="17"/>
  <c r="A3044" i="17"/>
  <c r="A3043" i="17"/>
  <c r="A3042" i="17"/>
  <c r="A3041" i="17"/>
  <c r="A3040" i="17"/>
  <c r="A3039" i="17"/>
  <c r="A3038" i="17"/>
  <c r="A3037" i="17"/>
  <c r="A3036" i="17"/>
  <c r="A3035" i="17"/>
  <c r="A3034" i="17"/>
  <c r="A3033" i="17"/>
  <c r="A3032" i="17"/>
  <c r="A3031" i="17"/>
  <c r="A3030" i="17"/>
  <c r="A3029" i="17"/>
  <c r="A3028" i="17"/>
  <c r="A3027" i="17"/>
  <c r="A3026" i="17"/>
  <c r="A3025" i="17"/>
  <c r="A3024" i="17"/>
  <c r="A3023" i="17"/>
  <c r="A3022" i="17"/>
  <c r="A3021" i="17"/>
  <c r="A3020" i="17"/>
  <c r="A3019" i="17"/>
  <c r="A3018" i="17"/>
  <c r="A3010" i="17"/>
  <c r="A3009" i="17"/>
  <c r="A3008" i="17"/>
  <c r="A3007" i="17"/>
  <c r="A3006" i="17"/>
  <c r="A3005" i="17"/>
  <c r="A3004" i="17"/>
  <c r="A3003" i="17"/>
  <c r="A3002" i="17"/>
  <c r="A3001" i="17"/>
  <c r="A3000" i="17"/>
  <c r="A2999" i="17"/>
  <c r="A2998" i="17"/>
  <c r="A2997" i="17"/>
  <c r="A2996" i="17"/>
  <c r="A2995" i="17"/>
  <c r="A2994" i="17"/>
  <c r="A2993" i="17"/>
  <c r="A2992" i="17"/>
  <c r="A2991" i="17"/>
  <c r="A2990" i="17"/>
  <c r="A2989" i="17"/>
  <c r="A2988" i="17"/>
  <c r="A2987" i="17"/>
  <c r="A2986" i="17"/>
  <c r="A2985" i="17"/>
  <c r="A2984" i="17"/>
  <c r="A2983" i="17"/>
  <c r="A2975" i="17"/>
  <c r="A2974" i="17"/>
  <c r="A2973" i="17"/>
  <c r="A2972" i="17"/>
  <c r="A2971" i="17"/>
  <c r="A2970" i="17"/>
  <c r="A2969" i="17"/>
  <c r="A2968" i="17"/>
  <c r="A2967" i="17"/>
  <c r="A2966" i="17"/>
  <c r="A2965" i="17"/>
  <c r="A2964" i="17"/>
  <c r="A2963" i="17"/>
  <c r="A2962" i="17"/>
  <c r="A2961" i="17"/>
  <c r="A2960" i="17"/>
  <c r="A2959" i="17"/>
  <c r="A2958" i="17"/>
  <c r="A2957" i="17"/>
  <c r="A2956" i="17"/>
  <c r="A2955" i="17"/>
  <c r="A2954" i="17"/>
  <c r="A2953" i="17"/>
  <c r="A2952" i="17"/>
  <c r="A2951" i="17"/>
  <c r="A2950" i="17"/>
  <c r="A2949" i="17"/>
  <c r="A2948" i="17"/>
  <c r="A2940" i="17"/>
  <c r="A2939" i="17"/>
  <c r="A2938" i="17"/>
  <c r="A2937" i="17"/>
  <c r="A2936" i="17"/>
  <c r="A2935" i="17"/>
  <c r="A2934" i="17"/>
  <c r="A2933" i="17"/>
  <c r="A2932" i="17"/>
  <c r="A2931" i="17"/>
  <c r="A2930" i="17"/>
  <c r="A2929" i="17"/>
  <c r="A2928" i="17"/>
  <c r="A2927" i="17"/>
  <c r="A2926" i="17"/>
  <c r="A2925" i="17"/>
  <c r="A2924" i="17"/>
  <c r="A2923" i="17"/>
  <c r="A2922" i="17"/>
  <c r="A2921" i="17"/>
  <c r="A2920" i="17"/>
  <c r="A2919" i="17"/>
  <c r="A2918" i="17"/>
  <c r="A2917" i="17"/>
  <c r="A2916" i="17"/>
  <c r="A2915" i="17"/>
  <c r="A2914" i="17"/>
  <c r="A2913" i="17"/>
  <c r="A2905" i="17"/>
  <c r="A2904" i="17"/>
  <c r="A2903" i="17"/>
  <c r="A2902" i="17"/>
  <c r="A2901" i="17"/>
  <c r="A2900" i="17"/>
  <c r="A2899" i="17"/>
  <c r="A2898" i="17"/>
  <c r="A2897" i="17"/>
  <c r="A2896" i="17"/>
  <c r="A2895" i="17"/>
  <c r="A2894" i="17"/>
  <c r="A2893" i="17"/>
  <c r="A2892" i="17"/>
  <c r="A2891" i="17"/>
  <c r="A2890" i="17"/>
  <c r="A2889" i="17"/>
  <c r="A2888" i="17"/>
  <c r="A2887" i="17"/>
  <c r="A2886" i="17"/>
  <c r="A2885" i="17"/>
  <c r="A2884" i="17"/>
  <c r="A2883" i="17"/>
  <c r="A2882" i="17"/>
  <c r="A2881" i="17"/>
  <c r="A2880" i="17"/>
  <c r="A2879" i="17"/>
  <c r="A2878" i="17"/>
  <c r="A2870" i="17"/>
  <c r="A2869" i="17"/>
  <c r="A2868" i="17"/>
  <c r="A2867" i="17"/>
  <c r="A2866" i="17"/>
  <c r="A2865" i="17"/>
  <c r="A2864" i="17"/>
  <c r="A2863" i="17"/>
  <c r="A2862" i="17"/>
  <c r="A2861" i="17"/>
  <c r="A2860" i="17"/>
  <c r="A2859" i="17"/>
  <c r="A2858" i="17"/>
  <c r="A2857" i="17"/>
  <c r="A2856" i="17"/>
  <c r="A2855" i="17"/>
  <c r="A2854" i="17"/>
  <c r="A2853" i="17"/>
  <c r="A2852" i="17"/>
  <c r="A2851" i="17"/>
  <c r="A2850" i="17"/>
  <c r="A2849" i="17"/>
  <c r="A2848" i="17"/>
  <c r="A2847" i="17"/>
  <c r="A2846" i="17"/>
  <c r="A2845" i="17"/>
  <c r="A2844" i="17"/>
  <c r="A2843" i="17"/>
  <c r="A2835" i="17"/>
  <c r="A2834" i="17"/>
  <c r="A2833" i="17"/>
  <c r="A2832" i="17"/>
  <c r="A2831" i="17"/>
  <c r="A2830" i="17"/>
  <c r="A2829" i="17"/>
  <c r="A2828" i="17"/>
  <c r="A2827" i="17"/>
  <c r="A2826" i="17"/>
  <c r="A2825" i="17"/>
  <c r="A2824" i="17"/>
  <c r="A2823" i="17"/>
  <c r="A2822" i="17"/>
  <c r="A2821" i="17"/>
  <c r="A2820" i="17"/>
  <c r="A2819" i="17"/>
  <c r="A2818" i="17"/>
  <c r="A2817" i="17"/>
  <c r="A2816" i="17"/>
  <c r="A2815" i="17"/>
  <c r="A2814" i="17"/>
  <c r="A2813" i="17"/>
  <c r="A2812" i="17"/>
  <c r="A2811" i="17"/>
  <c r="A2810" i="17"/>
  <c r="A2809" i="17"/>
  <c r="A2808" i="17"/>
  <c r="A2800" i="17"/>
  <c r="A2799" i="17"/>
  <c r="A2798" i="17"/>
  <c r="A2797" i="17"/>
  <c r="A2796" i="17"/>
  <c r="A2795" i="17"/>
  <c r="A2794" i="17"/>
  <c r="A2793" i="17"/>
  <c r="A2792" i="17"/>
  <c r="A2791" i="17"/>
  <c r="A2790" i="17"/>
  <c r="A2789" i="17"/>
  <c r="A2788" i="17"/>
  <c r="A2787" i="17"/>
  <c r="A2786" i="17"/>
  <c r="A2785" i="17"/>
  <c r="A2784" i="17"/>
  <c r="A2783" i="17"/>
  <c r="A2782" i="17"/>
  <c r="A2781" i="17"/>
  <c r="A2780" i="17"/>
  <c r="A2779" i="17"/>
  <c r="A2778" i="17"/>
  <c r="A2777" i="17"/>
  <c r="A2776" i="17"/>
  <c r="A2775" i="17"/>
  <c r="A2774" i="17"/>
  <c r="A2773" i="17"/>
  <c r="A2765" i="17"/>
  <c r="A2764" i="17"/>
  <c r="A2763" i="17"/>
  <c r="A2762" i="17"/>
  <c r="A2761" i="17"/>
  <c r="A2760" i="17"/>
  <c r="A2759" i="17"/>
  <c r="A2758" i="17"/>
  <c r="A2757" i="17"/>
  <c r="A2756" i="17"/>
  <c r="A2755" i="17"/>
  <c r="A2754" i="17"/>
  <c r="A2753" i="17"/>
  <c r="A2752" i="17"/>
  <c r="A2751" i="17"/>
  <c r="A2750" i="17"/>
  <c r="A2749" i="17"/>
  <c r="A2748" i="17"/>
  <c r="A2747" i="17"/>
  <c r="A2746" i="17"/>
  <c r="A2745" i="17"/>
  <c r="A2744" i="17"/>
  <c r="A2743" i="17"/>
  <c r="A2742" i="17"/>
  <c r="A2741" i="17"/>
  <c r="A2740" i="17"/>
  <c r="A2739" i="17"/>
  <c r="A2738" i="17"/>
  <c r="A2730" i="17"/>
  <c r="A2729" i="17"/>
  <c r="A2728" i="17"/>
  <c r="A2727" i="17"/>
  <c r="A2726" i="17"/>
  <c r="A2725" i="17"/>
  <c r="A2724" i="17"/>
  <c r="A2723" i="17"/>
  <c r="A2722" i="17"/>
  <c r="A2721" i="17"/>
  <c r="A2720" i="17"/>
  <c r="A2719" i="17"/>
  <c r="A2718" i="17"/>
  <c r="A2717" i="17"/>
  <c r="A2716" i="17"/>
  <c r="A2715" i="17"/>
  <c r="A2714" i="17"/>
  <c r="A2713" i="17"/>
  <c r="A2712" i="17"/>
  <c r="A2711" i="17"/>
  <c r="A2710" i="17"/>
  <c r="A2709" i="17"/>
  <c r="A2708" i="17"/>
  <c r="A2707" i="17"/>
  <c r="A2706" i="17"/>
  <c r="A2705" i="17"/>
  <c r="A2704" i="17"/>
  <c r="A2703" i="17"/>
  <c r="A2695" i="17"/>
  <c r="A2694" i="17"/>
  <c r="A2693" i="17"/>
  <c r="A2692" i="17"/>
  <c r="A2691" i="17"/>
  <c r="A2690" i="17"/>
  <c r="A2689" i="17"/>
  <c r="A2688" i="17"/>
  <c r="A2687" i="17"/>
  <c r="A2686" i="17"/>
  <c r="A2685" i="17"/>
  <c r="A2684" i="17"/>
  <c r="A2683" i="17"/>
  <c r="A2682" i="17"/>
  <c r="A2681" i="17"/>
  <c r="A2680" i="17"/>
  <c r="A2679" i="17"/>
  <c r="A2678" i="17"/>
  <c r="A2677" i="17"/>
  <c r="A2676" i="17"/>
  <c r="A2675" i="17"/>
  <c r="A2674" i="17"/>
  <c r="A2673" i="17"/>
  <c r="A2672" i="17"/>
  <c r="A2671" i="17"/>
  <c r="A2670" i="17"/>
  <c r="A2669" i="17"/>
  <c r="A2668" i="17"/>
  <c r="A2660" i="17"/>
  <c r="A2659" i="17"/>
  <c r="A2658" i="17"/>
  <c r="A2657" i="17"/>
  <c r="A2656" i="17"/>
  <c r="A2655" i="17"/>
  <c r="A2654" i="17"/>
  <c r="A2653" i="17"/>
  <c r="A2652" i="17"/>
  <c r="A2651" i="17"/>
  <c r="A2650" i="17"/>
  <c r="A2649" i="17"/>
  <c r="A2648" i="17"/>
  <c r="A2647" i="17"/>
  <c r="A2646" i="17"/>
  <c r="A2645" i="17"/>
  <c r="A2644" i="17"/>
  <c r="A2643" i="17"/>
  <c r="A2642" i="17"/>
  <c r="A2641" i="17"/>
  <c r="A2640" i="17"/>
  <c r="A2639" i="17"/>
  <c r="A2638" i="17"/>
  <c r="A2637" i="17"/>
  <c r="A2636" i="17"/>
  <c r="A2635" i="17"/>
  <c r="A2634" i="17"/>
  <c r="A2633" i="17"/>
  <c r="A2625" i="17"/>
  <c r="A2624" i="17"/>
  <c r="A2623" i="17"/>
  <c r="A2622" i="17"/>
  <c r="A2621" i="17"/>
  <c r="A2620" i="17"/>
  <c r="A2619" i="17"/>
  <c r="A2618" i="17"/>
  <c r="A2617" i="17"/>
  <c r="A2616" i="17"/>
  <c r="A2615" i="17"/>
  <c r="A2614" i="17"/>
  <c r="A2613" i="17"/>
  <c r="A2612" i="17"/>
  <c r="A2611" i="17"/>
  <c r="A2610" i="17"/>
  <c r="A2609" i="17"/>
  <c r="A2608" i="17"/>
  <c r="A2607" i="17"/>
  <c r="A2606" i="17"/>
  <c r="A2605" i="17"/>
  <c r="A2604" i="17"/>
  <c r="A2603" i="17"/>
  <c r="A2602" i="17"/>
  <c r="A2601" i="17"/>
  <c r="A2600" i="17"/>
  <c r="A2599" i="17"/>
  <c r="A2598" i="17"/>
  <c r="A2590" i="17"/>
  <c r="A2589" i="17"/>
  <c r="A2588" i="17"/>
  <c r="A2587" i="17"/>
  <c r="A2586" i="17"/>
  <c r="A2585" i="17"/>
  <c r="A2584" i="17"/>
  <c r="A2583" i="17"/>
  <c r="A2582" i="17"/>
  <c r="A2581" i="17"/>
  <c r="A2580" i="17"/>
  <c r="A2579" i="17"/>
  <c r="A2578" i="17"/>
  <c r="A2577" i="17"/>
  <c r="A2576" i="17"/>
  <c r="A2575" i="17"/>
  <c r="A2574" i="17"/>
  <c r="A2573" i="17"/>
  <c r="A2572" i="17"/>
  <c r="A2571" i="17"/>
  <c r="A2570" i="17"/>
  <c r="A2569" i="17"/>
  <c r="A2568" i="17"/>
  <c r="A2567" i="17"/>
  <c r="A2566" i="17"/>
  <c r="A2565" i="17"/>
  <c r="A2564" i="17"/>
  <c r="A2563" i="17"/>
  <c r="A2555" i="17"/>
  <c r="A2554" i="17"/>
  <c r="A2553" i="17"/>
  <c r="A2552" i="17"/>
  <c r="A2551" i="17"/>
  <c r="A2550" i="17"/>
  <c r="A2549" i="17"/>
  <c r="A2548" i="17"/>
  <c r="A2547" i="17"/>
  <c r="A2546" i="17"/>
  <c r="A2545" i="17"/>
  <c r="A2544" i="17"/>
  <c r="A2543" i="17"/>
  <c r="A2542" i="17"/>
  <c r="A2541" i="17"/>
  <c r="A2540" i="17"/>
  <c r="A2539" i="17"/>
  <c r="A2538" i="17"/>
  <c r="A2537" i="17"/>
  <c r="A2536" i="17"/>
  <c r="A2535" i="17"/>
  <c r="A2534" i="17"/>
  <c r="A2533" i="17"/>
  <c r="A2532" i="17"/>
  <c r="A2531" i="17"/>
  <c r="A2530" i="17"/>
  <c r="A2529" i="17"/>
  <c r="A2528" i="17"/>
  <c r="A2520" i="17"/>
  <c r="A2519" i="17"/>
  <c r="A2518" i="17"/>
  <c r="A2517" i="17"/>
  <c r="A2516" i="17"/>
  <c r="A2515" i="17"/>
  <c r="A2514" i="17"/>
  <c r="A2513" i="17"/>
  <c r="A2512" i="17"/>
  <c r="A2511" i="17"/>
  <c r="A2510" i="17"/>
  <c r="A2509" i="17"/>
  <c r="A2508" i="17"/>
  <c r="A2507" i="17"/>
  <c r="A2506" i="17"/>
  <c r="A2505" i="17"/>
  <c r="A2504" i="17"/>
  <c r="A2503" i="17"/>
  <c r="A2502" i="17"/>
  <c r="A2501" i="17"/>
  <c r="A2500" i="17"/>
  <c r="A2499" i="17"/>
  <c r="A2498" i="17"/>
  <c r="A2497" i="17"/>
  <c r="A2496" i="17"/>
  <c r="A2495" i="17"/>
  <c r="A2494" i="17"/>
  <c r="A2493" i="17"/>
  <c r="A2485" i="17"/>
  <c r="A2484" i="17"/>
  <c r="A2483" i="17"/>
  <c r="A2482" i="17"/>
  <c r="A2481" i="17"/>
  <c r="A2480" i="17"/>
  <c r="A2479" i="17"/>
  <c r="A2478" i="17"/>
  <c r="A2477" i="17"/>
  <c r="A2476" i="17"/>
  <c r="A2475" i="17"/>
  <c r="A2474" i="17"/>
  <c r="A2473" i="17"/>
  <c r="A2472" i="17"/>
  <c r="A2471" i="17"/>
  <c r="A2470" i="17"/>
  <c r="A2469" i="17"/>
  <c r="A2468" i="17"/>
  <c r="A2467" i="17"/>
  <c r="A2466" i="17"/>
  <c r="A2465" i="17"/>
  <c r="A2464" i="17"/>
  <c r="A2463" i="17"/>
  <c r="A2462" i="17"/>
  <c r="A2461" i="17"/>
  <c r="A2460" i="17"/>
  <c r="A2459" i="17"/>
  <c r="A2458" i="17"/>
  <c r="A2450" i="17"/>
  <c r="A2449" i="17"/>
  <c r="A2448" i="17"/>
  <c r="A2447" i="17"/>
  <c r="A2446" i="17"/>
  <c r="A2445" i="17"/>
  <c r="A2444" i="17"/>
  <c r="A2443" i="17"/>
  <c r="A2442" i="17"/>
  <c r="A2441" i="17"/>
  <c r="A2440" i="17"/>
  <c r="A2439" i="17"/>
  <c r="A2438" i="17"/>
  <c r="A2437" i="17"/>
  <c r="A2436" i="17"/>
  <c r="A2435" i="17"/>
  <c r="A2434" i="17"/>
  <c r="A2433" i="17"/>
  <c r="A2432" i="17"/>
  <c r="A2431" i="17"/>
  <c r="A2430" i="17"/>
  <c r="A2429" i="17"/>
  <c r="A2428" i="17"/>
  <c r="A2427" i="17"/>
  <c r="A2426" i="17"/>
  <c r="A2425" i="17"/>
  <c r="A2424" i="17"/>
  <c r="A2423" i="17"/>
  <c r="A2415" i="17"/>
  <c r="A2414" i="17"/>
  <c r="A2413" i="17"/>
  <c r="A2412" i="17"/>
  <c r="A2411" i="17"/>
  <c r="A2410" i="17"/>
  <c r="A2409" i="17"/>
  <c r="A2408" i="17"/>
  <c r="A2407" i="17"/>
  <c r="A2406" i="17"/>
  <c r="A2405" i="17"/>
  <c r="A2404" i="17"/>
  <c r="A2403" i="17"/>
  <c r="A2402" i="17"/>
  <c r="A2401" i="17"/>
  <c r="A2400" i="17"/>
  <c r="A2399" i="17"/>
  <c r="A2398" i="17"/>
  <c r="A2397" i="17"/>
  <c r="A2396" i="17"/>
  <c r="A2395" i="17"/>
  <c r="A2394" i="17"/>
  <c r="A2393" i="17"/>
  <c r="A2392" i="17"/>
  <c r="A2391" i="17"/>
  <c r="A2390" i="17"/>
  <c r="A2389" i="17"/>
  <c r="A2388" i="17"/>
  <c r="A2380" i="17"/>
  <c r="A2379" i="17"/>
  <c r="A2378" i="17"/>
  <c r="A2377" i="17"/>
  <c r="A2376" i="17"/>
  <c r="A2375" i="17"/>
  <c r="A2374" i="17"/>
  <c r="A2373" i="17"/>
  <c r="A2372" i="17"/>
  <c r="A2371" i="17"/>
  <c r="A2370" i="17"/>
  <c r="A2369" i="17"/>
  <c r="A2368" i="17"/>
  <c r="A2367" i="17"/>
  <c r="A2366" i="17"/>
  <c r="A2365" i="17"/>
  <c r="A2364" i="17"/>
  <c r="A2363" i="17"/>
  <c r="A2362" i="17"/>
  <c r="A2361" i="17"/>
  <c r="A2360" i="17"/>
  <c r="A2359" i="17"/>
  <c r="A2358" i="17"/>
  <c r="A2357" i="17"/>
  <c r="A2356" i="17"/>
  <c r="A2355" i="17"/>
  <c r="A2354" i="17"/>
  <c r="A2353" i="17"/>
  <c r="A2345" i="17"/>
  <c r="A2344" i="17"/>
  <c r="A2343" i="17"/>
  <c r="A2342" i="17"/>
  <c r="A2341" i="17"/>
  <c r="A2340" i="17"/>
  <c r="A2339" i="17"/>
  <c r="A2338" i="17"/>
  <c r="A2337" i="17"/>
  <c r="A2336" i="17"/>
  <c r="A2335" i="17"/>
  <c r="A2334" i="17"/>
  <c r="A2333" i="17"/>
  <c r="A2332" i="17"/>
  <c r="A2331" i="17"/>
  <c r="A2330" i="17"/>
  <c r="A2329" i="17"/>
  <c r="A2328" i="17"/>
  <c r="A2327" i="17"/>
  <c r="A2326" i="17"/>
  <c r="A2325" i="17"/>
  <c r="A2324" i="17"/>
  <c r="A2323" i="17"/>
  <c r="A2322" i="17"/>
  <c r="A2321" i="17"/>
  <c r="A2320" i="17"/>
  <c r="A2319" i="17"/>
  <c r="A2318" i="17"/>
  <c r="A2310" i="17"/>
  <c r="A2309" i="17"/>
  <c r="A2308" i="17"/>
  <c r="A2307" i="17"/>
  <c r="A2306" i="17"/>
  <c r="A2305" i="17"/>
  <c r="A2304" i="17"/>
  <c r="A2303" i="17"/>
  <c r="A2302" i="17"/>
  <c r="A2301" i="17"/>
  <c r="A2300" i="17"/>
  <c r="A2299" i="17"/>
  <c r="A2298" i="17"/>
  <c r="A2297" i="17"/>
  <c r="A2296" i="17"/>
  <c r="A2295" i="17"/>
  <c r="A2294" i="17"/>
  <c r="A2293" i="17"/>
  <c r="A2292" i="17"/>
  <c r="A2291" i="17"/>
  <c r="A2290" i="17"/>
  <c r="A2289" i="17"/>
  <c r="A2288" i="17"/>
  <c r="A2287" i="17"/>
  <c r="A2286" i="17"/>
  <c r="A2285" i="17"/>
  <c r="A2284" i="17"/>
  <c r="A2283" i="17"/>
  <c r="A2275" i="17"/>
  <c r="A2274" i="17"/>
  <c r="A2273" i="17"/>
  <c r="A2272" i="17"/>
  <c r="A2271" i="17"/>
  <c r="A2270" i="17"/>
  <c r="A2269" i="17"/>
  <c r="A2268" i="17"/>
  <c r="A2267" i="17"/>
  <c r="A2266" i="17"/>
  <c r="A2265" i="17"/>
  <c r="A2264" i="17"/>
  <c r="A2263" i="17"/>
  <c r="A2262" i="17"/>
  <c r="A2261" i="17"/>
  <c r="A2260" i="17"/>
  <c r="A2259" i="17"/>
  <c r="A2258" i="17"/>
  <c r="A2257" i="17"/>
  <c r="A2256" i="17"/>
  <c r="A2255" i="17"/>
  <c r="A2254" i="17"/>
  <c r="A2253" i="17"/>
  <c r="A2252" i="17"/>
  <c r="A2251" i="17"/>
  <c r="A2250" i="17"/>
  <c r="A2249" i="17"/>
  <c r="A2248" i="17"/>
  <c r="A2240" i="17"/>
  <c r="A2239" i="17"/>
  <c r="A2238" i="17"/>
  <c r="A2237" i="17"/>
  <c r="A2236" i="17"/>
  <c r="A2235" i="17"/>
  <c r="A2234" i="17"/>
  <c r="A2233" i="17"/>
  <c r="A2232" i="17"/>
  <c r="A2231" i="17"/>
  <c r="A2230" i="17"/>
  <c r="A2229" i="17"/>
  <c r="A2228" i="17"/>
  <c r="A2227" i="17"/>
  <c r="A2226" i="17"/>
  <c r="A2225" i="17"/>
  <c r="A2224" i="17"/>
  <c r="A2223" i="17"/>
  <c r="A2222" i="17"/>
  <c r="A2221" i="17"/>
  <c r="A2220" i="17"/>
  <c r="A2219" i="17"/>
  <c r="A2218" i="17"/>
  <c r="A2217" i="17"/>
  <c r="A2216" i="17"/>
  <c r="A2215" i="17"/>
  <c r="A2214" i="17"/>
  <c r="A2213" i="17"/>
  <c r="A2205" i="17"/>
  <c r="A2204" i="17"/>
  <c r="A2203" i="17"/>
  <c r="A2202" i="17"/>
  <c r="A2201" i="17"/>
  <c r="A2200" i="17"/>
  <c r="A2199" i="17"/>
  <c r="A2198" i="17"/>
  <c r="A2197" i="17"/>
  <c r="A2196" i="17"/>
  <c r="A2195" i="17"/>
  <c r="A2194" i="17"/>
  <c r="A2193" i="17"/>
  <c r="A2192" i="17"/>
  <c r="A2191" i="17"/>
  <c r="A2190" i="17"/>
  <c r="A2189" i="17"/>
  <c r="A2188" i="17"/>
  <c r="A2187" i="17"/>
  <c r="A2186" i="17"/>
  <c r="A2185" i="17"/>
  <c r="A2184" i="17"/>
  <c r="A2183" i="17"/>
  <c r="A2182" i="17"/>
  <c r="A2181" i="17"/>
  <c r="A2180" i="17"/>
  <c r="A2179" i="17"/>
  <c r="A2178" i="17"/>
  <c r="A2170" i="17"/>
  <c r="A2169" i="17"/>
  <c r="A2168" i="17"/>
  <c r="A2167" i="17"/>
  <c r="A2166" i="17"/>
  <c r="A2165" i="17"/>
  <c r="A2164" i="17"/>
  <c r="A2163" i="17"/>
  <c r="A2162" i="17"/>
  <c r="A2161" i="17"/>
  <c r="A2160" i="17"/>
  <c r="A2159" i="17"/>
  <c r="A2158" i="17"/>
  <c r="A2157" i="17"/>
  <c r="A2156" i="17"/>
  <c r="A2155" i="17"/>
  <c r="A2154" i="17"/>
  <c r="A2153" i="17"/>
  <c r="A2152" i="17"/>
  <c r="A2151" i="17"/>
  <c r="A2150" i="17"/>
  <c r="A2149" i="17"/>
  <c r="A2148" i="17"/>
  <c r="A2147" i="17"/>
  <c r="A2146" i="17"/>
  <c r="A2145" i="17"/>
  <c r="A2144" i="17"/>
  <c r="A2143" i="17"/>
  <c r="A2135" i="17"/>
  <c r="A2134" i="17"/>
  <c r="A2133" i="17"/>
  <c r="A2132" i="17"/>
  <c r="A2131" i="17"/>
  <c r="A2130" i="17"/>
  <c r="A2129" i="17"/>
  <c r="A2128" i="17"/>
  <c r="A2127" i="17"/>
  <c r="A2126" i="17"/>
  <c r="A2125" i="17"/>
  <c r="A2124" i="17"/>
  <c r="A2123" i="17"/>
  <c r="A2122" i="17"/>
  <c r="A2121" i="17"/>
  <c r="A2120" i="17"/>
  <c r="A2119" i="17"/>
  <c r="A2118" i="17"/>
  <c r="A2117" i="17"/>
  <c r="A2116" i="17"/>
  <c r="A2115" i="17"/>
  <c r="A2114" i="17"/>
  <c r="A2113" i="17"/>
  <c r="A2112" i="17"/>
  <c r="A2111" i="17"/>
  <c r="A2110" i="17"/>
  <c r="A2109" i="17"/>
  <c r="A2108" i="17"/>
  <c r="A2100" i="17"/>
  <c r="A2099" i="17"/>
  <c r="A2098" i="17"/>
  <c r="A2097" i="17"/>
  <c r="A2096" i="17"/>
  <c r="A2095" i="17"/>
  <c r="A2094" i="17"/>
  <c r="A2093" i="17"/>
  <c r="A2092" i="17"/>
  <c r="A2091" i="17"/>
  <c r="A2090" i="17"/>
  <c r="A2089" i="17"/>
  <c r="A2088" i="17"/>
  <c r="A2087" i="17"/>
  <c r="A2086" i="17"/>
  <c r="A2085" i="17"/>
  <c r="A2084" i="17"/>
  <c r="A2083" i="17"/>
  <c r="A2082" i="17"/>
  <c r="A2081" i="17"/>
  <c r="A2080" i="17"/>
  <c r="A2079" i="17"/>
  <c r="A2078" i="17"/>
  <c r="A2077" i="17"/>
  <c r="A2076" i="17"/>
  <c r="A2075" i="17"/>
  <c r="A2074" i="17"/>
  <c r="A2073" i="17"/>
  <c r="A2065" i="17"/>
  <c r="A2064" i="17"/>
  <c r="A2063" i="17"/>
  <c r="A2062" i="17"/>
  <c r="A2061" i="17"/>
  <c r="A2060" i="17"/>
  <c r="A2059" i="17"/>
  <c r="A2058" i="17"/>
  <c r="A2057" i="17"/>
  <c r="A2056" i="17"/>
  <c r="A2055" i="17"/>
  <c r="A2054" i="17"/>
  <c r="A2053" i="17"/>
  <c r="A2052" i="17"/>
  <c r="A2051" i="17"/>
  <c r="A2050" i="17"/>
  <c r="A2049" i="17"/>
  <c r="A2048" i="17"/>
  <c r="A2047" i="17"/>
  <c r="A2046" i="17"/>
  <c r="A2045" i="17"/>
  <c r="A2044" i="17"/>
  <c r="A2043" i="17"/>
  <c r="A2042" i="17"/>
  <c r="A2041" i="17"/>
  <c r="A2040" i="17"/>
  <c r="A2039" i="17"/>
  <c r="A2038" i="17"/>
  <c r="A2030" i="17"/>
  <c r="A2029" i="17"/>
  <c r="A2028" i="17"/>
  <c r="A2027" i="17"/>
  <c r="A2026" i="17"/>
  <c r="A2025" i="17"/>
  <c r="A2024" i="17"/>
  <c r="A2023" i="17"/>
  <c r="A2022" i="17"/>
  <c r="A2021" i="17"/>
  <c r="A2020" i="17"/>
  <c r="A2019" i="17"/>
  <c r="A2018" i="17"/>
  <c r="A2017" i="17"/>
  <c r="A2016" i="17"/>
  <c r="A2015" i="17"/>
  <c r="A2014" i="17"/>
  <c r="A2013" i="17"/>
  <c r="A2012" i="17"/>
  <c r="A2011" i="17"/>
  <c r="A2010" i="17"/>
  <c r="A2009" i="17"/>
  <c r="A2008" i="17"/>
  <c r="A2007" i="17"/>
  <c r="A2006" i="17"/>
  <c r="A2005" i="17"/>
  <c r="A2004" i="17"/>
  <c r="A2003" i="17"/>
  <c r="A1995" i="17"/>
  <c r="A1994" i="17"/>
  <c r="A1993" i="17"/>
  <c r="A1992" i="17"/>
  <c r="A1991" i="17"/>
  <c r="A1990" i="17"/>
  <c r="A1989" i="17"/>
  <c r="A1988" i="17"/>
  <c r="A1987" i="17"/>
  <c r="A1986" i="17"/>
  <c r="A1985" i="17"/>
  <c r="A1984" i="17"/>
  <c r="A1983" i="17"/>
  <c r="A1982" i="17"/>
  <c r="A1981" i="17"/>
  <c r="A1980" i="17"/>
  <c r="A1979" i="17"/>
  <c r="A1978" i="17"/>
  <c r="A1977" i="17"/>
  <c r="A1976" i="17"/>
  <c r="A1975" i="17"/>
  <c r="A1974" i="17"/>
  <c r="A1973" i="17"/>
  <c r="A1972" i="17"/>
  <c r="A1971" i="17"/>
  <c r="A1970" i="17"/>
  <c r="A1969" i="17"/>
  <c r="A1968" i="17"/>
  <c r="A1960" i="17"/>
  <c r="A1959" i="17"/>
  <c r="A1958" i="17"/>
  <c r="A1957" i="17"/>
  <c r="A1956" i="17"/>
  <c r="A1955" i="17"/>
  <c r="A1954" i="17"/>
  <c r="A1953" i="17"/>
  <c r="A1952" i="17"/>
  <c r="A1951" i="17"/>
  <c r="A1950" i="17"/>
  <c r="A1949" i="17"/>
  <c r="A1948" i="17"/>
  <c r="A1947" i="17"/>
  <c r="A1946" i="17"/>
  <c r="A1945" i="17"/>
  <c r="A1944" i="17"/>
  <c r="A1943" i="17"/>
  <c r="A1942" i="17"/>
  <c r="A1941" i="17"/>
  <c r="A1940" i="17"/>
  <c r="A1939" i="17"/>
  <c r="A1938" i="17"/>
  <c r="A1937" i="17"/>
  <c r="A1936" i="17"/>
  <c r="A1935" i="17"/>
  <c r="A1934" i="17"/>
  <c r="A1933" i="17"/>
  <c r="A1925" i="17"/>
  <c r="A1924" i="17"/>
  <c r="A1923" i="17"/>
  <c r="A1922" i="17"/>
  <c r="A1921" i="17"/>
  <c r="A1920" i="17"/>
  <c r="A1919" i="17"/>
  <c r="A1918" i="17"/>
  <c r="A1917" i="17"/>
  <c r="A1916" i="17"/>
  <c r="A1915" i="17"/>
  <c r="A1914" i="17"/>
  <c r="A1913" i="17"/>
  <c r="A1912" i="17"/>
  <c r="A1911" i="17"/>
  <c r="A1910" i="17"/>
  <c r="A1909" i="17"/>
  <c r="A1908" i="17"/>
  <c r="A1907" i="17"/>
  <c r="A1906" i="17"/>
  <c r="A1905" i="17"/>
  <c r="A1904" i="17"/>
  <c r="A1903" i="17"/>
  <c r="A1902" i="17"/>
  <c r="A1901" i="17"/>
  <c r="A1900" i="17"/>
  <c r="A1899" i="17"/>
  <c r="A1898" i="17"/>
  <c r="A1890" i="17"/>
  <c r="A1889" i="17"/>
  <c r="A1888" i="17"/>
  <c r="A1887" i="17"/>
  <c r="A1886" i="17"/>
  <c r="A1885" i="17"/>
  <c r="A1884" i="17"/>
  <c r="A1883" i="17"/>
  <c r="A1882" i="17"/>
  <c r="A1881" i="17"/>
  <c r="A1880" i="17"/>
  <c r="A1879" i="17"/>
  <c r="A1878" i="17"/>
  <c r="A1877" i="17"/>
  <c r="A1876" i="17"/>
  <c r="A1875" i="17"/>
  <c r="A1874" i="17"/>
  <c r="A1873" i="17"/>
  <c r="A1872" i="17"/>
  <c r="A1871" i="17"/>
  <c r="A1870" i="17"/>
  <c r="A1869" i="17"/>
  <c r="A1868" i="17"/>
  <c r="A1867" i="17"/>
  <c r="A1866" i="17"/>
  <c r="A1865" i="17"/>
  <c r="A1864" i="17"/>
  <c r="A1863" i="17"/>
  <c r="A1855" i="17"/>
  <c r="A1854" i="17"/>
  <c r="A1853" i="17"/>
  <c r="A1852" i="17"/>
  <c r="A1851" i="17"/>
  <c r="A1850" i="17"/>
  <c r="A1849" i="17"/>
  <c r="A1848" i="17"/>
  <c r="A1847" i="17"/>
  <c r="A1846" i="17"/>
  <c r="A1845" i="17"/>
  <c r="A1844" i="17"/>
  <c r="A1843" i="17"/>
  <c r="A1842" i="17"/>
  <c r="A1841" i="17"/>
  <c r="A1840" i="17"/>
  <c r="A1839" i="17"/>
  <c r="A1838" i="17"/>
  <c r="A1837" i="17"/>
  <c r="A1836" i="17"/>
  <c r="A1835" i="17"/>
  <c r="A1834" i="17"/>
  <c r="A1833" i="17"/>
  <c r="A1832" i="17"/>
  <c r="A1831" i="17"/>
  <c r="A1830" i="17"/>
  <c r="A1829" i="17"/>
  <c r="A1828" i="17"/>
  <c r="A1820" i="17"/>
  <c r="A1819" i="17"/>
  <c r="A1818" i="17"/>
  <c r="A1817" i="17"/>
  <c r="A1816" i="17"/>
  <c r="A1815" i="17"/>
  <c r="A1814" i="17"/>
  <c r="A1813" i="17"/>
  <c r="A1812" i="17"/>
  <c r="A1811" i="17"/>
  <c r="A1810" i="17"/>
  <c r="A1809" i="17"/>
  <c r="A1808" i="17"/>
  <c r="A1807" i="17"/>
  <c r="A1806" i="17"/>
  <c r="A1805" i="17"/>
  <c r="A1804" i="17"/>
  <c r="A1803" i="17"/>
  <c r="A1802" i="17"/>
  <c r="A1801" i="17"/>
  <c r="A1800" i="17"/>
  <c r="A1799" i="17"/>
  <c r="A1798" i="17"/>
  <c r="A1797" i="17"/>
  <c r="A1796" i="17"/>
  <c r="A1795" i="17"/>
  <c r="A1794" i="17"/>
  <c r="A1793" i="17"/>
  <c r="A1785" i="17"/>
  <c r="A1784" i="17"/>
  <c r="A1783" i="17"/>
  <c r="A1782" i="17"/>
  <c r="A1781" i="17"/>
  <c r="A1780" i="17"/>
  <c r="A1779" i="17"/>
  <c r="A1778" i="17"/>
  <c r="A1777" i="17"/>
  <c r="A1776" i="17"/>
  <c r="A1775" i="17"/>
  <c r="A1774" i="17"/>
  <c r="A1773" i="17"/>
  <c r="A1772" i="17"/>
  <c r="A1771" i="17"/>
  <c r="A1770" i="17"/>
  <c r="A1769" i="17"/>
  <c r="A1768" i="17"/>
  <c r="A1767" i="17"/>
  <c r="A1766" i="17"/>
  <c r="A1765" i="17"/>
  <c r="A1764" i="17"/>
  <c r="A1763" i="17"/>
  <c r="A1762" i="17"/>
  <c r="A1761" i="17"/>
  <c r="A1760" i="17"/>
  <c r="A1759" i="17"/>
  <c r="A1758" i="17"/>
  <c r="A1750" i="17"/>
  <c r="A1749" i="17"/>
  <c r="A1748" i="17"/>
  <c r="A1747" i="17"/>
  <c r="A1746" i="17"/>
  <c r="A1745" i="17"/>
  <c r="A1744" i="17"/>
  <c r="A1743" i="17"/>
  <c r="A1742" i="17"/>
  <c r="A1741" i="17"/>
  <c r="A1740" i="17"/>
  <c r="A1739" i="17"/>
  <c r="A1738" i="17"/>
  <c r="A1737" i="17"/>
  <c r="A1736" i="17"/>
  <c r="A1735" i="17"/>
  <c r="A1734" i="17"/>
  <c r="A1733" i="17"/>
  <c r="A1732" i="17"/>
  <c r="A1731" i="17"/>
  <c r="A1730" i="17"/>
  <c r="A1729" i="17"/>
  <c r="A1728" i="17"/>
  <c r="A1727" i="17"/>
  <c r="A1726" i="17"/>
  <c r="A1725" i="17"/>
  <c r="A1724" i="17"/>
  <c r="A1723" i="17"/>
  <c r="A1715" i="17"/>
  <c r="A1714" i="17"/>
  <c r="A1713" i="17"/>
  <c r="A1712" i="17"/>
  <c r="A1711" i="17"/>
  <c r="A1710" i="17"/>
  <c r="A1709" i="17"/>
  <c r="A1708" i="17"/>
  <c r="A1707" i="17"/>
  <c r="A1706" i="17"/>
  <c r="A1705" i="17"/>
  <c r="A1704" i="17"/>
  <c r="A1703" i="17"/>
  <c r="A1702" i="17"/>
  <c r="A1701" i="17"/>
  <c r="A1700" i="17"/>
  <c r="A1699" i="17"/>
  <c r="A1698" i="17"/>
  <c r="A1697" i="17"/>
  <c r="A1696" i="17"/>
  <c r="A1695" i="17"/>
  <c r="A1694" i="17"/>
  <c r="A1693" i="17"/>
  <c r="A1692" i="17"/>
  <c r="A1691" i="17"/>
  <c r="A1690" i="17"/>
  <c r="A1689" i="17"/>
  <c r="A1688" i="17"/>
  <c r="A1680" i="17"/>
  <c r="A1679" i="17"/>
  <c r="A1678" i="17"/>
  <c r="A1677" i="17"/>
  <c r="A1676" i="17"/>
  <c r="A1675" i="17"/>
  <c r="A1674" i="17"/>
  <c r="A1673" i="17"/>
  <c r="A1672" i="17"/>
  <c r="A1671" i="17"/>
  <c r="A1670" i="17"/>
  <c r="A1669" i="17"/>
  <c r="A1668" i="17"/>
  <c r="A1667" i="17"/>
  <c r="A1666" i="17"/>
  <c r="A1665" i="17"/>
  <c r="A1664" i="17"/>
  <c r="A1663" i="17"/>
  <c r="A1662" i="17"/>
  <c r="A1661" i="17"/>
  <c r="A1660" i="17"/>
  <c r="A1659" i="17"/>
  <c r="A1658" i="17"/>
  <c r="A1657" i="17"/>
  <c r="A1656" i="17"/>
  <c r="A1655" i="17"/>
  <c r="A1654" i="17"/>
  <c r="A1653" i="17"/>
  <c r="A1645" i="17"/>
  <c r="A1644" i="17"/>
  <c r="A1643" i="17"/>
  <c r="A1642" i="17"/>
  <c r="A1641" i="17"/>
  <c r="A1640" i="17"/>
  <c r="A1639" i="17"/>
  <c r="A1638" i="17"/>
  <c r="A1637" i="17"/>
  <c r="A1636" i="17"/>
  <c r="A1635" i="17"/>
  <c r="A1634" i="17"/>
  <c r="A1633" i="17"/>
  <c r="A1632" i="17"/>
  <c r="A1631" i="17"/>
  <c r="A1630" i="17"/>
  <c r="A1629" i="17"/>
  <c r="A1628" i="17"/>
  <c r="A1627" i="17"/>
  <c r="A1626" i="17"/>
  <c r="A1625" i="17"/>
  <c r="A1624" i="17"/>
  <c r="A1623" i="17"/>
  <c r="A1622" i="17"/>
  <c r="A1621" i="17"/>
  <c r="A1620" i="17"/>
  <c r="A1619" i="17"/>
  <c r="A1618" i="17"/>
  <c r="A1610" i="17"/>
  <c r="A1609" i="17"/>
  <c r="A1608" i="17"/>
  <c r="A1607" i="17"/>
  <c r="A1606" i="17"/>
  <c r="A1605" i="17"/>
  <c r="A1604" i="17"/>
  <c r="A1603" i="17"/>
  <c r="A1602" i="17"/>
  <c r="A1601" i="17"/>
  <c r="A1600" i="17"/>
  <c r="A1599" i="17"/>
  <c r="A1598" i="17"/>
  <c r="A1597" i="17"/>
  <c r="A1596" i="17"/>
  <c r="A1595" i="17"/>
  <c r="A1594" i="17"/>
  <c r="A1593" i="17"/>
  <c r="A1592" i="17"/>
  <c r="A1591" i="17"/>
  <c r="A1590" i="17"/>
  <c r="A1589" i="17"/>
  <c r="A1588" i="17"/>
  <c r="A1587" i="17"/>
  <c r="A1586" i="17"/>
  <c r="A1585" i="17"/>
  <c r="A1584" i="17"/>
  <c r="A1583" i="17"/>
  <c r="A1575" i="17"/>
  <c r="A1574" i="17"/>
  <c r="A1573" i="17"/>
  <c r="A1572" i="17"/>
  <c r="A1571" i="17"/>
  <c r="A1570" i="17"/>
  <c r="A1569" i="17"/>
  <c r="A1568" i="17"/>
  <c r="A1567" i="17"/>
  <c r="A1566" i="17"/>
  <c r="A1565" i="17"/>
  <c r="A1564" i="17"/>
  <c r="A1563" i="17"/>
  <c r="A1562" i="17"/>
  <c r="A1561" i="17"/>
  <c r="A1560" i="17"/>
  <c r="A1559" i="17"/>
  <c r="A1558" i="17"/>
  <c r="A1557" i="17"/>
  <c r="A1556" i="17"/>
  <c r="A1555" i="17"/>
  <c r="A1554" i="17"/>
  <c r="A1553" i="17"/>
  <c r="A1552" i="17"/>
  <c r="A1551" i="17"/>
  <c r="A1550" i="17"/>
  <c r="A1549" i="17"/>
  <c r="A1548" i="17"/>
  <c r="A1540" i="17"/>
  <c r="A1539" i="17"/>
  <c r="A1538" i="17"/>
  <c r="A1537" i="17"/>
  <c r="A1536" i="17"/>
  <c r="A1535" i="17"/>
  <c r="A1534" i="17"/>
  <c r="A1533" i="17"/>
  <c r="A1532" i="17"/>
  <c r="A1531" i="17"/>
  <c r="A1530" i="17"/>
  <c r="A1529" i="17"/>
  <c r="A1528" i="17"/>
  <c r="A1527" i="17"/>
  <c r="A1526" i="17"/>
  <c r="A1525" i="17"/>
  <c r="A1524" i="17"/>
  <c r="A1523" i="17"/>
  <c r="A1522" i="17"/>
  <c r="A1521" i="17"/>
  <c r="A1520" i="17"/>
  <c r="A1519" i="17"/>
  <c r="A1518" i="17"/>
  <c r="A1517" i="17"/>
  <c r="A1516" i="17"/>
  <c r="A1515" i="17"/>
  <c r="A1514" i="17"/>
  <c r="A1513" i="17"/>
  <c r="A1505" i="17"/>
  <c r="A1504" i="17"/>
  <c r="A1503" i="17"/>
  <c r="A1502" i="17"/>
  <c r="A1501" i="17"/>
  <c r="A1500" i="17"/>
  <c r="A1499" i="17"/>
  <c r="A1498" i="17"/>
  <c r="A1497" i="17"/>
  <c r="A1496" i="17"/>
  <c r="A1495" i="17"/>
  <c r="A1494" i="17"/>
  <c r="A1493" i="17"/>
  <c r="A1492" i="17"/>
  <c r="A1491" i="17"/>
  <c r="A1490" i="17"/>
  <c r="A1489" i="17"/>
  <c r="A1488" i="17"/>
  <c r="A1487" i="17"/>
  <c r="A1486" i="17"/>
  <c r="A1485" i="17"/>
  <c r="A1484" i="17"/>
  <c r="A1483" i="17"/>
  <c r="A1482" i="17"/>
  <c r="A1481" i="17"/>
  <c r="A1480" i="17"/>
  <c r="A1479" i="17"/>
  <c r="A1478" i="17"/>
  <c r="A1470" i="17"/>
  <c r="A1469" i="17"/>
  <c r="A1468" i="17"/>
  <c r="A1467" i="17"/>
  <c r="A1466" i="17"/>
  <c r="A1465" i="17"/>
  <c r="A1464" i="17"/>
  <c r="A1463" i="17"/>
  <c r="A1462" i="17"/>
  <c r="A1461" i="17"/>
  <c r="A1460" i="17"/>
  <c r="A1459" i="17"/>
  <c r="A1458" i="17"/>
  <c r="A1457" i="17"/>
  <c r="A1456" i="17"/>
  <c r="A1455" i="17"/>
  <c r="A1454" i="17"/>
  <c r="A1453" i="17"/>
  <c r="A1452" i="17"/>
  <c r="A1451" i="17"/>
  <c r="A1450" i="17"/>
  <c r="A1449" i="17"/>
  <c r="A1448" i="17"/>
  <c r="A1447" i="17"/>
  <c r="A1446" i="17"/>
  <c r="A1445" i="17"/>
  <c r="A1444" i="17"/>
  <c r="A1443" i="17"/>
  <c r="A1435" i="17"/>
  <c r="A1434" i="17"/>
  <c r="A1433" i="17"/>
  <c r="A1432" i="17"/>
  <c r="A1431" i="17"/>
  <c r="A1430" i="17"/>
  <c r="A1429" i="17"/>
  <c r="A1428" i="17"/>
  <c r="A1427" i="17"/>
  <c r="A1426" i="17"/>
  <c r="A1425" i="17"/>
  <c r="A1424" i="17"/>
  <c r="A1423" i="17"/>
  <c r="A1422" i="17"/>
  <c r="A1421" i="17"/>
  <c r="A1420" i="17"/>
  <c r="A1419" i="17"/>
  <c r="A1418" i="17"/>
  <c r="A1417" i="17"/>
  <c r="A1416" i="17"/>
  <c r="A1415" i="17"/>
  <c r="A1414" i="17"/>
  <c r="A1413" i="17"/>
  <c r="A1412" i="17"/>
  <c r="A1411" i="17"/>
  <c r="A1410" i="17"/>
  <c r="A1409" i="17"/>
  <c r="A1408" i="17"/>
  <c r="A1400" i="17"/>
  <c r="A1399" i="17"/>
  <c r="A1398" i="17"/>
  <c r="A1397" i="17"/>
  <c r="A1396" i="17"/>
  <c r="A1395" i="17"/>
  <c r="A1394" i="17"/>
  <c r="A1393" i="17"/>
  <c r="A1392" i="17"/>
  <c r="A1391" i="17"/>
  <c r="A1390" i="17"/>
  <c r="A1389" i="17"/>
  <c r="A1388" i="17"/>
  <c r="A1387" i="17"/>
  <c r="A1386" i="17"/>
  <c r="A1385" i="17"/>
  <c r="A1384" i="17"/>
  <c r="A1383" i="17"/>
  <c r="A1382" i="17"/>
  <c r="A1381" i="17"/>
  <c r="A1380" i="17"/>
  <c r="A1379" i="17"/>
  <c r="A1378" i="17"/>
  <c r="A1377" i="17"/>
  <c r="A1376" i="17"/>
  <c r="A1375" i="17"/>
  <c r="A1374" i="17"/>
  <c r="A1373" i="17"/>
  <c r="A1365" i="17"/>
  <c r="A1364" i="17"/>
  <c r="A1363" i="17"/>
  <c r="A1362" i="17"/>
  <c r="A1361" i="17"/>
  <c r="A1360" i="17"/>
  <c r="A1359" i="17"/>
  <c r="A1358" i="17"/>
  <c r="A1357" i="17"/>
  <c r="A1356" i="17"/>
  <c r="A1355" i="17"/>
  <c r="A1354" i="17"/>
  <c r="A1353" i="17"/>
  <c r="A1352" i="17"/>
  <c r="A1351" i="17"/>
  <c r="A1350" i="17"/>
  <c r="A1349" i="17"/>
  <c r="A1348" i="17"/>
  <c r="A1347" i="17"/>
  <c r="A1346" i="17"/>
  <c r="A1345" i="17"/>
  <c r="A1344" i="17"/>
  <c r="A1343" i="17"/>
  <c r="A1342" i="17"/>
  <c r="A1341" i="17"/>
  <c r="A1340" i="17"/>
  <c r="A1339" i="17"/>
  <c r="A1338" i="17"/>
  <c r="A1330" i="17"/>
  <c r="A1329" i="17"/>
  <c r="A1328" i="17"/>
  <c r="A1327" i="17"/>
  <c r="A1326" i="17"/>
  <c r="A1325" i="17"/>
  <c r="A1324" i="17"/>
  <c r="A1323" i="17"/>
  <c r="A1322" i="17"/>
  <c r="A1321" i="17"/>
  <c r="A1320" i="17"/>
  <c r="A1319" i="17"/>
  <c r="A1318" i="17"/>
  <c r="A1317" i="17"/>
  <c r="A1316" i="17"/>
  <c r="A1315" i="17"/>
  <c r="A1314" i="17"/>
  <c r="A1313" i="17"/>
  <c r="A1312" i="17"/>
  <c r="A1311" i="17"/>
  <c r="A1310" i="17"/>
  <c r="A1309" i="17"/>
  <c r="A1308" i="17"/>
  <c r="A1307" i="17"/>
  <c r="A1306" i="17"/>
  <c r="A1305" i="17"/>
  <c r="A1304" i="17"/>
  <c r="A1303" i="17"/>
  <c r="A1295" i="17"/>
  <c r="A1294" i="17"/>
  <c r="A1293" i="17"/>
  <c r="A1292" i="17"/>
  <c r="A1291" i="17"/>
  <c r="A1290" i="17"/>
  <c r="A1289" i="17"/>
  <c r="A1288" i="17"/>
  <c r="A1287" i="17"/>
  <c r="A1286" i="17"/>
  <c r="A1285" i="17"/>
  <c r="A1284" i="17"/>
  <c r="A1283" i="17"/>
  <c r="A1282" i="17"/>
  <c r="A1281" i="17"/>
  <c r="A1280" i="17"/>
  <c r="A1279" i="17"/>
  <c r="A1278" i="17"/>
  <c r="A1277" i="17"/>
  <c r="A1276" i="17"/>
  <c r="A1275" i="17"/>
  <c r="A1274" i="17"/>
  <c r="A1273" i="17"/>
  <c r="A1272" i="17"/>
  <c r="A1271" i="17"/>
  <c r="A1270" i="17"/>
  <c r="A1269" i="17"/>
  <c r="A1268" i="17"/>
  <c r="A1260" i="17"/>
  <c r="A1259" i="17"/>
  <c r="A1258" i="17"/>
  <c r="A1257" i="17"/>
  <c r="A1256" i="17"/>
  <c r="A1255" i="17"/>
  <c r="A1254" i="17"/>
  <c r="A1253" i="17"/>
  <c r="A1252" i="17"/>
  <c r="A1251" i="17"/>
  <c r="A1250" i="17"/>
  <c r="A1249" i="17"/>
  <c r="A1248" i="17"/>
  <c r="A1247" i="17"/>
  <c r="A1246" i="17"/>
  <c r="A1245" i="17"/>
  <c r="A1244" i="17"/>
  <c r="A1243" i="17"/>
  <c r="A1242" i="17"/>
  <c r="A1241" i="17"/>
  <c r="A1240" i="17"/>
  <c r="A1239" i="17"/>
  <c r="A1238" i="17"/>
  <c r="A1237" i="17"/>
  <c r="A1236" i="17"/>
  <c r="A1235" i="17"/>
  <c r="A1234" i="17"/>
  <c r="A1233" i="17"/>
  <c r="A1225" i="17"/>
  <c r="A1224" i="17"/>
  <c r="A1223" i="17"/>
  <c r="A1222" i="17"/>
  <c r="A1221" i="17"/>
  <c r="A1220" i="17"/>
  <c r="A1219" i="17"/>
  <c r="A1218" i="17"/>
  <c r="A1217" i="17"/>
  <c r="A1216" i="17"/>
  <c r="A1215" i="17"/>
  <c r="A1214" i="17"/>
  <c r="A1213" i="17"/>
  <c r="A1212" i="17"/>
  <c r="A1211" i="17"/>
  <c r="A1210" i="17"/>
  <c r="A1209" i="17"/>
  <c r="A1208" i="17"/>
  <c r="A1207" i="17"/>
  <c r="A1206" i="17"/>
  <c r="A1205" i="17"/>
  <c r="A1204" i="17"/>
  <c r="A1203" i="17"/>
  <c r="A1202" i="17"/>
  <c r="A1201" i="17"/>
  <c r="A1200" i="17"/>
  <c r="A1199" i="17"/>
  <c r="A1198" i="17"/>
  <c r="A1190" i="17"/>
  <c r="A1189" i="17"/>
  <c r="A1188" i="17"/>
  <c r="A1187" i="17"/>
  <c r="A1186" i="17"/>
  <c r="A1185" i="17"/>
  <c r="A1184" i="17"/>
  <c r="A1183" i="17"/>
  <c r="A1182" i="17"/>
  <c r="A1181" i="17"/>
  <c r="A1180" i="17"/>
  <c r="A1179" i="17"/>
  <c r="A1178" i="17"/>
  <c r="A1177" i="17"/>
  <c r="A1176" i="17"/>
  <c r="A1175" i="17"/>
  <c r="A1174" i="17"/>
  <c r="A1173" i="17"/>
  <c r="A1172" i="17"/>
  <c r="A1171" i="17"/>
  <c r="A1170" i="17"/>
  <c r="A1169" i="17"/>
  <c r="A1168" i="17"/>
  <c r="A1167" i="17"/>
  <c r="A1166" i="17"/>
  <c r="A1165" i="17"/>
  <c r="A1164" i="17"/>
  <c r="A1163" i="17"/>
  <c r="A1155" i="17"/>
  <c r="A1154" i="17"/>
  <c r="A1153" i="17"/>
  <c r="A1152" i="17"/>
  <c r="A1151" i="17"/>
  <c r="A1150" i="17"/>
  <c r="A1149" i="17"/>
  <c r="A1148" i="17"/>
  <c r="A1147" i="17"/>
  <c r="A1146" i="17"/>
  <c r="A1145" i="17"/>
  <c r="A1144" i="17"/>
  <c r="A1143" i="17"/>
  <c r="A1142" i="17"/>
  <c r="A1141" i="17"/>
  <c r="A1140" i="17"/>
  <c r="A1139" i="17"/>
  <c r="A1138" i="17"/>
  <c r="A1137" i="17"/>
  <c r="A1136" i="17"/>
  <c r="A1135" i="17"/>
  <c r="A1134" i="17"/>
  <c r="A1133" i="17"/>
  <c r="A1132" i="17"/>
  <c r="A1131" i="17"/>
  <c r="A1130" i="17"/>
  <c r="A1129" i="17"/>
  <c r="A1128" i="17"/>
  <c r="A1120" i="17"/>
  <c r="A1119" i="17"/>
  <c r="A1118" i="17"/>
  <c r="A1117" i="17"/>
  <c r="A1116" i="17"/>
  <c r="A1115" i="17"/>
  <c r="A1114" i="17"/>
  <c r="A1113" i="17"/>
  <c r="A1112" i="17"/>
  <c r="A1111" i="17"/>
  <c r="A1110" i="17"/>
  <c r="A1109" i="17"/>
  <c r="A1108" i="17"/>
  <c r="A1107" i="17"/>
  <c r="A1106" i="17"/>
  <c r="A1105" i="17"/>
  <c r="A1104" i="17"/>
  <c r="A1103" i="17"/>
  <c r="A1102" i="17"/>
  <c r="A1101" i="17"/>
  <c r="A1100" i="17"/>
  <c r="A1099" i="17"/>
  <c r="A1098" i="17"/>
  <c r="A1097" i="17"/>
  <c r="A1096" i="17"/>
  <c r="A1095" i="17"/>
  <c r="A1094" i="17"/>
  <c r="A1093" i="17"/>
  <c r="A1085" i="17"/>
  <c r="A1084" i="17"/>
  <c r="A1083" i="17"/>
  <c r="A1082" i="17"/>
  <c r="A1081" i="17"/>
  <c r="A1080" i="17"/>
  <c r="A1079" i="17"/>
  <c r="A1078" i="17"/>
  <c r="A1077" i="17"/>
  <c r="A1076" i="17"/>
  <c r="A1075" i="17"/>
  <c r="A1074" i="17"/>
  <c r="A1073" i="17"/>
  <c r="A1072" i="17"/>
  <c r="A1071" i="17"/>
  <c r="A1070" i="17"/>
  <c r="A1069" i="17"/>
  <c r="A1068" i="17"/>
  <c r="A1067" i="17"/>
  <c r="A1066" i="17"/>
  <c r="A1065" i="17"/>
  <c r="A1064" i="17"/>
  <c r="A1063" i="17"/>
  <c r="A1062" i="17"/>
  <c r="A1061" i="17"/>
  <c r="A1060" i="17"/>
  <c r="A1059" i="17"/>
  <c r="A1058" i="17"/>
  <c r="A1050" i="17"/>
  <c r="A1049" i="17"/>
  <c r="A1048" i="17"/>
  <c r="A1047" i="17"/>
  <c r="A1046" i="17"/>
  <c r="A1045" i="17"/>
  <c r="A1044" i="17"/>
  <c r="A1043" i="17"/>
  <c r="A1042" i="17"/>
  <c r="A1041" i="17"/>
  <c r="A1040" i="17"/>
  <c r="A1039" i="17"/>
  <c r="A1038" i="17"/>
  <c r="A1037" i="17"/>
  <c r="A1036" i="17"/>
  <c r="A1035" i="17"/>
  <c r="A1034" i="17"/>
  <c r="A1033" i="17"/>
  <c r="A1032" i="17"/>
  <c r="A1031" i="17"/>
  <c r="A1030" i="17"/>
  <c r="A1029" i="17"/>
  <c r="A1028" i="17"/>
  <c r="A1027" i="17"/>
  <c r="A1026" i="17"/>
  <c r="A1025" i="17"/>
  <c r="A1024" i="17"/>
  <c r="A1023" i="17"/>
  <c r="A1015" i="17"/>
  <c r="A1014" i="17"/>
  <c r="A1013" i="17"/>
  <c r="A1012" i="17"/>
  <c r="A1011" i="17"/>
  <c r="A1010" i="17"/>
  <c r="A1009" i="17"/>
  <c r="A1008" i="17"/>
  <c r="A1007" i="17"/>
  <c r="A1006" i="17"/>
  <c r="A1005" i="17"/>
  <c r="A1004" i="17"/>
  <c r="A1003" i="17"/>
  <c r="A1002" i="17"/>
  <c r="A1001" i="17"/>
  <c r="A1000" i="17"/>
  <c r="A999" i="17"/>
  <c r="A998" i="17"/>
  <c r="A997" i="17"/>
  <c r="A996" i="17"/>
  <c r="A995" i="17"/>
  <c r="A994" i="17"/>
  <c r="A993" i="17"/>
  <c r="A992" i="17"/>
  <c r="A991" i="17"/>
  <c r="A990" i="17"/>
  <c r="A989" i="17"/>
  <c r="A988" i="17"/>
  <c r="A980" i="17"/>
  <c r="A979" i="17"/>
  <c r="A978" i="17"/>
  <c r="A977" i="17"/>
  <c r="A976" i="17"/>
  <c r="A975" i="17"/>
  <c r="A97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3508" i="17"/>
  <c r="A3502" i="17"/>
  <c r="A3537" i="17"/>
  <c r="A3572" i="17"/>
  <c r="A3607" i="17"/>
  <c r="A3642" i="17"/>
  <c r="A3677" i="17"/>
  <c r="F703" i="16"/>
  <c r="L703" i="16" s="1"/>
  <c r="A1322" i="21" s="1"/>
  <c r="F676" i="16"/>
  <c r="L676" i="16" s="1"/>
  <c r="A1262" i="21" s="1"/>
  <c r="F643" i="16"/>
  <c r="L643" i="16" s="1"/>
  <c r="A1198" i="21" s="1"/>
  <c r="F527" i="16"/>
  <c r="F732" i="16"/>
  <c r="L732" i="16" s="1"/>
  <c r="A1351" i="21" s="1"/>
  <c r="F705" i="16"/>
  <c r="L705" i="16" s="1"/>
  <c r="A1324" i="21" s="1"/>
  <c r="F704" i="16"/>
  <c r="L704" i="16" s="1"/>
  <c r="A1323" i="21" s="1"/>
  <c r="F684" i="16"/>
  <c r="L684" i="16" s="1"/>
  <c r="A1270" i="21" s="1"/>
  <c r="F649" i="16"/>
  <c r="L649" i="16" s="1"/>
  <c r="A1204" i="21" s="1"/>
  <c r="F601" i="16"/>
  <c r="L601" i="16" s="1"/>
  <c r="A1123" i="21" s="1"/>
  <c r="F585" i="16"/>
  <c r="L585" i="16" s="1"/>
  <c r="A1073" i="21" s="1"/>
  <c r="F565" i="16"/>
  <c r="L565" i="16" s="1"/>
  <c r="A1053" i="21" s="1"/>
  <c r="F548" i="16"/>
  <c r="L548" i="16" s="1"/>
  <c r="A1002" i="21" s="1"/>
  <c r="F532" i="16"/>
  <c r="L532" i="16" s="1"/>
  <c r="A986" i="21" s="1"/>
  <c r="F529" i="16"/>
  <c r="L529" i="16" s="1"/>
  <c r="A983" i="21" s="1"/>
  <c r="D528" i="16"/>
  <c r="L528" i="16" s="1"/>
  <c r="A982" i="21" s="1"/>
  <c r="D527" i="16"/>
  <c r="L527" i="16" s="1"/>
  <c r="A981" i="21" s="1"/>
  <c r="F518" i="16"/>
  <c r="L518" i="16" s="1"/>
  <c r="A972" i="21" s="1"/>
  <c r="F313" i="16"/>
  <c r="L313" i="16" s="1"/>
  <c r="A579" i="21" s="1"/>
  <c r="G1043" i="15"/>
  <c r="G1004" i="15"/>
  <c r="G965" i="15"/>
  <c r="G925" i="15"/>
  <c r="G885" i="15"/>
  <c r="G848" i="15"/>
  <c r="G810" i="15"/>
  <c r="G778" i="15"/>
  <c r="G747" i="15"/>
  <c r="G716" i="15"/>
  <c r="G685" i="15"/>
  <c r="G654" i="15"/>
  <c r="G623" i="15"/>
  <c r="G592" i="15"/>
  <c r="G561" i="15"/>
  <c r="G530" i="15"/>
  <c r="G499" i="15"/>
  <c r="G468" i="15"/>
  <c r="G437" i="15"/>
  <c r="G406" i="15"/>
  <c r="G375" i="15"/>
  <c r="G344" i="15"/>
  <c r="G313" i="15"/>
  <c r="G282" i="15"/>
  <c r="G251" i="15"/>
  <c r="G220" i="15"/>
  <c r="G189" i="15"/>
  <c r="G158" i="15"/>
  <c r="G127" i="15"/>
  <c r="G96" i="15"/>
  <c r="G65" i="15"/>
  <c r="G34" i="15"/>
  <c r="G1045" i="15" a="1"/>
  <c r="G1045" i="15" s="1"/>
  <c r="G1006" i="15" a="1"/>
  <c r="G1006" i="15" s="1"/>
  <c r="G967" i="15" a="1"/>
  <c r="G967" i="15" s="1"/>
  <c r="G927" i="15" a="1"/>
  <c r="G927" i="15" s="1"/>
  <c r="G887" i="15" a="1"/>
  <c r="G887" i="15" s="1"/>
  <c r="G850" i="15" a="1"/>
  <c r="G850" i="15" s="1"/>
  <c r="G1081" i="15" a="1"/>
  <c r="G1080" i="15" a="1"/>
  <c r="G1079" i="15" a="1"/>
  <c r="G1078" i="15" a="1"/>
  <c r="G1077" i="15" a="1"/>
  <c r="G1076" i="15" a="1"/>
  <c r="G1075" i="15" a="1"/>
  <c r="G1074" i="15" a="1"/>
  <c r="G1073" i="15" a="1"/>
  <c r="G1072" i="15" a="1"/>
  <c r="G1071" i="15" a="1"/>
  <c r="G1070" i="15" a="1"/>
  <c r="G1069" i="15" a="1"/>
  <c r="G1068" i="15" a="1"/>
  <c r="G1067" i="15" a="1"/>
  <c r="G1066" i="15" a="1"/>
  <c r="G1065" i="15" a="1"/>
  <c r="G1064" i="15" a="1"/>
  <c r="G1063" i="15" a="1"/>
  <c r="G1062" i="15" a="1"/>
  <c r="G1061" i="15" a="1"/>
  <c r="G1060" i="15" a="1"/>
  <c r="G1059" i="15" a="1"/>
  <c r="G1058" i="15" a="1"/>
  <c r="G1057" i="15" a="1"/>
  <c r="G1056" i="15" a="1"/>
  <c r="G1055" i="15" a="1"/>
  <c r="G1054" i="15" a="1"/>
  <c r="G1053" i="15" a="1"/>
  <c r="G1052" i="15" a="1"/>
  <c r="G1051" i="15" a="1"/>
  <c r="G1050" i="15" a="1"/>
  <c r="G1049" i="15" a="1"/>
  <c r="G1048" i="15" a="1"/>
  <c r="G1048" i="15" s="1"/>
  <c r="G1047" i="15" a="1"/>
  <c r="G1047" i="15" s="1"/>
  <c r="G1040" i="15" a="1"/>
  <c r="G1039" i="15" a="1"/>
  <c r="G1038" i="15" a="1"/>
  <c r="G1037" i="15" a="1"/>
  <c r="G1036" i="15" a="1"/>
  <c r="G1035" i="15" a="1"/>
  <c r="G1034" i="15" a="1"/>
  <c r="G1033" i="15" a="1"/>
  <c r="G1032" i="15" a="1"/>
  <c r="G1031" i="15" a="1"/>
  <c r="G1030" i="15" a="1"/>
  <c r="G1029" i="15" a="1"/>
  <c r="G1028" i="15" a="1"/>
  <c r="G1027" i="15" a="1"/>
  <c r="G1026" i="15" a="1"/>
  <c r="G1025" i="15" a="1"/>
  <c r="G1024" i="15" a="1"/>
  <c r="G1023" i="15" a="1"/>
  <c r="G1022" i="15" a="1"/>
  <c r="G1021" i="15" a="1"/>
  <c r="G1020" i="15" a="1"/>
  <c r="G1019" i="15" a="1"/>
  <c r="G1018" i="15" a="1"/>
  <c r="G1017" i="15" a="1"/>
  <c r="G1016" i="15" a="1"/>
  <c r="G1015" i="15" a="1"/>
  <c r="G1014" i="15" a="1"/>
  <c r="G1013" i="15" a="1"/>
  <c r="G1012" i="15" a="1"/>
  <c r="G1011" i="15" a="1"/>
  <c r="G1010" i="15" a="1"/>
  <c r="G1009" i="15" a="1"/>
  <c r="G1009" i="15" s="1"/>
  <c r="G1008" i="15" a="1"/>
  <c r="G1008" i="15" s="1"/>
  <c r="G1001" i="15" a="1"/>
  <c r="G1000" i="15" a="1"/>
  <c r="G999" i="15" a="1"/>
  <c r="G998" i="15" a="1"/>
  <c r="G997" i="15" a="1"/>
  <c r="G996" i="15" a="1"/>
  <c r="G995" i="15" a="1"/>
  <c r="G994" i="15" a="1"/>
  <c r="G993" i="15" a="1"/>
  <c r="G992" i="15" a="1"/>
  <c r="G991" i="15" a="1"/>
  <c r="G990" i="15" a="1"/>
  <c r="G989" i="15" a="1"/>
  <c r="G988" i="15" a="1"/>
  <c r="G987" i="15" a="1"/>
  <c r="G986" i="15" a="1"/>
  <c r="G985" i="15" a="1"/>
  <c r="G984" i="15" a="1"/>
  <c r="G983" i="15" a="1"/>
  <c r="G982" i="15" a="1"/>
  <c r="G981" i="15" a="1"/>
  <c r="G980" i="15" a="1"/>
  <c r="G979" i="15" a="1"/>
  <c r="G978" i="15" a="1"/>
  <c r="G977" i="15" a="1"/>
  <c r="G976" i="15" a="1"/>
  <c r="G975" i="15" a="1"/>
  <c r="G974" i="15" a="1"/>
  <c r="G973" i="15" a="1"/>
  <c r="G972" i="15" a="1"/>
  <c r="G971" i="15" a="1"/>
  <c r="G970" i="15" a="1"/>
  <c r="G969" i="15" a="1"/>
  <c r="G962" i="15" a="1"/>
  <c r="G961" i="15" a="1"/>
  <c r="G960" i="15" a="1"/>
  <c r="G959" i="15" a="1"/>
  <c r="G958" i="15" a="1"/>
  <c r="G957" i="15" a="1"/>
  <c r="G956" i="15" a="1"/>
  <c r="G955" i="15" a="1"/>
  <c r="G954" i="15" a="1"/>
  <c r="G953" i="15" a="1"/>
  <c r="G952" i="15" a="1"/>
  <c r="G951" i="15" a="1"/>
  <c r="G950" i="15" a="1"/>
  <c r="G949" i="15" a="1"/>
  <c r="G948" i="15" a="1"/>
  <c r="G947" i="15" a="1"/>
  <c r="G946" i="15" a="1"/>
  <c r="G945" i="15" a="1"/>
  <c r="G944" i="15" a="1"/>
  <c r="G943" i="15" a="1"/>
  <c r="G942" i="15" a="1"/>
  <c r="G941" i="15" a="1"/>
  <c r="G940" i="15" a="1"/>
  <c r="G939" i="15" a="1"/>
  <c r="G938" i="15" a="1"/>
  <c r="G937" i="15" a="1"/>
  <c r="G936" i="15" a="1"/>
  <c r="G935" i="15" a="1"/>
  <c r="G934" i="15" a="1"/>
  <c r="G933" i="15" a="1"/>
  <c r="G932" i="15" a="1"/>
  <c r="G931" i="15" a="1"/>
  <c r="G930" i="15" a="1"/>
  <c r="G929" i="15" a="1"/>
  <c r="G922" i="15" a="1"/>
  <c r="G921" i="15" a="1"/>
  <c r="G920" i="15" a="1"/>
  <c r="G919" i="15" a="1"/>
  <c r="G918" i="15" a="1"/>
  <c r="G917" i="15" a="1"/>
  <c r="G916" i="15" a="1"/>
  <c r="G915" i="15" a="1"/>
  <c r="G914" i="15" a="1"/>
  <c r="G913" i="15" a="1"/>
  <c r="G912" i="15" a="1"/>
  <c r="G911" i="15" a="1"/>
  <c r="G910" i="15" a="1"/>
  <c r="G909" i="15" a="1"/>
  <c r="G908" i="15" a="1"/>
  <c r="G907" i="15" a="1"/>
  <c r="G906" i="15" a="1"/>
  <c r="G905" i="15" a="1"/>
  <c r="G904" i="15" a="1"/>
  <c r="G903" i="15" a="1"/>
  <c r="G902" i="15" a="1"/>
  <c r="G901" i="15" a="1"/>
  <c r="G900" i="15" a="1"/>
  <c r="G899" i="15" a="1"/>
  <c r="G898" i="15" a="1"/>
  <c r="G897" i="15" a="1"/>
  <c r="G896" i="15" a="1"/>
  <c r="G895" i="15" a="1"/>
  <c r="G894" i="15" a="1"/>
  <c r="G893" i="15" a="1"/>
  <c r="G892" i="15" a="1"/>
  <c r="G891" i="15" a="1"/>
  <c r="G890" i="15" a="1"/>
  <c r="G889" i="15" a="1"/>
  <c r="G853" i="15" a="1"/>
  <c r="G854" i="15" a="1"/>
  <c r="G855" i="15" a="1"/>
  <c r="G856" i="15" a="1"/>
  <c r="G857" i="15" a="1"/>
  <c r="G858" i="15" a="1"/>
  <c r="G859" i="15" a="1"/>
  <c r="G860" i="15" a="1"/>
  <c r="G861" i="15" a="1"/>
  <c r="G862" i="15" a="1"/>
  <c r="G863" i="15" a="1"/>
  <c r="G864" i="15" a="1"/>
  <c r="G865" i="15" a="1"/>
  <c r="G866" i="15" a="1"/>
  <c r="G867" i="15" a="1"/>
  <c r="G868" i="15" a="1"/>
  <c r="G869" i="15" a="1"/>
  <c r="G870" i="15" a="1"/>
  <c r="G871" i="15" a="1"/>
  <c r="G872" i="15" a="1"/>
  <c r="G873" i="15" a="1"/>
  <c r="G874" i="15" a="1"/>
  <c r="G875" i="15" a="1"/>
  <c r="G876" i="15" a="1"/>
  <c r="G877" i="15" a="1"/>
  <c r="G878" i="15" a="1"/>
  <c r="G879" i="15" a="1"/>
  <c r="G880" i="15" a="1"/>
  <c r="G881" i="15" a="1"/>
  <c r="G882" i="15" a="1"/>
  <c r="G852" i="15" a="1"/>
  <c r="G845" i="15" a="1"/>
  <c r="G844" i="15" a="1"/>
  <c r="G843" i="15" a="1"/>
  <c r="G842" i="15" a="1"/>
  <c r="G841" i="15" a="1"/>
  <c r="G840" i="15" a="1"/>
  <c r="G839" i="15" a="1"/>
  <c r="G838" i="15" a="1"/>
  <c r="G837" i="15" a="1"/>
  <c r="G836" i="15" a="1"/>
  <c r="G835" i="15" a="1"/>
  <c r="G834" i="15" a="1"/>
  <c r="G833" i="15" a="1"/>
  <c r="G832" i="15" a="1"/>
  <c r="G831" i="15" a="1"/>
  <c r="G830" i="15" a="1"/>
  <c r="G829" i="15" a="1"/>
  <c r="G828" i="15" a="1"/>
  <c r="G827" i="15" a="1"/>
  <c r="G826" i="15" a="1"/>
  <c r="G825" i="15" a="1"/>
  <c r="G824" i="15" a="1"/>
  <c r="G823" i="15" a="1"/>
  <c r="G822" i="15" a="1"/>
  <c r="G821" i="15" a="1"/>
  <c r="G820" i="15" a="1"/>
  <c r="G819" i="15" a="1"/>
  <c r="G818" i="15" a="1"/>
  <c r="G817" i="15" a="1"/>
  <c r="G816" i="15" a="1"/>
  <c r="G815" i="15" a="1"/>
  <c r="G814" i="15" a="1"/>
  <c r="G812" i="15" a="1"/>
  <c r="G812" i="15" s="1"/>
  <c r="G806" i="15" a="1"/>
  <c r="G805" i="15" a="1"/>
  <c r="G804" i="15" a="1"/>
  <c r="G803" i="15" a="1"/>
  <c r="G802" i="15" a="1"/>
  <c r="G801" i="15" a="1"/>
  <c r="G800" i="15" a="1"/>
  <c r="G799" i="15" a="1"/>
  <c r="G798" i="15" a="1"/>
  <c r="G797" i="15" a="1"/>
  <c r="G796" i="15" a="1"/>
  <c r="G795" i="15" a="1"/>
  <c r="G794" i="15" a="1"/>
  <c r="G793" i="15" a="1"/>
  <c r="G792" i="15" a="1"/>
  <c r="G791" i="15" a="1"/>
  <c r="G790" i="15" a="1"/>
  <c r="G789" i="15" a="1"/>
  <c r="G788" i="15" a="1"/>
  <c r="G787" i="15" a="1"/>
  <c r="G786" i="15" a="1"/>
  <c r="G785" i="15" a="1"/>
  <c r="G784" i="15" a="1"/>
  <c r="G783" i="15" a="1"/>
  <c r="G782" i="15" a="1"/>
  <c r="G775" i="15" a="1"/>
  <c r="G774" i="15" a="1"/>
  <c r="G773" i="15" a="1"/>
  <c r="G772" i="15" a="1"/>
  <c r="G771" i="15" a="1"/>
  <c r="G770" i="15" a="1"/>
  <c r="G769" i="15" a="1"/>
  <c r="G768" i="15" a="1"/>
  <c r="G767" i="15" a="1"/>
  <c r="G766" i="15" a="1"/>
  <c r="G765" i="15" a="1"/>
  <c r="G764" i="15" a="1"/>
  <c r="G763" i="15" a="1"/>
  <c r="G762" i="15" a="1"/>
  <c r="G761" i="15" a="1"/>
  <c r="G760" i="15" a="1"/>
  <c r="G759" i="15" a="1"/>
  <c r="G758" i="15" a="1"/>
  <c r="G757" i="15" a="1"/>
  <c r="G756" i="15" a="1"/>
  <c r="G755" i="15" a="1"/>
  <c r="G754" i="15" a="1"/>
  <c r="G753" i="15" a="1"/>
  <c r="G752" i="15" a="1"/>
  <c r="G751" i="15" a="1"/>
  <c r="G744" i="15" a="1"/>
  <c r="G743" i="15" a="1"/>
  <c r="G742" i="15" a="1"/>
  <c r="G741" i="15" a="1"/>
  <c r="G740" i="15" a="1"/>
  <c r="G739" i="15" a="1"/>
  <c r="G738" i="15" a="1"/>
  <c r="G737" i="15" a="1"/>
  <c r="G736" i="15" a="1"/>
  <c r="G735" i="15" a="1"/>
  <c r="G734" i="15" a="1"/>
  <c r="G733" i="15" a="1"/>
  <c r="G732" i="15" a="1"/>
  <c r="G731" i="15" a="1"/>
  <c r="G730" i="15" a="1"/>
  <c r="G729" i="15" a="1"/>
  <c r="G728" i="15" a="1"/>
  <c r="G727" i="15" a="1"/>
  <c r="G726" i="15" a="1"/>
  <c r="G725" i="15" a="1"/>
  <c r="G724" i="15" a="1"/>
  <c r="G723" i="15" a="1"/>
  <c r="G722" i="15" a="1"/>
  <c r="G721" i="15" a="1"/>
  <c r="G720" i="15" a="1"/>
  <c r="G713" i="15" a="1"/>
  <c r="G713" i="15" s="1"/>
  <c r="G712" i="15" a="1"/>
  <c r="G712" i="15" s="1"/>
  <c r="G711" i="15" a="1"/>
  <c r="G711" i="15" s="1"/>
  <c r="G710" i="15" a="1"/>
  <c r="G710" i="15" s="1"/>
  <c r="G709" i="15" a="1"/>
  <c r="G709" i="15" s="1"/>
  <c r="G708" i="15" a="1"/>
  <c r="G708" i="15" s="1"/>
  <c r="G707" i="15" a="1"/>
  <c r="G707" i="15" s="1"/>
  <c r="G706" i="15" a="1"/>
  <c r="G706" i="15" s="1"/>
  <c r="G705" i="15" a="1"/>
  <c r="G705" i="15" s="1"/>
  <c r="G704" i="15" a="1"/>
  <c r="G704" i="15" s="1"/>
  <c r="G703" i="15" a="1"/>
  <c r="G703" i="15" s="1"/>
  <c r="G702" i="15" a="1"/>
  <c r="G702" i="15" s="1"/>
  <c r="G701" i="15" a="1"/>
  <c r="G701" i="15" s="1"/>
  <c r="G700" i="15" a="1"/>
  <c r="G700" i="15" s="1"/>
  <c r="G699" i="15" a="1"/>
  <c r="G699" i="15" s="1"/>
  <c r="G698" i="15" a="1"/>
  <c r="G698" i="15" s="1"/>
  <c r="G697" i="15" a="1"/>
  <c r="G697" i="15" s="1"/>
  <c r="G696" i="15" a="1"/>
  <c r="G696" i="15" s="1"/>
  <c r="G695" i="15" a="1"/>
  <c r="G695" i="15" s="1"/>
  <c r="G694" i="15" a="1"/>
  <c r="G694" i="15" s="1"/>
  <c r="G693" i="15" a="1"/>
  <c r="G693" i="15" s="1"/>
  <c r="G692" i="15" a="1"/>
  <c r="G692" i="15" s="1"/>
  <c r="G691" i="15" a="1"/>
  <c r="G691" i="15" s="1"/>
  <c r="G690" i="15" a="1"/>
  <c r="G690" i="15" s="1"/>
  <c r="G689" i="15" a="1"/>
  <c r="G689" i="15" s="1"/>
  <c r="G682" i="15" a="1"/>
  <c r="G682" i="15" s="1"/>
  <c r="G681" i="15" a="1"/>
  <c r="G681" i="15" s="1"/>
  <c r="G680" i="15" a="1"/>
  <c r="G680" i="15" s="1"/>
  <c r="G679" i="15" a="1"/>
  <c r="G679" i="15" s="1"/>
  <c r="G678" i="15" a="1"/>
  <c r="G678" i="15" s="1"/>
  <c r="G677" i="15" a="1"/>
  <c r="G677" i="15" s="1"/>
  <c r="G676" i="15" a="1"/>
  <c r="G676" i="15" s="1"/>
  <c r="G675" i="15" a="1"/>
  <c r="G675" i="15" s="1"/>
  <c r="G674" i="15" a="1"/>
  <c r="G674" i="15" s="1"/>
  <c r="G673" i="15" a="1"/>
  <c r="G673" i="15" s="1"/>
  <c r="G672" i="15" a="1"/>
  <c r="G672" i="15" s="1"/>
  <c r="G671" i="15" a="1"/>
  <c r="G671" i="15" s="1"/>
  <c r="G670" i="15" a="1"/>
  <c r="G670" i="15" s="1"/>
  <c r="G669" i="15" a="1"/>
  <c r="G669" i="15" s="1"/>
  <c r="G668" i="15" a="1"/>
  <c r="G668" i="15" s="1"/>
  <c r="G667" i="15" a="1"/>
  <c r="G667" i="15" s="1"/>
  <c r="G666" i="15" a="1"/>
  <c r="G666" i="15" s="1"/>
  <c r="G665" i="15" a="1"/>
  <c r="G665" i="15" s="1"/>
  <c r="G664" i="15" a="1"/>
  <c r="G664" i="15" s="1"/>
  <c r="G663" i="15" a="1"/>
  <c r="G663" i="15" s="1"/>
  <c r="G662" i="15" a="1"/>
  <c r="G662" i="15" s="1"/>
  <c r="G661" i="15" a="1"/>
  <c r="G661" i="15" s="1"/>
  <c r="G660" i="15" a="1"/>
  <c r="G660" i="15" s="1"/>
  <c r="G659" i="15" a="1"/>
  <c r="G659" i="15" s="1"/>
  <c r="G658" i="15" a="1"/>
  <c r="G658" i="15" s="1"/>
  <c r="G651" i="15" a="1"/>
  <c r="G651" i="15" s="1"/>
  <c r="G650" i="15" a="1"/>
  <c r="G650" i="15" s="1"/>
  <c r="G649" i="15" a="1"/>
  <c r="G649" i="15" s="1"/>
  <c r="G648" i="15" a="1"/>
  <c r="G648" i="15" s="1"/>
  <c r="G647" i="15" a="1"/>
  <c r="G647" i="15" s="1"/>
  <c r="G646" i="15" a="1"/>
  <c r="G646" i="15" s="1"/>
  <c r="G645" i="15" a="1"/>
  <c r="G645" i="15" s="1"/>
  <c r="G644" i="15" a="1"/>
  <c r="G644" i="15" s="1"/>
  <c r="G643" i="15" a="1"/>
  <c r="G643" i="15" s="1"/>
  <c r="G642" i="15" a="1"/>
  <c r="G642" i="15" s="1"/>
  <c r="G641" i="15" a="1"/>
  <c r="G641" i="15" s="1"/>
  <c r="G640" i="15" a="1"/>
  <c r="G640" i="15" s="1"/>
  <c r="G639" i="15" a="1"/>
  <c r="G639" i="15" s="1"/>
  <c r="G638" i="15" a="1"/>
  <c r="G638" i="15" s="1"/>
  <c r="G637" i="15" a="1"/>
  <c r="G637" i="15" s="1"/>
  <c r="G636" i="15" a="1"/>
  <c r="G636" i="15" s="1"/>
  <c r="G635" i="15" a="1"/>
  <c r="G635" i="15" s="1"/>
  <c r="G634" i="15" a="1"/>
  <c r="G634" i="15" s="1"/>
  <c r="G633" i="15" a="1"/>
  <c r="G633" i="15" s="1"/>
  <c r="G632" i="15" a="1"/>
  <c r="G632" i="15" s="1"/>
  <c r="G631" i="15" a="1"/>
  <c r="G631" i="15" s="1"/>
  <c r="G630" i="15" a="1"/>
  <c r="G630" i="15" s="1"/>
  <c r="G629" i="15" a="1"/>
  <c r="G629" i="15" s="1"/>
  <c r="G628" i="15" a="1"/>
  <c r="G628" i="15" s="1"/>
  <c r="G627" i="15" a="1"/>
  <c r="G627" i="15" s="1"/>
  <c r="G620" i="15" a="1"/>
  <c r="G620" i="15" s="1"/>
  <c r="G619" i="15" a="1"/>
  <c r="G619" i="15" s="1"/>
  <c r="G618" i="15" a="1"/>
  <c r="G618" i="15" s="1"/>
  <c r="G617" i="15" a="1"/>
  <c r="G617" i="15" s="1"/>
  <c r="G616" i="15" a="1"/>
  <c r="G616" i="15" s="1"/>
  <c r="G615" i="15" a="1"/>
  <c r="G615" i="15" s="1"/>
  <c r="G614" i="15" a="1"/>
  <c r="G614" i="15" s="1"/>
  <c r="G613" i="15" a="1"/>
  <c r="G613" i="15" s="1"/>
  <c r="G612" i="15" a="1"/>
  <c r="G612" i="15" s="1"/>
  <c r="G611" i="15" a="1"/>
  <c r="G611" i="15" s="1"/>
  <c r="G610" i="15" a="1"/>
  <c r="G610" i="15" s="1"/>
  <c r="G609" i="15" a="1"/>
  <c r="G609" i="15" s="1"/>
  <c r="G608" i="15" a="1"/>
  <c r="G608" i="15" s="1"/>
  <c r="G607" i="15" a="1"/>
  <c r="G607" i="15" s="1"/>
  <c r="G606" i="15" a="1"/>
  <c r="G606" i="15" s="1"/>
  <c r="G605" i="15" a="1"/>
  <c r="G605" i="15" s="1"/>
  <c r="G604" i="15" a="1"/>
  <c r="G604" i="15" s="1"/>
  <c r="G603" i="15" a="1"/>
  <c r="G603" i="15" s="1"/>
  <c r="G602" i="15" a="1"/>
  <c r="G602" i="15" s="1"/>
  <c r="G601" i="15" a="1"/>
  <c r="G601" i="15" s="1"/>
  <c r="G600" i="15" a="1"/>
  <c r="G600" i="15" s="1"/>
  <c r="G599" i="15" a="1"/>
  <c r="G599" i="15" s="1"/>
  <c r="G598" i="15" a="1"/>
  <c r="G598" i="15" s="1"/>
  <c r="G597" i="15" a="1"/>
  <c r="G597" i="15" s="1"/>
  <c r="G596" i="15" a="1"/>
  <c r="G596" i="15" s="1"/>
  <c r="G589" i="15" a="1"/>
  <c r="G589" i="15" s="1"/>
  <c r="G588" i="15" a="1"/>
  <c r="G588" i="15" s="1"/>
  <c r="G587" i="15" a="1"/>
  <c r="G587" i="15" s="1"/>
  <c r="G586" i="15" a="1"/>
  <c r="G586" i="15" s="1"/>
  <c r="G585" i="15" a="1"/>
  <c r="G585" i="15" s="1"/>
  <c r="G584" i="15" a="1"/>
  <c r="G584" i="15" s="1"/>
  <c r="G583" i="15" a="1"/>
  <c r="G583" i="15" s="1"/>
  <c r="G582" i="15" a="1"/>
  <c r="G582" i="15" s="1"/>
  <c r="G581" i="15" a="1"/>
  <c r="G581" i="15" s="1"/>
  <c r="G580" i="15" a="1"/>
  <c r="G580" i="15" s="1"/>
  <c r="G579" i="15" a="1"/>
  <c r="G579" i="15" s="1"/>
  <c r="G578" i="15" a="1"/>
  <c r="G578" i="15" s="1"/>
  <c r="G577" i="15" a="1"/>
  <c r="G577" i="15" s="1"/>
  <c r="G576" i="15" a="1"/>
  <c r="G576" i="15" s="1"/>
  <c r="G575" i="15" a="1"/>
  <c r="G575" i="15" s="1"/>
  <c r="G574" i="15" a="1"/>
  <c r="G574" i="15" s="1"/>
  <c r="G573" i="15" a="1"/>
  <c r="G573" i="15" s="1"/>
  <c r="G572" i="15" a="1"/>
  <c r="G572" i="15" s="1"/>
  <c r="G571" i="15" a="1"/>
  <c r="G571" i="15" s="1"/>
  <c r="G570" i="15" a="1"/>
  <c r="G570" i="15" s="1"/>
  <c r="G569" i="15" a="1"/>
  <c r="G569" i="15" s="1"/>
  <c r="G568" i="15" a="1"/>
  <c r="G568" i="15" s="1"/>
  <c r="G567" i="15" a="1"/>
  <c r="G567" i="15" s="1"/>
  <c r="G566" i="15" a="1"/>
  <c r="G566" i="15" s="1"/>
  <c r="G565" i="15" a="1"/>
  <c r="G565" i="15" s="1"/>
  <c r="G558" i="15" a="1"/>
  <c r="G558" i="15" s="1"/>
  <c r="G557" i="15" a="1"/>
  <c r="G557" i="15" s="1"/>
  <c r="G556" i="15" a="1"/>
  <c r="G556" i="15" s="1"/>
  <c r="G555" i="15" a="1"/>
  <c r="G555" i="15" s="1"/>
  <c r="G554" i="15" a="1"/>
  <c r="G554" i="15" s="1"/>
  <c r="G553" i="15" a="1"/>
  <c r="G553" i="15" s="1"/>
  <c r="G552" i="15" a="1"/>
  <c r="G552" i="15" s="1"/>
  <c r="G551" i="15" a="1"/>
  <c r="G551" i="15" s="1"/>
  <c r="G550" i="15" a="1"/>
  <c r="G550" i="15" s="1"/>
  <c r="G549" i="15" a="1"/>
  <c r="G549" i="15" s="1"/>
  <c r="G548" i="15" a="1"/>
  <c r="G548" i="15" s="1"/>
  <c r="G547" i="15" a="1"/>
  <c r="G547" i="15" s="1"/>
  <c r="G546" i="15" a="1"/>
  <c r="G546" i="15" s="1"/>
  <c r="G545" i="15" a="1"/>
  <c r="G545" i="15" s="1"/>
  <c r="G544" i="15" a="1"/>
  <c r="G544" i="15" s="1"/>
  <c r="G543" i="15" a="1"/>
  <c r="G543" i="15" s="1"/>
  <c r="G542" i="15" a="1"/>
  <c r="G542" i="15" s="1"/>
  <c r="G541" i="15" a="1"/>
  <c r="G541" i="15" s="1"/>
  <c r="G540" i="15" a="1"/>
  <c r="G540" i="15" s="1"/>
  <c r="G539" i="15" a="1"/>
  <c r="G539" i="15" s="1"/>
  <c r="G538" i="15" a="1"/>
  <c r="G538" i="15" s="1"/>
  <c r="G537" i="15" a="1"/>
  <c r="G537" i="15" s="1"/>
  <c r="G536" i="15" a="1"/>
  <c r="G536" i="15" s="1"/>
  <c r="G535" i="15" a="1"/>
  <c r="G535" i="15" s="1"/>
  <c r="G534" i="15" a="1"/>
  <c r="G534" i="15" s="1"/>
  <c r="G527" i="15" a="1"/>
  <c r="G527" i="15" s="1"/>
  <c r="G526" i="15" a="1"/>
  <c r="G526" i="15" s="1"/>
  <c r="G525" i="15" a="1"/>
  <c r="G525" i="15" s="1"/>
  <c r="G524" i="15" a="1"/>
  <c r="G524" i="15" s="1"/>
  <c r="G523" i="15" a="1"/>
  <c r="G523" i="15" s="1"/>
  <c r="G522" i="15" a="1"/>
  <c r="G522" i="15" s="1"/>
  <c r="G521" i="15" a="1"/>
  <c r="G521" i="15" s="1"/>
  <c r="G520" i="15" a="1"/>
  <c r="G520" i="15" s="1"/>
  <c r="G519" i="15" a="1"/>
  <c r="G519" i="15" s="1"/>
  <c r="G518" i="15" a="1"/>
  <c r="G518" i="15" s="1"/>
  <c r="G517" i="15" a="1"/>
  <c r="G517" i="15" s="1"/>
  <c r="G516" i="15" a="1"/>
  <c r="G516" i="15" s="1"/>
  <c r="G515" i="15" a="1"/>
  <c r="G515" i="15" s="1"/>
  <c r="G514" i="15" a="1"/>
  <c r="G514" i="15" s="1"/>
  <c r="G513" i="15" a="1"/>
  <c r="G513" i="15" s="1"/>
  <c r="G512" i="15" a="1"/>
  <c r="G512" i="15" s="1"/>
  <c r="G511" i="15" a="1"/>
  <c r="G511" i="15" s="1"/>
  <c r="G510" i="15" a="1"/>
  <c r="G510" i="15" s="1"/>
  <c r="G509" i="15" a="1"/>
  <c r="G509" i="15" s="1"/>
  <c r="G508" i="15" a="1"/>
  <c r="G508" i="15" s="1"/>
  <c r="G507" i="15" a="1"/>
  <c r="G507" i="15" s="1"/>
  <c r="G506" i="15" a="1"/>
  <c r="G506" i="15" s="1"/>
  <c r="G505" i="15" a="1"/>
  <c r="G505" i="15" s="1"/>
  <c r="G504" i="15" a="1"/>
  <c r="G504" i="15" s="1"/>
  <c r="G503" i="15" a="1"/>
  <c r="G503" i="15" s="1"/>
  <c r="G496" i="15" a="1"/>
  <c r="G495" i="15" a="1"/>
  <c r="G494" i="15" a="1"/>
  <c r="G493" i="15" a="1"/>
  <c r="G492" i="15" a="1"/>
  <c r="G491" i="15" a="1"/>
  <c r="G490" i="15" a="1"/>
  <c r="G489" i="15" a="1"/>
  <c r="G488" i="15" a="1"/>
  <c r="G487" i="15" a="1"/>
  <c r="G486" i="15" a="1"/>
  <c r="G485" i="15" a="1"/>
  <c r="G484" i="15" a="1"/>
  <c r="G483" i="15" a="1"/>
  <c r="G482" i="15" a="1"/>
  <c r="G481" i="15" a="1"/>
  <c r="G480" i="15" a="1"/>
  <c r="G479" i="15" a="1"/>
  <c r="G478" i="15" a="1"/>
  <c r="G477" i="15" a="1"/>
  <c r="G476" i="15" a="1"/>
  <c r="G475" i="15" a="1"/>
  <c r="G474" i="15" a="1"/>
  <c r="G473" i="15" a="1"/>
  <c r="G472" i="15" a="1"/>
  <c r="G465" i="15" a="1"/>
  <c r="G464" i="15" a="1"/>
  <c r="G463" i="15" a="1"/>
  <c r="G462" i="15" a="1"/>
  <c r="G461" i="15" a="1"/>
  <c r="G460" i="15" a="1"/>
  <c r="G459" i="15" a="1"/>
  <c r="G458" i="15" a="1"/>
  <c r="G457" i="15" a="1"/>
  <c r="G456" i="15" a="1"/>
  <c r="G455" i="15" a="1"/>
  <c r="G454" i="15" a="1"/>
  <c r="G453" i="15" a="1"/>
  <c r="G452" i="15" a="1"/>
  <c r="G451" i="15" a="1"/>
  <c r="G450" i="15" a="1"/>
  <c r="G449" i="15" a="1"/>
  <c r="G448" i="15" a="1"/>
  <c r="G447" i="15" a="1"/>
  <c r="G446" i="15" a="1"/>
  <c r="G445" i="15" a="1"/>
  <c r="G444" i="15" a="1"/>
  <c r="G443" i="15" a="1"/>
  <c r="G442" i="15" a="1"/>
  <c r="G441" i="15" a="1"/>
  <c r="G434" i="15" a="1"/>
  <c r="W419" i="16" s="1"/>
  <c r="G433" i="15" a="1"/>
  <c r="G432" i="15" a="1"/>
  <c r="G431" i="15" a="1"/>
  <c r="G430" i="15" a="1"/>
  <c r="G429" i="15" a="1"/>
  <c r="G428" i="15" a="1"/>
  <c r="U413" i="16" s="1"/>
  <c r="G427" i="15" a="1"/>
  <c r="V412" i="16" s="1"/>
  <c r="G426" i="15" a="1"/>
  <c r="G425" i="15" a="1"/>
  <c r="G424" i="15" a="1"/>
  <c r="G423" i="15" a="1"/>
  <c r="G422" i="15" a="1"/>
  <c r="G421" i="15" a="1"/>
  <c r="G420" i="15" a="1"/>
  <c r="G419" i="15" a="1"/>
  <c r="G418" i="15" a="1"/>
  <c r="G417" i="15" a="1"/>
  <c r="G416" i="15" a="1"/>
  <c r="G415" i="15" a="1"/>
  <c r="G414" i="15" a="1"/>
  <c r="G413" i="15" a="1"/>
  <c r="G412" i="15" a="1"/>
  <c r="G411" i="15" a="1"/>
  <c r="G410" i="15" a="1"/>
  <c r="W395" i="16" s="1"/>
  <c r="G403" i="15" a="1"/>
  <c r="U390" i="16" s="1"/>
  <c r="G402" i="15" a="1"/>
  <c r="G401" i="15" a="1"/>
  <c r="G400" i="15" a="1"/>
  <c r="G399" i="15" a="1"/>
  <c r="G398" i="15" a="1"/>
  <c r="R385" i="16" s="1"/>
  <c r="G397" i="15" a="1"/>
  <c r="S384" i="16" s="1"/>
  <c r="G396" i="15" a="1"/>
  <c r="T383" i="16" s="1"/>
  <c r="G395" i="15" a="1"/>
  <c r="V382" i="16" s="1"/>
  <c r="G394" i="15" a="1"/>
  <c r="G393" i="15" a="1"/>
  <c r="P380" i="16" s="1"/>
  <c r="G392" i="15" a="1"/>
  <c r="G391" i="15" a="1"/>
  <c r="G390" i="15" a="1"/>
  <c r="S377" i="16" s="1"/>
  <c r="G389" i="15" a="1"/>
  <c r="G388" i="15" a="1"/>
  <c r="G387" i="15" a="1"/>
  <c r="V374" i="16" s="1"/>
  <c r="G386" i="15" a="1"/>
  <c r="W373" i="16" s="1"/>
  <c r="G385" i="15" a="1"/>
  <c r="G384" i="15" a="1"/>
  <c r="G383" i="15" a="1"/>
  <c r="G382" i="15" a="1"/>
  <c r="S369" i="16" s="1"/>
  <c r="G381" i="15" a="1"/>
  <c r="G380" i="15" a="1"/>
  <c r="U367" i="16" s="1"/>
  <c r="G379" i="15" a="1"/>
  <c r="U366" i="16" s="1"/>
  <c r="G372" i="15" a="1"/>
  <c r="T361" i="16" s="1"/>
  <c r="G371" i="15" a="1"/>
  <c r="G370" i="15" a="1"/>
  <c r="G369" i="15" a="1"/>
  <c r="G368" i="15" a="1"/>
  <c r="P357" i="16" s="1"/>
  <c r="G367" i="15" a="1"/>
  <c r="R356" i="16" s="1"/>
  <c r="G366" i="15" a="1"/>
  <c r="R355" i="16" s="1"/>
  <c r="G365" i="15" a="1"/>
  <c r="S354" i="16" s="1"/>
  <c r="G364" i="15" a="1"/>
  <c r="G363" i="15" a="1"/>
  <c r="G362" i="15" a="1"/>
  <c r="V351" i="16" s="1"/>
  <c r="G361" i="15" a="1"/>
  <c r="G360" i="15" a="1"/>
  <c r="P349" i="16" s="1"/>
  <c r="G359" i="15" a="1"/>
  <c r="Q348" i="16" s="1"/>
  <c r="G358" i="15" a="1"/>
  <c r="R347" i="16" s="1"/>
  <c r="G357" i="15" a="1"/>
  <c r="T346" i="16" s="1"/>
  <c r="G356" i="15" a="1"/>
  <c r="G355" i="15" a="1"/>
  <c r="U344" i="16" s="1"/>
  <c r="G354" i="15" a="1"/>
  <c r="G353" i="15" a="1"/>
  <c r="G352" i="15" a="1"/>
  <c r="P341" i="16" s="1"/>
  <c r="G351" i="15" a="1"/>
  <c r="Q340" i="16" s="1"/>
  <c r="G350" i="15" a="1"/>
  <c r="R339" i="16" s="1"/>
  <c r="G349" i="15" a="1"/>
  <c r="G348" i="15" a="1"/>
  <c r="T337" i="16" s="1"/>
  <c r="G341" i="15" a="1"/>
  <c r="W332" i="16" s="1"/>
  <c r="G340" i="15" a="1"/>
  <c r="G339" i="15" a="1"/>
  <c r="G338" i="15" a="1"/>
  <c r="P329" i="16" s="1"/>
  <c r="G337" i="15" a="1"/>
  <c r="P328" i="16" s="1"/>
  <c r="G336" i="15" a="1"/>
  <c r="R327" i="16" s="1"/>
  <c r="G335" i="15" a="1"/>
  <c r="R326" i="16" s="1"/>
  <c r="G334" i="15" a="1"/>
  <c r="T325" i="16" s="1"/>
  <c r="G333" i="15" a="1"/>
  <c r="G332" i="15" a="1"/>
  <c r="V323" i="16" s="1"/>
  <c r="G331" i="15" a="1"/>
  <c r="G330" i="15" a="1"/>
  <c r="P321" i="16" s="1"/>
  <c r="G329" i="15" a="1"/>
  <c r="P320" i="16" s="1"/>
  <c r="G328" i="15" a="1"/>
  <c r="Q319" i="16" s="1"/>
  <c r="G327" i="15" a="1"/>
  <c r="R318" i="16" s="1"/>
  <c r="G326" i="15" a="1"/>
  <c r="G325" i="15" a="1"/>
  <c r="G324" i="15" a="1"/>
  <c r="U315" i="16" s="1"/>
  <c r="G323" i="15" a="1"/>
  <c r="G322" i="15" a="1"/>
  <c r="W313" i="16" s="1"/>
  <c r="G321" i="15" a="1"/>
  <c r="G320" i="15" a="1"/>
  <c r="P311" i="16" s="1"/>
  <c r="G319" i="15" a="1"/>
  <c r="R310" i="16" s="1"/>
  <c r="G318" i="15" a="1"/>
  <c r="G317" i="15" a="1"/>
  <c r="T308" i="16" s="1"/>
  <c r="G310" i="15" a="1"/>
  <c r="G310" i="15" s="1"/>
  <c r="O303" i="16" s="1"/>
  <c r="G309" i="15" a="1"/>
  <c r="G309" i="15" s="1"/>
  <c r="O302" i="16" s="1"/>
  <c r="G308" i="15" a="1"/>
  <c r="G308" i="15" s="1"/>
  <c r="O301" i="16" s="1"/>
  <c r="G307" i="15" a="1"/>
  <c r="G307" i="15" s="1"/>
  <c r="O300" i="16" s="1"/>
  <c r="G306" i="15" a="1"/>
  <c r="T299" i="16" s="1"/>
  <c r="G305" i="15" a="1"/>
  <c r="P298" i="16" s="1"/>
  <c r="G304" i="15" a="1"/>
  <c r="G303" i="15" a="1"/>
  <c r="U296" i="16" s="1"/>
  <c r="G302" i="15" a="1"/>
  <c r="P295" i="16" s="1"/>
  <c r="G301" i="15" a="1"/>
  <c r="G300" i="15" a="1"/>
  <c r="V293" i="16" s="1"/>
  <c r="G299" i="15" a="1"/>
  <c r="Q292" i="16" s="1"/>
  <c r="G298" i="15" a="1"/>
  <c r="P291" i="16" s="1"/>
  <c r="G297" i="15" a="1"/>
  <c r="Q290" i="16" s="1"/>
  <c r="G296" i="15" a="1"/>
  <c r="G295" i="15" a="1"/>
  <c r="S288" i="16" s="1"/>
  <c r="G294" i="15" a="1"/>
  <c r="G293" i="15" a="1"/>
  <c r="G292" i="15" a="1"/>
  <c r="P285" i="16" s="1"/>
  <c r="G291" i="15" a="1"/>
  <c r="W284" i="16" s="1"/>
  <c r="G290" i="15" a="1"/>
  <c r="P283" i="16" s="1"/>
  <c r="G289" i="15" a="1"/>
  <c r="G288" i="15" a="1"/>
  <c r="Q281" i="16" s="1"/>
  <c r="G287" i="15" a="1"/>
  <c r="G286" i="15" a="1"/>
  <c r="G286" i="15" s="1"/>
  <c r="O279" i="16" s="1"/>
  <c r="G279" i="15" a="1"/>
  <c r="G279" i="15" s="1"/>
  <c r="O274" i="16" s="1"/>
  <c r="G278" i="15" a="1"/>
  <c r="G278" i="15" s="1"/>
  <c r="O273" i="16" s="1"/>
  <c r="G277" i="15" a="1"/>
  <c r="G277" i="15" s="1"/>
  <c r="O272" i="16" s="1"/>
  <c r="G276" i="15" a="1"/>
  <c r="G276" i="15" s="1"/>
  <c r="O271" i="16" s="1"/>
  <c r="G275" i="15" a="1"/>
  <c r="G275" i="15" s="1"/>
  <c r="O270" i="16" s="1"/>
  <c r="G274" i="15" a="1"/>
  <c r="G274" i="15" s="1"/>
  <c r="O269" i="16" s="1"/>
  <c r="G273" i="15" a="1"/>
  <c r="G273" i="15" s="1"/>
  <c r="O268" i="16" s="1"/>
  <c r="G272" i="15" a="1"/>
  <c r="G272" i="15" s="1"/>
  <c r="O267" i="16" s="1"/>
  <c r="G271" i="15" a="1"/>
  <c r="G271" i="15" s="1"/>
  <c r="O266" i="16" s="1"/>
  <c r="G270" i="15" a="1"/>
  <c r="G270" i="15" s="1"/>
  <c r="O265" i="16" s="1"/>
  <c r="G269" i="15" a="1"/>
  <c r="G269" i="15" s="1"/>
  <c r="O264" i="16" s="1"/>
  <c r="G268" i="15" a="1"/>
  <c r="G268" i="15" s="1"/>
  <c r="O263" i="16" s="1"/>
  <c r="G267" i="15" a="1"/>
  <c r="G267" i="15" s="1"/>
  <c r="O262" i="16" s="1"/>
  <c r="G266" i="15" a="1"/>
  <c r="G266" i="15" s="1"/>
  <c r="O261" i="16" s="1"/>
  <c r="G265" i="15" a="1"/>
  <c r="G265" i="15" s="1"/>
  <c r="O260" i="16" s="1"/>
  <c r="G264" i="15" a="1"/>
  <c r="G264" i="15" s="1"/>
  <c r="O259" i="16" s="1"/>
  <c r="G263" i="15" a="1"/>
  <c r="G263" i="15" s="1"/>
  <c r="O258" i="16" s="1"/>
  <c r="G262" i="15" a="1"/>
  <c r="G262" i="15" s="1"/>
  <c r="O257" i="16" s="1"/>
  <c r="G261" i="15" a="1"/>
  <c r="G261" i="15" s="1"/>
  <c r="O256" i="16" s="1"/>
  <c r="G260" i="15" a="1"/>
  <c r="G260" i="15" s="1"/>
  <c r="O255" i="16" s="1"/>
  <c r="G259" i="15" a="1"/>
  <c r="G259" i="15" s="1"/>
  <c r="O254" i="16" s="1"/>
  <c r="G258" i="15" a="1"/>
  <c r="G258" i="15" s="1"/>
  <c r="O253" i="16" s="1"/>
  <c r="G257" i="15" a="1"/>
  <c r="G257" i="15" s="1"/>
  <c r="O252" i="16" s="1"/>
  <c r="G256" i="15" a="1"/>
  <c r="G256" i="15" s="1"/>
  <c r="O251" i="16" s="1"/>
  <c r="G255" i="15" a="1"/>
  <c r="G255" i="15" s="1"/>
  <c r="O250" i="16" s="1"/>
  <c r="G248" i="15" a="1"/>
  <c r="G248" i="15" s="1"/>
  <c r="O245" i="16" s="1"/>
  <c r="G247" i="15" a="1"/>
  <c r="G247" i="15" s="1"/>
  <c r="O244" i="16" s="1"/>
  <c r="G246" i="15" a="1"/>
  <c r="G246" i="15" s="1"/>
  <c r="O243" i="16" s="1"/>
  <c r="G245" i="15" a="1"/>
  <c r="G245" i="15" s="1"/>
  <c r="O242" i="16" s="1"/>
  <c r="G244" i="15" a="1"/>
  <c r="G244" i="15" s="1"/>
  <c r="O241" i="16" s="1"/>
  <c r="G243" i="15" a="1"/>
  <c r="G243" i="15" s="1"/>
  <c r="O240" i="16" s="1"/>
  <c r="G242" i="15" a="1"/>
  <c r="G242" i="15" s="1"/>
  <c r="O239" i="16" s="1"/>
  <c r="G241" i="15" a="1"/>
  <c r="G241" i="15" s="1"/>
  <c r="O238" i="16" s="1"/>
  <c r="G240" i="15" a="1"/>
  <c r="G240" i="15" s="1"/>
  <c r="O237" i="16" s="1"/>
  <c r="G239" i="15" a="1"/>
  <c r="G239" i="15" s="1"/>
  <c r="O236" i="16" s="1"/>
  <c r="G238" i="15" a="1"/>
  <c r="G238" i="15" s="1"/>
  <c r="O235" i="16" s="1"/>
  <c r="G237" i="15" a="1"/>
  <c r="G237" i="15" s="1"/>
  <c r="O234" i="16" s="1"/>
  <c r="G236" i="15" a="1"/>
  <c r="G236" i="15" s="1"/>
  <c r="O233" i="16" s="1"/>
  <c r="G235" i="15" a="1"/>
  <c r="G235" i="15" s="1"/>
  <c r="O232" i="16" s="1"/>
  <c r="G234" i="15" a="1"/>
  <c r="G234" i="15" s="1"/>
  <c r="O231" i="16" s="1"/>
  <c r="G233" i="15" a="1"/>
  <c r="G233" i="15" s="1"/>
  <c r="O230" i="16" s="1"/>
  <c r="G232" i="15" a="1"/>
  <c r="G232" i="15" s="1"/>
  <c r="O229" i="16" s="1"/>
  <c r="G231" i="15" a="1"/>
  <c r="G231" i="15" s="1"/>
  <c r="O228" i="16" s="1"/>
  <c r="G230" i="15" a="1"/>
  <c r="G230" i="15" s="1"/>
  <c r="O227" i="16" s="1"/>
  <c r="G229" i="15" a="1"/>
  <c r="G229" i="15" s="1"/>
  <c r="O226" i="16" s="1"/>
  <c r="G228" i="15" a="1"/>
  <c r="G228" i="15" s="1"/>
  <c r="O225" i="16" s="1"/>
  <c r="G227" i="15" a="1"/>
  <c r="G227" i="15" s="1"/>
  <c r="O224" i="16" s="1"/>
  <c r="G226" i="15" a="1"/>
  <c r="G226" i="15" s="1"/>
  <c r="O223" i="16" s="1"/>
  <c r="G225" i="15" a="1"/>
  <c r="G225" i="15" s="1"/>
  <c r="O222" i="16" s="1"/>
  <c r="G224" i="15" a="1"/>
  <c r="G224" i="15" s="1"/>
  <c r="O221" i="16" s="1"/>
  <c r="G217" i="15" a="1"/>
  <c r="G217" i="15" s="1"/>
  <c r="O216" i="16" s="1"/>
  <c r="G216" i="15" a="1"/>
  <c r="G216" i="15" s="1"/>
  <c r="O215" i="16" s="1"/>
  <c r="G215" i="15" a="1"/>
  <c r="G215" i="15" s="1"/>
  <c r="O214" i="16" s="1"/>
  <c r="G214" i="15" a="1"/>
  <c r="G214" i="15" s="1"/>
  <c r="O213" i="16" s="1"/>
  <c r="G213" i="15" a="1"/>
  <c r="G213" i="15" s="1"/>
  <c r="O212" i="16" s="1"/>
  <c r="G212" i="15" a="1"/>
  <c r="G212" i="15" s="1"/>
  <c r="O211" i="16" s="1"/>
  <c r="G211" i="15" a="1"/>
  <c r="G211" i="15" s="1"/>
  <c r="O210" i="16" s="1"/>
  <c r="G210" i="15" a="1"/>
  <c r="G210" i="15" s="1"/>
  <c r="O209" i="16" s="1"/>
  <c r="G209" i="15" a="1"/>
  <c r="G209" i="15" s="1"/>
  <c r="O208" i="16" s="1"/>
  <c r="G208" i="15" a="1"/>
  <c r="G208" i="15" s="1"/>
  <c r="O207" i="16" s="1"/>
  <c r="G207" i="15" a="1"/>
  <c r="G207" i="15" s="1"/>
  <c r="O206" i="16" s="1"/>
  <c r="G206" i="15" a="1"/>
  <c r="G206" i="15" s="1"/>
  <c r="O205" i="16" s="1"/>
  <c r="G205" i="15" a="1"/>
  <c r="G205" i="15" s="1"/>
  <c r="O204" i="16" s="1"/>
  <c r="G204" i="15" a="1"/>
  <c r="G204" i="15" s="1"/>
  <c r="O203" i="16" s="1"/>
  <c r="G203" i="15" a="1"/>
  <c r="G203" i="15" s="1"/>
  <c r="O202" i="16" s="1"/>
  <c r="G202" i="15" a="1"/>
  <c r="G202" i="15" s="1"/>
  <c r="O201" i="16" s="1"/>
  <c r="G201" i="15" a="1"/>
  <c r="G201" i="15" s="1"/>
  <c r="O200" i="16" s="1"/>
  <c r="G200" i="15" a="1"/>
  <c r="G200" i="15" s="1"/>
  <c r="O199" i="16" s="1"/>
  <c r="G199" i="15" a="1"/>
  <c r="G199" i="15" s="1"/>
  <c r="O198" i="16" s="1"/>
  <c r="G198" i="15" a="1"/>
  <c r="G198" i="15" s="1"/>
  <c r="O197" i="16" s="1"/>
  <c r="G197" i="15" a="1"/>
  <c r="G197" i="15" s="1"/>
  <c r="O196" i="16" s="1"/>
  <c r="G196" i="15" a="1"/>
  <c r="G196" i="15" s="1"/>
  <c r="O195" i="16" s="1"/>
  <c r="G195" i="15" a="1"/>
  <c r="G195" i="15" s="1"/>
  <c r="O194" i="16" s="1"/>
  <c r="G194" i="15" a="1"/>
  <c r="G194" i="15" s="1"/>
  <c r="O193" i="16" s="1"/>
  <c r="G193" i="15" a="1"/>
  <c r="G193" i="15" s="1"/>
  <c r="O192" i="16" s="1"/>
  <c r="G186" i="15" a="1"/>
  <c r="G186" i="15" s="1"/>
  <c r="O187" i="16" s="1"/>
  <c r="G185" i="15" a="1"/>
  <c r="G185" i="15" s="1"/>
  <c r="O186" i="16" s="1"/>
  <c r="G184" i="15" a="1"/>
  <c r="G184" i="15" s="1"/>
  <c r="O185" i="16" s="1"/>
  <c r="G183" i="15" a="1"/>
  <c r="G183" i="15" s="1"/>
  <c r="O184" i="16" s="1"/>
  <c r="G182" i="15" a="1"/>
  <c r="G182" i="15" s="1"/>
  <c r="O183" i="16" s="1"/>
  <c r="G181" i="15" a="1"/>
  <c r="G181" i="15" s="1"/>
  <c r="O182" i="16" s="1"/>
  <c r="G180" i="15" a="1"/>
  <c r="G180" i="15" s="1"/>
  <c r="O181" i="16" s="1"/>
  <c r="G179" i="15" a="1"/>
  <c r="G179" i="15" s="1"/>
  <c r="O180" i="16" s="1"/>
  <c r="G178" i="15" a="1"/>
  <c r="G178" i="15" s="1"/>
  <c r="O179" i="16" s="1"/>
  <c r="G177" i="15" a="1"/>
  <c r="G177" i="15" s="1"/>
  <c r="O178" i="16" s="1"/>
  <c r="G176" i="15" a="1"/>
  <c r="G176" i="15" s="1"/>
  <c r="O177" i="16" s="1"/>
  <c r="G175" i="15" a="1"/>
  <c r="G175" i="15" s="1"/>
  <c r="O176" i="16" s="1"/>
  <c r="G174" i="15" a="1"/>
  <c r="G174" i="15" s="1"/>
  <c r="O175" i="16" s="1"/>
  <c r="G173" i="15" a="1"/>
  <c r="G173" i="15" s="1"/>
  <c r="O174" i="16" s="1"/>
  <c r="G172" i="15" a="1"/>
  <c r="G172" i="15" s="1"/>
  <c r="O173" i="16" s="1"/>
  <c r="G171" i="15" a="1"/>
  <c r="G171" i="15" s="1"/>
  <c r="O172" i="16" s="1"/>
  <c r="G170" i="15" a="1"/>
  <c r="G170" i="15" s="1"/>
  <c r="O171" i="16" s="1"/>
  <c r="G169" i="15" a="1"/>
  <c r="G169" i="15" s="1"/>
  <c r="O170" i="16" s="1"/>
  <c r="G168" i="15" a="1"/>
  <c r="G168" i="15" s="1"/>
  <c r="O169" i="16" s="1"/>
  <c r="G167" i="15" a="1"/>
  <c r="G167" i="15" s="1"/>
  <c r="O168" i="16" s="1"/>
  <c r="G166" i="15" a="1"/>
  <c r="G166" i="15" s="1"/>
  <c r="O167" i="16" s="1"/>
  <c r="G165" i="15" a="1"/>
  <c r="G165" i="15" s="1"/>
  <c r="O166" i="16" s="1"/>
  <c r="G164" i="15" a="1"/>
  <c r="G164" i="15" s="1"/>
  <c r="O165" i="16" s="1"/>
  <c r="G163" i="15" a="1"/>
  <c r="G163" i="15" s="1"/>
  <c r="O164" i="16" s="1"/>
  <c r="G162" i="15" a="1"/>
  <c r="G162" i="15" s="1"/>
  <c r="O163" i="16" s="1"/>
  <c r="G155" i="15" a="1"/>
  <c r="G155" i="15" s="1"/>
  <c r="O158" i="16" s="1"/>
  <c r="G154" i="15" a="1"/>
  <c r="G154" i="15" s="1"/>
  <c r="O157" i="16" s="1"/>
  <c r="G153" i="15" a="1"/>
  <c r="G153" i="15" s="1"/>
  <c r="O156" i="16" s="1"/>
  <c r="G152" i="15" a="1"/>
  <c r="G152" i="15" s="1"/>
  <c r="O155" i="16" s="1"/>
  <c r="G151" i="15" a="1"/>
  <c r="G151" i="15" s="1"/>
  <c r="O154" i="16" s="1"/>
  <c r="G150" i="15" a="1"/>
  <c r="G150" i="15" s="1"/>
  <c r="O153" i="16" s="1"/>
  <c r="G149" i="15" a="1"/>
  <c r="G149" i="15" s="1"/>
  <c r="O152" i="16" s="1"/>
  <c r="G148" i="15" a="1"/>
  <c r="G148" i="15" s="1"/>
  <c r="O151" i="16" s="1"/>
  <c r="G147" i="15" a="1"/>
  <c r="G147" i="15" s="1"/>
  <c r="O150" i="16" s="1"/>
  <c r="G146" i="15" a="1"/>
  <c r="G146" i="15" s="1"/>
  <c r="O149" i="16" s="1"/>
  <c r="G145" i="15" a="1"/>
  <c r="G145" i="15" s="1"/>
  <c r="O148" i="16" s="1"/>
  <c r="G144" i="15" a="1"/>
  <c r="G144" i="15" s="1"/>
  <c r="O147" i="16" s="1"/>
  <c r="G143" i="15" a="1"/>
  <c r="G143" i="15" s="1"/>
  <c r="O146" i="16" s="1"/>
  <c r="G142" i="15" a="1"/>
  <c r="G142" i="15" s="1"/>
  <c r="O145" i="16" s="1"/>
  <c r="G141" i="15" a="1"/>
  <c r="G141" i="15" s="1"/>
  <c r="O144" i="16" s="1"/>
  <c r="G140" i="15" a="1"/>
  <c r="G140" i="15" s="1"/>
  <c r="O143" i="16" s="1"/>
  <c r="G139" i="15" a="1"/>
  <c r="G139" i="15" s="1"/>
  <c r="O142" i="16" s="1"/>
  <c r="G138" i="15" a="1"/>
  <c r="G138" i="15" s="1"/>
  <c r="O141" i="16" s="1"/>
  <c r="G137" i="15" a="1"/>
  <c r="G137" i="15" s="1"/>
  <c r="O140" i="16" s="1"/>
  <c r="G136" i="15" a="1"/>
  <c r="G136" i="15" s="1"/>
  <c r="O139" i="16" s="1"/>
  <c r="G135" i="15" a="1"/>
  <c r="G135" i="15" s="1"/>
  <c r="O138" i="16" s="1"/>
  <c r="G134" i="15" a="1"/>
  <c r="G134" i="15" s="1"/>
  <c r="O137" i="16" s="1"/>
  <c r="G133" i="15" a="1"/>
  <c r="G133" i="15" s="1"/>
  <c r="O136" i="16" s="1"/>
  <c r="G132" i="15" a="1"/>
  <c r="G132" i="15" s="1"/>
  <c r="O135" i="16" s="1"/>
  <c r="G131" i="15" a="1"/>
  <c r="G131" i="15" s="1"/>
  <c r="O134" i="16" s="1"/>
  <c r="G124" i="15" a="1"/>
  <c r="G124" i="15" s="1"/>
  <c r="O129" i="16" s="1"/>
  <c r="G123" i="15" a="1"/>
  <c r="G123" i="15" s="1"/>
  <c r="O128" i="16" s="1"/>
  <c r="G122" i="15" a="1"/>
  <c r="G122" i="15" s="1"/>
  <c r="O127" i="16" s="1"/>
  <c r="G121" i="15" a="1"/>
  <c r="G121" i="15" s="1"/>
  <c r="O126" i="16" s="1"/>
  <c r="G120" i="15" a="1"/>
  <c r="G120" i="15" s="1"/>
  <c r="O125" i="16" s="1"/>
  <c r="G119" i="15" a="1"/>
  <c r="G119" i="15" s="1"/>
  <c r="O124" i="16" s="1"/>
  <c r="G118" i="15" a="1"/>
  <c r="G118" i="15" s="1"/>
  <c r="O123" i="16" s="1"/>
  <c r="G117" i="15" a="1"/>
  <c r="G117" i="15" s="1"/>
  <c r="O122" i="16" s="1"/>
  <c r="G116" i="15" a="1"/>
  <c r="G116" i="15" s="1"/>
  <c r="O121" i="16" s="1"/>
  <c r="G115" i="15" a="1"/>
  <c r="G115" i="15" s="1"/>
  <c r="O120" i="16" s="1"/>
  <c r="G114" i="15" a="1"/>
  <c r="G114" i="15" s="1"/>
  <c r="O119" i="16" s="1"/>
  <c r="G113" i="15" a="1"/>
  <c r="G113" i="15" s="1"/>
  <c r="O118" i="16" s="1"/>
  <c r="G112" i="15" a="1"/>
  <c r="G112" i="15" s="1"/>
  <c r="O117" i="16" s="1"/>
  <c r="G111" i="15" a="1"/>
  <c r="G111" i="15" s="1"/>
  <c r="O116" i="16" s="1"/>
  <c r="G110" i="15" a="1"/>
  <c r="G110" i="15" s="1"/>
  <c r="O115" i="16" s="1"/>
  <c r="G109" i="15" a="1"/>
  <c r="G109" i="15" s="1"/>
  <c r="O114" i="16" s="1"/>
  <c r="G108" i="15" a="1"/>
  <c r="G108" i="15" s="1"/>
  <c r="O113" i="16" s="1"/>
  <c r="G107" i="15" a="1"/>
  <c r="G107" i="15" s="1"/>
  <c r="O112" i="16" s="1"/>
  <c r="G106" i="15" a="1"/>
  <c r="G106" i="15" s="1"/>
  <c r="O111" i="16" s="1"/>
  <c r="G105" i="15" a="1"/>
  <c r="G105" i="15" s="1"/>
  <c r="O110" i="16" s="1"/>
  <c r="G104" i="15" a="1"/>
  <c r="G104" i="15" s="1"/>
  <c r="O109" i="16" s="1"/>
  <c r="G103" i="15" a="1"/>
  <c r="G103" i="15" s="1"/>
  <c r="O108" i="16" s="1"/>
  <c r="G102" i="15" a="1"/>
  <c r="G102" i="15" s="1"/>
  <c r="O107" i="16" s="1"/>
  <c r="G101" i="15" a="1"/>
  <c r="G101" i="15" s="1"/>
  <c r="O106" i="16" s="1"/>
  <c r="G100" i="15" a="1"/>
  <c r="G100" i="15" s="1"/>
  <c r="O105" i="16" s="1"/>
  <c r="G93" i="15" a="1"/>
  <c r="G93" i="15" s="1"/>
  <c r="O100" i="16" s="1"/>
  <c r="G92" i="15" a="1"/>
  <c r="G92" i="15" s="1"/>
  <c r="O99" i="16" s="1"/>
  <c r="G91" i="15" a="1"/>
  <c r="G91" i="15" s="1"/>
  <c r="O98" i="16" s="1"/>
  <c r="G90" i="15" a="1"/>
  <c r="G90" i="15" s="1"/>
  <c r="O97" i="16" s="1"/>
  <c r="G89" i="15" a="1"/>
  <c r="G89" i="15" s="1"/>
  <c r="O96" i="16" s="1"/>
  <c r="G88" i="15" a="1"/>
  <c r="G88" i="15" s="1"/>
  <c r="O95" i="16" s="1"/>
  <c r="G87" i="15" a="1"/>
  <c r="G87" i="15" s="1"/>
  <c r="O94" i="16" s="1"/>
  <c r="G86" i="15" a="1"/>
  <c r="G86" i="15" s="1"/>
  <c r="O93" i="16" s="1"/>
  <c r="G85" i="15" a="1"/>
  <c r="G85" i="15" s="1"/>
  <c r="O92" i="16" s="1"/>
  <c r="G84" i="15" a="1"/>
  <c r="G84" i="15" s="1"/>
  <c r="O91" i="16" s="1"/>
  <c r="G83" i="15" a="1"/>
  <c r="G83" i="15" s="1"/>
  <c r="O90" i="16" s="1"/>
  <c r="G82" i="15" a="1"/>
  <c r="G82" i="15" s="1"/>
  <c r="O89" i="16" s="1"/>
  <c r="G81" i="15" a="1"/>
  <c r="G81" i="15" s="1"/>
  <c r="O88" i="16" s="1"/>
  <c r="G80" i="15" a="1"/>
  <c r="G80" i="15" s="1"/>
  <c r="O87" i="16" s="1"/>
  <c r="G79" i="15" a="1"/>
  <c r="G79" i="15" s="1"/>
  <c r="O86" i="16" s="1"/>
  <c r="G78" i="15" a="1"/>
  <c r="G78" i="15" s="1"/>
  <c r="O85" i="16" s="1"/>
  <c r="G77" i="15" a="1"/>
  <c r="G77" i="15" s="1"/>
  <c r="O84" i="16" s="1"/>
  <c r="G76" i="15" a="1"/>
  <c r="G76" i="15" s="1"/>
  <c r="O83" i="16" s="1"/>
  <c r="G75" i="15" a="1"/>
  <c r="G75" i="15" s="1"/>
  <c r="O82" i="16" s="1"/>
  <c r="G74" i="15" a="1"/>
  <c r="G74" i="15" s="1"/>
  <c r="O81" i="16" s="1"/>
  <c r="G73" i="15" a="1"/>
  <c r="G73" i="15" s="1"/>
  <c r="O80" i="16" s="1"/>
  <c r="G72" i="15" a="1"/>
  <c r="G72" i="15" s="1"/>
  <c r="O79" i="16" s="1"/>
  <c r="G71" i="15" a="1"/>
  <c r="G71" i="15" s="1"/>
  <c r="O78" i="16" s="1"/>
  <c r="G70" i="15" a="1"/>
  <c r="G70" i="15" s="1"/>
  <c r="O77" i="16" s="1"/>
  <c r="G69" i="15" a="1"/>
  <c r="G69" i="15" s="1"/>
  <c r="O76" i="16" s="1"/>
  <c r="G31" i="15" a="1"/>
  <c r="G31" i="15" s="1"/>
  <c r="O42" i="16" s="1"/>
  <c r="G30" i="15" a="1"/>
  <c r="G30" i="15" s="1"/>
  <c r="O41" i="16" s="1"/>
  <c r="G29" i="15" a="1"/>
  <c r="G29" i="15" s="1"/>
  <c r="O40" i="16" s="1"/>
  <c r="G28" i="15" a="1"/>
  <c r="G28" i="15" s="1"/>
  <c r="O39" i="16" s="1"/>
  <c r="G27" i="15" a="1"/>
  <c r="G27" i="15" s="1"/>
  <c r="O38" i="16" s="1"/>
  <c r="G26" i="15" a="1"/>
  <c r="G26" i="15" s="1"/>
  <c r="O37" i="16" s="1"/>
  <c r="G25" i="15" a="1"/>
  <c r="G25" i="15" s="1"/>
  <c r="O36" i="16" s="1"/>
  <c r="G24" i="15" a="1"/>
  <c r="G24" i="15" s="1"/>
  <c r="O35" i="16" s="1"/>
  <c r="G23" i="15" a="1"/>
  <c r="G23" i="15" s="1"/>
  <c r="O34" i="16" s="1"/>
  <c r="G22" i="15" a="1"/>
  <c r="G22" i="15" s="1"/>
  <c r="O33" i="16" s="1"/>
  <c r="G21" i="15" a="1"/>
  <c r="G21" i="15" s="1"/>
  <c r="O32" i="16" s="1"/>
  <c r="G20" i="15" a="1"/>
  <c r="G20" i="15" s="1"/>
  <c r="O31" i="16" s="1"/>
  <c r="G19" i="15" a="1"/>
  <c r="G19" i="15" s="1"/>
  <c r="O30" i="16" s="1"/>
  <c r="G18" i="15" a="1"/>
  <c r="G18" i="15" s="1"/>
  <c r="O29" i="16" s="1"/>
  <c r="G17" i="15" a="1"/>
  <c r="G17" i="15" s="1"/>
  <c r="O28" i="16" s="1"/>
  <c r="G16" i="15" a="1"/>
  <c r="G16" i="15" s="1"/>
  <c r="O27" i="16" s="1"/>
  <c r="G15" i="15" a="1"/>
  <c r="G15" i="15" s="1"/>
  <c r="O26" i="16" s="1"/>
  <c r="G14" i="15" a="1"/>
  <c r="G14" i="15" s="1"/>
  <c r="O25" i="16" s="1"/>
  <c r="G13" i="15" a="1"/>
  <c r="G13" i="15" s="1"/>
  <c r="O24" i="16" s="1"/>
  <c r="G12" i="15" a="1"/>
  <c r="G12" i="15" s="1"/>
  <c r="O23" i="16" s="1"/>
  <c r="G11" i="15" a="1"/>
  <c r="G11" i="15" s="1"/>
  <c r="O22" i="16" s="1"/>
  <c r="G10" i="15" a="1"/>
  <c r="G10" i="15" s="1"/>
  <c r="O21" i="16" s="1"/>
  <c r="G9" i="15" a="1"/>
  <c r="G9" i="15" s="1"/>
  <c r="O20" i="16" s="1"/>
  <c r="G8" i="15" a="1"/>
  <c r="G8" i="15" s="1"/>
  <c r="O19" i="16" s="1"/>
  <c r="G7" i="15" a="1"/>
  <c r="G7" i="15" s="1"/>
  <c r="O18" i="16" s="1"/>
  <c r="G47" i="15" a="1"/>
  <c r="G47" i="15" s="1"/>
  <c r="O56" i="16" s="1"/>
  <c r="G48" i="15" a="1"/>
  <c r="G48" i="15" s="1"/>
  <c r="O57" i="16" s="1"/>
  <c r="G49" i="15" a="1"/>
  <c r="G49" i="15" s="1"/>
  <c r="O58" i="16" s="1"/>
  <c r="G50" i="15" a="1"/>
  <c r="G50" i="15" s="1"/>
  <c r="O59" i="16" s="1"/>
  <c r="G51" i="15" a="1"/>
  <c r="G51" i="15" s="1"/>
  <c r="O60" i="16" s="1"/>
  <c r="G52" i="15" a="1"/>
  <c r="G52" i="15" s="1"/>
  <c r="O61" i="16" s="1"/>
  <c r="G53" i="15" a="1"/>
  <c r="G53" i="15" s="1"/>
  <c r="O62" i="16" s="1"/>
  <c r="G54" i="15" a="1"/>
  <c r="G54" i="15" s="1"/>
  <c r="O63" i="16" s="1"/>
  <c r="G55" i="15" a="1"/>
  <c r="G55" i="15" s="1"/>
  <c r="O64" i="16" s="1"/>
  <c r="G56" i="15" a="1"/>
  <c r="G56" i="15" s="1"/>
  <c r="O65" i="16" s="1"/>
  <c r="G57" i="15" a="1"/>
  <c r="G57" i="15" s="1"/>
  <c r="O66" i="16" s="1"/>
  <c r="G58" i="15" a="1"/>
  <c r="G58" i="15" s="1"/>
  <c r="O67" i="16" s="1"/>
  <c r="G59" i="15" a="1"/>
  <c r="G59" i="15" s="1"/>
  <c r="O68" i="16" s="1"/>
  <c r="G60" i="15" a="1"/>
  <c r="G60" i="15" s="1"/>
  <c r="O69" i="16" s="1"/>
  <c r="G61" i="15" a="1"/>
  <c r="G61" i="15" s="1"/>
  <c r="O70" i="16" s="1"/>
  <c r="G62" i="15" a="1"/>
  <c r="G62" i="15" s="1"/>
  <c r="O71" i="16" s="1"/>
  <c r="G38" i="15" a="1"/>
  <c r="G38" i="15" s="1"/>
  <c r="O47" i="16" s="1"/>
  <c r="G39" i="15" a="1"/>
  <c r="G39" i="15" s="1"/>
  <c r="O48" i="16" s="1"/>
  <c r="G40" i="15" a="1"/>
  <c r="G40" i="15" s="1"/>
  <c r="O49" i="16" s="1"/>
  <c r="G41" i="15" a="1"/>
  <c r="G41" i="15" s="1"/>
  <c r="O50" i="16" s="1"/>
  <c r="G42" i="15" a="1"/>
  <c r="G42" i="15" s="1"/>
  <c r="O51" i="16" s="1"/>
  <c r="G43" i="15" a="1"/>
  <c r="G43" i="15" s="1"/>
  <c r="O52" i="16" s="1"/>
  <c r="G44" i="15" a="1"/>
  <c r="G44" i="15" s="1"/>
  <c r="O53" i="16" s="1"/>
  <c r="G45" i="15" a="1"/>
  <c r="G45" i="15" s="1"/>
  <c r="O54" i="16" s="1"/>
  <c r="G46" i="15" a="1"/>
  <c r="G46" i="15" s="1"/>
  <c r="O55" i="16" s="1"/>
  <c r="G780" i="15" a="1"/>
  <c r="G780" i="15" s="1"/>
  <c r="G749" i="15" a="1"/>
  <c r="G749" i="15" s="1"/>
  <c r="G718" i="15" a="1"/>
  <c r="G718" i="15" s="1"/>
  <c r="G687" i="15" a="1"/>
  <c r="G687" i="15" s="1"/>
  <c r="G656" i="15" a="1"/>
  <c r="G656" i="15" s="1"/>
  <c r="G625" i="15" a="1"/>
  <c r="G625" i="15" s="1"/>
  <c r="G594" i="15" a="1"/>
  <c r="G594" i="15" s="1"/>
  <c r="G563" i="15" a="1"/>
  <c r="G563" i="15" s="1"/>
  <c r="G532" i="15" a="1"/>
  <c r="G532" i="15" s="1"/>
  <c r="G501" i="15" a="1"/>
  <c r="G501" i="15" s="1"/>
  <c r="G470" i="15" a="1"/>
  <c r="G470" i="15" s="1"/>
  <c r="G439" i="15" a="1"/>
  <c r="G439" i="15" s="1"/>
  <c r="G408" i="15" a="1"/>
  <c r="G408" i="15" s="1"/>
  <c r="G377" i="15" a="1"/>
  <c r="G377" i="15" s="1"/>
  <c r="G346" i="15" a="1"/>
  <c r="G346" i="15" s="1"/>
  <c r="G315" i="15" a="1"/>
  <c r="G315" i="15" s="1"/>
  <c r="G284" i="15" a="1"/>
  <c r="G284" i="15" s="1"/>
  <c r="G253" i="15" a="1"/>
  <c r="G253" i="15" s="1"/>
  <c r="G222" i="15" a="1"/>
  <c r="G222" i="15" s="1"/>
  <c r="G191" i="15" a="1"/>
  <c r="G191" i="15" s="1"/>
  <c r="G160" i="15" a="1"/>
  <c r="G160" i="15" s="1"/>
  <c r="G129" i="15" a="1"/>
  <c r="G129" i="15" s="1"/>
  <c r="G98" i="15" a="1"/>
  <c r="G98" i="15" s="1"/>
  <c r="G67" i="15" a="1"/>
  <c r="G67" i="15" s="1"/>
  <c r="G36" i="15" a="1"/>
  <c r="G36" i="15" s="1"/>
  <c r="G5" i="15" a="1"/>
  <c r="G5" i="15" s="1"/>
  <c r="G3" i="15"/>
  <c r="H504" i="13"/>
  <c r="H499" i="13"/>
  <c r="H494" i="13"/>
  <c r="H489" i="13"/>
  <c r="H484" i="13"/>
  <c r="H479" i="13"/>
  <c r="H474" i="13"/>
  <c r="H469" i="13"/>
  <c r="H464" i="13"/>
  <c r="H459" i="13"/>
  <c r="H454" i="13"/>
  <c r="H449" i="13"/>
  <c r="H444" i="13"/>
  <c r="H439" i="13"/>
  <c r="H434" i="13"/>
  <c r="H429" i="13"/>
  <c r="H424" i="13"/>
  <c r="H419" i="13"/>
  <c r="H414" i="13"/>
  <c r="H409" i="13"/>
  <c r="H404" i="13"/>
  <c r="H399" i="13"/>
  <c r="H394" i="13"/>
  <c r="H389" i="13"/>
  <c r="H384" i="13"/>
  <c r="H379" i="13"/>
  <c r="H374" i="13"/>
  <c r="H369" i="13"/>
  <c r="H364" i="13"/>
  <c r="H359" i="13"/>
  <c r="H354" i="13"/>
  <c r="H349" i="13"/>
  <c r="H344" i="13"/>
  <c r="H339" i="13"/>
  <c r="H334" i="13"/>
  <c r="H329" i="13"/>
  <c r="H324" i="13"/>
  <c r="H319" i="13"/>
  <c r="H314" i="13"/>
  <c r="H309" i="13"/>
  <c r="H304" i="13"/>
  <c r="H299" i="13"/>
  <c r="H294" i="13"/>
  <c r="H289" i="13"/>
  <c r="H284" i="13"/>
  <c r="H279" i="13"/>
  <c r="H274" i="13"/>
  <c r="H269" i="13"/>
  <c r="H264" i="13"/>
  <c r="H259" i="13"/>
  <c r="H254" i="13"/>
  <c r="H249" i="13"/>
  <c r="H244" i="13"/>
  <c r="H239" i="13"/>
  <c r="H234" i="13"/>
  <c r="H229" i="13"/>
  <c r="H224" i="13"/>
  <c r="H219" i="13"/>
  <c r="H214" i="13"/>
  <c r="H209" i="13"/>
  <c r="H204" i="13"/>
  <c r="H199" i="13"/>
  <c r="H194" i="13"/>
  <c r="H189" i="13"/>
  <c r="H184" i="13"/>
  <c r="H179" i="13"/>
  <c r="H174" i="13"/>
  <c r="H169" i="13"/>
  <c r="H164" i="13"/>
  <c r="H159" i="13"/>
  <c r="H154" i="13"/>
  <c r="H149" i="13"/>
  <c r="H144" i="13"/>
  <c r="H139" i="13"/>
  <c r="H134" i="13"/>
  <c r="H129" i="13"/>
  <c r="H124" i="13"/>
  <c r="H119" i="13"/>
  <c r="H114" i="13"/>
  <c r="H109" i="13"/>
  <c r="H104" i="13"/>
  <c r="H99" i="13"/>
  <c r="H94" i="13"/>
  <c r="H89" i="13"/>
  <c r="H84" i="13"/>
  <c r="H79" i="13"/>
  <c r="H74" i="13"/>
  <c r="H69" i="13"/>
  <c r="H64" i="13"/>
  <c r="H59" i="13"/>
  <c r="H54" i="13"/>
  <c r="H49" i="13"/>
  <c r="H44" i="13"/>
  <c r="H39" i="13"/>
  <c r="H34" i="13"/>
  <c r="H29" i="13"/>
  <c r="H24" i="13"/>
  <c r="H19" i="13"/>
  <c r="H509" i="13"/>
  <c r="H14" i="13"/>
  <c r="J509" i="13" a="1"/>
  <c r="J509" i="13" s="1"/>
  <c r="J504" i="13" a="1"/>
  <c r="J504" i="13" s="1"/>
  <c r="J499" i="13" a="1"/>
  <c r="J499" i="13" s="1"/>
  <c r="J494" i="13" a="1"/>
  <c r="J494" i="13" s="1"/>
  <c r="J489" i="13" a="1"/>
  <c r="J489" i="13" s="1"/>
  <c r="J484" i="13" a="1"/>
  <c r="J484" i="13" s="1"/>
  <c r="J479" i="13" a="1"/>
  <c r="J479" i="13" s="1"/>
  <c r="J474" i="13" a="1"/>
  <c r="J474" i="13" s="1"/>
  <c r="J469" i="13" a="1"/>
  <c r="J469" i="13" s="1"/>
  <c r="J464" i="13" a="1"/>
  <c r="J464" i="13" s="1"/>
  <c r="J459" i="13" a="1"/>
  <c r="J459" i="13" s="1"/>
  <c r="J454" i="13" a="1"/>
  <c r="J454" i="13" s="1"/>
  <c r="J449" i="13" a="1"/>
  <c r="J449" i="13" s="1"/>
  <c r="J444" i="13" a="1"/>
  <c r="J444" i="13" s="1"/>
  <c r="J439" i="13" a="1"/>
  <c r="J439" i="13" s="1"/>
  <c r="J434" i="13" a="1"/>
  <c r="J434" i="13" s="1"/>
  <c r="J429" i="13" a="1"/>
  <c r="J429" i="13" s="1"/>
  <c r="J424" i="13" a="1"/>
  <c r="J424" i="13" s="1"/>
  <c r="J419" i="13" a="1"/>
  <c r="J419" i="13" s="1"/>
  <c r="J414" i="13" a="1"/>
  <c r="J414" i="13" s="1"/>
  <c r="J409" i="13" a="1"/>
  <c r="J409" i="13" s="1"/>
  <c r="J404" i="13" a="1"/>
  <c r="J404" i="13" s="1"/>
  <c r="J399" i="13" a="1"/>
  <c r="J399" i="13" s="1"/>
  <c r="J394" i="13" a="1"/>
  <c r="J394" i="13" s="1"/>
  <c r="J389" i="13" a="1"/>
  <c r="J389" i="13" s="1"/>
  <c r="J384" i="13" a="1"/>
  <c r="J384" i="13" s="1"/>
  <c r="J379" i="13" a="1"/>
  <c r="J379" i="13" s="1"/>
  <c r="J374" i="13" a="1"/>
  <c r="J374" i="13" s="1"/>
  <c r="J369" i="13" a="1"/>
  <c r="J369" i="13" s="1"/>
  <c r="J364" i="13" a="1"/>
  <c r="J364" i="13" s="1"/>
  <c r="J359" i="13" a="1"/>
  <c r="J359" i="13" s="1"/>
  <c r="J354" i="13" a="1"/>
  <c r="J354" i="13" s="1"/>
  <c r="J349" i="13" a="1"/>
  <c r="J349" i="13" s="1"/>
  <c r="J344" i="13" a="1"/>
  <c r="J344" i="13" s="1"/>
  <c r="J339" i="13" a="1"/>
  <c r="J339" i="13" s="1"/>
  <c r="J334" i="13" a="1"/>
  <c r="J334" i="13" s="1"/>
  <c r="J329" i="13" a="1"/>
  <c r="J329" i="13" s="1"/>
  <c r="J324" i="13" a="1"/>
  <c r="J324" i="13" s="1"/>
  <c r="J319" i="13" a="1"/>
  <c r="J319" i="13" s="1"/>
  <c r="J314" i="13" a="1"/>
  <c r="J314" i="13" s="1"/>
  <c r="J309" i="13" a="1"/>
  <c r="J309" i="13" s="1"/>
  <c r="J304" i="13" a="1"/>
  <c r="J304" i="13" s="1"/>
  <c r="J299" i="13" a="1"/>
  <c r="J299" i="13" s="1"/>
  <c r="J294" i="13" a="1"/>
  <c r="J294" i="13" s="1"/>
  <c r="J289" i="13" a="1"/>
  <c r="J289" i="13" s="1"/>
  <c r="J284" i="13" a="1"/>
  <c r="J284" i="13" s="1"/>
  <c r="J279" i="13" a="1"/>
  <c r="J279" i="13" s="1"/>
  <c r="J274" i="13" a="1"/>
  <c r="J274" i="13" s="1"/>
  <c r="J269" i="13" a="1"/>
  <c r="J269" i="13" s="1"/>
  <c r="J264" i="13" a="1"/>
  <c r="J264" i="13" s="1"/>
  <c r="J259" i="13" a="1"/>
  <c r="J259" i="13" s="1"/>
  <c r="J254" i="13" a="1"/>
  <c r="J254" i="13" s="1"/>
  <c r="J249" i="13" a="1"/>
  <c r="J249" i="13" s="1"/>
  <c r="J244" i="13" a="1"/>
  <c r="J244" i="13" s="1"/>
  <c r="J239" i="13" a="1"/>
  <c r="J239" i="13" s="1"/>
  <c r="J234" i="13" a="1"/>
  <c r="J234" i="13" s="1"/>
  <c r="J229" i="13" a="1"/>
  <c r="J229" i="13" s="1"/>
  <c r="J224" i="13" a="1"/>
  <c r="J224" i="13" s="1"/>
  <c r="J219" i="13" a="1"/>
  <c r="J219" i="13" s="1"/>
  <c r="J214" i="13" a="1"/>
  <c r="J214" i="13" s="1"/>
  <c r="J209" i="13" a="1"/>
  <c r="J209" i="13" s="1"/>
  <c r="J204" i="13" a="1"/>
  <c r="J204" i="13" s="1"/>
  <c r="J199" i="13" a="1"/>
  <c r="J199" i="13" s="1"/>
  <c r="J194" i="13" a="1"/>
  <c r="J194" i="13" s="1"/>
  <c r="J189" i="13" a="1"/>
  <c r="J189" i="13" s="1"/>
  <c r="J184" i="13" a="1"/>
  <c r="J184" i="13" s="1"/>
  <c r="J179" i="13" a="1"/>
  <c r="J179" i="13" s="1"/>
  <c r="J174" i="13" a="1"/>
  <c r="J174" i="13" s="1"/>
  <c r="J169" i="13" a="1"/>
  <c r="J169" i="13" s="1"/>
  <c r="J164" i="13" a="1"/>
  <c r="J164" i="13" s="1"/>
  <c r="J159" i="13" a="1"/>
  <c r="J159" i="13" s="1"/>
  <c r="J154" i="13" a="1"/>
  <c r="J154" i="13" s="1"/>
  <c r="J149" i="13" a="1"/>
  <c r="J149" i="13" s="1"/>
  <c r="J144" i="13" a="1"/>
  <c r="J144" i="13" s="1"/>
  <c r="J139" i="13" a="1"/>
  <c r="J139" i="13" s="1"/>
  <c r="J134" i="13" a="1"/>
  <c r="J134" i="13" s="1"/>
  <c r="J129" i="13" a="1"/>
  <c r="J129" i="13" s="1"/>
  <c r="J124" i="13" a="1"/>
  <c r="J124" i="13" s="1"/>
  <c r="J119" i="13" a="1"/>
  <c r="J119" i="13" s="1"/>
  <c r="J114" i="13" a="1"/>
  <c r="J114" i="13" s="1"/>
  <c r="J109" i="13" a="1"/>
  <c r="J109" i="13" s="1"/>
  <c r="J104" i="13" a="1"/>
  <c r="J104" i="13" s="1"/>
  <c r="J99" i="13" a="1"/>
  <c r="J99" i="13" s="1"/>
  <c r="J94" i="13" a="1"/>
  <c r="J94" i="13" s="1"/>
  <c r="J89" i="13" a="1"/>
  <c r="J89" i="13" s="1"/>
  <c r="J84" i="13" a="1"/>
  <c r="J84" i="13" s="1"/>
  <c r="J79" i="13" a="1"/>
  <c r="J79" i="13" s="1"/>
  <c r="J74" i="13" a="1"/>
  <c r="J74" i="13" s="1"/>
  <c r="J69" i="13" a="1"/>
  <c r="J69" i="13" s="1"/>
  <c r="J64" i="13" a="1"/>
  <c r="J64" i="13" s="1"/>
  <c r="J59" i="13" a="1"/>
  <c r="J59" i="13" s="1"/>
  <c r="J54" i="13" a="1"/>
  <c r="J54" i="13" s="1"/>
  <c r="J49" i="13" a="1"/>
  <c r="J49" i="13" s="1"/>
  <c r="J44" i="13" a="1"/>
  <c r="J44" i="13" s="1"/>
  <c r="J39" i="13" a="1"/>
  <c r="J39" i="13" s="1"/>
  <c r="J34" i="13" a="1"/>
  <c r="J34" i="13" s="1"/>
  <c r="J29" i="13" a="1"/>
  <c r="J29" i="13" s="1"/>
  <c r="J24" i="13" a="1"/>
  <c r="J24" i="13" s="1"/>
  <c r="J19" i="13" a="1"/>
  <c r="J19" i="13" s="1"/>
  <c r="J14" i="13" a="1"/>
  <c r="J14" i="13" s="1"/>
  <c r="J9" i="13" a="1"/>
  <c r="J9" i="13" s="1"/>
  <c r="D516" i="13" s="1"/>
  <c r="G509" i="13"/>
  <c r="G504" i="13"/>
  <c r="G499" i="13"/>
  <c r="G494" i="13"/>
  <c r="G489" i="13"/>
  <c r="G484" i="13"/>
  <c r="G479" i="13"/>
  <c r="G474" i="13"/>
  <c r="G469" i="13"/>
  <c r="G464" i="13"/>
  <c r="G459" i="13"/>
  <c r="G454" i="13"/>
  <c r="G449" i="13"/>
  <c r="G444" i="13"/>
  <c r="G439" i="13"/>
  <c r="G434" i="13"/>
  <c r="G429" i="13"/>
  <c r="G424" i="13"/>
  <c r="G419" i="13"/>
  <c r="G414" i="13"/>
  <c r="G409" i="13"/>
  <c r="G404" i="13"/>
  <c r="G399" i="13"/>
  <c r="G394" i="13"/>
  <c r="G389" i="13"/>
  <c r="G384" i="13"/>
  <c r="G379" i="13"/>
  <c r="G374" i="13"/>
  <c r="G369" i="13"/>
  <c r="G364" i="13"/>
  <c r="G359" i="13"/>
  <c r="G354" i="13"/>
  <c r="G349" i="13"/>
  <c r="G344" i="13"/>
  <c r="G339" i="13"/>
  <c r="G334" i="13"/>
  <c r="G329" i="13"/>
  <c r="G324" i="13"/>
  <c r="G319" i="13"/>
  <c r="G314" i="13"/>
  <c r="G309" i="13"/>
  <c r="G304" i="13"/>
  <c r="G299" i="13"/>
  <c r="G294" i="13"/>
  <c r="G289" i="13"/>
  <c r="G284" i="13"/>
  <c r="G279" i="13"/>
  <c r="G274" i="13"/>
  <c r="G269" i="13"/>
  <c r="G264" i="13"/>
  <c r="G259" i="13"/>
  <c r="G254" i="13"/>
  <c r="G249" i="13"/>
  <c r="G244" i="13"/>
  <c r="G239" i="13"/>
  <c r="G234" i="13"/>
  <c r="G229" i="13"/>
  <c r="G224" i="13"/>
  <c r="G219" i="13"/>
  <c r="G214" i="13"/>
  <c r="G209" i="13"/>
  <c r="G204" i="13"/>
  <c r="G199" i="13"/>
  <c r="G194" i="13"/>
  <c r="G189" i="13"/>
  <c r="G184" i="13"/>
  <c r="G179" i="13"/>
  <c r="G174" i="13"/>
  <c r="G169" i="13"/>
  <c r="G164" i="13"/>
  <c r="G159" i="13"/>
  <c r="G154" i="13"/>
  <c r="G149" i="13"/>
  <c r="G144" i="13"/>
  <c r="G139" i="13"/>
  <c r="G134" i="13"/>
  <c r="G129" i="13"/>
  <c r="G124" i="13"/>
  <c r="G119" i="13"/>
  <c r="G114" i="13"/>
  <c r="G109" i="13"/>
  <c r="G104" i="13"/>
  <c r="G99" i="13"/>
  <c r="G94" i="13"/>
  <c r="G89" i="13"/>
  <c r="G84" i="13"/>
  <c r="G79" i="13"/>
  <c r="G74" i="13"/>
  <c r="G69" i="13"/>
  <c r="G64" i="13"/>
  <c r="G59" i="13"/>
  <c r="G54" i="13"/>
  <c r="G49" i="13"/>
  <c r="G44" i="13"/>
  <c r="G39" i="13"/>
  <c r="G34" i="13"/>
  <c r="G29" i="13"/>
  <c r="G24" i="13"/>
  <c r="G19" i="13"/>
  <c r="G14" i="13"/>
  <c r="I509" i="13"/>
  <c r="I504" i="13"/>
  <c r="I499" i="13"/>
  <c r="I494" i="13"/>
  <c r="I489" i="13"/>
  <c r="I484" i="13"/>
  <c r="I479" i="13"/>
  <c r="I474" i="13"/>
  <c r="I469" i="13"/>
  <c r="I464" i="13"/>
  <c r="I459" i="13"/>
  <c r="I454" i="13"/>
  <c r="I449" i="13"/>
  <c r="I444" i="13"/>
  <c r="I439" i="13"/>
  <c r="I434" i="13"/>
  <c r="I429" i="13"/>
  <c r="I424" i="13"/>
  <c r="I419" i="13"/>
  <c r="I414" i="13"/>
  <c r="I409" i="13"/>
  <c r="I404" i="13"/>
  <c r="I399" i="13"/>
  <c r="I394" i="13"/>
  <c r="I389" i="13"/>
  <c r="I384" i="13"/>
  <c r="I379" i="13"/>
  <c r="I374" i="13"/>
  <c r="I369" i="13"/>
  <c r="I364" i="13"/>
  <c r="I359" i="13"/>
  <c r="I354" i="13"/>
  <c r="I349" i="13"/>
  <c r="I344" i="13"/>
  <c r="I339" i="13"/>
  <c r="I334" i="13"/>
  <c r="I329" i="13"/>
  <c r="I324" i="13"/>
  <c r="I319" i="13"/>
  <c r="I314" i="13"/>
  <c r="I309" i="13"/>
  <c r="I304" i="13"/>
  <c r="I299" i="13"/>
  <c r="I294" i="13"/>
  <c r="I289" i="13"/>
  <c r="I284" i="13"/>
  <c r="I279" i="13"/>
  <c r="I274" i="13"/>
  <c r="I269" i="13"/>
  <c r="I264" i="13"/>
  <c r="I259" i="13"/>
  <c r="I254" i="13"/>
  <c r="I249" i="13"/>
  <c r="I244" i="13"/>
  <c r="I239" i="13"/>
  <c r="I234" i="13"/>
  <c r="I229" i="13"/>
  <c r="I224" i="13"/>
  <c r="I219" i="13"/>
  <c r="I214" i="13"/>
  <c r="I209" i="13"/>
  <c r="I204" i="13"/>
  <c r="I199" i="13"/>
  <c r="I194" i="13"/>
  <c r="I189" i="13"/>
  <c r="I184" i="13"/>
  <c r="I179" i="13"/>
  <c r="I174" i="13"/>
  <c r="I169" i="13"/>
  <c r="I164" i="13"/>
  <c r="I159" i="13"/>
  <c r="I154" i="13"/>
  <c r="I149" i="13"/>
  <c r="I144" i="13"/>
  <c r="I139" i="13"/>
  <c r="I134" i="13"/>
  <c r="I129" i="13"/>
  <c r="I124" i="13"/>
  <c r="I119" i="13"/>
  <c r="I114" i="13"/>
  <c r="I109" i="13"/>
  <c r="I104" i="13"/>
  <c r="I99" i="13"/>
  <c r="I94" i="13"/>
  <c r="I89" i="13"/>
  <c r="I84" i="13"/>
  <c r="I79" i="13"/>
  <c r="I74" i="13"/>
  <c r="I69" i="13"/>
  <c r="I64" i="13"/>
  <c r="I59" i="13"/>
  <c r="I54" i="13"/>
  <c r="I49" i="13"/>
  <c r="I44" i="13"/>
  <c r="I39" i="13"/>
  <c r="I34" i="13"/>
  <c r="I29" i="13"/>
  <c r="I24" i="13"/>
  <c r="I19" i="13"/>
  <c r="I14" i="13"/>
  <c r="I9" i="1"/>
  <c r="J8" i="1" s="1"/>
  <c r="E38" i="22" a="1"/>
  <c r="E42" i="22" a="1"/>
  <c r="E46" i="22" a="1"/>
  <c r="E50" i="22" a="1"/>
  <c r="E39" i="22" a="1"/>
  <c r="E43" i="22" a="1"/>
  <c r="E47" i="22" a="1"/>
  <c r="E51" i="22" a="1"/>
  <c r="E40" i="22" a="1"/>
  <c r="E44" i="22" a="1"/>
  <c r="E48" i="22" a="1"/>
  <c r="E52" i="22" a="1"/>
  <c r="E41" i="22" a="1"/>
  <c r="E45" i="22" a="1"/>
  <c r="E49" i="22" a="1"/>
  <c r="E37" i="22" a="1"/>
  <c r="D38" i="22" a="1"/>
  <c r="D42" i="22" a="1"/>
  <c r="D46" i="22" a="1"/>
  <c r="D50" i="22" a="1"/>
  <c r="D39" i="22" a="1"/>
  <c r="D43" i="22" a="1"/>
  <c r="D47" i="22" a="1"/>
  <c r="D51" i="22" a="1"/>
  <c r="D40" i="22" a="1"/>
  <c r="D44" i="22" a="1"/>
  <c r="D48" i="22" a="1"/>
  <c r="D52" i="22" a="1"/>
  <c r="D41" i="22" a="1"/>
  <c r="D45" i="22" a="1"/>
  <c r="D49" i="22" a="1"/>
  <c r="D37" i="22" a="1"/>
  <c r="E49" i="22" l="1"/>
  <c r="E45" i="22"/>
  <c r="E41" i="22"/>
  <c r="E52" i="22"/>
  <c r="E48" i="22"/>
  <c r="E44" i="22"/>
  <c r="E40" i="22"/>
  <c r="E51" i="22"/>
  <c r="E47" i="22"/>
  <c r="E43" i="22"/>
  <c r="E39" i="22"/>
  <c r="E50" i="22"/>
  <c r="E46" i="22"/>
  <c r="E42" i="22"/>
  <c r="E38" i="22"/>
  <c r="E37" i="22"/>
  <c r="D49" i="22"/>
  <c r="D45" i="22"/>
  <c r="D41" i="22"/>
  <c r="D52" i="22"/>
  <c r="D48" i="22"/>
  <c r="D44" i="22"/>
  <c r="D40" i="22"/>
  <c r="D51" i="22"/>
  <c r="D47" i="22"/>
  <c r="D43" i="22"/>
  <c r="D39" i="22"/>
  <c r="D50" i="22"/>
  <c r="D46" i="22"/>
  <c r="D42" i="22"/>
  <c r="D38" i="22"/>
  <c r="D37" i="22"/>
  <c r="T703" i="16"/>
  <c r="G293" i="15"/>
  <c r="O286" i="16" s="1"/>
  <c r="V286" i="16"/>
  <c r="P286" i="16"/>
  <c r="Q286" i="16"/>
  <c r="R286" i="16"/>
  <c r="S286" i="16"/>
  <c r="G301" i="15"/>
  <c r="O294" i="16" s="1"/>
  <c r="V294" i="16"/>
  <c r="P294" i="16"/>
  <c r="R294" i="16"/>
  <c r="S294" i="16"/>
  <c r="G323" i="15"/>
  <c r="O314" i="16" s="1"/>
  <c r="P314" i="16"/>
  <c r="Q314" i="16"/>
  <c r="R314" i="16"/>
  <c r="S314" i="16"/>
  <c r="T314" i="16"/>
  <c r="U314" i="16"/>
  <c r="G331" i="15"/>
  <c r="O322" i="16" s="1"/>
  <c r="P322" i="16"/>
  <c r="R322" i="16"/>
  <c r="S322" i="16"/>
  <c r="T322" i="16"/>
  <c r="U322" i="16"/>
  <c r="G339" i="15"/>
  <c r="O330" i="16" s="1"/>
  <c r="P330" i="16"/>
  <c r="R330" i="16"/>
  <c r="S330" i="16"/>
  <c r="T330" i="16"/>
  <c r="U330" i="16"/>
  <c r="G353" i="15"/>
  <c r="O342" i="16" s="1"/>
  <c r="Q342" i="16"/>
  <c r="R342" i="16"/>
  <c r="S342" i="16"/>
  <c r="T342" i="16"/>
  <c r="U342" i="16"/>
  <c r="V342" i="16"/>
  <c r="G361" i="15"/>
  <c r="O350" i="16" s="1"/>
  <c r="Q350" i="16"/>
  <c r="R350" i="16"/>
  <c r="S350" i="16"/>
  <c r="T350" i="16"/>
  <c r="U350" i="16"/>
  <c r="V350" i="16"/>
  <c r="G369" i="15"/>
  <c r="O358" i="16" s="1"/>
  <c r="Q358" i="16"/>
  <c r="R358" i="16"/>
  <c r="S358" i="16"/>
  <c r="T358" i="16"/>
  <c r="U358" i="16"/>
  <c r="V358" i="16"/>
  <c r="G383" i="15"/>
  <c r="O370" i="16" s="1"/>
  <c r="S370" i="16"/>
  <c r="T370" i="16"/>
  <c r="U370" i="16"/>
  <c r="V370" i="16"/>
  <c r="W370" i="16"/>
  <c r="P370" i="16"/>
  <c r="Q370" i="16"/>
  <c r="G391" i="15"/>
  <c r="O378" i="16" s="1"/>
  <c r="S378" i="16"/>
  <c r="T378" i="16"/>
  <c r="U378" i="16"/>
  <c r="V378" i="16"/>
  <c r="W378" i="16"/>
  <c r="P378" i="16"/>
  <c r="Q378" i="16"/>
  <c r="G399" i="15"/>
  <c r="O386" i="16" s="1"/>
  <c r="S386" i="16"/>
  <c r="T386" i="16"/>
  <c r="U386" i="16"/>
  <c r="V386" i="16"/>
  <c r="W386" i="16"/>
  <c r="P386" i="16"/>
  <c r="G413" i="15"/>
  <c r="O398" i="16" s="1"/>
  <c r="U398" i="16"/>
  <c r="V398" i="16"/>
  <c r="W398" i="16"/>
  <c r="P398" i="16"/>
  <c r="Q398" i="16"/>
  <c r="R398" i="16"/>
  <c r="S398" i="16"/>
  <c r="T398" i="16"/>
  <c r="G421" i="15"/>
  <c r="O406" i="16" s="1"/>
  <c r="U406" i="16"/>
  <c r="V406" i="16"/>
  <c r="W406" i="16"/>
  <c r="P406" i="16"/>
  <c r="Q406" i="16"/>
  <c r="R406" i="16"/>
  <c r="S406" i="16"/>
  <c r="T406" i="16"/>
  <c r="G429" i="15"/>
  <c r="O414" i="16" s="1"/>
  <c r="U414" i="16"/>
  <c r="V414" i="16"/>
  <c r="W414" i="16"/>
  <c r="P414" i="16"/>
  <c r="Q414" i="16"/>
  <c r="R414" i="16"/>
  <c r="S414" i="16"/>
  <c r="G443" i="15"/>
  <c r="O426" i="16" s="1"/>
  <c r="W426" i="16"/>
  <c r="P426" i="16"/>
  <c r="Q426" i="16"/>
  <c r="R426" i="16"/>
  <c r="S426" i="16"/>
  <c r="T426" i="16"/>
  <c r="U426" i="16"/>
  <c r="V426" i="16"/>
  <c r="G451" i="15"/>
  <c r="O434" i="16" s="1"/>
  <c r="W434" i="16"/>
  <c r="P434" i="16"/>
  <c r="Q434" i="16"/>
  <c r="R434" i="16"/>
  <c r="S434" i="16"/>
  <c r="T434" i="16"/>
  <c r="U434" i="16"/>
  <c r="V434" i="16"/>
  <c r="G459" i="15"/>
  <c r="O442" i="16" s="1"/>
  <c r="W442" i="16"/>
  <c r="P442" i="16"/>
  <c r="Q442" i="16"/>
  <c r="R442" i="16"/>
  <c r="S442" i="16"/>
  <c r="T442" i="16"/>
  <c r="U442" i="16"/>
  <c r="V442" i="16"/>
  <c r="G473" i="15"/>
  <c r="O454" i="16" s="1"/>
  <c r="V454" i="16"/>
  <c r="W454" i="16"/>
  <c r="P454" i="16"/>
  <c r="Q454" i="16"/>
  <c r="R454" i="16"/>
  <c r="S454" i="16"/>
  <c r="T454" i="16"/>
  <c r="U454" i="16"/>
  <c r="G481" i="15"/>
  <c r="O462" i="16" s="1"/>
  <c r="V462" i="16"/>
  <c r="W462" i="16"/>
  <c r="P462" i="16"/>
  <c r="Q462" i="16"/>
  <c r="R462" i="16"/>
  <c r="S462" i="16"/>
  <c r="T462" i="16"/>
  <c r="U462" i="16"/>
  <c r="G489" i="15"/>
  <c r="O470" i="16" s="1"/>
  <c r="V470" i="16"/>
  <c r="W470" i="16"/>
  <c r="P470" i="16"/>
  <c r="Q470" i="16"/>
  <c r="R470" i="16"/>
  <c r="S470" i="16"/>
  <c r="T470" i="16"/>
  <c r="U470" i="16"/>
  <c r="G721" i="15"/>
  <c r="O739" i="16" s="1"/>
  <c r="R739" i="16"/>
  <c r="S739" i="16"/>
  <c r="T739" i="16"/>
  <c r="U739" i="16"/>
  <c r="V739" i="16"/>
  <c r="W739" i="16"/>
  <c r="P739" i="16"/>
  <c r="Q739" i="16"/>
  <c r="G729" i="15"/>
  <c r="O747" i="16" s="1"/>
  <c r="R747" i="16"/>
  <c r="S747" i="16"/>
  <c r="T747" i="16"/>
  <c r="U747" i="16"/>
  <c r="V747" i="16"/>
  <c r="W747" i="16"/>
  <c r="P747" i="16"/>
  <c r="Q747" i="16"/>
  <c r="G737" i="15"/>
  <c r="O755" i="16" s="1"/>
  <c r="R755" i="16"/>
  <c r="S755" i="16"/>
  <c r="T755" i="16"/>
  <c r="U755" i="16"/>
  <c r="V755" i="16"/>
  <c r="W755" i="16"/>
  <c r="P755" i="16"/>
  <c r="Q755" i="16"/>
  <c r="G751" i="15"/>
  <c r="O796" i="16" s="1"/>
  <c r="U796" i="16"/>
  <c r="V796" i="16"/>
  <c r="W796" i="16"/>
  <c r="P796" i="16"/>
  <c r="Q796" i="16"/>
  <c r="R796" i="16"/>
  <c r="S796" i="16"/>
  <c r="T796" i="16"/>
  <c r="G759" i="15"/>
  <c r="O804" i="16" s="1"/>
  <c r="U804" i="16"/>
  <c r="V804" i="16"/>
  <c r="W804" i="16"/>
  <c r="P804" i="16"/>
  <c r="Q804" i="16"/>
  <c r="R804" i="16"/>
  <c r="S804" i="16"/>
  <c r="T804" i="16"/>
  <c r="G767" i="15"/>
  <c r="O812" i="16" s="1"/>
  <c r="U812" i="16"/>
  <c r="V812" i="16"/>
  <c r="W812" i="16"/>
  <c r="P812" i="16"/>
  <c r="Q812" i="16"/>
  <c r="R812" i="16"/>
  <c r="S812" i="16"/>
  <c r="T812" i="16"/>
  <c r="G775" i="15"/>
  <c r="O820" i="16" s="1"/>
  <c r="U820" i="16"/>
  <c r="V820" i="16"/>
  <c r="W820" i="16"/>
  <c r="P820" i="16"/>
  <c r="Q820" i="16"/>
  <c r="R820" i="16"/>
  <c r="S820" i="16"/>
  <c r="T820" i="16"/>
  <c r="G789" i="15"/>
  <c r="O774" i="16" s="1"/>
  <c r="U774" i="16"/>
  <c r="V774" i="16"/>
  <c r="W774" i="16"/>
  <c r="P774" i="16"/>
  <c r="Q774" i="16"/>
  <c r="R774" i="16"/>
  <c r="S774" i="16"/>
  <c r="T774" i="16"/>
  <c r="G797" i="15"/>
  <c r="O782" i="16" s="1"/>
  <c r="U782" i="16"/>
  <c r="V782" i="16"/>
  <c r="W782" i="16"/>
  <c r="P782" i="16"/>
  <c r="Q782" i="16"/>
  <c r="R782" i="16"/>
  <c r="S782" i="16"/>
  <c r="T782" i="16"/>
  <c r="G805" i="15"/>
  <c r="O790" i="16" s="1"/>
  <c r="U790" i="16"/>
  <c r="V790" i="16"/>
  <c r="W790" i="16"/>
  <c r="P790" i="16"/>
  <c r="Q790" i="16"/>
  <c r="R790" i="16"/>
  <c r="S790" i="16"/>
  <c r="T790" i="16"/>
  <c r="G819" i="15"/>
  <c r="O487" i="16" s="1"/>
  <c r="W487" i="16"/>
  <c r="P487" i="16"/>
  <c r="Q487" i="16"/>
  <c r="R487" i="16"/>
  <c r="S487" i="16"/>
  <c r="T487" i="16"/>
  <c r="U487" i="16"/>
  <c r="V487" i="16"/>
  <c r="G827" i="15"/>
  <c r="O495" i="16" s="1"/>
  <c r="W495" i="16"/>
  <c r="P495" i="16"/>
  <c r="Q495" i="16"/>
  <c r="R495" i="16"/>
  <c r="S495" i="16"/>
  <c r="T495" i="16"/>
  <c r="U495" i="16"/>
  <c r="V495" i="16"/>
  <c r="G835" i="15"/>
  <c r="O503" i="16" s="1"/>
  <c r="W503" i="16"/>
  <c r="P503" i="16"/>
  <c r="Q503" i="16"/>
  <c r="R503" i="16"/>
  <c r="S503" i="16"/>
  <c r="T503" i="16"/>
  <c r="U503" i="16"/>
  <c r="V503" i="16"/>
  <c r="G843" i="15"/>
  <c r="O511" i="16" s="1"/>
  <c r="W511" i="16"/>
  <c r="P511" i="16"/>
  <c r="Q511" i="16"/>
  <c r="R511" i="16"/>
  <c r="S511" i="16"/>
  <c r="T511" i="16"/>
  <c r="U511" i="16"/>
  <c r="V511" i="16"/>
  <c r="G878" i="15"/>
  <c r="O544" i="16" s="1"/>
  <c r="W544" i="16"/>
  <c r="P544" i="16"/>
  <c r="Q544" i="16"/>
  <c r="R544" i="16"/>
  <c r="S544" i="16"/>
  <c r="T544" i="16"/>
  <c r="U544" i="16"/>
  <c r="V544" i="16"/>
  <c r="G870" i="15"/>
  <c r="O536" i="16" s="1"/>
  <c r="W536" i="16"/>
  <c r="P536" i="16"/>
  <c r="Q536" i="16"/>
  <c r="R536" i="16"/>
  <c r="S536" i="16"/>
  <c r="T536" i="16"/>
  <c r="U536" i="16"/>
  <c r="V536" i="16"/>
  <c r="G862" i="15"/>
  <c r="O528" i="16" s="1"/>
  <c r="U528" i="16"/>
  <c r="V528" i="16"/>
  <c r="W528" i="16"/>
  <c r="P528" i="16"/>
  <c r="Q528" i="16"/>
  <c r="S528" i="16"/>
  <c r="T528" i="16"/>
  <c r="G854" i="15"/>
  <c r="O520" i="16" s="1"/>
  <c r="R520" i="16"/>
  <c r="S520" i="16"/>
  <c r="T520" i="16"/>
  <c r="V520" i="16"/>
  <c r="W520" i="16"/>
  <c r="P520" i="16"/>
  <c r="Q520" i="16"/>
  <c r="U520" i="16"/>
  <c r="G895" i="15"/>
  <c r="O559" i="16" s="1"/>
  <c r="V559" i="16"/>
  <c r="W559" i="16"/>
  <c r="P559" i="16"/>
  <c r="Q559" i="16"/>
  <c r="R559" i="16"/>
  <c r="S559" i="16"/>
  <c r="T559" i="16"/>
  <c r="U559" i="16"/>
  <c r="G903" i="15"/>
  <c r="O567" i="16" s="1"/>
  <c r="W567" i="16"/>
  <c r="P567" i="16"/>
  <c r="Q567" i="16"/>
  <c r="R567" i="16"/>
  <c r="S567" i="16"/>
  <c r="T567" i="16"/>
  <c r="U567" i="16"/>
  <c r="V567" i="16"/>
  <c r="G911" i="15"/>
  <c r="O575" i="16" s="1"/>
  <c r="W575" i="16"/>
  <c r="P575" i="16"/>
  <c r="Q575" i="16"/>
  <c r="R575" i="16"/>
  <c r="S575" i="16"/>
  <c r="T575" i="16"/>
  <c r="U575" i="16"/>
  <c r="V575" i="16"/>
  <c r="G919" i="15"/>
  <c r="O583" i="16" s="1"/>
  <c r="W583" i="16"/>
  <c r="P583" i="16"/>
  <c r="Q583" i="16"/>
  <c r="R583" i="16"/>
  <c r="S583" i="16"/>
  <c r="T583" i="16"/>
  <c r="U583" i="16"/>
  <c r="V583" i="16"/>
  <c r="G933" i="15"/>
  <c r="O595" i="16" s="1"/>
  <c r="Q595" i="16"/>
  <c r="R595" i="16"/>
  <c r="S595" i="16"/>
  <c r="T595" i="16"/>
  <c r="U595" i="16"/>
  <c r="V595" i="16"/>
  <c r="W595" i="16"/>
  <c r="P595" i="16"/>
  <c r="G941" i="15"/>
  <c r="O603" i="16" s="1"/>
  <c r="R603" i="16"/>
  <c r="S603" i="16"/>
  <c r="T603" i="16"/>
  <c r="U603" i="16"/>
  <c r="V603" i="16"/>
  <c r="W603" i="16"/>
  <c r="P603" i="16"/>
  <c r="Q603" i="16"/>
  <c r="G949" i="15"/>
  <c r="O611" i="16" s="1"/>
  <c r="R611" i="16"/>
  <c r="S611" i="16"/>
  <c r="T611" i="16"/>
  <c r="U611" i="16"/>
  <c r="V611" i="16"/>
  <c r="W611" i="16"/>
  <c r="P611" i="16"/>
  <c r="Q611" i="16"/>
  <c r="G957" i="15"/>
  <c r="O619" i="16" s="1"/>
  <c r="T619" i="16"/>
  <c r="R619" i="16"/>
  <c r="S619" i="16"/>
  <c r="U619" i="16"/>
  <c r="V619" i="16"/>
  <c r="W619" i="16"/>
  <c r="P619" i="16"/>
  <c r="Q619" i="16"/>
  <c r="G971" i="15"/>
  <c r="O631" i="16" s="1"/>
  <c r="R631" i="16"/>
  <c r="S631" i="16"/>
  <c r="T631" i="16"/>
  <c r="U631" i="16"/>
  <c r="V631" i="16"/>
  <c r="W631" i="16"/>
  <c r="P631" i="16"/>
  <c r="Q631" i="16"/>
  <c r="G979" i="15"/>
  <c r="O639" i="16" s="1"/>
  <c r="R639" i="16"/>
  <c r="S639" i="16"/>
  <c r="T639" i="16"/>
  <c r="U639" i="16"/>
  <c r="V639" i="16"/>
  <c r="W639" i="16"/>
  <c r="P639" i="16"/>
  <c r="Q639" i="16"/>
  <c r="G987" i="15"/>
  <c r="O647" i="16" s="1"/>
  <c r="S647" i="16"/>
  <c r="T647" i="16"/>
  <c r="U647" i="16"/>
  <c r="V647" i="16"/>
  <c r="W647" i="16"/>
  <c r="P647" i="16"/>
  <c r="Q647" i="16"/>
  <c r="R647" i="16"/>
  <c r="G995" i="15"/>
  <c r="O655" i="16" s="1"/>
  <c r="T655" i="16"/>
  <c r="U655" i="16"/>
  <c r="V655" i="16"/>
  <c r="W655" i="16"/>
  <c r="P655" i="16"/>
  <c r="Q655" i="16"/>
  <c r="R655" i="16"/>
  <c r="S655" i="16"/>
  <c r="G1017" i="15"/>
  <c r="O673" i="16" s="1"/>
  <c r="U673" i="16"/>
  <c r="V673" i="16"/>
  <c r="W673" i="16"/>
  <c r="P673" i="16"/>
  <c r="Q673" i="16"/>
  <c r="R673" i="16"/>
  <c r="T673" i="16"/>
  <c r="S673" i="16"/>
  <c r="G1025" i="15"/>
  <c r="O681" i="16" s="1"/>
  <c r="V681" i="16"/>
  <c r="W681" i="16"/>
  <c r="P681" i="16"/>
  <c r="Q681" i="16"/>
  <c r="R681" i="16"/>
  <c r="S681" i="16"/>
  <c r="T681" i="16"/>
  <c r="U681" i="16"/>
  <c r="G1033" i="15"/>
  <c r="O689" i="16" s="1"/>
  <c r="W689" i="16"/>
  <c r="P689" i="16"/>
  <c r="Q689" i="16"/>
  <c r="R689" i="16"/>
  <c r="V689" i="16"/>
  <c r="S689" i="16"/>
  <c r="T689" i="16"/>
  <c r="U689" i="16"/>
  <c r="G1055" i="15"/>
  <c r="O707" i="16" s="1"/>
  <c r="V707" i="16"/>
  <c r="W707" i="16"/>
  <c r="P707" i="16"/>
  <c r="Q707" i="16"/>
  <c r="R707" i="16"/>
  <c r="S707" i="16"/>
  <c r="T707" i="16"/>
  <c r="U707" i="16"/>
  <c r="G1063" i="15"/>
  <c r="O715" i="16" s="1"/>
  <c r="V715" i="16"/>
  <c r="W715" i="16"/>
  <c r="P715" i="16"/>
  <c r="Q715" i="16"/>
  <c r="R715" i="16"/>
  <c r="S715" i="16"/>
  <c r="T715" i="16"/>
  <c r="U715" i="16"/>
  <c r="G1071" i="15"/>
  <c r="O723" i="16" s="1"/>
  <c r="V723" i="16"/>
  <c r="W723" i="16"/>
  <c r="P723" i="16"/>
  <c r="Q723" i="16"/>
  <c r="R723" i="16"/>
  <c r="S723" i="16"/>
  <c r="T723" i="16"/>
  <c r="U723" i="16"/>
  <c r="G1079" i="15"/>
  <c r="O731" i="16" s="1"/>
  <c r="V731" i="16"/>
  <c r="W731" i="16"/>
  <c r="P731" i="16"/>
  <c r="Q731" i="16"/>
  <c r="R731" i="16"/>
  <c r="S731" i="16"/>
  <c r="T731" i="16"/>
  <c r="U731" i="16"/>
  <c r="T548" i="16"/>
  <c r="T18" i="16"/>
  <c r="T42" i="16"/>
  <c r="U41" i="16"/>
  <c r="V40" i="16"/>
  <c r="W39" i="16"/>
  <c r="P38" i="16"/>
  <c r="Q37" i="16"/>
  <c r="R36" i="16"/>
  <c r="S35" i="16"/>
  <c r="T34" i="16"/>
  <c r="U33" i="16"/>
  <c r="V32" i="16"/>
  <c r="W31" i="16"/>
  <c r="P30" i="16"/>
  <c r="Q29" i="16"/>
  <c r="R28" i="16"/>
  <c r="S27" i="16"/>
  <c r="T26" i="16"/>
  <c r="U25" i="16"/>
  <c r="V24" i="16"/>
  <c r="W23" i="16"/>
  <c r="P22" i="16"/>
  <c r="Q21" i="16"/>
  <c r="R20" i="16"/>
  <c r="S19" i="16"/>
  <c r="U47" i="16"/>
  <c r="U71" i="16"/>
  <c r="V70" i="16"/>
  <c r="W69" i="16"/>
  <c r="P68" i="16"/>
  <c r="Q67" i="16"/>
  <c r="R66" i="16"/>
  <c r="S65" i="16"/>
  <c r="T64" i="16"/>
  <c r="U63" i="16"/>
  <c r="V62" i="16"/>
  <c r="W61" i="16"/>
  <c r="P60" i="16"/>
  <c r="Q59" i="16"/>
  <c r="R58" i="16"/>
  <c r="S57" i="16"/>
  <c r="T56" i="16"/>
  <c r="U55" i="16"/>
  <c r="V54" i="16"/>
  <c r="W53" i="16"/>
  <c r="P52" i="16"/>
  <c r="Q51" i="16"/>
  <c r="R50" i="16"/>
  <c r="S49" i="16"/>
  <c r="T48" i="16"/>
  <c r="V76" i="16"/>
  <c r="V100" i="16"/>
  <c r="W99" i="16"/>
  <c r="P98" i="16"/>
  <c r="Q97" i="16"/>
  <c r="R96" i="16"/>
  <c r="S95" i="16"/>
  <c r="T94" i="16"/>
  <c r="U93" i="16"/>
  <c r="V92" i="16"/>
  <c r="W91" i="16"/>
  <c r="P90" i="16"/>
  <c r="Q89" i="16"/>
  <c r="R88" i="16"/>
  <c r="S87" i="16"/>
  <c r="T86" i="16"/>
  <c r="U85" i="16"/>
  <c r="V84" i="16"/>
  <c r="W83" i="16"/>
  <c r="P82" i="16"/>
  <c r="Q81" i="16"/>
  <c r="R80" i="16"/>
  <c r="S79" i="16"/>
  <c r="T78" i="16"/>
  <c r="U77" i="16"/>
  <c r="W105" i="16"/>
  <c r="W129" i="16"/>
  <c r="P128" i="16"/>
  <c r="Q127" i="16"/>
  <c r="R126" i="16"/>
  <c r="S125" i="16"/>
  <c r="T124" i="16"/>
  <c r="U123" i="16"/>
  <c r="V122" i="16"/>
  <c r="W121" i="16"/>
  <c r="P120" i="16"/>
  <c r="Q119" i="16"/>
  <c r="R118" i="16"/>
  <c r="S117" i="16"/>
  <c r="T116" i="16"/>
  <c r="U115" i="16"/>
  <c r="V114" i="16"/>
  <c r="W113" i="16"/>
  <c r="P112" i="16"/>
  <c r="Q111" i="16"/>
  <c r="R110" i="16"/>
  <c r="S109" i="16"/>
  <c r="T108" i="16"/>
  <c r="U107" i="16"/>
  <c r="V106" i="16"/>
  <c r="P134" i="16"/>
  <c r="P158" i="16"/>
  <c r="Q157" i="16"/>
  <c r="R156" i="16"/>
  <c r="S155" i="16"/>
  <c r="T154" i="16"/>
  <c r="U153" i="16"/>
  <c r="V152" i="16"/>
  <c r="W151" i="16"/>
  <c r="P150" i="16"/>
  <c r="Q149" i="16"/>
  <c r="R148" i="16"/>
  <c r="S147" i="16"/>
  <c r="T146" i="16"/>
  <c r="U145" i="16"/>
  <c r="V144" i="16"/>
  <c r="W143" i="16"/>
  <c r="P142" i="16"/>
  <c r="Q141" i="16"/>
  <c r="R140" i="16"/>
  <c r="S139" i="16"/>
  <c r="T138" i="16"/>
  <c r="U137" i="16"/>
  <c r="V136" i="16"/>
  <c r="W135" i="16"/>
  <c r="Q163" i="16"/>
  <c r="Q187" i="16"/>
  <c r="R186" i="16"/>
  <c r="S185" i="16"/>
  <c r="T184" i="16"/>
  <c r="U183" i="16"/>
  <c r="V182" i="16"/>
  <c r="W181" i="16"/>
  <c r="P180" i="16"/>
  <c r="Q179" i="16"/>
  <c r="R178" i="16"/>
  <c r="S177" i="16"/>
  <c r="T176" i="16"/>
  <c r="U175" i="16"/>
  <c r="V174" i="16"/>
  <c r="W173" i="16"/>
  <c r="P172" i="16"/>
  <c r="Q171" i="16"/>
  <c r="R170" i="16"/>
  <c r="S169" i="16"/>
  <c r="T168" i="16"/>
  <c r="U167" i="16"/>
  <c r="V166" i="16"/>
  <c r="W165" i="16"/>
  <c r="P164" i="16"/>
  <c r="R192" i="16"/>
  <c r="R216" i="16"/>
  <c r="S215" i="16"/>
  <c r="T214" i="16"/>
  <c r="U213" i="16"/>
  <c r="V212" i="16"/>
  <c r="W211" i="16"/>
  <c r="P210" i="16"/>
  <c r="Q209" i="16"/>
  <c r="R208" i="16"/>
  <c r="S207" i="16"/>
  <c r="T206" i="16"/>
  <c r="U205" i="16"/>
  <c r="V204" i="16"/>
  <c r="W203" i="16"/>
  <c r="P202" i="16"/>
  <c r="Q201" i="16"/>
  <c r="R200" i="16"/>
  <c r="S199" i="16"/>
  <c r="T198" i="16"/>
  <c r="U197" i="16"/>
  <c r="V196" i="16"/>
  <c r="W195" i="16"/>
  <c r="P194" i="16"/>
  <c r="Q193" i="16"/>
  <c r="S221" i="16"/>
  <c r="S245" i="16"/>
  <c r="T244" i="16"/>
  <c r="U243" i="16"/>
  <c r="V242" i="16"/>
  <c r="W241" i="16"/>
  <c r="P240" i="16"/>
  <c r="Q239" i="16"/>
  <c r="R238" i="16"/>
  <c r="S237" i="16"/>
  <c r="T236" i="16"/>
  <c r="U235" i="16"/>
  <c r="V234" i="16"/>
  <c r="W233" i="16"/>
  <c r="P232" i="16"/>
  <c r="Q231" i="16"/>
  <c r="R230" i="16"/>
  <c r="S229" i="16"/>
  <c r="T228" i="16"/>
  <c r="U227" i="16"/>
  <c r="V226" i="16"/>
  <c r="W225" i="16"/>
  <c r="P224" i="16"/>
  <c r="Q223" i="16"/>
  <c r="R222" i="16"/>
  <c r="T250" i="16"/>
  <c r="T274" i="16"/>
  <c r="U273" i="16"/>
  <c r="V272" i="16"/>
  <c r="W271" i="16"/>
  <c r="P270" i="16"/>
  <c r="Q269" i="16"/>
  <c r="R268" i="16"/>
  <c r="S267" i="16"/>
  <c r="T266" i="16"/>
  <c r="U265" i="16"/>
  <c r="V264" i="16"/>
  <c r="W263" i="16"/>
  <c r="P262" i="16"/>
  <c r="Q261" i="16"/>
  <c r="R260" i="16"/>
  <c r="S259" i="16"/>
  <c r="T258" i="16"/>
  <c r="U257" i="16"/>
  <c r="V256" i="16"/>
  <c r="W255" i="16"/>
  <c r="P254" i="16"/>
  <c r="Q253" i="16"/>
  <c r="R252" i="16"/>
  <c r="S251" i="16"/>
  <c r="U279" i="16"/>
  <c r="U303" i="16"/>
  <c r="V302" i="16"/>
  <c r="W301" i="16"/>
  <c r="P300" i="16"/>
  <c r="U298" i="16"/>
  <c r="W296" i="16"/>
  <c r="R293" i="16"/>
  <c r="U288" i="16"/>
  <c r="T286" i="16"/>
  <c r="T281" i="16"/>
  <c r="W330" i="16"/>
  <c r="S328" i="16"/>
  <c r="R321" i="16"/>
  <c r="W358" i="16"/>
  <c r="W380" i="16"/>
  <c r="T414" i="16"/>
  <c r="G294" i="15"/>
  <c r="O287" i="16" s="1"/>
  <c r="U287" i="16"/>
  <c r="W287" i="16"/>
  <c r="P287" i="16"/>
  <c r="Q287" i="16"/>
  <c r="R287" i="16"/>
  <c r="G302" i="15"/>
  <c r="O295" i="16" s="1"/>
  <c r="U295" i="16"/>
  <c r="W295" i="16"/>
  <c r="Q295" i="16"/>
  <c r="R295" i="16"/>
  <c r="G324" i="15"/>
  <c r="O315" i="16" s="1"/>
  <c r="W315" i="16"/>
  <c r="P315" i="16"/>
  <c r="Q315" i="16"/>
  <c r="R315" i="16"/>
  <c r="S315" i="16"/>
  <c r="T315" i="16"/>
  <c r="G332" i="15"/>
  <c r="O323" i="16" s="1"/>
  <c r="W323" i="16"/>
  <c r="Q323" i="16"/>
  <c r="R323" i="16"/>
  <c r="S323" i="16"/>
  <c r="T323" i="16"/>
  <c r="G340" i="15"/>
  <c r="O331" i="16" s="1"/>
  <c r="W331" i="16"/>
  <c r="Q331" i="16"/>
  <c r="R331" i="16"/>
  <c r="S331" i="16"/>
  <c r="T331" i="16"/>
  <c r="G354" i="15"/>
  <c r="O343" i="16" s="1"/>
  <c r="P343" i="16"/>
  <c r="Q343" i="16"/>
  <c r="R343" i="16"/>
  <c r="S343" i="16"/>
  <c r="T343" i="16"/>
  <c r="U343" i="16"/>
  <c r="G362" i="15"/>
  <c r="O351" i="16" s="1"/>
  <c r="P351" i="16"/>
  <c r="Q351" i="16"/>
  <c r="R351" i="16"/>
  <c r="S351" i="16"/>
  <c r="T351" i="16"/>
  <c r="U351" i="16"/>
  <c r="G370" i="15"/>
  <c r="O359" i="16" s="1"/>
  <c r="P359" i="16"/>
  <c r="Q359" i="16"/>
  <c r="R359" i="16"/>
  <c r="S359" i="16"/>
  <c r="T359" i="16"/>
  <c r="U359" i="16"/>
  <c r="G384" i="15"/>
  <c r="O371" i="16" s="1"/>
  <c r="R371" i="16"/>
  <c r="S371" i="16"/>
  <c r="T371" i="16"/>
  <c r="U371" i="16"/>
  <c r="V371" i="16"/>
  <c r="W371" i="16"/>
  <c r="P371" i="16"/>
  <c r="G392" i="15"/>
  <c r="O379" i="16" s="1"/>
  <c r="R379" i="16"/>
  <c r="S379" i="16"/>
  <c r="T379" i="16"/>
  <c r="U379" i="16"/>
  <c r="V379" i="16"/>
  <c r="W379" i="16"/>
  <c r="P379" i="16"/>
  <c r="G400" i="15"/>
  <c r="O387" i="16" s="1"/>
  <c r="R387" i="16"/>
  <c r="S387" i="16"/>
  <c r="T387" i="16"/>
  <c r="U387" i="16"/>
  <c r="V387" i="16"/>
  <c r="W387" i="16"/>
  <c r="G414" i="15"/>
  <c r="O399" i="16" s="1"/>
  <c r="T399" i="16"/>
  <c r="U399" i="16"/>
  <c r="V399" i="16"/>
  <c r="W399" i="16"/>
  <c r="P399" i="16"/>
  <c r="Q399" i="16"/>
  <c r="R399" i="16"/>
  <c r="S399" i="16"/>
  <c r="G422" i="15"/>
  <c r="O407" i="16" s="1"/>
  <c r="T407" i="16"/>
  <c r="U407" i="16"/>
  <c r="V407" i="16"/>
  <c r="W407" i="16"/>
  <c r="P407" i="16"/>
  <c r="Q407" i="16"/>
  <c r="R407" i="16"/>
  <c r="S407" i="16"/>
  <c r="G430" i="15"/>
  <c r="O415" i="16" s="1"/>
  <c r="T415" i="16"/>
  <c r="U415" i="16"/>
  <c r="V415" i="16"/>
  <c r="W415" i="16"/>
  <c r="P415" i="16"/>
  <c r="Q415" i="16"/>
  <c r="R415" i="16"/>
  <c r="G444" i="15"/>
  <c r="O427" i="16" s="1"/>
  <c r="V427" i="16"/>
  <c r="W427" i="16"/>
  <c r="P427" i="16"/>
  <c r="Q427" i="16"/>
  <c r="R427" i="16"/>
  <c r="S427" i="16"/>
  <c r="T427" i="16"/>
  <c r="U427" i="16"/>
  <c r="G452" i="15"/>
  <c r="O435" i="16" s="1"/>
  <c r="V435" i="16"/>
  <c r="W435" i="16"/>
  <c r="P435" i="16"/>
  <c r="Q435" i="16"/>
  <c r="R435" i="16"/>
  <c r="S435" i="16"/>
  <c r="T435" i="16"/>
  <c r="U435" i="16"/>
  <c r="G460" i="15"/>
  <c r="O443" i="16" s="1"/>
  <c r="V443" i="16"/>
  <c r="W443" i="16"/>
  <c r="P443" i="16"/>
  <c r="Q443" i="16"/>
  <c r="R443" i="16"/>
  <c r="S443" i="16"/>
  <c r="T443" i="16"/>
  <c r="U443" i="16"/>
  <c r="G474" i="15"/>
  <c r="O455" i="16" s="1"/>
  <c r="U455" i="16"/>
  <c r="V455" i="16"/>
  <c r="W455" i="16"/>
  <c r="P455" i="16"/>
  <c r="Q455" i="16"/>
  <c r="R455" i="16"/>
  <c r="S455" i="16"/>
  <c r="T455" i="16"/>
  <c r="G482" i="15"/>
  <c r="O463" i="16" s="1"/>
  <c r="U463" i="16"/>
  <c r="V463" i="16"/>
  <c r="W463" i="16"/>
  <c r="P463" i="16"/>
  <c r="Q463" i="16"/>
  <c r="R463" i="16"/>
  <c r="S463" i="16"/>
  <c r="T463" i="16"/>
  <c r="G490" i="15"/>
  <c r="O471" i="16" s="1"/>
  <c r="U471" i="16"/>
  <c r="V471" i="16"/>
  <c r="W471" i="16"/>
  <c r="P471" i="16"/>
  <c r="Q471" i="16"/>
  <c r="R471" i="16"/>
  <c r="S471" i="16"/>
  <c r="T471" i="16"/>
  <c r="G722" i="15"/>
  <c r="O740" i="16" s="1"/>
  <c r="Q740" i="16"/>
  <c r="R740" i="16"/>
  <c r="S740" i="16"/>
  <c r="T740" i="16"/>
  <c r="U740" i="16"/>
  <c r="V740" i="16"/>
  <c r="W740" i="16"/>
  <c r="P740" i="16"/>
  <c r="G730" i="15"/>
  <c r="O748" i="16" s="1"/>
  <c r="Q748" i="16"/>
  <c r="R748" i="16"/>
  <c r="S748" i="16"/>
  <c r="T748" i="16"/>
  <c r="U748" i="16"/>
  <c r="V748" i="16"/>
  <c r="W748" i="16"/>
  <c r="P748" i="16"/>
  <c r="G738" i="15"/>
  <c r="O756" i="16" s="1"/>
  <c r="Q756" i="16"/>
  <c r="R756" i="16"/>
  <c r="S756" i="16"/>
  <c r="T756" i="16"/>
  <c r="U756" i="16"/>
  <c r="V756" i="16"/>
  <c r="W756" i="16"/>
  <c r="P756" i="16"/>
  <c r="G752" i="15"/>
  <c r="O797" i="16" s="1"/>
  <c r="T797" i="16"/>
  <c r="U797" i="16"/>
  <c r="V797" i="16"/>
  <c r="W797" i="16"/>
  <c r="P797" i="16"/>
  <c r="Q797" i="16"/>
  <c r="R797" i="16"/>
  <c r="S797" i="16"/>
  <c r="G760" i="15"/>
  <c r="O805" i="16" s="1"/>
  <c r="T805" i="16"/>
  <c r="U805" i="16"/>
  <c r="V805" i="16"/>
  <c r="W805" i="16"/>
  <c r="P805" i="16"/>
  <c r="Q805" i="16"/>
  <c r="R805" i="16"/>
  <c r="S805" i="16"/>
  <c r="G768" i="15"/>
  <c r="O813" i="16" s="1"/>
  <c r="T813" i="16"/>
  <c r="U813" i="16"/>
  <c r="V813" i="16"/>
  <c r="W813" i="16"/>
  <c r="P813" i="16"/>
  <c r="Q813" i="16"/>
  <c r="R813" i="16"/>
  <c r="S813" i="16"/>
  <c r="G782" i="15"/>
  <c r="O767" i="16" s="1"/>
  <c r="T767" i="16"/>
  <c r="U767" i="16"/>
  <c r="V767" i="16"/>
  <c r="W767" i="16"/>
  <c r="P767" i="16"/>
  <c r="Q767" i="16"/>
  <c r="R767" i="16"/>
  <c r="S767" i="16"/>
  <c r="G790" i="15"/>
  <c r="O775" i="16" s="1"/>
  <c r="T775" i="16"/>
  <c r="U775" i="16"/>
  <c r="V775" i="16"/>
  <c r="W775" i="16"/>
  <c r="P775" i="16"/>
  <c r="Q775" i="16"/>
  <c r="R775" i="16"/>
  <c r="S775" i="16"/>
  <c r="G798" i="15"/>
  <c r="O783" i="16" s="1"/>
  <c r="T783" i="16"/>
  <c r="U783" i="16"/>
  <c r="V783" i="16"/>
  <c r="W783" i="16"/>
  <c r="P783" i="16"/>
  <c r="Q783" i="16"/>
  <c r="R783" i="16"/>
  <c r="S783" i="16"/>
  <c r="G806" i="15"/>
  <c r="O791" i="16" s="1"/>
  <c r="T791" i="16"/>
  <c r="U791" i="16"/>
  <c r="V791" i="16"/>
  <c r="W791" i="16"/>
  <c r="P791" i="16"/>
  <c r="Q791" i="16"/>
  <c r="R791" i="16"/>
  <c r="S791" i="16"/>
  <c r="G820" i="15"/>
  <c r="O488" i="16" s="1"/>
  <c r="V488" i="16"/>
  <c r="W488" i="16"/>
  <c r="P488" i="16"/>
  <c r="Q488" i="16"/>
  <c r="R488" i="16"/>
  <c r="S488" i="16"/>
  <c r="T488" i="16"/>
  <c r="U488" i="16"/>
  <c r="G828" i="15"/>
  <c r="O496" i="16" s="1"/>
  <c r="V496" i="16"/>
  <c r="W496" i="16"/>
  <c r="P496" i="16"/>
  <c r="Q496" i="16"/>
  <c r="R496" i="16"/>
  <c r="S496" i="16"/>
  <c r="T496" i="16"/>
  <c r="U496" i="16"/>
  <c r="G836" i="15"/>
  <c r="O504" i="16" s="1"/>
  <c r="V504" i="16"/>
  <c r="W504" i="16"/>
  <c r="P504" i="16"/>
  <c r="Q504" i="16"/>
  <c r="R504" i="16"/>
  <c r="S504" i="16"/>
  <c r="T504" i="16"/>
  <c r="U504" i="16"/>
  <c r="G844" i="15"/>
  <c r="O512" i="16" s="1"/>
  <c r="V512" i="16"/>
  <c r="W512" i="16"/>
  <c r="P512" i="16"/>
  <c r="Q512" i="16"/>
  <c r="R512" i="16"/>
  <c r="S512" i="16"/>
  <c r="T512" i="16"/>
  <c r="U512" i="16"/>
  <c r="G877" i="15"/>
  <c r="O543" i="16" s="1"/>
  <c r="P543" i="16"/>
  <c r="Q543" i="16"/>
  <c r="R543" i="16"/>
  <c r="S543" i="16"/>
  <c r="T543" i="16"/>
  <c r="U543" i="16"/>
  <c r="V543" i="16"/>
  <c r="W543" i="16"/>
  <c r="G869" i="15"/>
  <c r="O535" i="16" s="1"/>
  <c r="P535" i="16"/>
  <c r="Q535" i="16"/>
  <c r="R535" i="16"/>
  <c r="S535" i="16"/>
  <c r="T535" i="16"/>
  <c r="U535" i="16"/>
  <c r="V535" i="16"/>
  <c r="W535" i="16"/>
  <c r="G861" i="15"/>
  <c r="O527" i="16" s="1"/>
  <c r="U527" i="16"/>
  <c r="V527" i="16"/>
  <c r="W527" i="16"/>
  <c r="P527" i="16"/>
  <c r="Q527" i="16"/>
  <c r="S527" i="16"/>
  <c r="G853" i="15"/>
  <c r="O519" i="16" s="1"/>
  <c r="S519" i="16"/>
  <c r="T519" i="16"/>
  <c r="U519" i="16"/>
  <c r="W519" i="16"/>
  <c r="P519" i="16"/>
  <c r="Q519" i="16"/>
  <c r="R519" i="16"/>
  <c r="V519" i="16"/>
  <c r="G896" i="15"/>
  <c r="O560" i="16" s="1"/>
  <c r="U560" i="16"/>
  <c r="V560" i="16"/>
  <c r="W560" i="16"/>
  <c r="P560" i="16"/>
  <c r="Q560" i="16"/>
  <c r="R560" i="16"/>
  <c r="S560" i="16"/>
  <c r="T560" i="16"/>
  <c r="G904" i="15"/>
  <c r="O568" i="16" s="1"/>
  <c r="V568" i="16"/>
  <c r="W568" i="16"/>
  <c r="P568" i="16"/>
  <c r="Q568" i="16"/>
  <c r="R568" i="16"/>
  <c r="S568" i="16"/>
  <c r="T568" i="16"/>
  <c r="U568" i="16"/>
  <c r="G912" i="15"/>
  <c r="O576" i="16" s="1"/>
  <c r="V576" i="16"/>
  <c r="W576" i="16"/>
  <c r="P576" i="16"/>
  <c r="Q576" i="16"/>
  <c r="R576" i="16"/>
  <c r="S576" i="16"/>
  <c r="T576" i="16"/>
  <c r="U576" i="16"/>
  <c r="G920" i="15"/>
  <c r="O584" i="16" s="1"/>
  <c r="V584" i="16"/>
  <c r="W584" i="16"/>
  <c r="P584" i="16"/>
  <c r="Q584" i="16"/>
  <c r="R584" i="16"/>
  <c r="S584" i="16"/>
  <c r="T584" i="16"/>
  <c r="U584" i="16"/>
  <c r="G934" i="15"/>
  <c r="O596" i="16" s="1"/>
  <c r="P596" i="16"/>
  <c r="Q596" i="16"/>
  <c r="R596" i="16"/>
  <c r="S596" i="16"/>
  <c r="T596" i="16"/>
  <c r="U596" i="16"/>
  <c r="V596" i="16"/>
  <c r="W596" i="16"/>
  <c r="G942" i="15"/>
  <c r="O604" i="16" s="1"/>
  <c r="Q604" i="16"/>
  <c r="R604" i="16"/>
  <c r="S604" i="16"/>
  <c r="T604" i="16"/>
  <c r="U604" i="16"/>
  <c r="V604" i="16"/>
  <c r="W604" i="16"/>
  <c r="P604" i="16"/>
  <c r="G950" i="15"/>
  <c r="O612" i="16" s="1"/>
  <c r="Q612" i="16"/>
  <c r="R612" i="16"/>
  <c r="S612" i="16"/>
  <c r="T612" i="16"/>
  <c r="U612" i="16"/>
  <c r="V612" i="16"/>
  <c r="W612" i="16"/>
  <c r="P612" i="16"/>
  <c r="G958" i="15"/>
  <c r="O620" i="16" s="1"/>
  <c r="R620" i="16"/>
  <c r="S620" i="16"/>
  <c r="T620" i="16"/>
  <c r="U620" i="16"/>
  <c r="V620" i="16"/>
  <c r="W620" i="16"/>
  <c r="P620" i="16"/>
  <c r="Q620" i="16"/>
  <c r="G972" i="15"/>
  <c r="O632" i="16" s="1"/>
  <c r="Q632" i="16"/>
  <c r="R632" i="16"/>
  <c r="S632" i="16"/>
  <c r="T632" i="16"/>
  <c r="U632" i="16"/>
  <c r="V632" i="16"/>
  <c r="W632" i="16"/>
  <c r="P632" i="16"/>
  <c r="G980" i="15"/>
  <c r="O640" i="16" s="1"/>
  <c r="Q640" i="16"/>
  <c r="R640" i="16"/>
  <c r="S640" i="16"/>
  <c r="T640" i="16"/>
  <c r="U640" i="16"/>
  <c r="V640" i="16"/>
  <c r="W640" i="16"/>
  <c r="P640" i="16"/>
  <c r="G988" i="15"/>
  <c r="O648" i="16" s="1"/>
  <c r="R648" i="16"/>
  <c r="S648" i="16"/>
  <c r="T648" i="16"/>
  <c r="U648" i="16"/>
  <c r="V648" i="16"/>
  <c r="W648" i="16"/>
  <c r="P648" i="16"/>
  <c r="Q648" i="16"/>
  <c r="G996" i="15"/>
  <c r="O656" i="16" s="1"/>
  <c r="S656" i="16"/>
  <c r="T656" i="16"/>
  <c r="U656" i="16"/>
  <c r="V656" i="16"/>
  <c r="W656" i="16"/>
  <c r="P656" i="16"/>
  <c r="Q656" i="16"/>
  <c r="R656" i="16"/>
  <c r="G1010" i="15"/>
  <c r="O666" i="16" s="1"/>
  <c r="R666" i="16"/>
  <c r="S666" i="16"/>
  <c r="T666" i="16"/>
  <c r="U666" i="16"/>
  <c r="V666" i="16"/>
  <c r="W666" i="16"/>
  <c r="P666" i="16"/>
  <c r="Q666" i="16"/>
  <c r="G1018" i="15"/>
  <c r="O674" i="16" s="1"/>
  <c r="T674" i="16"/>
  <c r="U674" i="16"/>
  <c r="V674" i="16"/>
  <c r="W674" i="16"/>
  <c r="P674" i="16"/>
  <c r="Q674" i="16"/>
  <c r="S674" i="16"/>
  <c r="R674" i="16"/>
  <c r="G1026" i="15"/>
  <c r="O682" i="16" s="1"/>
  <c r="U682" i="16"/>
  <c r="V682" i="16"/>
  <c r="W682" i="16"/>
  <c r="P682" i="16"/>
  <c r="T682" i="16"/>
  <c r="Q682" i="16"/>
  <c r="R682" i="16"/>
  <c r="S682" i="16"/>
  <c r="G1034" i="15"/>
  <c r="O690" i="16" s="1"/>
  <c r="P690" i="16"/>
  <c r="Q690" i="16"/>
  <c r="R690" i="16"/>
  <c r="S690" i="16"/>
  <c r="T690" i="16"/>
  <c r="U690" i="16"/>
  <c r="V690" i="16"/>
  <c r="W690" i="16"/>
  <c r="G1056" i="15"/>
  <c r="O708" i="16" s="1"/>
  <c r="U708" i="16"/>
  <c r="V708" i="16"/>
  <c r="W708" i="16"/>
  <c r="P708" i="16"/>
  <c r="Q708" i="16"/>
  <c r="R708" i="16"/>
  <c r="S708" i="16"/>
  <c r="T708" i="16"/>
  <c r="G1064" i="15"/>
  <c r="O716" i="16" s="1"/>
  <c r="U716" i="16"/>
  <c r="V716" i="16"/>
  <c r="W716" i="16"/>
  <c r="P716" i="16"/>
  <c r="Q716" i="16"/>
  <c r="R716" i="16"/>
  <c r="S716" i="16"/>
  <c r="T716" i="16"/>
  <c r="G1072" i="15"/>
  <c r="O724" i="16" s="1"/>
  <c r="U724" i="16"/>
  <c r="V724" i="16"/>
  <c r="W724" i="16"/>
  <c r="P724" i="16"/>
  <c r="Q724" i="16"/>
  <c r="R724" i="16"/>
  <c r="S724" i="16"/>
  <c r="T724" i="16"/>
  <c r="G1080" i="15"/>
  <c r="O732" i="16" s="1"/>
  <c r="V732" i="16"/>
  <c r="W732" i="16"/>
  <c r="P732" i="16"/>
  <c r="Q732" i="16"/>
  <c r="R732" i="16"/>
  <c r="S732" i="16"/>
  <c r="U732" i="16"/>
  <c r="T313" i="16"/>
  <c r="T565" i="16"/>
  <c r="T704" i="16"/>
  <c r="S18" i="16"/>
  <c r="S42" i="16"/>
  <c r="T41" i="16"/>
  <c r="U40" i="16"/>
  <c r="V39" i="16"/>
  <c r="W38" i="16"/>
  <c r="P37" i="16"/>
  <c r="Q36" i="16"/>
  <c r="R35" i="16"/>
  <c r="S34" i="16"/>
  <c r="T33" i="16"/>
  <c r="U32" i="16"/>
  <c r="V31" i="16"/>
  <c r="W30" i="16"/>
  <c r="P29" i="16"/>
  <c r="Q28" i="16"/>
  <c r="R27" i="16"/>
  <c r="S26" i="16"/>
  <c r="T25" i="16"/>
  <c r="U24" i="16"/>
  <c r="V23" i="16"/>
  <c r="W22" i="16"/>
  <c r="P21" i="16"/>
  <c r="Q20" i="16"/>
  <c r="R19" i="16"/>
  <c r="T47" i="16"/>
  <c r="T71" i="16"/>
  <c r="U70" i="16"/>
  <c r="V69" i="16"/>
  <c r="W68" i="16"/>
  <c r="P67" i="16"/>
  <c r="Q66" i="16"/>
  <c r="R65" i="16"/>
  <c r="S64" i="16"/>
  <c r="T63" i="16"/>
  <c r="U62" i="16"/>
  <c r="V61" i="16"/>
  <c r="W60" i="16"/>
  <c r="P59" i="16"/>
  <c r="Q58" i="16"/>
  <c r="R57" i="16"/>
  <c r="S56" i="16"/>
  <c r="T55" i="16"/>
  <c r="U54" i="16"/>
  <c r="V53" i="16"/>
  <c r="W52" i="16"/>
  <c r="P51" i="16"/>
  <c r="Q50" i="16"/>
  <c r="R49" i="16"/>
  <c r="S48" i="16"/>
  <c r="U76" i="16"/>
  <c r="U100" i="16"/>
  <c r="V99" i="16"/>
  <c r="W98" i="16"/>
  <c r="P97" i="16"/>
  <c r="Q96" i="16"/>
  <c r="R95" i="16"/>
  <c r="S94" i="16"/>
  <c r="T93" i="16"/>
  <c r="U92" i="16"/>
  <c r="V91" i="16"/>
  <c r="W90" i="16"/>
  <c r="P89" i="16"/>
  <c r="Q88" i="16"/>
  <c r="R87" i="16"/>
  <c r="S86" i="16"/>
  <c r="T85" i="16"/>
  <c r="U84" i="16"/>
  <c r="V83" i="16"/>
  <c r="W82" i="16"/>
  <c r="P81" i="16"/>
  <c r="Q80" i="16"/>
  <c r="R79" i="16"/>
  <c r="S78" i="16"/>
  <c r="T77" i="16"/>
  <c r="V105" i="16"/>
  <c r="V129" i="16"/>
  <c r="W128" i="16"/>
  <c r="P127" i="16"/>
  <c r="Q126" i="16"/>
  <c r="R125" i="16"/>
  <c r="S124" i="16"/>
  <c r="T123" i="16"/>
  <c r="U122" i="16"/>
  <c r="V121" i="16"/>
  <c r="W120" i="16"/>
  <c r="P119" i="16"/>
  <c r="Q118" i="16"/>
  <c r="R117" i="16"/>
  <c r="S116" i="16"/>
  <c r="T115" i="16"/>
  <c r="U114" i="16"/>
  <c r="V113" i="16"/>
  <c r="W112" i="16"/>
  <c r="P111" i="16"/>
  <c r="Q110" i="16"/>
  <c r="R109" i="16"/>
  <c r="S108" i="16"/>
  <c r="T107" i="16"/>
  <c r="U106" i="16"/>
  <c r="W134" i="16"/>
  <c r="W158" i="16"/>
  <c r="P157" i="16"/>
  <c r="Q156" i="16"/>
  <c r="R155" i="16"/>
  <c r="S154" i="16"/>
  <c r="T153" i="16"/>
  <c r="U152" i="16"/>
  <c r="V151" i="16"/>
  <c r="W150" i="16"/>
  <c r="P149" i="16"/>
  <c r="Q148" i="16"/>
  <c r="R147" i="16"/>
  <c r="S146" i="16"/>
  <c r="T145" i="16"/>
  <c r="U144" i="16"/>
  <c r="V143" i="16"/>
  <c r="W142" i="16"/>
  <c r="P141" i="16"/>
  <c r="Q140" i="16"/>
  <c r="R139" i="16"/>
  <c r="S138" i="16"/>
  <c r="T137" i="16"/>
  <c r="U136" i="16"/>
  <c r="V135" i="16"/>
  <c r="P163" i="16"/>
  <c r="P187" i="16"/>
  <c r="Q186" i="16"/>
  <c r="R185" i="16"/>
  <c r="S184" i="16"/>
  <c r="T183" i="16"/>
  <c r="U182" i="16"/>
  <c r="V181" i="16"/>
  <c r="W180" i="16"/>
  <c r="P179" i="16"/>
  <c r="Q178" i="16"/>
  <c r="R177" i="16"/>
  <c r="S176" i="16"/>
  <c r="T175" i="16"/>
  <c r="U174" i="16"/>
  <c r="V173" i="16"/>
  <c r="W172" i="16"/>
  <c r="P171" i="16"/>
  <c r="Q170" i="16"/>
  <c r="R169" i="16"/>
  <c r="S168" i="16"/>
  <c r="T167" i="16"/>
  <c r="U166" i="16"/>
  <c r="V165" i="16"/>
  <c r="W164" i="16"/>
  <c r="Q192" i="16"/>
  <c r="Q216" i="16"/>
  <c r="R215" i="16"/>
  <c r="S214" i="16"/>
  <c r="T213" i="16"/>
  <c r="U212" i="16"/>
  <c r="V211" i="16"/>
  <c r="W210" i="16"/>
  <c r="P209" i="16"/>
  <c r="Q208" i="16"/>
  <c r="R207" i="16"/>
  <c r="S206" i="16"/>
  <c r="T205" i="16"/>
  <c r="U204" i="16"/>
  <c r="V203" i="16"/>
  <c r="W202" i="16"/>
  <c r="P201" i="16"/>
  <c r="Q200" i="16"/>
  <c r="R199" i="16"/>
  <c r="S198" i="16"/>
  <c r="T197" i="16"/>
  <c r="U196" i="16"/>
  <c r="V195" i="16"/>
  <c r="W194" i="16"/>
  <c r="P193" i="16"/>
  <c r="R221" i="16"/>
  <c r="R245" i="16"/>
  <c r="S244" i="16"/>
  <c r="T243" i="16"/>
  <c r="U242" i="16"/>
  <c r="V241" i="16"/>
  <c r="W240" i="16"/>
  <c r="P239" i="16"/>
  <c r="Q238" i="16"/>
  <c r="R237" i="16"/>
  <c r="S236" i="16"/>
  <c r="T235" i="16"/>
  <c r="U234" i="16"/>
  <c r="V233" i="16"/>
  <c r="W232" i="16"/>
  <c r="P231" i="16"/>
  <c r="Q230" i="16"/>
  <c r="R229" i="16"/>
  <c r="S228" i="16"/>
  <c r="T227" i="16"/>
  <c r="U226" i="16"/>
  <c r="V225" i="16"/>
  <c r="W224" i="16"/>
  <c r="P223" i="16"/>
  <c r="Q222" i="16"/>
  <c r="S250" i="16"/>
  <c r="S274" i="16"/>
  <c r="T273" i="16"/>
  <c r="U272" i="16"/>
  <c r="V271" i="16"/>
  <c r="W270" i="16"/>
  <c r="P269" i="16"/>
  <c r="Q268" i="16"/>
  <c r="R267" i="16"/>
  <c r="S266" i="16"/>
  <c r="T265" i="16"/>
  <c r="U264" i="16"/>
  <c r="V263" i="16"/>
  <c r="W262" i="16"/>
  <c r="P261" i="16"/>
  <c r="Q260" i="16"/>
  <c r="R259" i="16"/>
  <c r="S258" i="16"/>
  <c r="T257" i="16"/>
  <c r="U256" i="16"/>
  <c r="V255" i="16"/>
  <c r="W254" i="16"/>
  <c r="P253" i="16"/>
  <c r="Q252" i="16"/>
  <c r="R251" i="16"/>
  <c r="T279" i="16"/>
  <c r="T303" i="16"/>
  <c r="U302" i="16"/>
  <c r="V301" i="16"/>
  <c r="W300" i="16"/>
  <c r="S298" i="16"/>
  <c r="W294" i="16"/>
  <c r="P293" i="16"/>
  <c r="W283" i="16"/>
  <c r="R281" i="16"/>
  <c r="V330" i="16"/>
  <c r="Q328" i="16"/>
  <c r="V325" i="16"/>
  <c r="U323" i="16"/>
  <c r="S318" i="16"/>
  <c r="W314" i="16"/>
  <c r="Q311" i="16"/>
  <c r="U361" i="16"/>
  <c r="P358" i="16"/>
  <c r="T354" i="16"/>
  <c r="S347" i="16"/>
  <c r="W343" i="16"/>
  <c r="R340" i="16"/>
  <c r="V390" i="16"/>
  <c r="Q387" i="16"/>
  <c r="U383" i="16"/>
  <c r="G287" i="15"/>
  <c r="O280" i="16" s="1"/>
  <c r="T280" i="16"/>
  <c r="V280" i="16"/>
  <c r="W280" i="16"/>
  <c r="P280" i="16"/>
  <c r="Q280" i="16"/>
  <c r="G295" i="15"/>
  <c r="O288" i="16" s="1"/>
  <c r="T288" i="16"/>
  <c r="V288" i="16"/>
  <c r="W288" i="16"/>
  <c r="P288" i="16"/>
  <c r="Q288" i="16"/>
  <c r="G303" i="15"/>
  <c r="O296" i="16" s="1"/>
  <c r="T296" i="16"/>
  <c r="V296" i="16"/>
  <c r="P296" i="16"/>
  <c r="Q296" i="16"/>
  <c r="G317" i="15"/>
  <c r="O308" i="16" s="1"/>
  <c r="V308" i="16"/>
  <c r="P308" i="16"/>
  <c r="Q308" i="16"/>
  <c r="R308" i="16"/>
  <c r="S308" i="16"/>
  <c r="G325" i="15"/>
  <c r="O316" i="16" s="1"/>
  <c r="V316" i="16"/>
  <c r="W316" i="16"/>
  <c r="P316" i="16"/>
  <c r="Q316" i="16"/>
  <c r="R316" i="16"/>
  <c r="S316" i="16"/>
  <c r="G333" i="15"/>
  <c r="O324" i="16" s="1"/>
  <c r="V324" i="16"/>
  <c r="P324" i="16"/>
  <c r="Q324" i="16"/>
  <c r="R324" i="16"/>
  <c r="S324" i="16"/>
  <c r="G341" i="15"/>
  <c r="O332" i="16" s="1"/>
  <c r="V332" i="16"/>
  <c r="P332" i="16"/>
  <c r="Q332" i="16"/>
  <c r="R332" i="16"/>
  <c r="S332" i="16"/>
  <c r="G355" i="15"/>
  <c r="O344" i="16" s="1"/>
  <c r="W344" i="16"/>
  <c r="P344" i="16"/>
  <c r="Q344" i="16"/>
  <c r="R344" i="16"/>
  <c r="S344" i="16"/>
  <c r="T344" i="16"/>
  <c r="G363" i="15"/>
  <c r="O352" i="16" s="1"/>
  <c r="W352" i="16"/>
  <c r="P352" i="16"/>
  <c r="Q352" i="16"/>
  <c r="R352" i="16"/>
  <c r="S352" i="16"/>
  <c r="T352" i="16"/>
  <c r="G371" i="15"/>
  <c r="O360" i="16" s="1"/>
  <c r="W360" i="16"/>
  <c r="P360" i="16"/>
  <c r="Q360" i="16"/>
  <c r="R360" i="16"/>
  <c r="S360" i="16"/>
  <c r="T360" i="16"/>
  <c r="G385" i="15"/>
  <c r="O372" i="16" s="1"/>
  <c r="Q372" i="16"/>
  <c r="R372" i="16"/>
  <c r="S372" i="16"/>
  <c r="T372" i="16"/>
  <c r="U372" i="16"/>
  <c r="V372" i="16"/>
  <c r="W372" i="16"/>
  <c r="G393" i="15"/>
  <c r="O380" i="16" s="1"/>
  <c r="Q380" i="16"/>
  <c r="R380" i="16"/>
  <c r="S380" i="16"/>
  <c r="T380" i="16"/>
  <c r="U380" i="16"/>
  <c r="V380" i="16"/>
  <c r="G401" i="15"/>
  <c r="O388" i="16" s="1"/>
  <c r="Q388" i="16"/>
  <c r="R388" i="16"/>
  <c r="S388" i="16"/>
  <c r="T388" i="16"/>
  <c r="U388" i="16"/>
  <c r="V388" i="16"/>
  <c r="G415" i="15"/>
  <c r="O400" i="16" s="1"/>
  <c r="S400" i="16"/>
  <c r="T400" i="16"/>
  <c r="U400" i="16"/>
  <c r="V400" i="16"/>
  <c r="W400" i="16"/>
  <c r="P400" i="16"/>
  <c r="Q400" i="16"/>
  <c r="R400" i="16"/>
  <c r="G423" i="15"/>
  <c r="O408" i="16" s="1"/>
  <c r="S408" i="16"/>
  <c r="T408" i="16"/>
  <c r="U408" i="16"/>
  <c r="V408" i="16"/>
  <c r="W408" i="16"/>
  <c r="P408" i="16"/>
  <c r="Q408" i="16"/>
  <c r="R408" i="16"/>
  <c r="G431" i="15"/>
  <c r="O416" i="16" s="1"/>
  <c r="S416" i="16"/>
  <c r="T416" i="16"/>
  <c r="U416" i="16"/>
  <c r="V416" i="16"/>
  <c r="W416" i="16"/>
  <c r="P416" i="16"/>
  <c r="Q416" i="16"/>
  <c r="G445" i="15"/>
  <c r="O428" i="16" s="1"/>
  <c r="U428" i="16"/>
  <c r="V428" i="16"/>
  <c r="W428" i="16"/>
  <c r="P428" i="16"/>
  <c r="Q428" i="16"/>
  <c r="R428" i="16"/>
  <c r="S428" i="16"/>
  <c r="T428" i="16"/>
  <c r="G453" i="15"/>
  <c r="O436" i="16" s="1"/>
  <c r="U436" i="16"/>
  <c r="V436" i="16"/>
  <c r="W436" i="16"/>
  <c r="P436" i="16"/>
  <c r="Q436" i="16"/>
  <c r="R436" i="16"/>
  <c r="S436" i="16"/>
  <c r="T436" i="16"/>
  <c r="G461" i="15"/>
  <c r="O444" i="16" s="1"/>
  <c r="U444" i="16"/>
  <c r="V444" i="16"/>
  <c r="W444" i="16"/>
  <c r="P444" i="16"/>
  <c r="Q444" i="16"/>
  <c r="R444" i="16"/>
  <c r="S444" i="16"/>
  <c r="T444" i="16"/>
  <c r="G475" i="15"/>
  <c r="O456" i="16" s="1"/>
  <c r="T456" i="16"/>
  <c r="U456" i="16"/>
  <c r="V456" i="16"/>
  <c r="W456" i="16"/>
  <c r="P456" i="16"/>
  <c r="Q456" i="16"/>
  <c r="R456" i="16"/>
  <c r="S456" i="16"/>
  <c r="G483" i="15"/>
  <c r="O464" i="16" s="1"/>
  <c r="T464" i="16"/>
  <c r="U464" i="16"/>
  <c r="V464" i="16"/>
  <c r="W464" i="16"/>
  <c r="P464" i="16"/>
  <c r="Q464" i="16"/>
  <c r="R464" i="16"/>
  <c r="S464" i="16"/>
  <c r="G491" i="15"/>
  <c r="O472" i="16" s="1"/>
  <c r="T472" i="16"/>
  <c r="U472" i="16"/>
  <c r="V472" i="16"/>
  <c r="W472" i="16"/>
  <c r="P472" i="16"/>
  <c r="Q472" i="16"/>
  <c r="R472" i="16"/>
  <c r="S472" i="16"/>
  <c r="G723" i="15"/>
  <c r="O741" i="16" s="1"/>
  <c r="P741" i="16"/>
  <c r="Q741" i="16"/>
  <c r="R741" i="16"/>
  <c r="S741" i="16"/>
  <c r="T741" i="16"/>
  <c r="U741" i="16"/>
  <c r="V741" i="16"/>
  <c r="W741" i="16"/>
  <c r="G731" i="15"/>
  <c r="O749" i="16" s="1"/>
  <c r="P749" i="16"/>
  <c r="Q749" i="16"/>
  <c r="R749" i="16"/>
  <c r="S749" i="16"/>
  <c r="T749" i="16"/>
  <c r="U749" i="16"/>
  <c r="V749" i="16"/>
  <c r="W749" i="16"/>
  <c r="G739" i="15"/>
  <c r="O757" i="16" s="1"/>
  <c r="P757" i="16"/>
  <c r="Q757" i="16"/>
  <c r="R757" i="16"/>
  <c r="S757" i="16"/>
  <c r="T757" i="16"/>
  <c r="U757" i="16"/>
  <c r="V757" i="16"/>
  <c r="W757" i="16"/>
  <c r="G753" i="15"/>
  <c r="O798" i="16" s="1"/>
  <c r="S798" i="16"/>
  <c r="T798" i="16"/>
  <c r="U798" i="16"/>
  <c r="V798" i="16"/>
  <c r="W798" i="16"/>
  <c r="P798" i="16"/>
  <c r="Q798" i="16"/>
  <c r="R798" i="16"/>
  <c r="G761" i="15"/>
  <c r="O806" i="16" s="1"/>
  <c r="S806" i="16"/>
  <c r="T806" i="16"/>
  <c r="U806" i="16"/>
  <c r="V806" i="16"/>
  <c r="W806" i="16"/>
  <c r="P806" i="16"/>
  <c r="Q806" i="16"/>
  <c r="R806" i="16"/>
  <c r="G769" i="15"/>
  <c r="O814" i="16" s="1"/>
  <c r="S814" i="16"/>
  <c r="T814" i="16"/>
  <c r="U814" i="16"/>
  <c r="V814" i="16"/>
  <c r="W814" i="16"/>
  <c r="P814" i="16"/>
  <c r="Q814" i="16"/>
  <c r="R814" i="16"/>
  <c r="G783" i="15"/>
  <c r="O768" i="16" s="1"/>
  <c r="S768" i="16"/>
  <c r="T768" i="16"/>
  <c r="U768" i="16"/>
  <c r="V768" i="16"/>
  <c r="W768" i="16"/>
  <c r="P768" i="16"/>
  <c r="Q768" i="16"/>
  <c r="R768" i="16"/>
  <c r="G791" i="15"/>
  <c r="O776" i="16" s="1"/>
  <c r="S776" i="16"/>
  <c r="T776" i="16"/>
  <c r="U776" i="16"/>
  <c r="V776" i="16"/>
  <c r="W776" i="16"/>
  <c r="P776" i="16"/>
  <c r="Q776" i="16"/>
  <c r="R776" i="16"/>
  <c r="G799" i="15"/>
  <c r="O784" i="16" s="1"/>
  <c r="S784" i="16"/>
  <c r="T784" i="16"/>
  <c r="U784" i="16"/>
  <c r="V784" i="16"/>
  <c r="W784" i="16"/>
  <c r="P784" i="16"/>
  <c r="Q784" i="16"/>
  <c r="R784" i="16"/>
  <c r="G821" i="15"/>
  <c r="O489" i="16" s="1"/>
  <c r="U489" i="16"/>
  <c r="V489" i="16"/>
  <c r="W489" i="16"/>
  <c r="P489" i="16"/>
  <c r="Q489" i="16"/>
  <c r="R489" i="16"/>
  <c r="S489" i="16"/>
  <c r="T489" i="16"/>
  <c r="G829" i="15"/>
  <c r="O497" i="16" s="1"/>
  <c r="U497" i="16"/>
  <c r="V497" i="16"/>
  <c r="W497" i="16"/>
  <c r="P497" i="16"/>
  <c r="Q497" i="16"/>
  <c r="R497" i="16"/>
  <c r="S497" i="16"/>
  <c r="T497" i="16"/>
  <c r="G837" i="15"/>
  <c r="O505" i="16" s="1"/>
  <c r="U505" i="16"/>
  <c r="V505" i="16"/>
  <c r="W505" i="16"/>
  <c r="P505" i="16"/>
  <c r="Q505" i="16"/>
  <c r="R505" i="16"/>
  <c r="S505" i="16"/>
  <c r="T505" i="16"/>
  <c r="G845" i="15"/>
  <c r="O513" i="16" s="1"/>
  <c r="T513" i="16"/>
  <c r="U513" i="16"/>
  <c r="V513" i="16"/>
  <c r="W513" i="16"/>
  <c r="P513" i="16"/>
  <c r="Q513" i="16"/>
  <c r="R513" i="16"/>
  <c r="S513" i="16"/>
  <c r="G876" i="15"/>
  <c r="O542" i="16" s="1"/>
  <c r="Q542" i="16"/>
  <c r="R542" i="16"/>
  <c r="S542" i="16"/>
  <c r="T542" i="16"/>
  <c r="U542" i="16"/>
  <c r="V542" i="16"/>
  <c r="W542" i="16"/>
  <c r="P542" i="16"/>
  <c r="G868" i="15"/>
  <c r="O534" i="16" s="1"/>
  <c r="Q534" i="16"/>
  <c r="R534" i="16"/>
  <c r="S534" i="16"/>
  <c r="T534" i="16"/>
  <c r="U534" i="16"/>
  <c r="V534" i="16"/>
  <c r="W534" i="16"/>
  <c r="P534" i="16"/>
  <c r="G860" i="15"/>
  <c r="O526" i="16" s="1"/>
  <c r="T526" i="16"/>
  <c r="U526" i="16"/>
  <c r="V526" i="16"/>
  <c r="W526" i="16"/>
  <c r="P526" i="16"/>
  <c r="Q526" i="16"/>
  <c r="R526" i="16"/>
  <c r="S526" i="16"/>
  <c r="G889" i="15"/>
  <c r="O553" i="16" s="1"/>
  <c r="U553" i="16"/>
  <c r="V553" i="16"/>
  <c r="W553" i="16"/>
  <c r="P553" i="16"/>
  <c r="Q553" i="16"/>
  <c r="R553" i="16"/>
  <c r="S553" i="16"/>
  <c r="T553" i="16"/>
  <c r="G897" i="15"/>
  <c r="O561" i="16" s="1"/>
  <c r="T561" i="16"/>
  <c r="U561" i="16"/>
  <c r="V561" i="16"/>
  <c r="W561" i="16"/>
  <c r="P561" i="16"/>
  <c r="Q561" i="16"/>
  <c r="R561" i="16"/>
  <c r="S561" i="16"/>
  <c r="G905" i="15"/>
  <c r="O569" i="16" s="1"/>
  <c r="U569" i="16"/>
  <c r="V569" i="16"/>
  <c r="W569" i="16"/>
  <c r="P569" i="16"/>
  <c r="Q569" i="16"/>
  <c r="R569" i="16"/>
  <c r="S569" i="16"/>
  <c r="T569" i="16"/>
  <c r="G913" i="15"/>
  <c r="O577" i="16" s="1"/>
  <c r="U577" i="16"/>
  <c r="V577" i="16"/>
  <c r="W577" i="16"/>
  <c r="P577" i="16"/>
  <c r="Q577" i="16"/>
  <c r="R577" i="16"/>
  <c r="S577" i="16"/>
  <c r="T577" i="16"/>
  <c r="G921" i="15"/>
  <c r="O585" i="16" s="1"/>
  <c r="V585" i="16"/>
  <c r="W585" i="16"/>
  <c r="P585" i="16"/>
  <c r="Q585" i="16"/>
  <c r="R585" i="16"/>
  <c r="S585" i="16"/>
  <c r="U585" i="16"/>
  <c r="G935" i="15"/>
  <c r="O597" i="16" s="1"/>
  <c r="W597" i="16"/>
  <c r="P597" i="16"/>
  <c r="Q597" i="16"/>
  <c r="R597" i="16"/>
  <c r="S597" i="16"/>
  <c r="T597" i="16"/>
  <c r="U597" i="16"/>
  <c r="V597" i="16"/>
  <c r="G943" i="15"/>
  <c r="O605" i="16" s="1"/>
  <c r="P605" i="16"/>
  <c r="Q605" i="16"/>
  <c r="R605" i="16"/>
  <c r="S605" i="16"/>
  <c r="T605" i="16"/>
  <c r="U605" i="16"/>
  <c r="V605" i="16"/>
  <c r="W605" i="16"/>
  <c r="G951" i="15"/>
  <c r="O613" i="16" s="1"/>
  <c r="P613" i="16"/>
  <c r="Q613" i="16"/>
  <c r="R613" i="16"/>
  <c r="S613" i="16"/>
  <c r="T613" i="16"/>
  <c r="U613" i="16"/>
  <c r="V613" i="16"/>
  <c r="W613" i="16"/>
  <c r="G959" i="15"/>
  <c r="O621" i="16" s="1"/>
  <c r="Q621" i="16"/>
  <c r="R621" i="16"/>
  <c r="S621" i="16"/>
  <c r="T621" i="16"/>
  <c r="U621" i="16"/>
  <c r="V621" i="16"/>
  <c r="W621" i="16"/>
  <c r="P621" i="16"/>
  <c r="G973" i="15"/>
  <c r="O633" i="16" s="1"/>
  <c r="P633" i="16"/>
  <c r="Q633" i="16"/>
  <c r="R633" i="16"/>
  <c r="S633" i="16"/>
  <c r="T633" i="16"/>
  <c r="U633" i="16"/>
  <c r="V633" i="16"/>
  <c r="W633" i="16"/>
  <c r="G981" i="15"/>
  <c r="O641" i="16" s="1"/>
  <c r="P641" i="16"/>
  <c r="Q641" i="16"/>
  <c r="R641" i="16"/>
  <c r="S641" i="16"/>
  <c r="T641" i="16"/>
  <c r="U641" i="16"/>
  <c r="V641" i="16"/>
  <c r="W641" i="16"/>
  <c r="G989" i="15"/>
  <c r="O649" i="16" s="1"/>
  <c r="Q649" i="16"/>
  <c r="R649" i="16"/>
  <c r="S649" i="16"/>
  <c r="U649" i="16"/>
  <c r="V649" i="16"/>
  <c r="W649" i="16"/>
  <c r="P649" i="16"/>
  <c r="G997" i="15"/>
  <c r="O657" i="16" s="1"/>
  <c r="R657" i="16"/>
  <c r="S657" i="16"/>
  <c r="T657" i="16"/>
  <c r="U657" i="16"/>
  <c r="V657" i="16"/>
  <c r="W657" i="16"/>
  <c r="P657" i="16"/>
  <c r="Q657" i="16"/>
  <c r="G1011" i="15"/>
  <c r="O667" i="16" s="1"/>
  <c r="S667" i="16"/>
  <c r="T667" i="16"/>
  <c r="U667" i="16"/>
  <c r="V667" i="16"/>
  <c r="W667" i="16"/>
  <c r="P667" i="16"/>
  <c r="R667" i="16"/>
  <c r="Q667" i="16"/>
  <c r="G1019" i="15"/>
  <c r="O675" i="16" s="1"/>
  <c r="S675" i="16"/>
  <c r="T675" i="16"/>
  <c r="U675" i="16"/>
  <c r="V675" i="16"/>
  <c r="W675" i="16"/>
  <c r="P675" i="16"/>
  <c r="R675" i="16"/>
  <c r="Q675" i="16"/>
  <c r="G1027" i="15"/>
  <c r="O683" i="16" s="1"/>
  <c r="T683" i="16"/>
  <c r="U683" i="16"/>
  <c r="V683" i="16"/>
  <c r="W683" i="16"/>
  <c r="P683" i="16"/>
  <c r="Q683" i="16"/>
  <c r="R683" i="16"/>
  <c r="S683" i="16"/>
  <c r="G1035" i="15"/>
  <c r="O691" i="16" s="1"/>
  <c r="W691" i="16"/>
  <c r="P691" i="16"/>
  <c r="Q691" i="16"/>
  <c r="R691" i="16"/>
  <c r="S691" i="16"/>
  <c r="T691" i="16"/>
  <c r="U691" i="16"/>
  <c r="V691" i="16"/>
  <c r="G1049" i="15"/>
  <c r="O701" i="16" s="1"/>
  <c r="U701" i="16"/>
  <c r="V701" i="16"/>
  <c r="W701" i="16"/>
  <c r="P701" i="16"/>
  <c r="Q701" i="16"/>
  <c r="R701" i="16"/>
  <c r="S701" i="16"/>
  <c r="T701" i="16"/>
  <c r="G1057" i="15"/>
  <c r="O709" i="16" s="1"/>
  <c r="T709" i="16"/>
  <c r="U709" i="16"/>
  <c r="V709" i="16"/>
  <c r="W709" i="16"/>
  <c r="P709" i="16"/>
  <c r="Q709" i="16"/>
  <c r="R709" i="16"/>
  <c r="S709" i="16"/>
  <c r="G1065" i="15"/>
  <c r="O717" i="16" s="1"/>
  <c r="T717" i="16"/>
  <c r="U717" i="16"/>
  <c r="V717" i="16"/>
  <c r="W717" i="16"/>
  <c r="P717" i="16"/>
  <c r="Q717" i="16"/>
  <c r="R717" i="16"/>
  <c r="S717" i="16"/>
  <c r="G1073" i="15"/>
  <c r="O725" i="16" s="1"/>
  <c r="T725" i="16"/>
  <c r="U725" i="16"/>
  <c r="V725" i="16"/>
  <c r="W725" i="16"/>
  <c r="P725" i="16"/>
  <c r="Q725" i="16"/>
  <c r="R725" i="16"/>
  <c r="S725" i="16"/>
  <c r="G1081" i="15"/>
  <c r="O733" i="16" s="1"/>
  <c r="U733" i="16"/>
  <c r="V733" i="16"/>
  <c r="W733" i="16"/>
  <c r="P733" i="16"/>
  <c r="Q733" i="16"/>
  <c r="R733" i="16"/>
  <c r="S733" i="16"/>
  <c r="T733" i="16"/>
  <c r="T518" i="16"/>
  <c r="T585" i="16"/>
  <c r="T705" i="16"/>
  <c r="R18" i="16"/>
  <c r="R42" i="16"/>
  <c r="S41" i="16"/>
  <c r="T40" i="16"/>
  <c r="U39" i="16"/>
  <c r="V38" i="16"/>
  <c r="W37" i="16"/>
  <c r="P36" i="16"/>
  <c r="Q35" i="16"/>
  <c r="R34" i="16"/>
  <c r="S33" i="16"/>
  <c r="T32" i="16"/>
  <c r="U31" i="16"/>
  <c r="V30" i="16"/>
  <c r="W29" i="16"/>
  <c r="P28" i="16"/>
  <c r="Q27" i="16"/>
  <c r="R26" i="16"/>
  <c r="S25" i="16"/>
  <c r="T24" i="16"/>
  <c r="U23" i="16"/>
  <c r="V22" i="16"/>
  <c r="W21" i="16"/>
  <c r="P20" i="16"/>
  <c r="Q19" i="16"/>
  <c r="S47" i="16"/>
  <c r="S71" i="16"/>
  <c r="T70" i="16"/>
  <c r="U69" i="16"/>
  <c r="V68" i="16"/>
  <c r="W67" i="16"/>
  <c r="P66" i="16"/>
  <c r="Q65" i="16"/>
  <c r="R64" i="16"/>
  <c r="S63" i="16"/>
  <c r="T62" i="16"/>
  <c r="U61" i="16"/>
  <c r="V60" i="16"/>
  <c r="W59" i="16"/>
  <c r="P58" i="16"/>
  <c r="Q57" i="16"/>
  <c r="R56" i="16"/>
  <c r="S55" i="16"/>
  <c r="T54" i="16"/>
  <c r="U53" i="16"/>
  <c r="V52" i="16"/>
  <c r="W51" i="16"/>
  <c r="P50" i="16"/>
  <c r="Q49" i="16"/>
  <c r="R48" i="16"/>
  <c r="T76" i="16"/>
  <c r="T100" i="16"/>
  <c r="U99" i="16"/>
  <c r="V98" i="16"/>
  <c r="W97" i="16"/>
  <c r="P96" i="16"/>
  <c r="Q95" i="16"/>
  <c r="R94" i="16"/>
  <c r="S93" i="16"/>
  <c r="T92" i="16"/>
  <c r="U91" i="16"/>
  <c r="V90" i="16"/>
  <c r="W89" i="16"/>
  <c r="P88" i="16"/>
  <c r="Q87" i="16"/>
  <c r="R86" i="16"/>
  <c r="S85" i="16"/>
  <c r="T84" i="16"/>
  <c r="U83" i="16"/>
  <c r="V82" i="16"/>
  <c r="W81" i="16"/>
  <c r="P80" i="16"/>
  <c r="Q79" i="16"/>
  <c r="R78" i="16"/>
  <c r="S77" i="16"/>
  <c r="U105" i="16"/>
  <c r="U129" i="16"/>
  <c r="V128" i="16"/>
  <c r="W127" i="16"/>
  <c r="P126" i="16"/>
  <c r="Q125" i="16"/>
  <c r="R124" i="16"/>
  <c r="S123" i="16"/>
  <c r="T122" i="16"/>
  <c r="U121" i="16"/>
  <c r="V120" i="16"/>
  <c r="W119" i="16"/>
  <c r="P118" i="16"/>
  <c r="Q117" i="16"/>
  <c r="R116" i="16"/>
  <c r="S115" i="16"/>
  <c r="T114" i="16"/>
  <c r="U113" i="16"/>
  <c r="V112" i="16"/>
  <c r="W111" i="16"/>
  <c r="P110" i="16"/>
  <c r="Q109" i="16"/>
  <c r="R108" i="16"/>
  <c r="S107" i="16"/>
  <c r="T106" i="16"/>
  <c r="V134" i="16"/>
  <c r="V158" i="16"/>
  <c r="W157" i="16"/>
  <c r="P156" i="16"/>
  <c r="Q155" i="16"/>
  <c r="R154" i="16"/>
  <c r="S153" i="16"/>
  <c r="T152" i="16"/>
  <c r="U151" i="16"/>
  <c r="V150" i="16"/>
  <c r="W149" i="16"/>
  <c r="P148" i="16"/>
  <c r="Q147" i="16"/>
  <c r="R146" i="16"/>
  <c r="S145" i="16"/>
  <c r="T144" i="16"/>
  <c r="U143" i="16"/>
  <c r="V142" i="16"/>
  <c r="W141" i="16"/>
  <c r="P140" i="16"/>
  <c r="Q139" i="16"/>
  <c r="R138" i="16"/>
  <c r="S137" i="16"/>
  <c r="T136" i="16"/>
  <c r="U135" i="16"/>
  <c r="W163" i="16"/>
  <c r="W187" i="16"/>
  <c r="P186" i="16"/>
  <c r="Q185" i="16"/>
  <c r="R184" i="16"/>
  <c r="S183" i="16"/>
  <c r="T182" i="16"/>
  <c r="U181" i="16"/>
  <c r="V180" i="16"/>
  <c r="W179" i="16"/>
  <c r="P178" i="16"/>
  <c r="Q177" i="16"/>
  <c r="R176" i="16"/>
  <c r="S175" i="16"/>
  <c r="T174" i="16"/>
  <c r="U173" i="16"/>
  <c r="V172" i="16"/>
  <c r="W171" i="16"/>
  <c r="P170" i="16"/>
  <c r="Q169" i="16"/>
  <c r="R168" i="16"/>
  <c r="S167" i="16"/>
  <c r="T166" i="16"/>
  <c r="U165" i="16"/>
  <c r="V164" i="16"/>
  <c r="P192" i="16"/>
  <c r="P216" i="16"/>
  <c r="Q215" i="16"/>
  <c r="R214" i="16"/>
  <c r="S213" i="16"/>
  <c r="T212" i="16"/>
  <c r="U211" i="16"/>
  <c r="V210" i="16"/>
  <c r="W209" i="16"/>
  <c r="P208" i="16"/>
  <c r="Q207" i="16"/>
  <c r="R206" i="16"/>
  <c r="S205" i="16"/>
  <c r="T204" i="16"/>
  <c r="U203" i="16"/>
  <c r="V202" i="16"/>
  <c r="W201" i="16"/>
  <c r="P200" i="16"/>
  <c r="Q199" i="16"/>
  <c r="R198" i="16"/>
  <c r="S197" i="16"/>
  <c r="T196" i="16"/>
  <c r="U195" i="16"/>
  <c r="V194" i="16"/>
  <c r="W193" i="16"/>
  <c r="Q221" i="16"/>
  <c r="Q245" i="16"/>
  <c r="R244" i="16"/>
  <c r="S243" i="16"/>
  <c r="T242" i="16"/>
  <c r="U241" i="16"/>
  <c r="V240" i="16"/>
  <c r="W239" i="16"/>
  <c r="P238" i="16"/>
  <c r="Q237" i="16"/>
  <c r="R236" i="16"/>
  <c r="S235" i="16"/>
  <c r="T234" i="16"/>
  <c r="U233" i="16"/>
  <c r="V232" i="16"/>
  <c r="W231" i="16"/>
  <c r="P230" i="16"/>
  <c r="Q229" i="16"/>
  <c r="R228" i="16"/>
  <c r="S227" i="16"/>
  <c r="T226" i="16"/>
  <c r="U225" i="16"/>
  <c r="V224" i="16"/>
  <c r="W223" i="16"/>
  <c r="P222" i="16"/>
  <c r="R250" i="16"/>
  <c r="R274" i="16"/>
  <c r="S273" i="16"/>
  <c r="T272" i="16"/>
  <c r="U271" i="16"/>
  <c r="V270" i="16"/>
  <c r="W269" i="16"/>
  <c r="P268" i="16"/>
  <c r="Q267" i="16"/>
  <c r="R266" i="16"/>
  <c r="S265" i="16"/>
  <c r="T264" i="16"/>
  <c r="U263" i="16"/>
  <c r="V262" i="16"/>
  <c r="W261" i="16"/>
  <c r="P260" i="16"/>
  <c r="Q259" i="16"/>
  <c r="R258" i="16"/>
  <c r="S257" i="16"/>
  <c r="T256" i="16"/>
  <c r="U255" i="16"/>
  <c r="V254" i="16"/>
  <c r="W253" i="16"/>
  <c r="P252" i="16"/>
  <c r="Q251" i="16"/>
  <c r="S279" i="16"/>
  <c r="S303" i="16"/>
  <c r="T302" i="16"/>
  <c r="U301" i="16"/>
  <c r="V300" i="16"/>
  <c r="W299" i="16"/>
  <c r="Q298" i="16"/>
  <c r="S296" i="16"/>
  <c r="U294" i="16"/>
  <c r="W292" i="16"/>
  <c r="S290" i="16"/>
  <c r="R288" i="16"/>
  <c r="V285" i="16"/>
  <c r="R283" i="16"/>
  <c r="U332" i="16"/>
  <c r="Q330" i="16"/>
  <c r="P323" i="16"/>
  <c r="V314" i="16"/>
  <c r="W350" i="16"/>
  <c r="V343" i="16"/>
  <c r="P387" i="16"/>
  <c r="G288" i="15"/>
  <c r="O281" i="16" s="1"/>
  <c r="S281" i="16"/>
  <c r="U281" i="16"/>
  <c r="V281" i="16"/>
  <c r="W281" i="16"/>
  <c r="P281" i="16"/>
  <c r="G296" i="15"/>
  <c r="O289" i="16" s="1"/>
  <c r="S289" i="16"/>
  <c r="U289" i="16"/>
  <c r="V289" i="16"/>
  <c r="W289" i="16"/>
  <c r="P289" i="16"/>
  <c r="G304" i="15"/>
  <c r="O297" i="16" s="1"/>
  <c r="S297" i="16"/>
  <c r="U297" i="16"/>
  <c r="W297" i="16"/>
  <c r="P297" i="16"/>
  <c r="G318" i="15"/>
  <c r="O309" i="16" s="1"/>
  <c r="T309" i="16"/>
  <c r="U309" i="16"/>
  <c r="V309" i="16"/>
  <c r="W309" i="16"/>
  <c r="P309" i="16"/>
  <c r="Q309" i="16"/>
  <c r="G326" i="15"/>
  <c r="O317" i="16" s="1"/>
  <c r="U317" i="16"/>
  <c r="V317" i="16"/>
  <c r="W317" i="16"/>
  <c r="P317" i="16"/>
  <c r="Q317" i="16"/>
  <c r="R317" i="16"/>
  <c r="G334" i="15"/>
  <c r="O325" i="16" s="1"/>
  <c r="U325" i="16"/>
  <c r="W325" i="16"/>
  <c r="P325" i="16"/>
  <c r="Q325" i="16"/>
  <c r="R325" i="16"/>
  <c r="G348" i="15"/>
  <c r="O337" i="16" s="1"/>
  <c r="V337" i="16"/>
  <c r="W337" i="16"/>
  <c r="P337" i="16"/>
  <c r="Q337" i="16"/>
  <c r="R337" i="16"/>
  <c r="S337" i="16"/>
  <c r="G356" i="15"/>
  <c r="O345" i="16" s="1"/>
  <c r="V345" i="16"/>
  <c r="W345" i="16"/>
  <c r="P345" i="16"/>
  <c r="Q345" i="16"/>
  <c r="R345" i="16"/>
  <c r="S345" i="16"/>
  <c r="G364" i="15"/>
  <c r="O353" i="16" s="1"/>
  <c r="V353" i="16"/>
  <c r="W353" i="16"/>
  <c r="P353" i="16"/>
  <c r="Q353" i="16"/>
  <c r="R353" i="16"/>
  <c r="S353" i="16"/>
  <c r="G372" i="15"/>
  <c r="O361" i="16" s="1"/>
  <c r="V361" i="16"/>
  <c r="W361" i="16"/>
  <c r="P361" i="16"/>
  <c r="Q361" i="16"/>
  <c r="R361" i="16"/>
  <c r="S361" i="16"/>
  <c r="G386" i="15"/>
  <c r="O373" i="16" s="1"/>
  <c r="P373" i="16"/>
  <c r="Q373" i="16"/>
  <c r="R373" i="16"/>
  <c r="S373" i="16"/>
  <c r="T373" i="16"/>
  <c r="U373" i="16"/>
  <c r="V373" i="16"/>
  <c r="G394" i="15"/>
  <c r="O381" i="16" s="1"/>
  <c r="P381" i="16"/>
  <c r="Q381" i="16"/>
  <c r="R381" i="16"/>
  <c r="S381" i="16"/>
  <c r="T381" i="16"/>
  <c r="U381" i="16"/>
  <c r="G402" i="15"/>
  <c r="O389" i="16" s="1"/>
  <c r="P389" i="16"/>
  <c r="Q389" i="16"/>
  <c r="R389" i="16"/>
  <c r="S389" i="16"/>
  <c r="T389" i="16"/>
  <c r="U389" i="16"/>
  <c r="G416" i="15"/>
  <c r="O401" i="16" s="1"/>
  <c r="R401" i="16"/>
  <c r="S401" i="16"/>
  <c r="T401" i="16"/>
  <c r="U401" i="16"/>
  <c r="V401" i="16"/>
  <c r="W401" i="16"/>
  <c r="P401" i="16"/>
  <c r="Q401" i="16"/>
  <c r="G424" i="15"/>
  <c r="O409" i="16" s="1"/>
  <c r="R409" i="16"/>
  <c r="S409" i="16"/>
  <c r="T409" i="16"/>
  <c r="U409" i="16"/>
  <c r="V409" i="16"/>
  <c r="W409" i="16"/>
  <c r="P409" i="16"/>
  <c r="Q409" i="16"/>
  <c r="G432" i="15"/>
  <c r="O417" i="16" s="1"/>
  <c r="R417" i="16"/>
  <c r="S417" i="16"/>
  <c r="T417" i="16"/>
  <c r="U417" i="16"/>
  <c r="V417" i="16"/>
  <c r="W417" i="16"/>
  <c r="P417" i="16"/>
  <c r="G446" i="15"/>
  <c r="O429" i="16" s="1"/>
  <c r="T429" i="16"/>
  <c r="U429" i="16"/>
  <c r="V429" i="16"/>
  <c r="W429" i="16"/>
  <c r="P429" i="16"/>
  <c r="Q429" i="16"/>
  <c r="R429" i="16"/>
  <c r="S429" i="16"/>
  <c r="G454" i="15"/>
  <c r="O437" i="16" s="1"/>
  <c r="T437" i="16"/>
  <c r="U437" i="16"/>
  <c r="V437" i="16"/>
  <c r="W437" i="16"/>
  <c r="P437" i="16"/>
  <c r="Q437" i="16"/>
  <c r="R437" i="16"/>
  <c r="S437" i="16"/>
  <c r="G462" i="15"/>
  <c r="O445" i="16" s="1"/>
  <c r="T445" i="16"/>
  <c r="U445" i="16"/>
  <c r="V445" i="16"/>
  <c r="W445" i="16"/>
  <c r="P445" i="16"/>
  <c r="Q445" i="16"/>
  <c r="R445" i="16"/>
  <c r="S445" i="16"/>
  <c r="G476" i="15"/>
  <c r="O457" i="16" s="1"/>
  <c r="S457" i="16"/>
  <c r="T457" i="16"/>
  <c r="U457" i="16"/>
  <c r="V457" i="16"/>
  <c r="W457" i="16"/>
  <c r="P457" i="16"/>
  <c r="Q457" i="16"/>
  <c r="R457" i="16"/>
  <c r="G484" i="15"/>
  <c r="O465" i="16" s="1"/>
  <c r="S465" i="16"/>
  <c r="T465" i="16"/>
  <c r="U465" i="16"/>
  <c r="V465" i="16"/>
  <c r="W465" i="16"/>
  <c r="P465" i="16"/>
  <c r="Q465" i="16"/>
  <c r="R465" i="16"/>
  <c r="G492" i="15"/>
  <c r="O473" i="16" s="1"/>
  <c r="S473" i="16"/>
  <c r="T473" i="16"/>
  <c r="U473" i="16"/>
  <c r="V473" i="16"/>
  <c r="W473" i="16"/>
  <c r="P473" i="16"/>
  <c r="Q473" i="16"/>
  <c r="R473" i="16"/>
  <c r="G724" i="15"/>
  <c r="O742" i="16" s="1"/>
  <c r="W742" i="16"/>
  <c r="P742" i="16"/>
  <c r="Q742" i="16"/>
  <c r="R742" i="16"/>
  <c r="S742" i="16"/>
  <c r="T742" i="16"/>
  <c r="U742" i="16"/>
  <c r="V742" i="16"/>
  <c r="G732" i="15"/>
  <c r="O750" i="16" s="1"/>
  <c r="W750" i="16"/>
  <c r="P750" i="16"/>
  <c r="Q750" i="16"/>
  <c r="R750" i="16"/>
  <c r="S750" i="16"/>
  <c r="T750" i="16"/>
  <c r="U750" i="16"/>
  <c r="V750" i="16"/>
  <c r="G740" i="15"/>
  <c r="O758" i="16" s="1"/>
  <c r="W758" i="16"/>
  <c r="P758" i="16"/>
  <c r="Q758" i="16"/>
  <c r="R758" i="16"/>
  <c r="S758" i="16"/>
  <c r="T758" i="16"/>
  <c r="U758" i="16"/>
  <c r="V758" i="16"/>
  <c r="G754" i="15"/>
  <c r="O799" i="16" s="1"/>
  <c r="R799" i="16"/>
  <c r="S799" i="16"/>
  <c r="T799" i="16"/>
  <c r="U799" i="16"/>
  <c r="V799" i="16"/>
  <c r="W799" i="16"/>
  <c r="P799" i="16"/>
  <c r="Q799" i="16"/>
  <c r="G762" i="15"/>
  <c r="O807" i="16" s="1"/>
  <c r="R807" i="16"/>
  <c r="S807" i="16"/>
  <c r="T807" i="16"/>
  <c r="U807" i="16"/>
  <c r="V807" i="16"/>
  <c r="W807" i="16"/>
  <c r="P807" i="16"/>
  <c r="Q807" i="16"/>
  <c r="G770" i="15"/>
  <c r="O815" i="16" s="1"/>
  <c r="R815" i="16"/>
  <c r="S815" i="16"/>
  <c r="T815" i="16"/>
  <c r="U815" i="16"/>
  <c r="V815" i="16"/>
  <c r="W815" i="16"/>
  <c r="P815" i="16"/>
  <c r="Q815" i="16"/>
  <c r="G784" i="15"/>
  <c r="O769" i="16" s="1"/>
  <c r="R769" i="16"/>
  <c r="S769" i="16"/>
  <c r="T769" i="16"/>
  <c r="U769" i="16"/>
  <c r="V769" i="16"/>
  <c r="W769" i="16"/>
  <c r="P769" i="16"/>
  <c r="Q769" i="16"/>
  <c r="G792" i="15"/>
  <c r="O777" i="16" s="1"/>
  <c r="R777" i="16"/>
  <c r="S777" i="16"/>
  <c r="T777" i="16"/>
  <c r="U777" i="16"/>
  <c r="V777" i="16"/>
  <c r="W777" i="16"/>
  <c r="P777" i="16"/>
  <c r="Q777" i="16"/>
  <c r="G800" i="15"/>
  <c r="O785" i="16" s="1"/>
  <c r="R785" i="16"/>
  <c r="S785" i="16"/>
  <c r="T785" i="16"/>
  <c r="U785" i="16"/>
  <c r="V785" i="16"/>
  <c r="W785" i="16"/>
  <c r="P785" i="16"/>
  <c r="Q785" i="16"/>
  <c r="G814" i="15"/>
  <c r="O482" i="16" s="1"/>
  <c r="V482" i="16"/>
  <c r="W482" i="16"/>
  <c r="P482" i="16"/>
  <c r="Q482" i="16"/>
  <c r="R482" i="16"/>
  <c r="S482" i="16"/>
  <c r="T482" i="16"/>
  <c r="U482" i="16"/>
  <c r="G822" i="15"/>
  <c r="O490" i="16" s="1"/>
  <c r="T490" i="16"/>
  <c r="U490" i="16"/>
  <c r="V490" i="16"/>
  <c r="W490" i="16"/>
  <c r="P490" i="16"/>
  <c r="Q490" i="16"/>
  <c r="R490" i="16"/>
  <c r="S490" i="16"/>
  <c r="G830" i="15"/>
  <c r="O498" i="16" s="1"/>
  <c r="T498" i="16"/>
  <c r="U498" i="16"/>
  <c r="V498" i="16"/>
  <c r="W498" i="16"/>
  <c r="P498" i="16"/>
  <c r="Q498" i="16"/>
  <c r="R498" i="16"/>
  <c r="S498" i="16"/>
  <c r="G838" i="15"/>
  <c r="O506" i="16" s="1"/>
  <c r="T506" i="16"/>
  <c r="U506" i="16"/>
  <c r="V506" i="16"/>
  <c r="W506" i="16"/>
  <c r="P506" i="16"/>
  <c r="Q506" i="16"/>
  <c r="R506" i="16"/>
  <c r="S506" i="16"/>
  <c r="G852" i="15"/>
  <c r="O518" i="16" s="1"/>
  <c r="U518" i="16"/>
  <c r="V518" i="16"/>
  <c r="W518" i="16"/>
  <c r="P518" i="16"/>
  <c r="Q518" i="16"/>
  <c r="R518" i="16"/>
  <c r="S518" i="16"/>
  <c r="G875" i="15"/>
  <c r="O541" i="16" s="1"/>
  <c r="R541" i="16"/>
  <c r="S541" i="16"/>
  <c r="T541" i="16"/>
  <c r="U541" i="16"/>
  <c r="V541" i="16"/>
  <c r="W541" i="16"/>
  <c r="P541" i="16"/>
  <c r="Q541" i="16"/>
  <c r="G867" i="15"/>
  <c r="O533" i="16" s="1"/>
  <c r="R533" i="16"/>
  <c r="S533" i="16"/>
  <c r="T533" i="16"/>
  <c r="U533" i="16"/>
  <c r="V533" i="16"/>
  <c r="W533" i="16"/>
  <c r="P533" i="16"/>
  <c r="Q533" i="16"/>
  <c r="G859" i="15"/>
  <c r="O525" i="16" s="1"/>
  <c r="U525" i="16"/>
  <c r="V525" i="16"/>
  <c r="W525" i="16"/>
  <c r="P525" i="16"/>
  <c r="Q525" i="16"/>
  <c r="R525" i="16"/>
  <c r="S525" i="16"/>
  <c r="T525" i="16"/>
  <c r="G890" i="15"/>
  <c r="O554" i="16" s="1"/>
  <c r="S554" i="16"/>
  <c r="T554" i="16"/>
  <c r="U554" i="16"/>
  <c r="V554" i="16"/>
  <c r="W554" i="16"/>
  <c r="P554" i="16"/>
  <c r="Q554" i="16"/>
  <c r="R554" i="16"/>
  <c r="G898" i="15"/>
  <c r="O562" i="16" s="1"/>
  <c r="S562" i="16"/>
  <c r="T562" i="16"/>
  <c r="U562" i="16"/>
  <c r="V562" i="16"/>
  <c r="W562" i="16"/>
  <c r="P562" i="16"/>
  <c r="Q562" i="16"/>
  <c r="R562" i="16"/>
  <c r="G906" i="15"/>
  <c r="O570" i="16" s="1"/>
  <c r="T570" i="16"/>
  <c r="U570" i="16"/>
  <c r="V570" i="16"/>
  <c r="W570" i="16"/>
  <c r="P570" i="16"/>
  <c r="Q570" i="16"/>
  <c r="R570" i="16"/>
  <c r="S570" i="16"/>
  <c r="G914" i="15"/>
  <c r="O578" i="16" s="1"/>
  <c r="T578" i="16"/>
  <c r="U578" i="16"/>
  <c r="V578" i="16"/>
  <c r="W578" i="16"/>
  <c r="P578" i="16"/>
  <c r="Q578" i="16"/>
  <c r="R578" i="16"/>
  <c r="S578" i="16"/>
  <c r="G922" i="15"/>
  <c r="O586" i="16" s="1"/>
  <c r="U586" i="16"/>
  <c r="V586" i="16"/>
  <c r="W586" i="16"/>
  <c r="P586" i="16"/>
  <c r="Q586" i="16"/>
  <c r="R586" i="16"/>
  <c r="S586" i="16"/>
  <c r="T586" i="16"/>
  <c r="G936" i="15"/>
  <c r="O598" i="16" s="1"/>
  <c r="V598" i="16"/>
  <c r="W598" i="16"/>
  <c r="P598" i="16"/>
  <c r="Q598" i="16"/>
  <c r="R598" i="16"/>
  <c r="S598" i="16"/>
  <c r="T598" i="16"/>
  <c r="U598" i="16"/>
  <c r="G944" i="15"/>
  <c r="O606" i="16" s="1"/>
  <c r="W606" i="16"/>
  <c r="P606" i="16"/>
  <c r="Q606" i="16"/>
  <c r="R606" i="16"/>
  <c r="S606" i="16"/>
  <c r="T606" i="16"/>
  <c r="U606" i="16"/>
  <c r="V606" i="16"/>
  <c r="G952" i="15"/>
  <c r="O614" i="16" s="1"/>
  <c r="W614" i="16"/>
  <c r="P614" i="16"/>
  <c r="Q614" i="16"/>
  <c r="R614" i="16"/>
  <c r="S614" i="16"/>
  <c r="T614" i="16"/>
  <c r="U614" i="16"/>
  <c r="V614" i="16"/>
  <c r="G960" i="15"/>
  <c r="O622" i="16" s="1"/>
  <c r="P622" i="16"/>
  <c r="Q622" i="16"/>
  <c r="R622" i="16"/>
  <c r="S622" i="16"/>
  <c r="T622" i="16"/>
  <c r="U622" i="16"/>
  <c r="V622" i="16"/>
  <c r="W622" i="16"/>
  <c r="G974" i="15"/>
  <c r="O634" i="16" s="1"/>
  <c r="W634" i="16"/>
  <c r="P634" i="16"/>
  <c r="Q634" i="16"/>
  <c r="R634" i="16"/>
  <c r="S634" i="16"/>
  <c r="T634" i="16"/>
  <c r="U634" i="16"/>
  <c r="V634" i="16"/>
  <c r="G982" i="15"/>
  <c r="O642" i="16" s="1"/>
  <c r="W642" i="16"/>
  <c r="P642" i="16"/>
  <c r="Q642" i="16"/>
  <c r="R642" i="16"/>
  <c r="S642" i="16"/>
  <c r="T642" i="16"/>
  <c r="U642" i="16"/>
  <c r="V642" i="16"/>
  <c r="G990" i="15"/>
  <c r="O650" i="16" s="1"/>
  <c r="Q650" i="16"/>
  <c r="R650" i="16"/>
  <c r="S650" i="16"/>
  <c r="T650" i="16"/>
  <c r="U650" i="16"/>
  <c r="V650" i="16"/>
  <c r="W650" i="16"/>
  <c r="P650" i="16"/>
  <c r="G998" i="15"/>
  <c r="O658" i="16" s="1"/>
  <c r="Q658" i="16"/>
  <c r="R658" i="16"/>
  <c r="S658" i="16"/>
  <c r="T658" i="16"/>
  <c r="U658" i="16"/>
  <c r="V658" i="16"/>
  <c r="W658" i="16"/>
  <c r="P658" i="16"/>
  <c r="G1012" i="15"/>
  <c r="O668" i="16" s="1"/>
  <c r="R668" i="16"/>
  <c r="S668" i="16"/>
  <c r="T668" i="16"/>
  <c r="U668" i="16"/>
  <c r="V668" i="16"/>
  <c r="W668" i="16"/>
  <c r="Q668" i="16"/>
  <c r="P668" i="16"/>
  <c r="G1020" i="15"/>
  <c r="O676" i="16" s="1"/>
  <c r="R676" i="16"/>
  <c r="S676" i="16"/>
  <c r="U676" i="16"/>
  <c r="V676" i="16"/>
  <c r="W676" i="16"/>
  <c r="Q676" i="16"/>
  <c r="P676" i="16"/>
  <c r="G1028" i="15"/>
  <c r="O684" i="16" s="1"/>
  <c r="S684" i="16"/>
  <c r="U684" i="16"/>
  <c r="V684" i="16"/>
  <c r="W684" i="16"/>
  <c r="R684" i="16"/>
  <c r="P684" i="16"/>
  <c r="Q684" i="16"/>
  <c r="G1036" i="15"/>
  <c r="O692" i="16" s="1"/>
  <c r="V692" i="16"/>
  <c r="W692" i="16"/>
  <c r="P692" i="16"/>
  <c r="Q692" i="16"/>
  <c r="R692" i="16"/>
  <c r="S692" i="16"/>
  <c r="T692" i="16"/>
  <c r="U692" i="16"/>
  <c r="G1050" i="15"/>
  <c r="O702" i="16" s="1"/>
  <c r="P702" i="16"/>
  <c r="Q702" i="16"/>
  <c r="R702" i="16"/>
  <c r="S702" i="16"/>
  <c r="T702" i="16"/>
  <c r="U702" i="16"/>
  <c r="V702" i="16"/>
  <c r="W702" i="16"/>
  <c r="G1058" i="15"/>
  <c r="O710" i="16" s="1"/>
  <c r="S710" i="16"/>
  <c r="T710" i="16"/>
  <c r="U710" i="16"/>
  <c r="V710" i="16"/>
  <c r="W710" i="16"/>
  <c r="P710" i="16"/>
  <c r="Q710" i="16"/>
  <c r="R710" i="16"/>
  <c r="G1066" i="15"/>
  <c r="O718" i="16" s="1"/>
  <c r="S718" i="16"/>
  <c r="T718" i="16"/>
  <c r="U718" i="16"/>
  <c r="V718" i="16"/>
  <c r="W718" i="16"/>
  <c r="P718" i="16"/>
  <c r="Q718" i="16"/>
  <c r="R718" i="16"/>
  <c r="G1074" i="15"/>
  <c r="O726" i="16" s="1"/>
  <c r="S726" i="16"/>
  <c r="T726" i="16"/>
  <c r="U726" i="16"/>
  <c r="V726" i="16"/>
  <c r="W726" i="16"/>
  <c r="P726" i="16"/>
  <c r="Q726" i="16"/>
  <c r="R726" i="16"/>
  <c r="R527" i="16"/>
  <c r="T601" i="16"/>
  <c r="T732" i="16"/>
  <c r="Q18" i="16"/>
  <c r="Q42" i="16"/>
  <c r="R41" i="16"/>
  <c r="S40" i="16"/>
  <c r="T39" i="16"/>
  <c r="U38" i="16"/>
  <c r="V37" i="16"/>
  <c r="W36" i="16"/>
  <c r="P35" i="16"/>
  <c r="Q34" i="16"/>
  <c r="R33" i="16"/>
  <c r="S32" i="16"/>
  <c r="T31" i="16"/>
  <c r="U30" i="16"/>
  <c r="V29" i="16"/>
  <c r="W28" i="16"/>
  <c r="P27" i="16"/>
  <c r="Q26" i="16"/>
  <c r="R25" i="16"/>
  <c r="S24" i="16"/>
  <c r="T23" i="16"/>
  <c r="U22" i="16"/>
  <c r="V21" i="16"/>
  <c r="W20" i="16"/>
  <c r="P19" i="16"/>
  <c r="R47" i="16"/>
  <c r="R71" i="16"/>
  <c r="S70" i="16"/>
  <c r="T69" i="16"/>
  <c r="U68" i="16"/>
  <c r="V67" i="16"/>
  <c r="W66" i="16"/>
  <c r="P65" i="16"/>
  <c r="Q64" i="16"/>
  <c r="R63" i="16"/>
  <c r="S62" i="16"/>
  <c r="T61" i="16"/>
  <c r="U60" i="16"/>
  <c r="V59" i="16"/>
  <c r="W58" i="16"/>
  <c r="P57" i="16"/>
  <c r="Q56" i="16"/>
  <c r="R55" i="16"/>
  <c r="S54" i="16"/>
  <c r="T53" i="16"/>
  <c r="U52" i="16"/>
  <c r="V51" i="16"/>
  <c r="W50" i="16"/>
  <c r="P49" i="16"/>
  <c r="Q48" i="16"/>
  <c r="S76" i="16"/>
  <c r="S100" i="16"/>
  <c r="T99" i="16"/>
  <c r="U98" i="16"/>
  <c r="V97" i="16"/>
  <c r="W96" i="16"/>
  <c r="P95" i="16"/>
  <c r="Q94" i="16"/>
  <c r="R93" i="16"/>
  <c r="S92" i="16"/>
  <c r="T91" i="16"/>
  <c r="U90" i="16"/>
  <c r="V89" i="16"/>
  <c r="W88" i="16"/>
  <c r="P87" i="16"/>
  <c r="Q86" i="16"/>
  <c r="R85" i="16"/>
  <c r="S84" i="16"/>
  <c r="T83" i="16"/>
  <c r="U82" i="16"/>
  <c r="V81" i="16"/>
  <c r="W80" i="16"/>
  <c r="P79" i="16"/>
  <c r="Q78" i="16"/>
  <c r="R77" i="16"/>
  <c r="T105" i="16"/>
  <c r="T129" i="16"/>
  <c r="U128" i="16"/>
  <c r="V127" i="16"/>
  <c r="W126" i="16"/>
  <c r="P125" i="16"/>
  <c r="Q124" i="16"/>
  <c r="R123" i="16"/>
  <c r="S122" i="16"/>
  <c r="T121" i="16"/>
  <c r="U120" i="16"/>
  <c r="V119" i="16"/>
  <c r="W118" i="16"/>
  <c r="P117" i="16"/>
  <c r="Q116" i="16"/>
  <c r="R115" i="16"/>
  <c r="S114" i="16"/>
  <c r="T113" i="16"/>
  <c r="U112" i="16"/>
  <c r="V111" i="16"/>
  <c r="W110" i="16"/>
  <c r="P109" i="16"/>
  <c r="Q108" i="16"/>
  <c r="R107" i="16"/>
  <c r="S106" i="16"/>
  <c r="U134" i="16"/>
  <c r="U158" i="16"/>
  <c r="V157" i="16"/>
  <c r="W156" i="16"/>
  <c r="P155" i="16"/>
  <c r="Q154" i="16"/>
  <c r="R153" i="16"/>
  <c r="S152" i="16"/>
  <c r="T151" i="16"/>
  <c r="U150" i="16"/>
  <c r="V149" i="16"/>
  <c r="W148" i="16"/>
  <c r="P147" i="16"/>
  <c r="Q146" i="16"/>
  <c r="R145" i="16"/>
  <c r="S144" i="16"/>
  <c r="T143" i="16"/>
  <c r="U142" i="16"/>
  <c r="V141" i="16"/>
  <c r="W140" i="16"/>
  <c r="P139" i="16"/>
  <c r="Q138" i="16"/>
  <c r="R137" i="16"/>
  <c r="S136" i="16"/>
  <c r="T135" i="16"/>
  <c r="V163" i="16"/>
  <c r="V187" i="16"/>
  <c r="W186" i="16"/>
  <c r="P185" i="16"/>
  <c r="Q184" i="16"/>
  <c r="R183" i="16"/>
  <c r="S182" i="16"/>
  <c r="T181" i="16"/>
  <c r="U180" i="16"/>
  <c r="V179" i="16"/>
  <c r="W178" i="16"/>
  <c r="P177" i="16"/>
  <c r="Q176" i="16"/>
  <c r="R175" i="16"/>
  <c r="S174" i="16"/>
  <c r="T173" i="16"/>
  <c r="U172" i="16"/>
  <c r="V171" i="16"/>
  <c r="W170" i="16"/>
  <c r="P169" i="16"/>
  <c r="Q168" i="16"/>
  <c r="R167" i="16"/>
  <c r="S166" i="16"/>
  <c r="T165" i="16"/>
  <c r="U164" i="16"/>
  <c r="W192" i="16"/>
  <c r="W216" i="16"/>
  <c r="P215" i="16"/>
  <c r="Q214" i="16"/>
  <c r="R213" i="16"/>
  <c r="S212" i="16"/>
  <c r="T211" i="16"/>
  <c r="U210" i="16"/>
  <c r="V209" i="16"/>
  <c r="W208" i="16"/>
  <c r="P207" i="16"/>
  <c r="Q206" i="16"/>
  <c r="R205" i="16"/>
  <c r="S204" i="16"/>
  <c r="T203" i="16"/>
  <c r="U202" i="16"/>
  <c r="V201" i="16"/>
  <c r="W200" i="16"/>
  <c r="P199" i="16"/>
  <c r="Q198" i="16"/>
  <c r="R197" i="16"/>
  <c r="S196" i="16"/>
  <c r="T195" i="16"/>
  <c r="U194" i="16"/>
  <c r="V193" i="16"/>
  <c r="P221" i="16"/>
  <c r="P245" i="16"/>
  <c r="Q244" i="16"/>
  <c r="R243" i="16"/>
  <c r="S242" i="16"/>
  <c r="T241" i="16"/>
  <c r="U240" i="16"/>
  <c r="V239" i="16"/>
  <c r="W238" i="16"/>
  <c r="P237" i="16"/>
  <c r="Q236" i="16"/>
  <c r="R235" i="16"/>
  <c r="S234" i="16"/>
  <c r="T233" i="16"/>
  <c r="U232" i="16"/>
  <c r="V231" i="16"/>
  <c r="W230" i="16"/>
  <c r="P229" i="16"/>
  <c r="Q228" i="16"/>
  <c r="R227" i="16"/>
  <c r="S226" i="16"/>
  <c r="T225" i="16"/>
  <c r="U224" i="16"/>
  <c r="V223" i="16"/>
  <c r="W222" i="16"/>
  <c r="Q250" i="16"/>
  <c r="Q274" i="16"/>
  <c r="R273" i="16"/>
  <c r="S272" i="16"/>
  <c r="T271" i="16"/>
  <c r="U270" i="16"/>
  <c r="V269" i="16"/>
  <c r="W268" i="16"/>
  <c r="P267" i="16"/>
  <c r="Q266" i="16"/>
  <c r="R265" i="16"/>
  <c r="S264" i="16"/>
  <c r="T263" i="16"/>
  <c r="U262" i="16"/>
  <c r="V261" i="16"/>
  <c r="W260" i="16"/>
  <c r="P259" i="16"/>
  <c r="Q258" i="16"/>
  <c r="R257" i="16"/>
  <c r="S256" i="16"/>
  <c r="T255" i="16"/>
  <c r="U254" i="16"/>
  <c r="V253" i="16"/>
  <c r="W252" i="16"/>
  <c r="P251" i="16"/>
  <c r="R279" i="16"/>
  <c r="R303" i="16"/>
  <c r="S302" i="16"/>
  <c r="T301" i="16"/>
  <c r="U300" i="16"/>
  <c r="V299" i="16"/>
  <c r="R296" i="16"/>
  <c r="T294" i="16"/>
  <c r="V292" i="16"/>
  <c r="V287" i="16"/>
  <c r="U285" i="16"/>
  <c r="U280" i="16"/>
  <c r="T332" i="16"/>
  <c r="T327" i="16"/>
  <c r="S325" i="16"/>
  <c r="W322" i="16"/>
  <c r="S320" i="16"/>
  <c r="T317" i="16"/>
  <c r="V360" i="16"/>
  <c r="Q357" i="16"/>
  <c r="U353" i="16"/>
  <c r="P350" i="16"/>
  <c r="S339" i="16"/>
  <c r="W389" i="16"/>
  <c r="R386" i="16"/>
  <c r="Q379" i="16"/>
  <c r="P372" i="16"/>
  <c r="G289" i="15"/>
  <c r="O282" i="16" s="1"/>
  <c r="R282" i="16"/>
  <c r="T282" i="16"/>
  <c r="U282" i="16"/>
  <c r="V282" i="16"/>
  <c r="W282" i="16"/>
  <c r="G297" i="15"/>
  <c r="O290" i="16" s="1"/>
  <c r="R290" i="16"/>
  <c r="T290" i="16"/>
  <c r="U290" i="16"/>
  <c r="V290" i="16"/>
  <c r="W290" i="16"/>
  <c r="G305" i="15"/>
  <c r="O298" i="16" s="1"/>
  <c r="R298" i="16"/>
  <c r="T298" i="16"/>
  <c r="V298" i="16"/>
  <c r="W298" i="16"/>
  <c r="G319" i="15"/>
  <c r="O310" i="16" s="1"/>
  <c r="S310" i="16"/>
  <c r="T310" i="16"/>
  <c r="U310" i="16"/>
  <c r="V310" i="16"/>
  <c r="W310" i="16"/>
  <c r="P310" i="16"/>
  <c r="G327" i="15"/>
  <c r="O318" i="16" s="1"/>
  <c r="T318" i="16"/>
  <c r="U318" i="16"/>
  <c r="V318" i="16"/>
  <c r="W318" i="16"/>
  <c r="P318" i="16"/>
  <c r="Q318" i="16"/>
  <c r="G335" i="15"/>
  <c r="O326" i="16" s="1"/>
  <c r="T326" i="16"/>
  <c r="V326" i="16"/>
  <c r="W326" i="16"/>
  <c r="P326" i="16"/>
  <c r="Q326" i="16"/>
  <c r="G349" i="15"/>
  <c r="O338" i="16" s="1"/>
  <c r="U338" i="16"/>
  <c r="V338" i="16"/>
  <c r="W338" i="16"/>
  <c r="P338" i="16"/>
  <c r="Q338" i="16"/>
  <c r="R338" i="16"/>
  <c r="G357" i="15"/>
  <c r="O346" i="16" s="1"/>
  <c r="U346" i="16"/>
  <c r="V346" i="16"/>
  <c r="W346" i="16"/>
  <c r="P346" i="16"/>
  <c r="Q346" i="16"/>
  <c r="R346" i="16"/>
  <c r="G365" i="15"/>
  <c r="O354" i="16" s="1"/>
  <c r="U354" i="16"/>
  <c r="V354" i="16"/>
  <c r="W354" i="16"/>
  <c r="P354" i="16"/>
  <c r="Q354" i="16"/>
  <c r="R354" i="16"/>
  <c r="G379" i="15"/>
  <c r="O366" i="16" s="1"/>
  <c r="W366" i="16"/>
  <c r="P366" i="16"/>
  <c r="Q366" i="16"/>
  <c r="R366" i="16"/>
  <c r="S366" i="16"/>
  <c r="T366" i="16"/>
  <c r="G387" i="15"/>
  <c r="O374" i="16" s="1"/>
  <c r="W374" i="16"/>
  <c r="P374" i="16"/>
  <c r="Q374" i="16"/>
  <c r="R374" i="16"/>
  <c r="S374" i="16"/>
  <c r="T374" i="16"/>
  <c r="U374" i="16"/>
  <c r="G395" i="15"/>
  <c r="O382" i="16" s="1"/>
  <c r="W382" i="16"/>
  <c r="P382" i="16"/>
  <c r="Q382" i="16"/>
  <c r="R382" i="16"/>
  <c r="S382" i="16"/>
  <c r="T382" i="16"/>
  <c r="G403" i="15"/>
  <c r="O390" i="16" s="1"/>
  <c r="W390" i="16"/>
  <c r="P390" i="16"/>
  <c r="Q390" i="16"/>
  <c r="R390" i="16"/>
  <c r="S390" i="16"/>
  <c r="T390" i="16"/>
  <c r="G417" i="15"/>
  <c r="O402" i="16" s="1"/>
  <c r="Q402" i="16"/>
  <c r="R402" i="16"/>
  <c r="S402" i="16"/>
  <c r="T402" i="16"/>
  <c r="U402" i="16"/>
  <c r="V402" i="16"/>
  <c r="W402" i="16"/>
  <c r="P402" i="16"/>
  <c r="G425" i="15"/>
  <c r="O410" i="16" s="1"/>
  <c r="Q410" i="16"/>
  <c r="R410" i="16"/>
  <c r="S410" i="16"/>
  <c r="T410" i="16"/>
  <c r="U410" i="16"/>
  <c r="V410" i="16"/>
  <c r="W410" i="16"/>
  <c r="P410" i="16"/>
  <c r="G433" i="15"/>
  <c r="O418" i="16" s="1"/>
  <c r="Q418" i="16"/>
  <c r="R418" i="16"/>
  <c r="S418" i="16"/>
  <c r="T418" i="16"/>
  <c r="U418" i="16"/>
  <c r="V418" i="16"/>
  <c r="W418" i="16"/>
  <c r="G447" i="15"/>
  <c r="O430" i="16" s="1"/>
  <c r="S430" i="16"/>
  <c r="T430" i="16"/>
  <c r="U430" i="16"/>
  <c r="V430" i="16"/>
  <c r="W430" i="16"/>
  <c r="P430" i="16"/>
  <c r="Q430" i="16"/>
  <c r="R430" i="16"/>
  <c r="G455" i="15"/>
  <c r="O438" i="16" s="1"/>
  <c r="S438" i="16"/>
  <c r="T438" i="16"/>
  <c r="U438" i="16"/>
  <c r="V438" i="16"/>
  <c r="W438" i="16"/>
  <c r="P438" i="16"/>
  <c r="Q438" i="16"/>
  <c r="R438" i="16"/>
  <c r="G463" i="15"/>
  <c r="O446" i="16" s="1"/>
  <c r="S446" i="16"/>
  <c r="T446" i="16"/>
  <c r="U446" i="16"/>
  <c r="V446" i="16"/>
  <c r="W446" i="16"/>
  <c r="P446" i="16"/>
  <c r="Q446" i="16"/>
  <c r="R446" i="16"/>
  <c r="G477" i="15"/>
  <c r="O458" i="16" s="1"/>
  <c r="R458" i="16"/>
  <c r="S458" i="16"/>
  <c r="T458" i="16"/>
  <c r="U458" i="16"/>
  <c r="V458" i="16"/>
  <c r="W458" i="16"/>
  <c r="P458" i="16"/>
  <c r="Q458" i="16"/>
  <c r="G485" i="15"/>
  <c r="O466" i="16" s="1"/>
  <c r="R466" i="16"/>
  <c r="S466" i="16"/>
  <c r="T466" i="16"/>
  <c r="U466" i="16"/>
  <c r="V466" i="16"/>
  <c r="W466" i="16"/>
  <c r="P466" i="16"/>
  <c r="Q466" i="16"/>
  <c r="G493" i="15"/>
  <c r="O474" i="16" s="1"/>
  <c r="R474" i="16"/>
  <c r="S474" i="16"/>
  <c r="T474" i="16"/>
  <c r="U474" i="16"/>
  <c r="V474" i="16"/>
  <c r="W474" i="16"/>
  <c r="P474" i="16"/>
  <c r="Q474" i="16"/>
  <c r="G725" i="15"/>
  <c r="O743" i="16" s="1"/>
  <c r="V743" i="16"/>
  <c r="W743" i="16"/>
  <c r="P743" i="16"/>
  <c r="Q743" i="16"/>
  <c r="R743" i="16"/>
  <c r="S743" i="16"/>
  <c r="T743" i="16"/>
  <c r="U743" i="16"/>
  <c r="G733" i="15"/>
  <c r="O751" i="16" s="1"/>
  <c r="V751" i="16"/>
  <c r="W751" i="16"/>
  <c r="P751" i="16"/>
  <c r="Q751" i="16"/>
  <c r="R751" i="16"/>
  <c r="S751" i="16"/>
  <c r="T751" i="16"/>
  <c r="U751" i="16"/>
  <c r="G741" i="15"/>
  <c r="O759" i="16" s="1"/>
  <c r="V759" i="16"/>
  <c r="W759" i="16"/>
  <c r="P759" i="16"/>
  <c r="Q759" i="16"/>
  <c r="R759" i="16"/>
  <c r="S759" i="16"/>
  <c r="T759" i="16"/>
  <c r="U759" i="16"/>
  <c r="G755" i="15"/>
  <c r="O800" i="16" s="1"/>
  <c r="Q800" i="16"/>
  <c r="R800" i="16"/>
  <c r="S800" i="16"/>
  <c r="T800" i="16"/>
  <c r="U800" i="16"/>
  <c r="V800" i="16"/>
  <c r="W800" i="16"/>
  <c r="P800" i="16"/>
  <c r="G763" i="15"/>
  <c r="O808" i="16" s="1"/>
  <c r="Q808" i="16"/>
  <c r="R808" i="16"/>
  <c r="S808" i="16"/>
  <c r="T808" i="16"/>
  <c r="U808" i="16"/>
  <c r="V808" i="16"/>
  <c r="W808" i="16"/>
  <c r="P808" i="16"/>
  <c r="G771" i="15"/>
  <c r="O816" i="16" s="1"/>
  <c r="Q816" i="16"/>
  <c r="R816" i="16"/>
  <c r="S816" i="16"/>
  <c r="T816" i="16"/>
  <c r="U816" i="16"/>
  <c r="V816" i="16"/>
  <c r="W816" i="16"/>
  <c r="P816" i="16"/>
  <c r="G785" i="15"/>
  <c r="O770" i="16" s="1"/>
  <c r="Q770" i="16"/>
  <c r="R770" i="16"/>
  <c r="S770" i="16"/>
  <c r="T770" i="16"/>
  <c r="U770" i="16"/>
  <c r="V770" i="16"/>
  <c r="W770" i="16"/>
  <c r="P770" i="16"/>
  <c r="G793" i="15"/>
  <c r="O778" i="16" s="1"/>
  <c r="Q778" i="16"/>
  <c r="R778" i="16"/>
  <c r="S778" i="16"/>
  <c r="T778" i="16"/>
  <c r="U778" i="16"/>
  <c r="V778" i="16"/>
  <c r="W778" i="16"/>
  <c r="P778" i="16"/>
  <c r="G801" i="15"/>
  <c r="O786" i="16" s="1"/>
  <c r="Q786" i="16"/>
  <c r="R786" i="16"/>
  <c r="S786" i="16"/>
  <c r="T786" i="16"/>
  <c r="U786" i="16"/>
  <c r="V786" i="16"/>
  <c r="W786" i="16"/>
  <c r="P786" i="16"/>
  <c r="G815" i="15"/>
  <c r="O483" i="16" s="1"/>
  <c r="S483" i="16"/>
  <c r="T483" i="16"/>
  <c r="U483" i="16"/>
  <c r="V483" i="16"/>
  <c r="W483" i="16"/>
  <c r="P483" i="16"/>
  <c r="Q483" i="16"/>
  <c r="R483" i="16"/>
  <c r="G823" i="15"/>
  <c r="O491" i="16" s="1"/>
  <c r="S491" i="16"/>
  <c r="T491" i="16"/>
  <c r="U491" i="16"/>
  <c r="V491" i="16"/>
  <c r="W491" i="16"/>
  <c r="P491" i="16"/>
  <c r="Q491" i="16"/>
  <c r="R491" i="16"/>
  <c r="G831" i="15"/>
  <c r="O499" i="16" s="1"/>
  <c r="S499" i="16"/>
  <c r="T499" i="16"/>
  <c r="U499" i="16"/>
  <c r="V499" i="16"/>
  <c r="W499" i="16"/>
  <c r="P499" i="16"/>
  <c r="Q499" i="16"/>
  <c r="R499" i="16"/>
  <c r="G839" i="15"/>
  <c r="O507" i="16" s="1"/>
  <c r="S507" i="16"/>
  <c r="T507" i="16"/>
  <c r="U507" i="16"/>
  <c r="V507" i="16"/>
  <c r="W507" i="16"/>
  <c r="P507" i="16"/>
  <c r="Q507" i="16"/>
  <c r="R507" i="16"/>
  <c r="G882" i="15"/>
  <c r="O548" i="16" s="1"/>
  <c r="S548" i="16"/>
  <c r="U548" i="16"/>
  <c r="V548" i="16"/>
  <c r="W548" i="16"/>
  <c r="P548" i="16"/>
  <c r="Q548" i="16"/>
  <c r="R548" i="16"/>
  <c r="G874" i="15"/>
  <c r="O540" i="16" s="1"/>
  <c r="S540" i="16"/>
  <c r="T540" i="16"/>
  <c r="U540" i="16"/>
  <c r="V540" i="16"/>
  <c r="W540" i="16"/>
  <c r="P540" i="16"/>
  <c r="Q540" i="16"/>
  <c r="R540" i="16"/>
  <c r="G866" i="15"/>
  <c r="O532" i="16" s="1"/>
  <c r="R532" i="16"/>
  <c r="S532" i="16"/>
  <c r="U532" i="16"/>
  <c r="V532" i="16"/>
  <c r="W532" i="16"/>
  <c r="P532" i="16"/>
  <c r="Q532" i="16"/>
  <c r="G858" i="15"/>
  <c r="O524" i="16" s="1"/>
  <c r="V524" i="16"/>
  <c r="W524" i="16"/>
  <c r="P524" i="16"/>
  <c r="Q524" i="16"/>
  <c r="R524" i="16"/>
  <c r="S524" i="16"/>
  <c r="T524" i="16"/>
  <c r="U524" i="16"/>
  <c r="G891" i="15"/>
  <c r="O555" i="16" s="1"/>
  <c r="R555" i="16"/>
  <c r="S555" i="16"/>
  <c r="T555" i="16"/>
  <c r="U555" i="16"/>
  <c r="V555" i="16"/>
  <c r="W555" i="16"/>
  <c r="P555" i="16"/>
  <c r="Q555" i="16"/>
  <c r="G899" i="15"/>
  <c r="O563" i="16" s="1"/>
  <c r="R563" i="16"/>
  <c r="S563" i="16"/>
  <c r="T563" i="16"/>
  <c r="U563" i="16"/>
  <c r="V563" i="16"/>
  <c r="W563" i="16"/>
  <c r="P563" i="16"/>
  <c r="Q563" i="16"/>
  <c r="G907" i="15"/>
  <c r="O571" i="16" s="1"/>
  <c r="S571" i="16"/>
  <c r="T571" i="16"/>
  <c r="U571" i="16"/>
  <c r="V571" i="16"/>
  <c r="W571" i="16"/>
  <c r="P571" i="16"/>
  <c r="Q571" i="16"/>
  <c r="R571" i="16"/>
  <c r="G915" i="15"/>
  <c r="O579" i="16" s="1"/>
  <c r="S579" i="16"/>
  <c r="T579" i="16"/>
  <c r="U579" i="16"/>
  <c r="V579" i="16"/>
  <c r="W579" i="16"/>
  <c r="P579" i="16"/>
  <c r="Q579" i="16"/>
  <c r="R579" i="16"/>
  <c r="G929" i="15"/>
  <c r="O591" i="16" s="1"/>
  <c r="V591" i="16"/>
  <c r="W591" i="16"/>
  <c r="P591" i="16"/>
  <c r="Q591" i="16"/>
  <c r="R591" i="16"/>
  <c r="S591" i="16"/>
  <c r="T591" i="16"/>
  <c r="U591" i="16"/>
  <c r="G937" i="15"/>
  <c r="O599" i="16" s="1"/>
  <c r="U599" i="16"/>
  <c r="V599" i="16"/>
  <c r="W599" i="16"/>
  <c r="P599" i="16"/>
  <c r="Q599" i="16"/>
  <c r="R599" i="16"/>
  <c r="S599" i="16"/>
  <c r="T599" i="16"/>
  <c r="G945" i="15"/>
  <c r="O607" i="16" s="1"/>
  <c r="V607" i="16"/>
  <c r="W607" i="16"/>
  <c r="P607" i="16"/>
  <c r="Q607" i="16"/>
  <c r="R607" i="16"/>
  <c r="S607" i="16"/>
  <c r="T607" i="16"/>
  <c r="U607" i="16"/>
  <c r="G953" i="15"/>
  <c r="O615" i="16" s="1"/>
  <c r="V615" i="16"/>
  <c r="W615" i="16"/>
  <c r="P615" i="16"/>
  <c r="Q615" i="16"/>
  <c r="R615" i="16"/>
  <c r="S615" i="16"/>
  <c r="T615" i="16"/>
  <c r="U615" i="16"/>
  <c r="G961" i="15"/>
  <c r="O623" i="16" s="1"/>
  <c r="W623" i="16"/>
  <c r="P623" i="16"/>
  <c r="Q623" i="16"/>
  <c r="R623" i="16"/>
  <c r="S623" i="16"/>
  <c r="T623" i="16"/>
  <c r="U623" i="16"/>
  <c r="V623" i="16"/>
  <c r="G975" i="15"/>
  <c r="O635" i="16" s="1"/>
  <c r="V635" i="16"/>
  <c r="W635" i="16"/>
  <c r="P635" i="16"/>
  <c r="Q635" i="16"/>
  <c r="R635" i="16"/>
  <c r="S635" i="16"/>
  <c r="T635" i="16"/>
  <c r="U635" i="16"/>
  <c r="G983" i="15"/>
  <c r="O643" i="16" s="1"/>
  <c r="W643" i="16"/>
  <c r="P643" i="16"/>
  <c r="Q643" i="16"/>
  <c r="R643" i="16"/>
  <c r="S643" i="16"/>
  <c r="U643" i="16"/>
  <c r="V643" i="16"/>
  <c r="G991" i="15"/>
  <c r="O651" i="16" s="1"/>
  <c r="P651" i="16"/>
  <c r="Q651" i="16"/>
  <c r="R651" i="16"/>
  <c r="S651" i="16"/>
  <c r="T651" i="16"/>
  <c r="U651" i="16"/>
  <c r="V651" i="16"/>
  <c r="W651" i="16"/>
  <c r="G999" i="15"/>
  <c r="O659" i="16" s="1"/>
  <c r="P659" i="16"/>
  <c r="Q659" i="16"/>
  <c r="R659" i="16"/>
  <c r="S659" i="16"/>
  <c r="T659" i="16"/>
  <c r="U659" i="16"/>
  <c r="V659" i="16"/>
  <c r="W659" i="16"/>
  <c r="G1013" i="15"/>
  <c r="O669" i="16" s="1"/>
  <c r="Q669" i="16"/>
  <c r="R669" i="16"/>
  <c r="S669" i="16"/>
  <c r="T669" i="16"/>
  <c r="U669" i="16"/>
  <c r="V669" i="16"/>
  <c r="P669" i="16"/>
  <c r="W669" i="16"/>
  <c r="G1021" i="15"/>
  <c r="O677" i="16" s="1"/>
  <c r="R677" i="16"/>
  <c r="S677" i="16"/>
  <c r="T677" i="16"/>
  <c r="U677" i="16"/>
  <c r="V677" i="16"/>
  <c r="W677" i="16"/>
  <c r="Q677" i="16"/>
  <c r="P677" i="16"/>
  <c r="G1029" i="15"/>
  <c r="O685" i="16" s="1"/>
  <c r="S685" i="16"/>
  <c r="T685" i="16"/>
  <c r="U685" i="16"/>
  <c r="V685" i="16"/>
  <c r="P685" i="16"/>
  <c r="Q685" i="16"/>
  <c r="R685" i="16"/>
  <c r="W685" i="16"/>
  <c r="G1037" i="15"/>
  <c r="O693" i="16" s="1"/>
  <c r="U693" i="16"/>
  <c r="V693" i="16"/>
  <c r="W693" i="16"/>
  <c r="P693" i="16"/>
  <c r="Q693" i="16"/>
  <c r="R693" i="16"/>
  <c r="S693" i="16"/>
  <c r="T693" i="16"/>
  <c r="G1051" i="15"/>
  <c r="O703" i="16" s="1"/>
  <c r="P703" i="16"/>
  <c r="Q703" i="16"/>
  <c r="R703" i="16"/>
  <c r="S703" i="16"/>
  <c r="U703" i="16"/>
  <c r="V703" i="16"/>
  <c r="W703" i="16"/>
  <c r="G1059" i="15"/>
  <c r="O711" i="16" s="1"/>
  <c r="R711" i="16"/>
  <c r="S711" i="16"/>
  <c r="T711" i="16"/>
  <c r="U711" i="16"/>
  <c r="V711" i="16"/>
  <c r="W711" i="16"/>
  <c r="P711" i="16"/>
  <c r="Q711" i="16"/>
  <c r="G1067" i="15"/>
  <c r="O719" i="16" s="1"/>
  <c r="R719" i="16"/>
  <c r="S719" i="16"/>
  <c r="T719" i="16"/>
  <c r="U719" i="16"/>
  <c r="V719" i="16"/>
  <c r="W719" i="16"/>
  <c r="P719" i="16"/>
  <c r="Q719" i="16"/>
  <c r="G1075" i="15"/>
  <c r="O727" i="16" s="1"/>
  <c r="R727" i="16"/>
  <c r="S727" i="16"/>
  <c r="T727" i="16"/>
  <c r="U727" i="16"/>
  <c r="V727" i="16"/>
  <c r="W727" i="16"/>
  <c r="P727" i="16"/>
  <c r="Q727" i="16"/>
  <c r="T527" i="16"/>
  <c r="T643" i="16"/>
  <c r="P18" i="16"/>
  <c r="P42" i="16"/>
  <c r="Q41" i="16"/>
  <c r="R40" i="16"/>
  <c r="S39" i="16"/>
  <c r="T38" i="16"/>
  <c r="U37" i="16"/>
  <c r="V36" i="16"/>
  <c r="W35" i="16"/>
  <c r="P34" i="16"/>
  <c r="Q33" i="16"/>
  <c r="R32" i="16"/>
  <c r="S31" i="16"/>
  <c r="T30" i="16"/>
  <c r="U29" i="16"/>
  <c r="V28" i="16"/>
  <c r="W27" i="16"/>
  <c r="P26" i="16"/>
  <c r="Q25" i="16"/>
  <c r="R24" i="16"/>
  <c r="S23" i="16"/>
  <c r="T22" i="16"/>
  <c r="U21" i="16"/>
  <c r="V20" i="16"/>
  <c r="W19" i="16"/>
  <c r="Q47" i="16"/>
  <c r="Q71" i="16"/>
  <c r="R70" i="16"/>
  <c r="S69" i="16"/>
  <c r="T68" i="16"/>
  <c r="U67" i="16"/>
  <c r="V66" i="16"/>
  <c r="W65" i="16"/>
  <c r="P64" i="16"/>
  <c r="Q63" i="16"/>
  <c r="R62" i="16"/>
  <c r="S61" i="16"/>
  <c r="T60" i="16"/>
  <c r="U59" i="16"/>
  <c r="V58" i="16"/>
  <c r="W57" i="16"/>
  <c r="P56" i="16"/>
  <c r="Q55" i="16"/>
  <c r="R54" i="16"/>
  <c r="S53" i="16"/>
  <c r="T52" i="16"/>
  <c r="U51" i="16"/>
  <c r="V50" i="16"/>
  <c r="W49" i="16"/>
  <c r="P48" i="16"/>
  <c r="R76" i="16"/>
  <c r="R100" i="16"/>
  <c r="S99" i="16"/>
  <c r="T98" i="16"/>
  <c r="U97" i="16"/>
  <c r="V96" i="16"/>
  <c r="W95" i="16"/>
  <c r="P94" i="16"/>
  <c r="Q93" i="16"/>
  <c r="R92" i="16"/>
  <c r="S91" i="16"/>
  <c r="T90" i="16"/>
  <c r="U89" i="16"/>
  <c r="V88" i="16"/>
  <c r="W87" i="16"/>
  <c r="P86" i="16"/>
  <c r="Q85" i="16"/>
  <c r="R84" i="16"/>
  <c r="S83" i="16"/>
  <c r="T82" i="16"/>
  <c r="U81" i="16"/>
  <c r="V80" i="16"/>
  <c r="W79" i="16"/>
  <c r="P78" i="16"/>
  <c r="Q77" i="16"/>
  <c r="S105" i="16"/>
  <c r="S129" i="16"/>
  <c r="T128" i="16"/>
  <c r="U127" i="16"/>
  <c r="V126" i="16"/>
  <c r="W125" i="16"/>
  <c r="P124" i="16"/>
  <c r="Q123" i="16"/>
  <c r="R122" i="16"/>
  <c r="S121" i="16"/>
  <c r="T120" i="16"/>
  <c r="U119" i="16"/>
  <c r="V118" i="16"/>
  <c r="W117" i="16"/>
  <c r="P116" i="16"/>
  <c r="Q115" i="16"/>
  <c r="R114" i="16"/>
  <c r="S113" i="16"/>
  <c r="T112" i="16"/>
  <c r="U111" i="16"/>
  <c r="V110" i="16"/>
  <c r="W109" i="16"/>
  <c r="P108" i="16"/>
  <c r="Q107" i="16"/>
  <c r="R106" i="16"/>
  <c r="T134" i="16"/>
  <c r="T158" i="16"/>
  <c r="U157" i="16"/>
  <c r="V156" i="16"/>
  <c r="W155" i="16"/>
  <c r="P154" i="16"/>
  <c r="Q153" i="16"/>
  <c r="R152" i="16"/>
  <c r="S151" i="16"/>
  <c r="T150" i="16"/>
  <c r="U149" i="16"/>
  <c r="V148" i="16"/>
  <c r="W147" i="16"/>
  <c r="P146" i="16"/>
  <c r="Q145" i="16"/>
  <c r="R144" i="16"/>
  <c r="S143" i="16"/>
  <c r="T142" i="16"/>
  <c r="U141" i="16"/>
  <c r="V140" i="16"/>
  <c r="W139" i="16"/>
  <c r="P138" i="16"/>
  <c r="Q137" i="16"/>
  <c r="R136" i="16"/>
  <c r="S135" i="16"/>
  <c r="U163" i="16"/>
  <c r="U187" i="16"/>
  <c r="V186" i="16"/>
  <c r="W185" i="16"/>
  <c r="P184" i="16"/>
  <c r="Q183" i="16"/>
  <c r="R182" i="16"/>
  <c r="S181" i="16"/>
  <c r="T180" i="16"/>
  <c r="U179" i="16"/>
  <c r="V178" i="16"/>
  <c r="W177" i="16"/>
  <c r="P176" i="16"/>
  <c r="Q175" i="16"/>
  <c r="R174" i="16"/>
  <c r="S173" i="16"/>
  <c r="T172" i="16"/>
  <c r="U171" i="16"/>
  <c r="V170" i="16"/>
  <c r="W169" i="16"/>
  <c r="P168" i="16"/>
  <c r="Q167" i="16"/>
  <c r="R166" i="16"/>
  <c r="S165" i="16"/>
  <c r="T164" i="16"/>
  <c r="V192" i="16"/>
  <c r="V216" i="16"/>
  <c r="W215" i="16"/>
  <c r="P214" i="16"/>
  <c r="Q213" i="16"/>
  <c r="R212" i="16"/>
  <c r="S211" i="16"/>
  <c r="T210" i="16"/>
  <c r="U209" i="16"/>
  <c r="V208" i="16"/>
  <c r="W207" i="16"/>
  <c r="P206" i="16"/>
  <c r="Q205" i="16"/>
  <c r="R204" i="16"/>
  <c r="S203" i="16"/>
  <c r="T202" i="16"/>
  <c r="U201" i="16"/>
  <c r="V200" i="16"/>
  <c r="W199" i="16"/>
  <c r="P198" i="16"/>
  <c r="Q197" i="16"/>
  <c r="R196" i="16"/>
  <c r="S195" i="16"/>
  <c r="T194" i="16"/>
  <c r="U193" i="16"/>
  <c r="W221" i="16"/>
  <c r="W245" i="16"/>
  <c r="P244" i="16"/>
  <c r="Q243" i="16"/>
  <c r="R242" i="16"/>
  <c r="S241" i="16"/>
  <c r="T240" i="16"/>
  <c r="U239" i="16"/>
  <c r="V238" i="16"/>
  <c r="W237" i="16"/>
  <c r="P236" i="16"/>
  <c r="Q235" i="16"/>
  <c r="R234" i="16"/>
  <c r="S233" i="16"/>
  <c r="T232" i="16"/>
  <c r="U231" i="16"/>
  <c r="V230" i="16"/>
  <c r="W229" i="16"/>
  <c r="P228" i="16"/>
  <c r="Q227" i="16"/>
  <c r="R226" i="16"/>
  <c r="S225" i="16"/>
  <c r="T224" i="16"/>
  <c r="U223" i="16"/>
  <c r="V222" i="16"/>
  <c r="P250" i="16"/>
  <c r="P274" i="16"/>
  <c r="Q273" i="16"/>
  <c r="R272" i="16"/>
  <c r="S271" i="16"/>
  <c r="T270" i="16"/>
  <c r="U269" i="16"/>
  <c r="V268" i="16"/>
  <c r="W267" i="16"/>
  <c r="P266" i="16"/>
  <c r="Q265" i="16"/>
  <c r="R264" i="16"/>
  <c r="S263" i="16"/>
  <c r="T262" i="16"/>
  <c r="U261" i="16"/>
  <c r="V260" i="16"/>
  <c r="W259" i="16"/>
  <c r="P258" i="16"/>
  <c r="Q257" i="16"/>
  <c r="R256" i="16"/>
  <c r="S255" i="16"/>
  <c r="T254" i="16"/>
  <c r="U253" i="16"/>
  <c r="V252" i="16"/>
  <c r="W251" i="16"/>
  <c r="Q279" i="16"/>
  <c r="Q303" i="16"/>
  <c r="R302" i="16"/>
  <c r="S301" i="16"/>
  <c r="T300" i="16"/>
  <c r="V297" i="16"/>
  <c r="Q294" i="16"/>
  <c r="P290" i="16"/>
  <c r="T287" i="16"/>
  <c r="S280" i="16"/>
  <c r="W329" i="16"/>
  <c r="W324" i="16"/>
  <c r="V322" i="16"/>
  <c r="Q320" i="16"/>
  <c r="S317" i="16"/>
  <c r="Q310" i="16"/>
  <c r="U360" i="16"/>
  <c r="T353" i="16"/>
  <c r="S346" i="16"/>
  <c r="W342" i="16"/>
  <c r="V389" i="16"/>
  <c r="Q386" i="16"/>
  <c r="U382" i="16"/>
  <c r="R378" i="16"/>
  <c r="Q371" i="16"/>
  <c r="P418" i="16"/>
  <c r="G290" i="15"/>
  <c r="O283" i="16" s="1"/>
  <c r="Q283" i="16"/>
  <c r="S283" i="16"/>
  <c r="T283" i="16"/>
  <c r="U283" i="16"/>
  <c r="V283" i="16"/>
  <c r="G298" i="15"/>
  <c r="O291" i="16" s="1"/>
  <c r="Q291" i="16"/>
  <c r="S291" i="16"/>
  <c r="T291" i="16"/>
  <c r="U291" i="16"/>
  <c r="V291" i="16"/>
  <c r="G306" i="15"/>
  <c r="O299" i="16" s="1"/>
  <c r="Q299" i="16"/>
  <c r="S299" i="16"/>
  <c r="U299" i="16"/>
  <c r="G320" i="15"/>
  <c r="O311" i="16" s="1"/>
  <c r="R311" i="16"/>
  <c r="S311" i="16"/>
  <c r="T311" i="16"/>
  <c r="U311" i="16"/>
  <c r="V311" i="16"/>
  <c r="W311" i="16"/>
  <c r="G328" i="15"/>
  <c r="O319" i="16" s="1"/>
  <c r="S319" i="16"/>
  <c r="U319" i="16"/>
  <c r="V319" i="16"/>
  <c r="W319" i="16"/>
  <c r="P319" i="16"/>
  <c r="G336" i="15"/>
  <c r="O327" i="16" s="1"/>
  <c r="S327" i="16"/>
  <c r="U327" i="16"/>
  <c r="V327" i="16"/>
  <c r="W327" i="16"/>
  <c r="P327" i="16"/>
  <c r="G350" i="15"/>
  <c r="O339" i="16" s="1"/>
  <c r="T339" i="16"/>
  <c r="U339" i="16"/>
  <c r="V339" i="16"/>
  <c r="W339" i="16"/>
  <c r="P339" i="16"/>
  <c r="Q339" i="16"/>
  <c r="G358" i="15"/>
  <c r="O347" i="16" s="1"/>
  <c r="T347" i="16"/>
  <c r="U347" i="16"/>
  <c r="V347" i="16"/>
  <c r="W347" i="16"/>
  <c r="P347" i="16"/>
  <c r="Q347" i="16"/>
  <c r="G366" i="15"/>
  <c r="O355" i="16" s="1"/>
  <c r="T355" i="16"/>
  <c r="U355" i="16"/>
  <c r="V355" i="16"/>
  <c r="W355" i="16"/>
  <c r="P355" i="16"/>
  <c r="Q355" i="16"/>
  <c r="G380" i="15"/>
  <c r="O367" i="16" s="1"/>
  <c r="V367" i="16"/>
  <c r="W367" i="16"/>
  <c r="P367" i="16"/>
  <c r="Q367" i="16"/>
  <c r="R367" i="16"/>
  <c r="S367" i="16"/>
  <c r="T367" i="16"/>
  <c r="G388" i="15"/>
  <c r="O375" i="16" s="1"/>
  <c r="V375" i="16"/>
  <c r="W375" i="16"/>
  <c r="P375" i="16"/>
  <c r="Q375" i="16"/>
  <c r="R375" i="16"/>
  <c r="S375" i="16"/>
  <c r="T375" i="16"/>
  <c r="G396" i="15"/>
  <c r="O383" i="16" s="1"/>
  <c r="V383" i="16"/>
  <c r="W383" i="16"/>
  <c r="P383" i="16"/>
  <c r="Q383" i="16"/>
  <c r="R383" i="16"/>
  <c r="S383" i="16"/>
  <c r="G410" i="15"/>
  <c r="O395" i="16" s="1"/>
  <c r="P395" i="16"/>
  <c r="Q395" i="16"/>
  <c r="R395" i="16"/>
  <c r="S395" i="16"/>
  <c r="T395" i="16"/>
  <c r="U395" i="16"/>
  <c r="V395" i="16"/>
  <c r="G418" i="15"/>
  <c r="O403" i="16" s="1"/>
  <c r="P403" i="16"/>
  <c r="Q403" i="16"/>
  <c r="R403" i="16"/>
  <c r="S403" i="16"/>
  <c r="T403" i="16"/>
  <c r="U403" i="16"/>
  <c r="V403" i="16"/>
  <c r="W403" i="16"/>
  <c r="G426" i="15"/>
  <c r="O411" i="16" s="1"/>
  <c r="P411" i="16"/>
  <c r="Q411" i="16"/>
  <c r="R411" i="16"/>
  <c r="S411" i="16"/>
  <c r="T411" i="16"/>
  <c r="U411" i="16"/>
  <c r="V411" i="16"/>
  <c r="W411" i="16"/>
  <c r="G434" i="15"/>
  <c r="O419" i="16" s="1"/>
  <c r="P419" i="16"/>
  <c r="Q419" i="16"/>
  <c r="R419" i="16"/>
  <c r="S419" i="16"/>
  <c r="T419" i="16"/>
  <c r="U419" i="16"/>
  <c r="V419" i="16"/>
  <c r="G448" i="15"/>
  <c r="O431" i="16" s="1"/>
  <c r="R431" i="16"/>
  <c r="S431" i="16"/>
  <c r="T431" i="16"/>
  <c r="U431" i="16"/>
  <c r="V431" i="16"/>
  <c r="W431" i="16"/>
  <c r="P431" i="16"/>
  <c r="Q431" i="16"/>
  <c r="G456" i="15"/>
  <c r="O439" i="16" s="1"/>
  <c r="R439" i="16"/>
  <c r="S439" i="16"/>
  <c r="T439" i="16"/>
  <c r="U439" i="16"/>
  <c r="V439" i="16"/>
  <c r="W439" i="16"/>
  <c r="P439" i="16"/>
  <c r="Q439" i="16"/>
  <c r="G464" i="15"/>
  <c r="O447" i="16" s="1"/>
  <c r="R447" i="16"/>
  <c r="S447" i="16"/>
  <c r="T447" i="16"/>
  <c r="U447" i="16"/>
  <c r="V447" i="16"/>
  <c r="W447" i="16"/>
  <c r="P447" i="16"/>
  <c r="Q447" i="16"/>
  <c r="G478" i="15"/>
  <c r="O459" i="16" s="1"/>
  <c r="Q459" i="16"/>
  <c r="R459" i="16"/>
  <c r="S459" i="16"/>
  <c r="T459" i="16"/>
  <c r="U459" i="16"/>
  <c r="V459" i="16"/>
  <c r="W459" i="16"/>
  <c r="P459" i="16"/>
  <c r="G486" i="15"/>
  <c r="O467" i="16" s="1"/>
  <c r="Q467" i="16"/>
  <c r="R467" i="16"/>
  <c r="S467" i="16"/>
  <c r="T467" i="16"/>
  <c r="U467" i="16"/>
  <c r="V467" i="16"/>
  <c r="W467" i="16"/>
  <c r="P467" i="16"/>
  <c r="G494" i="15"/>
  <c r="O475" i="16" s="1"/>
  <c r="Q475" i="16"/>
  <c r="R475" i="16"/>
  <c r="S475" i="16"/>
  <c r="T475" i="16"/>
  <c r="U475" i="16"/>
  <c r="V475" i="16"/>
  <c r="W475" i="16"/>
  <c r="P475" i="16"/>
  <c r="G726" i="15"/>
  <c r="O744" i="16" s="1"/>
  <c r="U744" i="16"/>
  <c r="V744" i="16"/>
  <c r="W744" i="16"/>
  <c r="P744" i="16"/>
  <c r="Q744" i="16"/>
  <c r="R744" i="16"/>
  <c r="S744" i="16"/>
  <c r="T744" i="16"/>
  <c r="G734" i="15"/>
  <c r="O752" i="16" s="1"/>
  <c r="U752" i="16"/>
  <c r="V752" i="16"/>
  <c r="W752" i="16"/>
  <c r="P752" i="16"/>
  <c r="Q752" i="16"/>
  <c r="R752" i="16"/>
  <c r="S752" i="16"/>
  <c r="T752" i="16"/>
  <c r="G742" i="15"/>
  <c r="O760" i="16" s="1"/>
  <c r="U760" i="16"/>
  <c r="V760" i="16"/>
  <c r="W760" i="16"/>
  <c r="P760" i="16"/>
  <c r="Q760" i="16"/>
  <c r="R760" i="16"/>
  <c r="S760" i="16"/>
  <c r="T760" i="16"/>
  <c r="G756" i="15"/>
  <c r="O801" i="16" s="1"/>
  <c r="P801" i="16"/>
  <c r="Q801" i="16"/>
  <c r="R801" i="16"/>
  <c r="S801" i="16"/>
  <c r="T801" i="16"/>
  <c r="U801" i="16"/>
  <c r="V801" i="16"/>
  <c r="W801" i="16"/>
  <c r="G764" i="15"/>
  <c r="O809" i="16" s="1"/>
  <c r="P809" i="16"/>
  <c r="Q809" i="16"/>
  <c r="R809" i="16"/>
  <c r="S809" i="16"/>
  <c r="T809" i="16"/>
  <c r="U809" i="16"/>
  <c r="V809" i="16"/>
  <c r="W809" i="16"/>
  <c r="G772" i="15"/>
  <c r="O817" i="16" s="1"/>
  <c r="P817" i="16"/>
  <c r="Q817" i="16"/>
  <c r="R817" i="16"/>
  <c r="S817" i="16"/>
  <c r="T817" i="16"/>
  <c r="U817" i="16"/>
  <c r="V817" i="16"/>
  <c r="W817" i="16"/>
  <c r="G786" i="15"/>
  <c r="O771" i="16" s="1"/>
  <c r="P771" i="16"/>
  <c r="Q771" i="16"/>
  <c r="R771" i="16"/>
  <c r="S771" i="16"/>
  <c r="T771" i="16"/>
  <c r="U771" i="16"/>
  <c r="V771" i="16"/>
  <c r="W771" i="16"/>
  <c r="G794" i="15"/>
  <c r="O779" i="16" s="1"/>
  <c r="P779" i="16"/>
  <c r="Q779" i="16"/>
  <c r="R779" i="16"/>
  <c r="S779" i="16"/>
  <c r="T779" i="16"/>
  <c r="U779" i="16"/>
  <c r="V779" i="16"/>
  <c r="W779" i="16"/>
  <c r="G802" i="15"/>
  <c r="O787" i="16" s="1"/>
  <c r="P787" i="16"/>
  <c r="Q787" i="16"/>
  <c r="R787" i="16"/>
  <c r="S787" i="16"/>
  <c r="T787" i="16"/>
  <c r="U787" i="16"/>
  <c r="V787" i="16"/>
  <c r="W787" i="16"/>
  <c r="G816" i="15"/>
  <c r="O484" i="16" s="1"/>
  <c r="R484" i="16"/>
  <c r="S484" i="16"/>
  <c r="T484" i="16"/>
  <c r="U484" i="16"/>
  <c r="V484" i="16"/>
  <c r="W484" i="16"/>
  <c r="P484" i="16"/>
  <c r="Q484" i="16"/>
  <c r="G824" i="15"/>
  <c r="O492" i="16" s="1"/>
  <c r="R492" i="16"/>
  <c r="S492" i="16"/>
  <c r="T492" i="16"/>
  <c r="U492" i="16"/>
  <c r="V492" i="16"/>
  <c r="W492" i="16"/>
  <c r="P492" i="16"/>
  <c r="Q492" i="16"/>
  <c r="G832" i="15"/>
  <c r="O500" i="16" s="1"/>
  <c r="R500" i="16"/>
  <c r="S500" i="16"/>
  <c r="T500" i="16"/>
  <c r="U500" i="16"/>
  <c r="V500" i="16"/>
  <c r="W500" i="16"/>
  <c r="P500" i="16"/>
  <c r="Q500" i="16"/>
  <c r="G840" i="15"/>
  <c r="O508" i="16" s="1"/>
  <c r="R508" i="16"/>
  <c r="S508" i="16"/>
  <c r="T508" i="16"/>
  <c r="U508" i="16"/>
  <c r="V508" i="16"/>
  <c r="W508" i="16"/>
  <c r="P508" i="16"/>
  <c r="Q508" i="16"/>
  <c r="G881" i="15"/>
  <c r="O547" i="16" s="1"/>
  <c r="T547" i="16"/>
  <c r="U547" i="16"/>
  <c r="V547" i="16"/>
  <c r="W547" i="16"/>
  <c r="P547" i="16"/>
  <c r="Q547" i="16"/>
  <c r="R547" i="16"/>
  <c r="S547" i="16"/>
  <c r="G873" i="15"/>
  <c r="O539" i="16" s="1"/>
  <c r="T539" i="16"/>
  <c r="U539" i="16"/>
  <c r="V539" i="16"/>
  <c r="W539" i="16"/>
  <c r="P539" i="16"/>
  <c r="Q539" i="16"/>
  <c r="R539" i="16"/>
  <c r="S539" i="16"/>
  <c r="G865" i="15"/>
  <c r="O531" i="16" s="1"/>
  <c r="S531" i="16"/>
  <c r="T531" i="16"/>
  <c r="U531" i="16"/>
  <c r="V531" i="16"/>
  <c r="W531" i="16"/>
  <c r="P531" i="16"/>
  <c r="Q531" i="16"/>
  <c r="R531" i="16"/>
  <c r="G857" i="15"/>
  <c r="O523" i="16" s="1"/>
  <c r="W523" i="16"/>
  <c r="P523" i="16"/>
  <c r="Q523" i="16"/>
  <c r="R523" i="16"/>
  <c r="S523" i="16"/>
  <c r="T523" i="16"/>
  <c r="U523" i="16"/>
  <c r="V523" i="16"/>
  <c r="G892" i="15"/>
  <c r="O556" i="16" s="1"/>
  <c r="Q556" i="16"/>
  <c r="R556" i="16"/>
  <c r="S556" i="16"/>
  <c r="T556" i="16"/>
  <c r="U556" i="16"/>
  <c r="V556" i="16"/>
  <c r="W556" i="16"/>
  <c r="P556" i="16"/>
  <c r="G900" i="15"/>
  <c r="O564" i="16" s="1"/>
  <c r="Q564" i="16"/>
  <c r="R564" i="16"/>
  <c r="S564" i="16"/>
  <c r="T564" i="16"/>
  <c r="U564" i="16"/>
  <c r="V564" i="16"/>
  <c r="W564" i="16"/>
  <c r="P564" i="16"/>
  <c r="G908" i="15"/>
  <c r="O572" i="16" s="1"/>
  <c r="R572" i="16"/>
  <c r="S572" i="16"/>
  <c r="T572" i="16"/>
  <c r="U572" i="16"/>
  <c r="V572" i="16"/>
  <c r="W572" i="16"/>
  <c r="P572" i="16"/>
  <c r="Q572" i="16"/>
  <c r="G916" i="15"/>
  <c r="O580" i="16" s="1"/>
  <c r="R580" i="16"/>
  <c r="S580" i="16"/>
  <c r="T580" i="16"/>
  <c r="U580" i="16"/>
  <c r="V580" i="16"/>
  <c r="W580" i="16"/>
  <c r="P580" i="16"/>
  <c r="Q580" i="16"/>
  <c r="G930" i="15"/>
  <c r="O592" i="16" s="1"/>
  <c r="T592" i="16"/>
  <c r="U592" i="16"/>
  <c r="V592" i="16"/>
  <c r="W592" i="16"/>
  <c r="P592" i="16"/>
  <c r="Q592" i="16"/>
  <c r="R592" i="16"/>
  <c r="S592" i="16"/>
  <c r="G938" i="15"/>
  <c r="O600" i="16" s="1"/>
  <c r="T600" i="16"/>
  <c r="U600" i="16"/>
  <c r="V600" i="16"/>
  <c r="W600" i="16"/>
  <c r="P600" i="16"/>
  <c r="Q600" i="16"/>
  <c r="R600" i="16"/>
  <c r="S600" i="16"/>
  <c r="G946" i="15"/>
  <c r="O608" i="16" s="1"/>
  <c r="U608" i="16"/>
  <c r="V608" i="16"/>
  <c r="W608" i="16"/>
  <c r="P608" i="16"/>
  <c r="Q608" i="16"/>
  <c r="R608" i="16"/>
  <c r="S608" i="16"/>
  <c r="T608" i="16"/>
  <c r="G954" i="15"/>
  <c r="O616" i="16" s="1"/>
  <c r="U616" i="16"/>
  <c r="V616" i="16"/>
  <c r="W616" i="16"/>
  <c r="P616" i="16"/>
  <c r="Q616" i="16"/>
  <c r="R616" i="16"/>
  <c r="S616" i="16"/>
  <c r="T616" i="16"/>
  <c r="G962" i="15"/>
  <c r="O624" i="16" s="1"/>
  <c r="V624" i="16"/>
  <c r="W624" i="16"/>
  <c r="P624" i="16"/>
  <c r="Q624" i="16"/>
  <c r="R624" i="16"/>
  <c r="S624" i="16"/>
  <c r="T624" i="16"/>
  <c r="U624" i="16"/>
  <c r="G976" i="15"/>
  <c r="O636" i="16" s="1"/>
  <c r="U636" i="16"/>
  <c r="V636" i="16"/>
  <c r="W636" i="16"/>
  <c r="P636" i="16"/>
  <c r="Q636" i="16"/>
  <c r="R636" i="16"/>
  <c r="S636" i="16"/>
  <c r="T636" i="16"/>
  <c r="G984" i="15"/>
  <c r="O644" i="16" s="1"/>
  <c r="V644" i="16"/>
  <c r="W644" i="16"/>
  <c r="P644" i="16"/>
  <c r="Q644" i="16"/>
  <c r="R644" i="16"/>
  <c r="S644" i="16"/>
  <c r="T644" i="16"/>
  <c r="U644" i="16"/>
  <c r="G992" i="15"/>
  <c r="O652" i="16" s="1"/>
  <c r="W652" i="16"/>
  <c r="P652" i="16"/>
  <c r="Q652" i="16"/>
  <c r="R652" i="16"/>
  <c r="S652" i="16"/>
  <c r="T652" i="16"/>
  <c r="U652" i="16"/>
  <c r="V652" i="16"/>
  <c r="G1000" i="15"/>
  <c r="O660" i="16" s="1"/>
  <c r="W660" i="16"/>
  <c r="P660" i="16"/>
  <c r="Q660" i="16"/>
  <c r="R660" i="16"/>
  <c r="S660" i="16"/>
  <c r="T660" i="16"/>
  <c r="U660" i="16"/>
  <c r="V660" i="16"/>
  <c r="G1014" i="15"/>
  <c r="O670" i="16" s="1"/>
  <c r="P670" i="16"/>
  <c r="Q670" i="16"/>
  <c r="R670" i="16"/>
  <c r="S670" i="16"/>
  <c r="T670" i="16"/>
  <c r="U670" i="16"/>
  <c r="W670" i="16"/>
  <c r="V670" i="16"/>
  <c r="G1022" i="15"/>
  <c r="O678" i="16" s="1"/>
  <c r="Q678" i="16"/>
  <c r="R678" i="16"/>
  <c r="S678" i="16"/>
  <c r="T678" i="16"/>
  <c r="U678" i="16"/>
  <c r="V678" i="16"/>
  <c r="P678" i="16"/>
  <c r="W678" i="16"/>
  <c r="G1030" i="15"/>
  <c r="O686" i="16" s="1"/>
  <c r="R686" i="16"/>
  <c r="S686" i="16"/>
  <c r="T686" i="16"/>
  <c r="U686" i="16"/>
  <c r="Q686" i="16"/>
  <c r="V686" i="16"/>
  <c r="W686" i="16"/>
  <c r="P686" i="16"/>
  <c r="G1038" i="15"/>
  <c r="O694" i="16" s="1"/>
  <c r="T694" i="16"/>
  <c r="U694" i="16"/>
  <c r="V694" i="16"/>
  <c r="W694" i="16"/>
  <c r="P694" i="16"/>
  <c r="Q694" i="16"/>
  <c r="R694" i="16"/>
  <c r="S694" i="16"/>
  <c r="G1052" i="15"/>
  <c r="O704" i="16" s="1"/>
  <c r="P704" i="16"/>
  <c r="Q704" i="16"/>
  <c r="R704" i="16"/>
  <c r="S704" i="16"/>
  <c r="U704" i="16"/>
  <c r="V704" i="16"/>
  <c r="W704" i="16"/>
  <c r="G1060" i="15"/>
  <c r="O712" i="16" s="1"/>
  <c r="Q712" i="16"/>
  <c r="R712" i="16"/>
  <c r="S712" i="16"/>
  <c r="T712" i="16"/>
  <c r="U712" i="16"/>
  <c r="V712" i="16"/>
  <c r="W712" i="16"/>
  <c r="P712" i="16"/>
  <c r="G1068" i="15"/>
  <c r="O720" i="16" s="1"/>
  <c r="Q720" i="16"/>
  <c r="R720" i="16"/>
  <c r="S720" i="16"/>
  <c r="T720" i="16"/>
  <c r="U720" i="16"/>
  <c r="V720" i="16"/>
  <c r="W720" i="16"/>
  <c r="P720" i="16"/>
  <c r="G1076" i="15"/>
  <c r="O728" i="16" s="1"/>
  <c r="Q728" i="16"/>
  <c r="R728" i="16"/>
  <c r="S728" i="16"/>
  <c r="T728" i="16"/>
  <c r="U728" i="16"/>
  <c r="V728" i="16"/>
  <c r="W728" i="16"/>
  <c r="P728" i="16"/>
  <c r="R528" i="16"/>
  <c r="T649" i="16"/>
  <c r="W18" i="16"/>
  <c r="W42" i="16"/>
  <c r="P41" i="16"/>
  <c r="Q40" i="16"/>
  <c r="R39" i="16"/>
  <c r="S38" i="16"/>
  <c r="T37" i="16"/>
  <c r="U36" i="16"/>
  <c r="V35" i="16"/>
  <c r="W34" i="16"/>
  <c r="P33" i="16"/>
  <c r="Q32" i="16"/>
  <c r="R31" i="16"/>
  <c r="S30" i="16"/>
  <c r="T29" i="16"/>
  <c r="U28" i="16"/>
  <c r="V27" i="16"/>
  <c r="W26" i="16"/>
  <c r="P25" i="16"/>
  <c r="Q24" i="16"/>
  <c r="R23" i="16"/>
  <c r="S22" i="16"/>
  <c r="T21" i="16"/>
  <c r="U20" i="16"/>
  <c r="V19" i="16"/>
  <c r="P47" i="16"/>
  <c r="P71" i="16"/>
  <c r="Q70" i="16"/>
  <c r="R69" i="16"/>
  <c r="S68" i="16"/>
  <c r="T67" i="16"/>
  <c r="U66" i="16"/>
  <c r="V65" i="16"/>
  <c r="W64" i="16"/>
  <c r="P63" i="16"/>
  <c r="Q62" i="16"/>
  <c r="R61" i="16"/>
  <c r="S60" i="16"/>
  <c r="T59" i="16"/>
  <c r="U58" i="16"/>
  <c r="V57" i="16"/>
  <c r="W56" i="16"/>
  <c r="P55" i="16"/>
  <c r="Q54" i="16"/>
  <c r="R53" i="16"/>
  <c r="S52" i="16"/>
  <c r="T51" i="16"/>
  <c r="U50" i="16"/>
  <c r="V49" i="16"/>
  <c r="W48" i="16"/>
  <c r="Q76" i="16"/>
  <c r="Q100" i="16"/>
  <c r="R99" i="16"/>
  <c r="S98" i="16"/>
  <c r="T97" i="16"/>
  <c r="U96" i="16"/>
  <c r="V95" i="16"/>
  <c r="W94" i="16"/>
  <c r="P93" i="16"/>
  <c r="Q92" i="16"/>
  <c r="R91" i="16"/>
  <c r="S90" i="16"/>
  <c r="T89" i="16"/>
  <c r="U88" i="16"/>
  <c r="V87" i="16"/>
  <c r="W86" i="16"/>
  <c r="P85" i="16"/>
  <c r="Q84" i="16"/>
  <c r="R83" i="16"/>
  <c r="S82" i="16"/>
  <c r="T81" i="16"/>
  <c r="U80" i="16"/>
  <c r="V79" i="16"/>
  <c r="W78" i="16"/>
  <c r="P77" i="16"/>
  <c r="R105" i="16"/>
  <c r="R129" i="16"/>
  <c r="S128" i="16"/>
  <c r="T127" i="16"/>
  <c r="U126" i="16"/>
  <c r="V125" i="16"/>
  <c r="W124" i="16"/>
  <c r="P123" i="16"/>
  <c r="Q122" i="16"/>
  <c r="R121" i="16"/>
  <c r="S120" i="16"/>
  <c r="T119" i="16"/>
  <c r="U118" i="16"/>
  <c r="V117" i="16"/>
  <c r="W116" i="16"/>
  <c r="P115" i="16"/>
  <c r="Q114" i="16"/>
  <c r="R113" i="16"/>
  <c r="S112" i="16"/>
  <c r="T111" i="16"/>
  <c r="U110" i="16"/>
  <c r="V109" i="16"/>
  <c r="W108" i="16"/>
  <c r="P107" i="16"/>
  <c r="Q106" i="16"/>
  <c r="S134" i="16"/>
  <c r="S158" i="16"/>
  <c r="T157" i="16"/>
  <c r="U156" i="16"/>
  <c r="V155" i="16"/>
  <c r="W154" i="16"/>
  <c r="P153" i="16"/>
  <c r="Q152" i="16"/>
  <c r="R151" i="16"/>
  <c r="S150" i="16"/>
  <c r="T149" i="16"/>
  <c r="U148" i="16"/>
  <c r="V147" i="16"/>
  <c r="W146" i="16"/>
  <c r="P145" i="16"/>
  <c r="Q144" i="16"/>
  <c r="R143" i="16"/>
  <c r="S142" i="16"/>
  <c r="T141" i="16"/>
  <c r="U140" i="16"/>
  <c r="V139" i="16"/>
  <c r="W138" i="16"/>
  <c r="P137" i="16"/>
  <c r="Q136" i="16"/>
  <c r="R135" i="16"/>
  <c r="T163" i="16"/>
  <c r="T187" i="16"/>
  <c r="U186" i="16"/>
  <c r="V185" i="16"/>
  <c r="W184" i="16"/>
  <c r="P183" i="16"/>
  <c r="Q182" i="16"/>
  <c r="R181" i="16"/>
  <c r="S180" i="16"/>
  <c r="T179" i="16"/>
  <c r="U178" i="16"/>
  <c r="V177" i="16"/>
  <c r="W176" i="16"/>
  <c r="P175" i="16"/>
  <c r="Q174" i="16"/>
  <c r="R173" i="16"/>
  <c r="S172" i="16"/>
  <c r="T171" i="16"/>
  <c r="U170" i="16"/>
  <c r="V169" i="16"/>
  <c r="W168" i="16"/>
  <c r="P167" i="16"/>
  <c r="Q166" i="16"/>
  <c r="R165" i="16"/>
  <c r="S164" i="16"/>
  <c r="U192" i="16"/>
  <c r="U216" i="16"/>
  <c r="V215" i="16"/>
  <c r="W214" i="16"/>
  <c r="P213" i="16"/>
  <c r="Q212" i="16"/>
  <c r="R211" i="16"/>
  <c r="S210" i="16"/>
  <c r="T209" i="16"/>
  <c r="U208" i="16"/>
  <c r="V207" i="16"/>
  <c r="W206" i="16"/>
  <c r="P205" i="16"/>
  <c r="Q204" i="16"/>
  <c r="R203" i="16"/>
  <c r="S202" i="16"/>
  <c r="T201" i="16"/>
  <c r="U200" i="16"/>
  <c r="V199" i="16"/>
  <c r="W198" i="16"/>
  <c r="P197" i="16"/>
  <c r="Q196" i="16"/>
  <c r="R195" i="16"/>
  <c r="S194" i="16"/>
  <c r="T193" i="16"/>
  <c r="V221" i="16"/>
  <c r="V245" i="16"/>
  <c r="W244" i="16"/>
  <c r="P243" i="16"/>
  <c r="Q242" i="16"/>
  <c r="R241" i="16"/>
  <c r="S240" i="16"/>
  <c r="T239" i="16"/>
  <c r="U238" i="16"/>
  <c r="V237" i="16"/>
  <c r="W236" i="16"/>
  <c r="P235" i="16"/>
  <c r="Q234" i="16"/>
  <c r="R233" i="16"/>
  <c r="S232" i="16"/>
  <c r="T231" i="16"/>
  <c r="U230" i="16"/>
  <c r="V229" i="16"/>
  <c r="W228" i="16"/>
  <c r="P227" i="16"/>
  <c r="Q226" i="16"/>
  <c r="R225" i="16"/>
  <c r="S224" i="16"/>
  <c r="T223" i="16"/>
  <c r="U222" i="16"/>
  <c r="W250" i="16"/>
  <c r="W274" i="16"/>
  <c r="P273" i="16"/>
  <c r="Q272" i="16"/>
  <c r="R271" i="16"/>
  <c r="S270" i="16"/>
  <c r="T269" i="16"/>
  <c r="U268" i="16"/>
  <c r="V267" i="16"/>
  <c r="W266" i="16"/>
  <c r="P265" i="16"/>
  <c r="Q264" i="16"/>
  <c r="R263" i="16"/>
  <c r="S262" i="16"/>
  <c r="T261" i="16"/>
  <c r="U260" i="16"/>
  <c r="V259" i="16"/>
  <c r="W258" i="16"/>
  <c r="P257" i="16"/>
  <c r="Q256" i="16"/>
  <c r="R255" i="16"/>
  <c r="S254" i="16"/>
  <c r="T253" i="16"/>
  <c r="U252" i="16"/>
  <c r="V251" i="16"/>
  <c r="P279" i="16"/>
  <c r="P303" i="16"/>
  <c r="Q302" i="16"/>
  <c r="R301" i="16"/>
  <c r="S300" i="16"/>
  <c r="R299" i="16"/>
  <c r="T297" i="16"/>
  <c r="V295" i="16"/>
  <c r="T289" i="16"/>
  <c r="S287" i="16"/>
  <c r="S282" i="16"/>
  <c r="R280" i="16"/>
  <c r="V331" i="16"/>
  <c r="R329" i="16"/>
  <c r="Q327" i="16"/>
  <c r="U324" i="16"/>
  <c r="Q322" i="16"/>
  <c r="U316" i="16"/>
  <c r="S309" i="16"/>
  <c r="W359" i="16"/>
  <c r="V352" i="16"/>
  <c r="Q349" i="16"/>
  <c r="U345" i="16"/>
  <c r="P342" i="16"/>
  <c r="T338" i="16"/>
  <c r="S385" i="16"/>
  <c r="W381" i="16"/>
  <c r="R370" i="16"/>
  <c r="Q417" i="16"/>
  <c r="G291" i="15"/>
  <c r="O284" i="16" s="1"/>
  <c r="P284" i="16"/>
  <c r="R284" i="16"/>
  <c r="S284" i="16"/>
  <c r="T284" i="16"/>
  <c r="U284" i="16"/>
  <c r="G299" i="15"/>
  <c r="O292" i="16" s="1"/>
  <c r="P292" i="16"/>
  <c r="R292" i="16"/>
  <c r="S292" i="16"/>
  <c r="T292" i="16"/>
  <c r="U292" i="16"/>
  <c r="G321" i="15"/>
  <c r="O312" i="16" s="1"/>
  <c r="Q312" i="16"/>
  <c r="R312" i="16"/>
  <c r="S312" i="16"/>
  <c r="T312" i="16"/>
  <c r="U312" i="16"/>
  <c r="V312" i="16"/>
  <c r="G329" i="15"/>
  <c r="O320" i="16" s="1"/>
  <c r="R320" i="16"/>
  <c r="T320" i="16"/>
  <c r="U320" i="16"/>
  <c r="V320" i="16"/>
  <c r="W320" i="16"/>
  <c r="G337" i="15"/>
  <c r="O328" i="16" s="1"/>
  <c r="R328" i="16"/>
  <c r="T328" i="16"/>
  <c r="U328" i="16"/>
  <c r="V328" i="16"/>
  <c r="W328" i="16"/>
  <c r="G351" i="15"/>
  <c r="O340" i="16" s="1"/>
  <c r="S340" i="16"/>
  <c r="T340" i="16"/>
  <c r="U340" i="16"/>
  <c r="V340" i="16"/>
  <c r="W340" i="16"/>
  <c r="P340" i="16"/>
  <c r="G359" i="15"/>
  <c r="O348" i="16" s="1"/>
  <c r="S348" i="16"/>
  <c r="T348" i="16"/>
  <c r="U348" i="16"/>
  <c r="V348" i="16"/>
  <c r="W348" i="16"/>
  <c r="P348" i="16"/>
  <c r="G367" i="15"/>
  <c r="O356" i="16" s="1"/>
  <c r="S356" i="16"/>
  <c r="T356" i="16"/>
  <c r="U356" i="16"/>
  <c r="V356" i="16"/>
  <c r="W356" i="16"/>
  <c r="P356" i="16"/>
  <c r="G381" i="15"/>
  <c r="O368" i="16" s="1"/>
  <c r="U368" i="16"/>
  <c r="V368" i="16"/>
  <c r="W368" i="16"/>
  <c r="P368" i="16"/>
  <c r="Q368" i="16"/>
  <c r="R368" i="16"/>
  <c r="S368" i="16"/>
  <c r="G389" i="15"/>
  <c r="O376" i="16" s="1"/>
  <c r="U376" i="16"/>
  <c r="V376" i="16"/>
  <c r="W376" i="16"/>
  <c r="P376" i="16"/>
  <c r="Q376" i="16"/>
  <c r="R376" i="16"/>
  <c r="S376" i="16"/>
  <c r="G397" i="15"/>
  <c r="O384" i="16" s="1"/>
  <c r="U384" i="16"/>
  <c r="V384" i="16"/>
  <c r="W384" i="16"/>
  <c r="P384" i="16"/>
  <c r="Q384" i="16"/>
  <c r="R384" i="16"/>
  <c r="G411" i="15"/>
  <c r="O396" i="16" s="1"/>
  <c r="W396" i="16"/>
  <c r="P396" i="16"/>
  <c r="Q396" i="16"/>
  <c r="R396" i="16"/>
  <c r="S396" i="16"/>
  <c r="T396" i="16"/>
  <c r="U396" i="16"/>
  <c r="V396" i="16"/>
  <c r="G419" i="15"/>
  <c r="O404" i="16" s="1"/>
  <c r="W404" i="16"/>
  <c r="P404" i="16"/>
  <c r="Q404" i="16"/>
  <c r="R404" i="16"/>
  <c r="S404" i="16"/>
  <c r="T404" i="16"/>
  <c r="U404" i="16"/>
  <c r="V404" i="16"/>
  <c r="G427" i="15"/>
  <c r="O412" i="16" s="1"/>
  <c r="W412" i="16"/>
  <c r="P412" i="16"/>
  <c r="Q412" i="16"/>
  <c r="R412" i="16"/>
  <c r="S412" i="16"/>
  <c r="T412" i="16"/>
  <c r="U412" i="16"/>
  <c r="G441" i="15"/>
  <c r="O424" i="16" s="1"/>
  <c r="Q424" i="16"/>
  <c r="R424" i="16"/>
  <c r="S424" i="16"/>
  <c r="T424" i="16"/>
  <c r="U424" i="16"/>
  <c r="V424" i="16"/>
  <c r="W424" i="16"/>
  <c r="P424" i="16"/>
  <c r="G449" i="15"/>
  <c r="O432" i="16" s="1"/>
  <c r="Q432" i="16"/>
  <c r="R432" i="16"/>
  <c r="S432" i="16"/>
  <c r="T432" i="16"/>
  <c r="U432" i="16"/>
  <c r="V432" i="16"/>
  <c r="W432" i="16"/>
  <c r="P432" i="16"/>
  <c r="G457" i="15"/>
  <c r="O440" i="16" s="1"/>
  <c r="Q440" i="16"/>
  <c r="R440" i="16"/>
  <c r="S440" i="16"/>
  <c r="T440" i="16"/>
  <c r="U440" i="16"/>
  <c r="V440" i="16"/>
  <c r="W440" i="16"/>
  <c r="P440" i="16"/>
  <c r="G465" i="15"/>
  <c r="O448" i="16" s="1"/>
  <c r="Q448" i="16"/>
  <c r="R448" i="16"/>
  <c r="S448" i="16"/>
  <c r="T448" i="16"/>
  <c r="U448" i="16"/>
  <c r="V448" i="16"/>
  <c r="W448" i="16"/>
  <c r="P448" i="16"/>
  <c r="G479" i="15"/>
  <c r="O460" i="16" s="1"/>
  <c r="P460" i="16"/>
  <c r="Q460" i="16"/>
  <c r="R460" i="16"/>
  <c r="S460" i="16"/>
  <c r="T460" i="16"/>
  <c r="U460" i="16"/>
  <c r="V460" i="16"/>
  <c r="W460" i="16"/>
  <c r="G487" i="15"/>
  <c r="O468" i="16" s="1"/>
  <c r="P468" i="16"/>
  <c r="Q468" i="16"/>
  <c r="R468" i="16"/>
  <c r="S468" i="16"/>
  <c r="T468" i="16"/>
  <c r="U468" i="16"/>
  <c r="V468" i="16"/>
  <c r="W468" i="16"/>
  <c r="G495" i="15"/>
  <c r="O476" i="16" s="1"/>
  <c r="P476" i="16"/>
  <c r="Q476" i="16"/>
  <c r="R476" i="16"/>
  <c r="S476" i="16"/>
  <c r="T476" i="16"/>
  <c r="U476" i="16"/>
  <c r="V476" i="16"/>
  <c r="W476" i="16"/>
  <c r="G727" i="15"/>
  <c r="O745" i="16" s="1"/>
  <c r="T745" i="16"/>
  <c r="U745" i="16"/>
  <c r="V745" i="16"/>
  <c r="W745" i="16"/>
  <c r="P745" i="16"/>
  <c r="Q745" i="16"/>
  <c r="R745" i="16"/>
  <c r="S745" i="16"/>
  <c r="G735" i="15"/>
  <c r="O753" i="16" s="1"/>
  <c r="T753" i="16"/>
  <c r="U753" i="16"/>
  <c r="V753" i="16"/>
  <c r="W753" i="16"/>
  <c r="P753" i="16"/>
  <c r="Q753" i="16"/>
  <c r="R753" i="16"/>
  <c r="S753" i="16"/>
  <c r="G743" i="15"/>
  <c r="O761" i="16" s="1"/>
  <c r="T761" i="16"/>
  <c r="U761" i="16"/>
  <c r="V761" i="16"/>
  <c r="W761" i="16"/>
  <c r="P761" i="16"/>
  <c r="Q761" i="16"/>
  <c r="R761" i="16"/>
  <c r="S761" i="16"/>
  <c r="G757" i="15"/>
  <c r="O802" i="16" s="1"/>
  <c r="W802" i="16"/>
  <c r="P802" i="16"/>
  <c r="Q802" i="16"/>
  <c r="R802" i="16"/>
  <c r="S802" i="16"/>
  <c r="T802" i="16"/>
  <c r="U802" i="16"/>
  <c r="V802" i="16"/>
  <c r="G765" i="15"/>
  <c r="O810" i="16" s="1"/>
  <c r="W810" i="16"/>
  <c r="P810" i="16"/>
  <c r="Q810" i="16"/>
  <c r="R810" i="16"/>
  <c r="S810" i="16"/>
  <c r="T810" i="16"/>
  <c r="U810" i="16"/>
  <c r="V810" i="16"/>
  <c r="G773" i="15"/>
  <c r="O818" i="16" s="1"/>
  <c r="W818" i="16"/>
  <c r="P818" i="16"/>
  <c r="Q818" i="16"/>
  <c r="R818" i="16"/>
  <c r="S818" i="16"/>
  <c r="T818" i="16"/>
  <c r="U818" i="16"/>
  <c r="V818" i="16"/>
  <c r="G787" i="15"/>
  <c r="O772" i="16" s="1"/>
  <c r="W772" i="16"/>
  <c r="P772" i="16"/>
  <c r="Q772" i="16"/>
  <c r="R772" i="16"/>
  <c r="S772" i="16"/>
  <c r="T772" i="16"/>
  <c r="U772" i="16"/>
  <c r="V772" i="16"/>
  <c r="G795" i="15"/>
  <c r="O780" i="16" s="1"/>
  <c r="W780" i="16"/>
  <c r="P780" i="16"/>
  <c r="Q780" i="16"/>
  <c r="R780" i="16"/>
  <c r="S780" i="16"/>
  <c r="T780" i="16"/>
  <c r="U780" i="16"/>
  <c r="V780" i="16"/>
  <c r="G803" i="15"/>
  <c r="O788" i="16" s="1"/>
  <c r="W788" i="16"/>
  <c r="P788" i="16"/>
  <c r="Q788" i="16"/>
  <c r="R788" i="16"/>
  <c r="S788" i="16"/>
  <c r="T788" i="16"/>
  <c r="U788" i="16"/>
  <c r="V788" i="16"/>
  <c r="G817" i="15"/>
  <c r="O485" i="16" s="1"/>
  <c r="Q485" i="16"/>
  <c r="R485" i="16"/>
  <c r="S485" i="16"/>
  <c r="T485" i="16"/>
  <c r="U485" i="16"/>
  <c r="V485" i="16"/>
  <c r="W485" i="16"/>
  <c r="P485" i="16"/>
  <c r="G825" i="15"/>
  <c r="O493" i="16" s="1"/>
  <c r="Q493" i="16"/>
  <c r="R493" i="16"/>
  <c r="S493" i="16"/>
  <c r="T493" i="16"/>
  <c r="U493" i="16"/>
  <c r="V493" i="16"/>
  <c r="W493" i="16"/>
  <c r="P493" i="16"/>
  <c r="G833" i="15"/>
  <c r="O501" i="16" s="1"/>
  <c r="Q501" i="16"/>
  <c r="R501" i="16"/>
  <c r="S501" i="16"/>
  <c r="T501" i="16"/>
  <c r="U501" i="16"/>
  <c r="V501" i="16"/>
  <c r="W501" i="16"/>
  <c r="P501" i="16"/>
  <c r="G841" i="15"/>
  <c r="O509" i="16" s="1"/>
  <c r="Q509" i="16"/>
  <c r="R509" i="16"/>
  <c r="S509" i="16"/>
  <c r="T509" i="16"/>
  <c r="U509" i="16"/>
  <c r="V509" i="16"/>
  <c r="W509" i="16"/>
  <c r="P509" i="16"/>
  <c r="G880" i="15"/>
  <c r="O546" i="16" s="1"/>
  <c r="U546" i="16"/>
  <c r="V546" i="16"/>
  <c r="W546" i="16"/>
  <c r="P546" i="16"/>
  <c r="Q546" i="16"/>
  <c r="R546" i="16"/>
  <c r="S546" i="16"/>
  <c r="T546" i="16"/>
  <c r="G872" i="15"/>
  <c r="O538" i="16" s="1"/>
  <c r="U538" i="16"/>
  <c r="V538" i="16"/>
  <c r="W538" i="16"/>
  <c r="P538" i="16"/>
  <c r="Q538" i="16"/>
  <c r="R538" i="16"/>
  <c r="S538" i="16"/>
  <c r="T538" i="16"/>
  <c r="G864" i="15"/>
  <c r="O530" i="16" s="1"/>
  <c r="T530" i="16"/>
  <c r="U530" i="16"/>
  <c r="V530" i="16"/>
  <c r="W530" i="16"/>
  <c r="P530" i="16"/>
  <c r="Q530" i="16"/>
  <c r="R530" i="16"/>
  <c r="S530" i="16"/>
  <c r="G856" i="15"/>
  <c r="O522" i="16" s="1"/>
  <c r="P522" i="16"/>
  <c r="Q522" i="16"/>
  <c r="R522" i="16"/>
  <c r="S522" i="16"/>
  <c r="T522" i="16"/>
  <c r="U522" i="16"/>
  <c r="V522" i="16"/>
  <c r="W522" i="16"/>
  <c r="G893" i="15"/>
  <c r="O557" i="16" s="1"/>
  <c r="P557" i="16"/>
  <c r="Q557" i="16"/>
  <c r="R557" i="16"/>
  <c r="S557" i="16"/>
  <c r="T557" i="16"/>
  <c r="U557" i="16"/>
  <c r="V557" i="16"/>
  <c r="W557" i="16"/>
  <c r="G901" i="15"/>
  <c r="O565" i="16" s="1"/>
  <c r="P565" i="16"/>
  <c r="Q565" i="16"/>
  <c r="R565" i="16"/>
  <c r="S565" i="16"/>
  <c r="U565" i="16"/>
  <c r="V565" i="16"/>
  <c r="W565" i="16"/>
  <c r="G909" i="15"/>
  <c r="O573" i="16" s="1"/>
  <c r="Q573" i="16"/>
  <c r="R573" i="16"/>
  <c r="S573" i="16"/>
  <c r="T573" i="16"/>
  <c r="U573" i="16"/>
  <c r="V573" i="16"/>
  <c r="W573" i="16"/>
  <c r="P573" i="16"/>
  <c r="G917" i="15"/>
  <c r="O581" i="16" s="1"/>
  <c r="Q581" i="16"/>
  <c r="R581" i="16"/>
  <c r="S581" i="16"/>
  <c r="T581" i="16"/>
  <c r="U581" i="16"/>
  <c r="V581" i="16"/>
  <c r="W581" i="16"/>
  <c r="P581" i="16"/>
  <c r="G931" i="15"/>
  <c r="O593" i="16" s="1"/>
  <c r="S593" i="16"/>
  <c r="T593" i="16"/>
  <c r="U593" i="16"/>
  <c r="V593" i="16"/>
  <c r="W593" i="16"/>
  <c r="P593" i="16"/>
  <c r="Q593" i="16"/>
  <c r="R593" i="16"/>
  <c r="G939" i="15"/>
  <c r="O601" i="16" s="1"/>
  <c r="S601" i="16"/>
  <c r="U601" i="16"/>
  <c r="V601" i="16"/>
  <c r="W601" i="16"/>
  <c r="P601" i="16"/>
  <c r="Q601" i="16"/>
  <c r="R601" i="16"/>
  <c r="G947" i="15"/>
  <c r="O609" i="16" s="1"/>
  <c r="T609" i="16"/>
  <c r="U609" i="16"/>
  <c r="V609" i="16"/>
  <c r="W609" i="16"/>
  <c r="P609" i="16"/>
  <c r="Q609" i="16"/>
  <c r="R609" i="16"/>
  <c r="S609" i="16"/>
  <c r="G955" i="15"/>
  <c r="O617" i="16" s="1"/>
  <c r="T617" i="16"/>
  <c r="U617" i="16"/>
  <c r="V617" i="16"/>
  <c r="W617" i="16"/>
  <c r="P617" i="16"/>
  <c r="Q617" i="16"/>
  <c r="R617" i="16"/>
  <c r="S617" i="16"/>
  <c r="G969" i="15"/>
  <c r="O629" i="16" s="1"/>
  <c r="V629" i="16"/>
  <c r="W629" i="16"/>
  <c r="P629" i="16"/>
  <c r="Q629" i="16"/>
  <c r="R629" i="16"/>
  <c r="S629" i="16"/>
  <c r="T629" i="16"/>
  <c r="U629" i="16"/>
  <c r="G977" i="15"/>
  <c r="O637" i="16" s="1"/>
  <c r="T637" i="16"/>
  <c r="U637" i="16"/>
  <c r="V637" i="16"/>
  <c r="W637" i="16"/>
  <c r="P637" i="16"/>
  <c r="Q637" i="16"/>
  <c r="R637" i="16"/>
  <c r="S637" i="16"/>
  <c r="G985" i="15"/>
  <c r="O645" i="16" s="1"/>
  <c r="U645" i="16"/>
  <c r="V645" i="16"/>
  <c r="W645" i="16"/>
  <c r="P645" i="16"/>
  <c r="Q645" i="16"/>
  <c r="R645" i="16"/>
  <c r="S645" i="16"/>
  <c r="T645" i="16"/>
  <c r="G993" i="15"/>
  <c r="O653" i="16" s="1"/>
  <c r="V653" i="16"/>
  <c r="W653" i="16"/>
  <c r="P653" i="16"/>
  <c r="Q653" i="16"/>
  <c r="R653" i="16"/>
  <c r="S653" i="16"/>
  <c r="T653" i="16"/>
  <c r="U653" i="16"/>
  <c r="G1001" i="15"/>
  <c r="O661" i="16" s="1"/>
  <c r="V661" i="16"/>
  <c r="W661" i="16"/>
  <c r="P661" i="16"/>
  <c r="Q661" i="16"/>
  <c r="R661" i="16"/>
  <c r="S661" i="16"/>
  <c r="T661" i="16"/>
  <c r="U661" i="16"/>
  <c r="G1015" i="15"/>
  <c r="O671" i="16" s="1"/>
  <c r="W671" i="16"/>
  <c r="P671" i="16"/>
  <c r="Q671" i="16"/>
  <c r="R671" i="16"/>
  <c r="S671" i="16"/>
  <c r="T671" i="16"/>
  <c r="V671" i="16"/>
  <c r="U671" i="16"/>
  <c r="G1023" i="15"/>
  <c r="O679" i="16" s="1"/>
  <c r="P679" i="16"/>
  <c r="Q679" i="16"/>
  <c r="R679" i="16"/>
  <c r="S679" i="16"/>
  <c r="U679" i="16"/>
  <c r="W679" i="16"/>
  <c r="T679" i="16"/>
  <c r="V679" i="16"/>
  <c r="G1031" i="15"/>
  <c r="O687" i="16" s="1"/>
  <c r="Q687" i="16"/>
  <c r="R687" i="16"/>
  <c r="S687" i="16"/>
  <c r="T687" i="16"/>
  <c r="P687" i="16"/>
  <c r="U687" i="16"/>
  <c r="V687" i="16"/>
  <c r="W687" i="16"/>
  <c r="G1039" i="15"/>
  <c r="O695" i="16" s="1"/>
  <c r="S695" i="16"/>
  <c r="T695" i="16"/>
  <c r="U695" i="16"/>
  <c r="V695" i="16"/>
  <c r="W695" i="16"/>
  <c r="P695" i="16"/>
  <c r="Q695" i="16"/>
  <c r="R695" i="16"/>
  <c r="G1053" i="15"/>
  <c r="O705" i="16" s="1"/>
  <c r="P705" i="16"/>
  <c r="Q705" i="16"/>
  <c r="R705" i="16"/>
  <c r="S705" i="16"/>
  <c r="U705" i="16"/>
  <c r="V705" i="16"/>
  <c r="W705" i="16"/>
  <c r="G1061" i="15"/>
  <c r="O713" i="16" s="1"/>
  <c r="P713" i="16"/>
  <c r="Q713" i="16"/>
  <c r="R713" i="16"/>
  <c r="S713" i="16"/>
  <c r="T713" i="16"/>
  <c r="U713" i="16"/>
  <c r="V713" i="16"/>
  <c r="W713" i="16"/>
  <c r="G1069" i="15"/>
  <c r="O721" i="16" s="1"/>
  <c r="P721" i="16"/>
  <c r="Q721" i="16"/>
  <c r="R721" i="16"/>
  <c r="S721" i="16"/>
  <c r="T721" i="16"/>
  <c r="U721" i="16"/>
  <c r="V721" i="16"/>
  <c r="W721" i="16"/>
  <c r="G1077" i="15"/>
  <c r="O729" i="16" s="1"/>
  <c r="P729" i="16"/>
  <c r="Q729" i="16"/>
  <c r="R729" i="16"/>
  <c r="S729" i="16"/>
  <c r="T729" i="16"/>
  <c r="U729" i="16"/>
  <c r="V729" i="16"/>
  <c r="W729" i="16"/>
  <c r="T529" i="16"/>
  <c r="T676" i="16"/>
  <c r="V18" i="16"/>
  <c r="V42" i="16"/>
  <c r="W41" i="16"/>
  <c r="P40" i="16"/>
  <c r="Q39" i="16"/>
  <c r="R38" i="16"/>
  <c r="S37" i="16"/>
  <c r="T36" i="16"/>
  <c r="U35" i="16"/>
  <c r="V34" i="16"/>
  <c r="W33" i="16"/>
  <c r="P32" i="16"/>
  <c r="Q31" i="16"/>
  <c r="R30" i="16"/>
  <c r="S29" i="16"/>
  <c r="T28" i="16"/>
  <c r="U27" i="16"/>
  <c r="V26" i="16"/>
  <c r="W25" i="16"/>
  <c r="P24" i="16"/>
  <c r="Q23" i="16"/>
  <c r="R22" i="16"/>
  <c r="S21" i="16"/>
  <c r="T20" i="16"/>
  <c r="U19" i="16"/>
  <c r="W47" i="16"/>
  <c r="W71" i="16"/>
  <c r="P70" i="16"/>
  <c r="Q69" i="16"/>
  <c r="R68" i="16"/>
  <c r="S67" i="16"/>
  <c r="T66" i="16"/>
  <c r="U65" i="16"/>
  <c r="V64" i="16"/>
  <c r="W63" i="16"/>
  <c r="P62" i="16"/>
  <c r="Q61" i="16"/>
  <c r="R60" i="16"/>
  <c r="S59" i="16"/>
  <c r="T58" i="16"/>
  <c r="U57" i="16"/>
  <c r="V56" i="16"/>
  <c r="W55" i="16"/>
  <c r="P54" i="16"/>
  <c r="Q53" i="16"/>
  <c r="R52" i="16"/>
  <c r="S51" i="16"/>
  <c r="T50" i="16"/>
  <c r="U49" i="16"/>
  <c r="V48" i="16"/>
  <c r="P76" i="16"/>
  <c r="P100" i="16"/>
  <c r="Q99" i="16"/>
  <c r="R98" i="16"/>
  <c r="S97" i="16"/>
  <c r="T96" i="16"/>
  <c r="U95" i="16"/>
  <c r="V94" i="16"/>
  <c r="W93" i="16"/>
  <c r="P92" i="16"/>
  <c r="Q91" i="16"/>
  <c r="R90" i="16"/>
  <c r="S89" i="16"/>
  <c r="T88" i="16"/>
  <c r="U87" i="16"/>
  <c r="V86" i="16"/>
  <c r="W85" i="16"/>
  <c r="P84" i="16"/>
  <c r="Q83" i="16"/>
  <c r="R82" i="16"/>
  <c r="S81" i="16"/>
  <c r="T80" i="16"/>
  <c r="U79" i="16"/>
  <c r="V78" i="16"/>
  <c r="W77" i="16"/>
  <c r="Q105" i="16"/>
  <c r="Q129" i="16"/>
  <c r="R128" i="16"/>
  <c r="S127" i="16"/>
  <c r="T126" i="16"/>
  <c r="U125" i="16"/>
  <c r="V124" i="16"/>
  <c r="W123" i="16"/>
  <c r="P122" i="16"/>
  <c r="Q121" i="16"/>
  <c r="R120" i="16"/>
  <c r="S119" i="16"/>
  <c r="T118" i="16"/>
  <c r="U117" i="16"/>
  <c r="V116" i="16"/>
  <c r="W115" i="16"/>
  <c r="P114" i="16"/>
  <c r="Q113" i="16"/>
  <c r="R112" i="16"/>
  <c r="S111" i="16"/>
  <c r="T110" i="16"/>
  <c r="U109" i="16"/>
  <c r="V108" i="16"/>
  <c r="W107" i="16"/>
  <c r="P106" i="16"/>
  <c r="R134" i="16"/>
  <c r="R158" i="16"/>
  <c r="S157" i="16"/>
  <c r="T156" i="16"/>
  <c r="U155" i="16"/>
  <c r="V154" i="16"/>
  <c r="W153" i="16"/>
  <c r="P152" i="16"/>
  <c r="Q151" i="16"/>
  <c r="R150" i="16"/>
  <c r="S149" i="16"/>
  <c r="T148" i="16"/>
  <c r="U147" i="16"/>
  <c r="V146" i="16"/>
  <c r="W145" i="16"/>
  <c r="P144" i="16"/>
  <c r="Q143" i="16"/>
  <c r="R142" i="16"/>
  <c r="S141" i="16"/>
  <c r="T140" i="16"/>
  <c r="U139" i="16"/>
  <c r="V138" i="16"/>
  <c r="W137" i="16"/>
  <c r="P136" i="16"/>
  <c r="Q135" i="16"/>
  <c r="S163" i="16"/>
  <c r="S187" i="16"/>
  <c r="T186" i="16"/>
  <c r="U185" i="16"/>
  <c r="V184" i="16"/>
  <c r="W183" i="16"/>
  <c r="P182" i="16"/>
  <c r="Q181" i="16"/>
  <c r="R180" i="16"/>
  <c r="S179" i="16"/>
  <c r="T178" i="16"/>
  <c r="U177" i="16"/>
  <c r="V176" i="16"/>
  <c r="W175" i="16"/>
  <c r="P174" i="16"/>
  <c r="Q173" i="16"/>
  <c r="R172" i="16"/>
  <c r="S171" i="16"/>
  <c r="T170" i="16"/>
  <c r="U169" i="16"/>
  <c r="V168" i="16"/>
  <c r="W167" i="16"/>
  <c r="P166" i="16"/>
  <c r="Q165" i="16"/>
  <c r="R164" i="16"/>
  <c r="T192" i="16"/>
  <c r="T216" i="16"/>
  <c r="U215" i="16"/>
  <c r="V214" i="16"/>
  <c r="W213" i="16"/>
  <c r="P212" i="16"/>
  <c r="Q211" i="16"/>
  <c r="R210" i="16"/>
  <c r="S209" i="16"/>
  <c r="T208" i="16"/>
  <c r="U207" i="16"/>
  <c r="V206" i="16"/>
  <c r="W205" i="16"/>
  <c r="P204" i="16"/>
  <c r="Q203" i="16"/>
  <c r="R202" i="16"/>
  <c r="S201" i="16"/>
  <c r="T200" i="16"/>
  <c r="U199" i="16"/>
  <c r="V198" i="16"/>
  <c r="W197" i="16"/>
  <c r="P196" i="16"/>
  <c r="Q195" i="16"/>
  <c r="R194" i="16"/>
  <c r="S193" i="16"/>
  <c r="U221" i="16"/>
  <c r="U245" i="16"/>
  <c r="V244" i="16"/>
  <c r="W243" i="16"/>
  <c r="P242" i="16"/>
  <c r="Q241" i="16"/>
  <c r="R240" i="16"/>
  <c r="S239" i="16"/>
  <c r="T238" i="16"/>
  <c r="U237" i="16"/>
  <c r="V236" i="16"/>
  <c r="W235" i="16"/>
  <c r="P234" i="16"/>
  <c r="Q233" i="16"/>
  <c r="R232" i="16"/>
  <c r="S231" i="16"/>
  <c r="T230" i="16"/>
  <c r="U229" i="16"/>
  <c r="V228" i="16"/>
  <c r="W227" i="16"/>
  <c r="P226" i="16"/>
  <c r="Q225" i="16"/>
  <c r="R224" i="16"/>
  <c r="S223" i="16"/>
  <c r="T222" i="16"/>
  <c r="V250" i="16"/>
  <c r="V274" i="16"/>
  <c r="W273" i="16"/>
  <c r="P272" i="16"/>
  <c r="Q271" i="16"/>
  <c r="R270" i="16"/>
  <c r="S269" i="16"/>
  <c r="T268" i="16"/>
  <c r="U267" i="16"/>
  <c r="V266" i="16"/>
  <c r="W265" i="16"/>
  <c r="P264" i="16"/>
  <c r="Q263" i="16"/>
  <c r="R262" i="16"/>
  <c r="S261" i="16"/>
  <c r="T260" i="16"/>
  <c r="U259" i="16"/>
  <c r="V258" i="16"/>
  <c r="W257" i="16"/>
  <c r="P256" i="16"/>
  <c r="Q255" i="16"/>
  <c r="R254" i="16"/>
  <c r="S253" i="16"/>
  <c r="T252" i="16"/>
  <c r="U251" i="16"/>
  <c r="W279" i="16"/>
  <c r="W303" i="16"/>
  <c r="P302" i="16"/>
  <c r="Q301" i="16"/>
  <c r="R300" i="16"/>
  <c r="P299" i="16"/>
  <c r="R297" i="16"/>
  <c r="T295" i="16"/>
  <c r="W291" i="16"/>
  <c r="R289" i="16"/>
  <c r="W286" i="16"/>
  <c r="V284" i="16"/>
  <c r="Q282" i="16"/>
  <c r="W308" i="16"/>
  <c r="U331" i="16"/>
  <c r="U326" i="16"/>
  <c r="T324" i="16"/>
  <c r="T319" i="16"/>
  <c r="T316" i="16"/>
  <c r="W312" i="16"/>
  <c r="R309" i="16"/>
  <c r="V359" i="16"/>
  <c r="Q356" i="16"/>
  <c r="U352" i="16"/>
  <c r="T345" i="16"/>
  <c r="S338" i="16"/>
  <c r="W388" i="16"/>
  <c r="V381" i="16"/>
  <c r="T376" i="16"/>
  <c r="R416" i="16"/>
  <c r="G292" i="15"/>
  <c r="O285" i="16" s="1"/>
  <c r="W285" i="16"/>
  <c r="Q285" i="16"/>
  <c r="R285" i="16"/>
  <c r="S285" i="16"/>
  <c r="T285" i="16"/>
  <c r="G300" i="15"/>
  <c r="O293" i="16" s="1"/>
  <c r="W293" i="16"/>
  <c r="Q293" i="16"/>
  <c r="S293" i="16"/>
  <c r="T293" i="16"/>
  <c r="G322" i="15"/>
  <c r="O313" i="16" s="1"/>
  <c r="P313" i="16"/>
  <c r="Q313" i="16"/>
  <c r="R313" i="16"/>
  <c r="S313" i="16"/>
  <c r="U313" i="16"/>
  <c r="V313" i="16"/>
  <c r="G330" i="15"/>
  <c r="O321" i="16" s="1"/>
  <c r="Q321" i="16"/>
  <c r="S321" i="16"/>
  <c r="T321" i="16"/>
  <c r="U321" i="16"/>
  <c r="V321" i="16"/>
  <c r="G338" i="15"/>
  <c r="O329" i="16" s="1"/>
  <c r="Q329" i="16"/>
  <c r="S329" i="16"/>
  <c r="T329" i="16"/>
  <c r="U329" i="16"/>
  <c r="V329" i="16"/>
  <c r="G352" i="15"/>
  <c r="O341" i="16" s="1"/>
  <c r="R341" i="16"/>
  <c r="S341" i="16"/>
  <c r="T341" i="16"/>
  <c r="U341" i="16"/>
  <c r="V341" i="16"/>
  <c r="W341" i="16"/>
  <c r="G360" i="15"/>
  <c r="O349" i="16" s="1"/>
  <c r="R349" i="16"/>
  <c r="S349" i="16"/>
  <c r="T349" i="16"/>
  <c r="U349" i="16"/>
  <c r="V349" i="16"/>
  <c r="W349" i="16"/>
  <c r="G368" i="15"/>
  <c r="O357" i="16" s="1"/>
  <c r="R357" i="16"/>
  <c r="S357" i="16"/>
  <c r="T357" i="16"/>
  <c r="U357" i="16"/>
  <c r="V357" i="16"/>
  <c r="W357" i="16"/>
  <c r="G382" i="15"/>
  <c r="O369" i="16" s="1"/>
  <c r="T369" i="16"/>
  <c r="U369" i="16"/>
  <c r="V369" i="16"/>
  <c r="W369" i="16"/>
  <c r="P369" i="16"/>
  <c r="Q369" i="16"/>
  <c r="R369" i="16"/>
  <c r="G390" i="15"/>
  <c r="O377" i="16" s="1"/>
  <c r="T377" i="16"/>
  <c r="U377" i="16"/>
  <c r="V377" i="16"/>
  <c r="W377" i="16"/>
  <c r="P377" i="16"/>
  <c r="Q377" i="16"/>
  <c r="R377" i="16"/>
  <c r="G398" i="15"/>
  <c r="O385" i="16" s="1"/>
  <c r="T385" i="16"/>
  <c r="U385" i="16"/>
  <c r="V385" i="16"/>
  <c r="W385" i="16"/>
  <c r="P385" i="16"/>
  <c r="Q385" i="16"/>
  <c r="G412" i="15"/>
  <c r="O397" i="16" s="1"/>
  <c r="V397" i="16"/>
  <c r="W397" i="16"/>
  <c r="P397" i="16"/>
  <c r="Q397" i="16"/>
  <c r="R397" i="16"/>
  <c r="S397" i="16"/>
  <c r="T397" i="16"/>
  <c r="U397" i="16"/>
  <c r="G420" i="15"/>
  <c r="O405" i="16" s="1"/>
  <c r="V405" i="16"/>
  <c r="W405" i="16"/>
  <c r="P405" i="16"/>
  <c r="Q405" i="16"/>
  <c r="R405" i="16"/>
  <c r="S405" i="16"/>
  <c r="T405" i="16"/>
  <c r="U405" i="16"/>
  <c r="G428" i="15"/>
  <c r="O413" i="16" s="1"/>
  <c r="V413" i="16"/>
  <c r="W413" i="16"/>
  <c r="P413" i="16"/>
  <c r="Q413" i="16"/>
  <c r="R413" i="16"/>
  <c r="S413" i="16"/>
  <c r="T413" i="16"/>
  <c r="G442" i="15"/>
  <c r="O425" i="16" s="1"/>
  <c r="P425" i="16"/>
  <c r="Q425" i="16"/>
  <c r="R425" i="16"/>
  <c r="S425" i="16"/>
  <c r="T425" i="16"/>
  <c r="U425" i="16"/>
  <c r="V425" i="16"/>
  <c r="W425" i="16"/>
  <c r="G450" i="15"/>
  <c r="O433" i="16" s="1"/>
  <c r="P433" i="16"/>
  <c r="Q433" i="16"/>
  <c r="R433" i="16"/>
  <c r="S433" i="16"/>
  <c r="T433" i="16"/>
  <c r="U433" i="16"/>
  <c r="V433" i="16"/>
  <c r="W433" i="16"/>
  <c r="G458" i="15"/>
  <c r="O441" i="16" s="1"/>
  <c r="P441" i="16"/>
  <c r="Q441" i="16"/>
  <c r="R441" i="16"/>
  <c r="S441" i="16"/>
  <c r="T441" i="16"/>
  <c r="U441" i="16"/>
  <c r="V441" i="16"/>
  <c r="W441" i="16"/>
  <c r="G472" i="15"/>
  <c r="O453" i="16" s="1"/>
  <c r="R453" i="16"/>
  <c r="S453" i="16"/>
  <c r="T453" i="16"/>
  <c r="U453" i="16"/>
  <c r="V453" i="16"/>
  <c r="W453" i="16"/>
  <c r="P453" i="16"/>
  <c r="Q453" i="16"/>
  <c r="G480" i="15"/>
  <c r="O461" i="16" s="1"/>
  <c r="W461" i="16"/>
  <c r="P461" i="16"/>
  <c r="Q461" i="16"/>
  <c r="R461" i="16"/>
  <c r="S461" i="16"/>
  <c r="T461" i="16"/>
  <c r="U461" i="16"/>
  <c r="V461" i="16"/>
  <c r="G488" i="15"/>
  <c r="O469" i="16" s="1"/>
  <c r="W469" i="16"/>
  <c r="P469" i="16"/>
  <c r="Q469" i="16"/>
  <c r="R469" i="16"/>
  <c r="S469" i="16"/>
  <c r="T469" i="16"/>
  <c r="U469" i="16"/>
  <c r="V469" i="16"/>
  <c r="G496" i="15"/>
  <c r="O477" i="16" s="1"/>
  <c r="W477" i="16"/>
  <c r="P477" i="16"/>
  <c r="Q477" i="16"/>
  <c r="R477" i="16"/>
  <c r="S477" i="16"/>
  <c r="T477" i="16"/>
  <c r="U477" i="16"/>
  <c r="V477" i="16"/>
  <c r="G720" i="15"/>
  <c r="O738" i="16" s="1"/>
  <c r="S738" i="16"/>
  <c r="T738" i="16"/>
  <c r="U738" i="16"/>
  <c r="V738" i="16"/>
  <c r="W738" i="16"/>
  <c r="P738" i="16"/>
  <c r="Q738" i="16"/>
  <c r="R738" i="16"/>
  <c r="G728" i="15"/>
  <c r="O746" i="16" s="1"/>
  <c r="S746" i="16"/>
  <c r="T746" i="16"/>
  <c r="U746" i="16"/>
  <c r="V746" i="16"/>
  <c r="W746" i="16"/>
  <c r="P746" i="16"/>
  <c r="Q746" i="16"/>
  <c r="R746" i="16"/>
  <c r="G736" i="15"/>
  <c r="O754" i="16" s="1"/>
  <c r="S754" i="16"/>
  <c r="T754" i="16"/>
  <c r="U754" i="16"/>
  <c r="V754" i="16"/>
  <c r="W754" i="16"/>
  <c r="P754" i="16"/>
  <c r="Q754" i="16"/>
  <c r="R754" i="16"/>
  <c r="G744" i="15"/>
  <c r="O762" i="16" s="1"/>
  <c r="S762" i="16"/>
  <c r="T762" i="16"/>
  <c r="U762" i="16"/>
  <c r="V762" i="16"/>
  <c r="W762" i="16"/>
  <c r="P762" i="16"/>
  <c r="Q762" i="16"/>
  <c r="R762" i="16"/>
  <c r="G758" i="15"/>
  <c r="O803" i="16" s="1"/>
  <c r="V803" i="16"/>
  <c r="W803" i="16"/>
  <c r="P803" i="16"/>
  <c r="Q803" i="16"/>
  <c r="R803" i="16"/>
  <c r="S803" i="16"/>
  <c r="T803" i="16"/>
  <c r="U803" i="16"/>
  <c r="G766" i="15"/>
  <c r="O811" i="16" s="1"/>
  <c r="V811" i="16"/>
  <c r="W811" i="16"/>
  <c r="P811" i="16"/>
  <c r="Q811" i="16"/>
  <c r="R811" i="16"/>
  <c r="S811" i="16"/>
  <c r="T811" i="16"/>
  <c r="U811" i="16"/>
  <c r="G774" i="15"/>
  <c r="O819" i="16" s="1"/>
  <c r="V819" i="16"/>
  <c r="W819" i="16"/>
  <c r="P819" i="16"/>
  <c r="Q819" i="16"/>
  <c r="R819" i="16"/>
  <c r="S819" i="16"/>
  <c r="T819" i="16"/>
  <c r="U819" i="16"/>
  <c r="G788" i="15"/>
  <c r="O773" i="16" s="1"/>
  <c r="V773" i="16"/>
  <c r="W773" i="16"/>
  <c r="P773" i="16"/>
  <c r="Q773" i="16"/>
  <c r="R773" i="16"/>
  <c r="S773" i="16"/>
  <c r="T773" i="16"/>
  <c r="U773" i="16"/>
  <c r="G796" i="15"/>
  <c r="O781" i="16" s="1"/>
  <c r="V781" i="16"/>
  <c r="W781" i="16"/>
  <c r="P781" i="16"/>
  <c r="Q781" i="16"/>
  <c r="R781" i="16"/>
  <c r="S781" i="16"/>
  <c r="T781" i="16"/>
  <c r="U781" i="16"/>
  <c r="G804" i="15"/>
  <c r="O789" i="16" s="1"/>
  <c r="V789" i="16"/>
  <c r="W789" i="16"/>
  <c r="P789" i="16"/>
  <c r="Q789" i="16"/>
  <c r="R789" i="16"/>
  <c r="S789" i="16"/>
  <c r="T789" i="16"/>
  <c r="U789" i="16"/>
  <c r="G818" i="15"/>
  <c r="O486" i="16" s="1"/>
  <c r="P486" i="16"/>
  <c r="Q486" i="16"/>
  <c r="R486" i="16"/>
  <c r="S486" i="16"/>
  <c r="T486" i="16"/>
  <c r="U486" i="16"/>
  <c r="V486" i="16"/>
  <c r="W486" i="16"/>
  <c r="G826" i="15"/>
  <c r="O494" i="16" s="1"/>
  <c r="P494" i="16"/>
  <c r="Q494" i="16"/>
  <c r="R494" i="16"/>
  <c r="S494" i="16"/>
  <c r="T494" i="16"/>
  <c r="U494" i="16"/>
  <c r="V494" i="16"/>
  <c r="W494" i="16"/>
  <c r="G834" i="15"/>
  <c r="O502" i="16" s="1"/>
  <c r="P502" i="16"/>
  <c r="Q502" i="16"/>
  <c r="R502" i="16"/>
  <c r="S502" i="16"/>
  <c r="T502" i="16"/>
  <c r="U502" i="16"/>
  <c r="V502" i="16"/>
  <c r="W502" i="16"/>
  <c r="G842" i="15"/>
  <c r="O510" i="16" s="1"/>
  <c r="P510" i="16"/>
  <c r="Q510" i="16"/>
  <c r="R510" i="16"/>
  <c r="S510" i="16"/>
  <c r="T510" i="16"/>
  <c r="U510" i="16"/>
  <c r="V510" i="16"/>
  <c r="W510" i="16"/>
  <c r="G879" i="15"/>
  <c r="O545" i="16" s="1"/>
  <c r="V545" i="16"/>
  <c r="W545" i="16"/>
  <c r="P545" i="16"/>
  <c r="Q545" i="16"/>
  <c r="R545" i="16"/>
  <c r="S545" i="16"/>
  <c r="T545" i="16"/>
  <c r="U545" i="16"/>
  <c r="G871" i="15"/>
  <c r="O537" i="16" s="1"/>
  <c r="V537" i="16"/>
  <c r="W537" i="16"/>
  <c r="P537" i="16"/>
  <c r="Q537" i="16"/>
  <c r="R537" i="16"/>
  <c r="S537" i="16"/>
  <c r="T537" i="16"/>
  <c r="U537" i="16"/>
  <c r="G863" i="15"/>
  <c r="O529" i="16" s="1"/>
  <c r="U529" i="16"/>
  <c r="V529" i="16"/>
  <c r="W529" i="16"/>
  <c r="P529" i="16"/>
  <c r="Q529" i="16"/>
  <c r="R529" i="16"/>
  <c r="S529" i="16"/>
  <c r="G855" i="15"/>
  <c r="O521" i="16" s="1"/>
  <c r="Q521" i="16"/>
  <c r="R521" i="16"/>
  <c r="S521" i="16"/>
  <c r="U521" i="16"/>
  <c r="P521" i="16"/>
  <c r="V521" i="16"/>
  <c r="W521" i="16"/>
  <c r="T521" i="16"/>
  <c r="G894" i="15"/>
  <c r="O558" i="16" s="1"/>
  <c r="W558" i="16"/>
  <c r="P558" i="16"/>
  <c r="Q558" i="16"/>
  <c r="R558" i="16"/>
  <c r="S558" i="16"/>
  <c r="T558" i="16"/>
  <c r="U558" i="16"/>
  <c r="V558" i="16"/>
  <c r="G902" i="15"/>
  <c r="O566" i="16" s="1"/>
  <c r="P566" i="16"/>
  <c r="Q566" i="16"/>
  <c r="R566" i="16"/>
  <c r="S566" i="16"/>
  <c r="T566" i="16"/>
  <c r="U566" i="16"/>
  <c r="V566" i="16"/>
  <c r="W566" i="16"/>
  <c r="G910" i="15"/>
  <c r="O574" i="16" s="1"/>
  <c r="P574" i="16"/>
  <c r="Q574" i="16"/>
  <c r="R574" i="16"/>
  <c r="S574" i="16"/>
  <c r="T574" i="16"/>
  <c r="U574" i="16"/>
  <c r="V574" i="16"/>
  <c r="W574" i="16"/>
  <c r="G918" i="15"/>
  <c r="O582" i="16" s="1"/>
  <c r="P582" i="16"/>
  <c r="Q582" i="16"/>
  <c r="R582" i="16"/>
  <c r="S582" i="16"/>
  <c r="T582" i="16"/>
  <c r="U582" i="16"/>
  <c r="V582" i="16"/>
  <c r="W582" i="16"/>
  <c r="G932" i="15"/>
  <c r="O594" i="16" s="1"/>
  <c r="R594" i="16"/>
  <c r="S594" i="16"/>
  <c r="T594" i="16"/>
  <c r="U594" i="16"/>
  <c r="V594" i="16"/>
  <c r="W594" i="16"/>
  <c r="P594" i="16"/>
  <c r="Q594" i="16"/>
  <c r="G940" i="15"/>
  <c r="O602" i="16" s="1"/>
  <c r="S602" i="16"/>
  <c r="T602" i="16"/>
  <c r="U602" i="16"/>
  <c r="V602" i="16"/>
  <c r="W602" i="16"/>
  <c r="P602" i="16"/>
  <c r="Q602" i="16"/>
  <c r="R602" i="16"/>
  <c r="G948" i="15"/>
  <c r="O610" i="16" s="1"/>
  <c r="S610" i="16"/>
  <c r="T610" i="16"/>
  <c r="U610" i="16"/>
  <c r="V610" i="16"/>
  <c r="W610" i="16"/>
  <c r="P610" i="16"/>
  <c r="Q610" i="16"/>
  <c r="R610" i="16"/>
  <c r="G956" i="15"/>
  <c r="O618" i="16" s="1"/>
  <c r="S618" i="16"/>
  <c r="T618" i="16"/>
  <c r="U618" i="16"/>
  <c r="V618" i="16"/>
  <c r="W618" i="16"/>
  <c r="P618" i="16"/>
  <c r="Q618" i="16"/>
  <c r="R618" i="16"/>
  <c r="G970" i="15"/>
  <c r="O630" i="16" s="1"/>
  <c r="S630" i="16"/>
  <c r="T630" i="16"/>
  <c r="U630" i="16"/>
  <c r="V630" i="16"/>
  <c r="W630" i="16"/>
  <c r="P630" i="16"/>
  <c r="Q630" i="16"/>
  <c r="R630" i="16"/>
  <c r="G978" i="15"/>
  <c r="O638" i="16" s="1"/>
  <c r="S638" i="16"/>
  <c r="T638" i="16"/>
  <c r="U638" i="16"/>
  <c r="V638" i="16"/>
  <c r="W638" i="16"/>
  <c r="P638" i="16"/>
  <c r="Q638" i="16"/>
  <c r="R638" i="16"/>
  <c r="G986" i="15"/>
  <c r="O646" i="16" s="1"/>
  <c r="T646" i="16"/>
  <c r="U646" i="16"/>
  <c r="V646" i="16"/>
  <c r="W646" i="16"/>
  <c r="P646" i="16"/>
  <c r="Q646" i="16"/>
  <c r="R646" i="16"/>
  <c r="S646" i="16"/>
  <c r="G994" i="15"/>
  <c r="O654" i="16" s="1"/>
  <c r="U654" i="16"/>
  <c r="V654" i="16"/>
  <c r="W654" i="16"/>
  <c r="P654" i="16"/>
  <c r="Q654" i="16"/>
  <c r="R654" i="16"/>
  <c r="S654" i="16"/>
  <c r="T654" i="16"/>
  <c r="G1016" i="15"/>
  <c r="O672" i="16" s="1"/>
  <c r="V672" i="16"/>
  <c r="W672" i="16"/>
  <c r="P672" i="16"/>
  <c r="Q672" i="16"/>
  <c r="R672" i="16"/>
  <c r="S672" i="16"/>
  <c r="U672" i="16"/>
  <c r="T672" i="16"/>
  <c r="G1024" i="15"/>
  <c r="O680" i="16" s="1"/>
  <c r="W680" i="16"/>
  <c r="P680" i="16"/>
  <c r="Q680" i="16"/>
  <c r="R680" i="16"/>
  <c r="V680" i="16"/>
  <c r="S680" i="16"/>
  <c r="T680" i="16"/>
  <c r="U680" i="16"/>
  <c r="G1032" i="15"/>
  <c r="O688" i="16" s="1"/>
  <c r="P688" i="16"/>
  <c r="Q688" i="16"/>
  <c r="R688" i="16"/>
  <c r="S688" i="16"/>
  <c r="T688" i="16"/>
  <c r="U688" i="16"/>
  <c r="V688" i="16"/>
  <c r="W688" i="16"/>
  <c r="G1040" i="15"/>
  <c r="O696" i="16" s="1"/>
  <c r="R696" i="16"/>
  <c r="S696" i="16"/>
  <c r="T696" i="16"/>
  <c r="U696" i="16"/>
  <c r="V696" i="16"/>
  <c r="W696" i="16"/>
  <c r="P696" i="16"/>
  <c r="Q696" i="16"/>
  <c r="G1054" i="15"/>
  <c r="O706" i="16" s="1"/>
  <c r="W706" i="16"/>
  <c r="P706" i="16"/>
  <c r="Q706" i="16"/>
  <c r="R706" i="16"/>
  <c r="S706" i="16"/>
  <c r="T706" i="16"/>
  <c r="U706" i="16"/>
  <c r="V706" i="16"/>
  <c r="G1062" i="15"/>
  <c r="O714" i="16" s="1"/>
  <c r="W714" i="16"/>
  <c r="P714" i="16"/>
  <c r="Q714" i="16"/>
  <c r="R714" i="16"/>
  <c r="S714" i="16"/>
  <c r="T714" i="16"/>
  <c r="U714" i="16"/>
  <c r="V714" i="16"/>
  <c r="G1070" i="15"/>
  <c r="O722" i="16" s="1"/>
  <c r="W722" i="16"/>
  <c r="P722" i="16"/>
  <c r="Q722" i="16"/>
  <c r="R722" i="16"/>
  <c r="S722" i="16"/>
  <c r="T722" i="16"/>
  <c r="U722" i="16"/>
  <c r="V722" i="16"/>
  <c r="G1078" i="15"/>
  <c r="O730" i="16" s="1"/>
  <c r="W730" i="16"/>
  <c r="P730" i="16"/>
  <c r="Q730" i="16"/>
  <c r="R730" i="16"/>
  <c r="S730" i="16"/>
  <c r="T730" i="16"/>
  <c r="U730" i="16"/>
  <c r="V730" i="16"/>
  <c r="T532" i="16"/>
  <c r="T684" i="16"/>
  <c r="U18" i="16"/>
  <c r="U42" i="16"/>
  <c r="V41" i="16"/>
  <c r="W40" i="16"/>
  <c r="P39" i="16"/>
  <c r="Q38" i="16"/>
  <c r="R37" i="16"/>
  <c r="S36" i="16"/>
  <c r="T35" i="16"/>
  <c r="U34" i="16"/>
  <c r="V33" i="16"/>
  <c r="W32" i="16"/>
  <c r="P31" i="16"/>
  <c r="Q30" i="16"/>
  <c r="R29" i="16"/>
  <c r="S28" i="16"/>
  <c r="T27" i="16"/>
  <c r="U26" i="16"/>
  <c r="V25" i="16"/>
  <c r="W24" i="16"/>
  <c r="P23" i="16"/>
  <c r="Q22" i="16"/>
  <c r="R21" i="16"/>
  <c r="S20" i="16"/>
  <c r="T19" i="16"/>
  <c r="V47" i="16"/>
  <c r="V71" i="16"/>
  <c r="W70" i="16"/>
  <c r="P69" i="16"/>
  <c r="Q68" i="16"/>
  <c r="R67" i="16"/>
  <c r="S66" i="16"/>
  <c r="T65" i="16"/>
  <c r="U64" i="16"/>
  <c r="V63" i="16"/>
  <c r="W62" i="16"/>
  <c r="P61" i="16"/>
  <c r="Q60" i="16"/>
  <c r="R59" i="16"/>
  <c r="S58" i="16"/>
  <c r="T57" i="16"/>
  <c r="U56" i="16"/>
  <c r="V55" i="16"/>
  <c r="W54" i="16"/>
  <c r="P53" i="16"/>
  <c r="Q52" i="16"/>
  <c r="R51" i="16"/>
  <c r="S50" i="16"/>
  <c r="T49" i="16"/>
  <c r="U48" i="16"/>
  <c r="W76" i="16"/>
  <c r="W100" i="16"/>
  <c r="P99" i="16"/>
  <c r="Q98" i="16"/>
  <c r="R97" i="16"/>
  <c r="S96" i="16"/>
  <c r="T95" i="16"/>
  <c r="U94" i="16"/>
  <c r="V93" i="16"/>
  <c r="W92" i="16"/>
  <c r="P91" i="16"/>
  <c r="Q90" i="16"/>
  <c r="R89" i="16"/>
  <c r="S88" i="16"/>
  <c r="T87" i="16"/>
  <c r="U86" i="16"/>
  <c r="V85" i="16"/>
  <c r="W84" i="16"/>
  <c r="P83" i="16"/>
  <c r="Q82" i="16"/>
  <c r="R81" i="16"/>
  <c r="S80" i="16"/>
  <c r="T79" i="16"/>
  <c r="U78" i="16"/>
  <c r="V77" i="16"/>
  <c r="P105" i="16"/>
  <c r="P129" i="16"/>
  <c r="Q128" i="16"/>
  <c r="R127" i="16"/>
  <c r="S126" i="16"/>
  <c r="T125" i="16"/>
  <c r="U124" i="16"/>
  <c r="V123" i="16"/>
  <c r="W122" i="16"/>
  <c r="P121" i="16"/>
  <c r="Q120" i="16"/>
  <c r="R119" i="16"/>
  <c r="S118" i="16"/>
  <c r="T117" i="16"/>
  <c r="U116" i="16"/>
  <c r="V115" i="16"/>
  <c r="W114" i="16"/>
  <c r="P113" i="16"/>
  <c r="Q112" i="16"/>
  <c r="R111" i="16"/>
  <c r="S110" i="16"/>
  <c r="T109" i="16"/>
  <c r="U108" i="16"/>
  <c r="V107" i="16"/>
  <c r="W106" i="16"/>
  <c r="Q134" i="16"/>
  <c r="Q158" i="16"/>
  <c r="R157" i="16"/>
  <c r="S156" i="16"/>
  <c r="T155" i="16"/>
  <c r="U154" i="16"/>
  <c r="V153" i="16"/>
  <c r="W152" i="16"/>
  <c r="P151" i="16"/>
  <c r="Q150" i="16"/>
  <c r="R149" i="16"/>
  <c r="S148" i="16"/>
  <c r="T147" i="16"/>
  <c r="U146" i="16"/>
  <c r="V145" i="16"/>
  <c r="W144" i="16"/>
  <c r="P143" i="16"/>
  <c r="Q142" i="16"/>
  <c r="R141" i="16"/>
  <c r="S140" i="16"/>
  <c r="T139" i="16"/>
  <c r="U138" i="16"/>
  <c r="V137" i="16"/>
  <c r="W136" i="16"/>
  <c r="P135" i="16"/>
  <c r="R163" i="16"/>
  <c r="R187" i="16"/>
  <c r="S186" i="16"/>
  <c r="T185" i="16"/>
  <c r="U184" i="16"/>
  <c r="V183" i="16"/>
  <c r="W182" i="16"/>
  <c r="P181" i="16"/>
  <c r="Q180" i="16"/>
  <c r="R179" i="16"/>
  <c r="S178" i="16"/>
  <c r="T177" i="16"/>
  <c r="U176" i="16"/>
  <c r="V175" i="16"/>
  <c r="W174" i="16"/>
  <c r="P173" i="16"/>
  <c r="Q172" i="16"/>
  <c r="R171" i="16"/>
  <c r="S170" i="16"/>
  <c r="T169" i="16"/>
  <c r="U168" i="16"/>
  <c r="V167" i="16"/>
  <c r="W166" i="16"/>
  <c r="P165" i="16"/>
  <c r="Q164" i="16"/>
  <c r="S192" i="16"/>
  <c r="S216" i="16"/>
  <c r="T215" i="16"/>
  <c r="U214" i="16"/>
  <c r="V213" i="16"/>
  <c r="W212" i="16"/>
  <c r="P211" i="16"/>
  <c r="Q210" i="16"/>
  <c r="R209" i="16"/>
  <c r="S208" i="16"/>
  <c r="T207" i="16"/>
  <c r="U206" i="16"/>
  <c r="V205" i="16"/>
  <c r="W204" i="16"/>
  <c r="P203" i="16"/>
  <c r="Q202" i="16"/>
  <c r="R201" i="16"/>
  <c r="S200" i="16"/>
  <c r="T199" i="16"/>
  <c r="U198" i="16"/>
  <c r="V197" i="16"/>
  <c r="W196" i="16"/>
  <c r="P195" i="16"/>
  <c r="Q194" i="16"/>
  <c r="R193" i="16"/>
  <c r="T221" i="16"/>
  <c r="T245" i="16"/>
  <c r="U244" i="16"/>
  <c r="V243" i="16"/>
  <c r="W242" i="16"/>
  <c r="P241" i="16"/>
  <c r="Q240" i="16"/>
  <c r="R239" i="16"/>
  <c r="S238" i="16"/>
  <c r="T237" i="16"/>
  <c r="U236" i="16"/>
  <c r="V235" i="16"/>
  <c r="W234" i="16"/>
  <c r="P233" i="16"/>
  <c r="Q232" i="16"/>
  <c r="R231" i="16"/>
  <c r="S230" i="16"/>
  <c r="T229" i="16"/>
  <c r="U228" i="16"/>
  <c r="V227" i="16"/>
  <c r="W226" i="16"/>
  <c r="P225" i="16"/>
  <c r="Q224" i="16"/>
  <c r="R223" i="16"/>
  <c r="S222" i="16"/>
  <c r="U250" i="16"/>
  <c r="U274" i="16"/>
  <c r="V273" i="16"/>
  <c r="W272" i="16"/>
  <c r="P271" i="16"/>
  <c r="Q270" i="16"/>
  <c r="R269" i="16"/>
  <c r="S268" i="16"/>
  <c r="T267" i="16"/>
  <c r="U266" i="16"/>
  <c r="V265" i="16"/>
  <c r="W264" i="16"/>
  <c r="P263" i="16"/>
  <c r="Q262" i="16"/>
  <c r="R261" i="16"/>
  <c r="S260" i="16"/>
  <c r="T259" i="16"/>
  <c r="U258" i="16"/>
  <c r="V257" i="16"/>
  <c r="W256" i="16"/>
  <c r="P255" i="16"/>
  <c r="Q254" i="16"/>
  <c r="R253" i="16"/>
  <c r="S252" i="16"/>
  <c r="T251" i="16"/>
  <c r="V279" i="16"/>
  <c r="V303" i="16"/>
  <c r="W302" i="16"/>
  <c r="P301" i="16"/>
  <c r="Q300" i="16"/>
  <c r="Q297" i="16"/>
  <c r="S295" i="16"/>
  <c r="U293" i="16"/>
  <c r="R291" i="16"/>
  <c r="Q289" i="16"/>
  <c r="U286" i="16"/>
  <c r="Q284" i="16"/>
  <c r="P282" i="16"/>
  <c r="U308" i="16"/>
  <c r="P331" i="16"/>
  <c r="S326" i="16"/>
  <c r="W321" i="16"/>
  <c r="R319" i="16"/>
  <c r="V315" i="16"/>
  <c r="P312" i="16"/>
  <c r="U337" i="16"/>
  <c r="S355" i="16"/>
  <c r="W351" i="16"/>
  <c r="R348" i="16"/>
  <c r="V344" i="16"/>
  <c r="Q341" i="16"/>
  <c r="V366" i="16"/>
  <c r="P388" i="16"/>
  <c r="T384" i="16"/>
  <c r="U375" i="16"/>
  <c r="T368" i="16"/>
  <c r="S415" i="16"/>
  <c r="X516" i="13"/>
  <c r="P516" i="13"/>
  <c r="H516" i="13"/>
  <c r="AE516" i="13"/>
  <c r="W516" i="13"/>
  <c r="O516" i="13"/>
  <c r="G516" i="13"/>
  <c r="AD516" i="13"/>
  <c r="V516" i="13"/>
  <c r="N516" i="13"/>
  <c r="F516" i="13"/>
  <c r="AC516" i="13"/>
  <c r="U516" i="13"/>
  <c r="M516" i="13"/>
  <c r="E516" i="13"/>
  <c r="AB516" i="13"/>
  <c r="T516" i="13"/>
  <c r="L516" i="13"/>
  <c r="AA516" i="13"/>
  <c r="S516" i="13"/>
  <c r="K516" i="13"/>
  <c r="Z516" i="13"/>
  <c r="R516" i="13"/>
  <c r="J516" i="13"/>
  <c r="A517" i="13" a="1"/>
  <c r="A517" i="13" s="1"/>
  <c r="A1016" i="13" s="1" a="1"/>
  <c r="Y516" i="13"/>
  <c r="Q516" i="13"/>
  <c r="I516" i="13"/>
  <c r="J9" i="1"/>
  <c r="J7" i="1"/>
  <c r="A1016" i="13" l="1"/>
  <c r="A3256" i="17"/>
  <c r="A3257" i="17" s="1"/>
  <c r="A2976" i="17"/>
  <c r="A2977" i="17" s="1"/>
  <c r="A2696" i="17"/>
  <c r="A2697" i="17" s="1"/>
  <c r="A2416" i="17"/>
  <c r="A2417" i="17" s="1"/>
  <c r="A2136" i="17"/>
  <c r="A2137" i="17" s="1"/>
  <c r="A1856" i="17"/>
  <c r="A1857" i="17" s="1"/>
  <c r="A1576" i="17"/>
  <c r="A1577" i="17" s="1"/>
  <c r="A1296" i="17"/>
  <c r="A1297" i="17" s="1"/>
  <c r="A1016" i="17"/>
  <c r="A1017" i="17" s="1"/>
  <c r="A736" i="17"/>
  <c r="A737" i="17" s="1"/>
  <c r="A456" i="17"/>
  <c r="A457" i="17" s="1"/>
  <c r="A176" i="17"/>
  <c r="A177" i="17" s="1"/>
  <c r="A3221" i="17"/>
  <c r="A3222" i="17" s="1"/>
  <c r="A2941" i="17"/>
  <c r="A2942" i="17" s="1"/>
  <c r="A2661" i="17"/>
  <c r="A2662" i="17" s="1"/>
  <c r="A2381" i="17"/>
  <c r="A2382" i="17" s="1"/>
  <c r="A2101" i="17"/>
  <c r="A2102" i="17" s="1"/>
  <c r="A1821" i="17"/>
  <c r="A1822" i="17" s="1"/>
  <c r="A1541" i="17"/>
  <c r="A1542" i="17" s="1"/>
  <c r="A1261" i="17"/>
  <c r="A1262" i="17" s="1"/>
  <c r="A981" i="17"/>
  <c r="A982" i="17" s="1"/>
  <c r="A701" i="17"/>
  <c r="A702" i="17" s="1"/>
  <c r="A421" i="17"/>
  <c r="A422" i="17" s="1"/>
  <c r="A141" i="17"/>
  <c r="A142" i="17" s="1"/>
  <c r="A3466" i="17"/>
  <c r="A3467" i="17" s="1"/>
  <c r="A3186" i="17"/>
  <c r="A3187" i="17" s="1"/>
  <c r="A2906" i="17"/>
  <c r="A2907" i="17" s="1"/>
  <c r="A2626" i="17"/>
  <c r="A2627" i="17" s="1"/>
  <c r="A2346" i="17"/>
  <c r="A2347" i="17" s="1"/>
  <c r="A2066" i="17"/>
  <c r="A2067" i="17" s="1"/>
  <c r="A1786" i="17"/>
  <c r="A1787" i="17" s="1"/>
  <c r="A1506" i="17"/>
  <c r="A1507" i="17" s="1"/>
  <c r="A1226" i="17"/>
  <c r="A1227" i="17" s="1"/>
  <c r="A946" i="17"/>
  <c r="A947" i="17" s="1"/>
  <c r="A666" i="17"/>
  <c r="A667" i="17" s="1"/>
  <c r="A386" i="17"/>
  <c r="A387" i="17" s="1"/>
  <c r="A106" i="17"/>
  <c r="A107" i="17" s="1"/>
  <c r="A3431" i="17"/>
  <c r="A3432" i="17" s="1"/>
  <c r="A3151" i="17"/>
  <c r="A3152" i="17" s="1"/>
  <c r="A2871" i="17"/>
  <c r="A2872" i="17" s="1"/>
  <c r="A2591" i="17"/>
  <c r="A2592" i="17" s="1"/>
  <c r="A2311" i="17"/>
  <c r="A2312" i="17" s="1"/>
  <c r="A2031" i="17"/>
  <c r="A2032" i="17" s="1"/>
  <c r="A1751" i="17"/>
  <c r="A1752" i="17" s="1"/>
  <c r="A1471" i="17"/>
  <c r="A1472" i="17" s="1"/>
  <c r="A1191" i="17"/>
  <c r="A1192" i="17" s="1"/>
  <c r="A911" i="17"/>
  <c r="A912" i="17" s="1"/>
  <c r="A631" i="17"/>
  <c r="A632" i="17" s="1"/>
  <c r="A351" i="17"/>
  <c r="A352" i="17" s="1"/>
  <c r="A71" i="17"/>
  <c r="A72" i="17" s="1"/>
  <c r="A3396" i="17"/>
  <c r="A3397" i="17" s="1"/>
  <c r="A3116" i="17"/>
  <c r="A3117" i="17" s="1"/>
  <c r="A2836" i="17"/>
  <c r="A2837" i="17" s="1"/>
  <c r="A2556" i="17"/>
  <c r="A2557" i="17" s="1"/>
  <c r="A2276" i="17"/>
  <c r="A2277" i="17" s="1"/>
  <c r="A1996" i="17"/>
  <c r="A1997" i="17" s="1"/>
  <c r="A1716" i="17"/>
  <c r="A1717" i="17" s="1"/>
  <c r="A1436" i="17"/>
  <c r="A1437" i="17" s="1"/>
  <c r="A1156" i="17"/>
  <c r="A1157" i="17" s="1"/>
  <c r="A876" i="17"/>
  <c r="A877" i="17" s="1"/>
  <c r="A596" i="17"/>
  <c r="A597" i="17" s="1"/>
  <c r="A316" i="17"/>
  <c r="A317" i="17" s="1"/>
  <c r="A36" i="17"/>
  <c r="A37" i="17" s="1"/>
  <c r="A3361" i="17"/>
  <c r="A3362" i="17" s="1"/>
  <c r="A3081" i="17"/>
  <c r="A3082" i="17" s="1"/>
  <c r="A2801" i="17"/>
  <c r="A2802" i="17" s="1"/>
  <c r="A2521" i="17"/>
  <c r="A2522" i="17" s="1"/>
  <c r="A2241" i="17"/>
  <c r="A2242" i="17" s="1"/>
  <c r="A1961" i="17"/>
  <c r="A1962" i="17" s="1"/>
  <c r="A1681" i="17"/>
  <c r="A1682" i="17" s="1"/>
  <c r="A1401" i="17"/>
  <c r="A1402" i="17" s="1"/>
  <c r="A1121" i="17"/>
  <c r="A1122" i="17" s="1"/>
  <c r="A841" i="17"/>
  <c r="A842" i="17" s="1"/>
  <c r="A561" i="17"/>
  <c r="A562" i="17" s="1"/>
  <c r="A281" i="17"/>
  <c r="A282" i="17" s="1"/>
  <c r="A1" i="17"/>
  <c r="A2" i="17" s="1"/>
  <c r="A3326" i="17"/>
  <c r="A3327" i="17" s="1"/>
  <c r="A3046" i="17"/>
  <c r="A3047" i="17" s="1"/>
  <c r="A2766" i="17"/>
  <c r="A2767" i="17" s="1"/>
  <c r="A2486" i="17"/>
  <c r="A2487" i="17" s="1"/>
  <c r="A2206" i="17"/>
  <c r="A2207" i="17" s="1"/>
  <c r="A1926" i="17"/>
  <c r="A1927" i="17" s="1"/>
  <c r="A1646" i="17"/>
  <c r="A1647" i="17" s="1"/>
  <c r="A1366" i="17"/>
  <c r="A1367" i="17" s="1"/>
  <c r="A1086" i="17"/>
  <c r="A1087" i="17" s="1"/>
  <c r="A806" i="17"/>
  <c r="A807" i="17" s="1"/>
  <c r="A526" i="17"/>
  <c r="A527" i="17" s="1"/>
  <c r="A246" i="17"/>
  <c r="A247" i="17" s="1"/>
  <c r="A3291" i="17"/>
  <c r="A3292" i="17" s="1"/>
  <c r="A3011" i="17"/>
  <c r="A3012" i="17" s="1"/>
  <c r="A2731" i="17"/>
  <c r="A2732" i="17" s="1"/>
  <c r="A2451" i="17"/>
  <c r="A2452" i="17" s="1"/>
  <c r="A2171" i="17"/>
  <c r="A2172" i="17" s="1"/>
  <c r="A1891" i="17"/>
  <c r="A1892" i="17" s="1"/>
  <c r="A1611" i="17"/>
  <c r="A1612" i="17" s="1"/>
  <c r="A1331" i="17"/>
  <c r="A1332" i="17" s="1"/>
  <c r="A1051" i="17"/>
  <c r="A1052" i="17" s="1"/>
  <c r="A771" i="17"/>
  <c r="A772" i="17" s="1"/>
  <c r="A491" i="17"/>
  <c r="A492" i="17" s="1"/>
  <c r="A211" i="17"/>
  <c r="A212" i="17" s="1"/>
  <c r="AK64" i="1"/>
  <c r="AK72" i="1"/>
  <c r="AK80" i="1"/>
  <c r="AJ60" i="1"/>
  <c r="AJ68" i="1"/>
  <c r="AJ76" i="1"/>
  <c r="AJ84" i="1"/>
  <c r="AI64" i="1"/>
  <c r="AI72" i="1"/>
  <c r="AI80" i="1"/>
  <c r="AH60" i="1"/>
  <c r="AH68" i="1"/>
  <c r="AH76" i="1"/>
  <c r="AH84" i="1"/>
  <c r="AG64" i="1"/>
  <c r="AG72" i="1"/>
  <c r="AG80" i="1"/>
  <c r="AF60" i="1"/>
  <c r="AF68" i="1"/>
  <c r="AF76" i="1"/>
  <c r="AF84" i="1"/>
  <c r="AE63" i="1"/>
  <c r="AE71" i="1"/>
  <c r="AE79" i="1"/>
  <c r="AD60" i="1"/>
  <c r="AD68" i="1"/>
  <c r="AD76" i="1"/>
  <c r="AD84" i="1"/>
  <c r="AC64" i="1"/>
  <c r="AC72" i="1"/>
  <c r="AC80" i="1"/>
  <c r="AB60" i="1"/>
  <c r="AB68" i="1"/>
  <c r="AB76" i="1"/>
  <c r="AB84" i="1"/>
  <c r="AK65" i="1"/>
  <c r="AK73" i="1"/>
  <c r="AK81" i="1"/>
  <c r="AJ61" i="1"/>
  <c r="AJ69" i="1"/>
  <c r="AJ77" i="1"/>
  <c r="AJ85" i="1"/>
  <c r="AI65" i="1"/>
  <c r="AI73" i="1"/>
  <c r="AI81" i="1"/>
  <c r="AH61" i="1"/>
  <c r="AH69" i="1"/>
  <c r="AH77" i="1"/>
  <c r="AH85" i="1"/>
  <c r="AG65" i="1"/>
  <c r="AG73" i="1"/>
  <c r="AG81" i="1"/>
  <c r="AF61" i="1"/>
  <c r="AF69" i="1"/>
  <c r="AF77" i="1"/>
  <c r="AF85" i="1"/>
  <c r="AE64" i="1"/>
  <c r="AE72" i="1"/>
  <c r="AK66" i="1"/>
  <c r="AK74" i="1"/>
  <c r="AK82" i="1"/>
  <c r="AJ62" i="1"/>
  <c r="AJ70" i="1"/>
  <c r="AJ78" i="1"/>
  <c r="AJ58" i="1"/>
  <c r="AI66" i="1"/>
  <c r="AI74" i="1"/>
  <c r="AI82" i="1"/>
  <c r="AH62" i="1"/>
  <c r="AH70" i="1"/>
  <c r="AH78" i="1"/>
  <c r="AH58" i="1"/>
  <c r="AG66" i="1"/>
  <c r="AG74" i="1"/>
  <c r="AG82" i="1"/>
  <c r="AF62" i="1"/>
  <c r="AF70" i="1"/>
  <c r="AF78" i="1"/>
  <c r="AF58" i="1"/>
  <c r="AE65" i="1"/>
  <c r="AE73" i="1"/>
  <c r="AE81" i="1"/>
  <c r="AD62" i="1"/>
  <c r="AD70" i="1"/>
  <c r="AD78" i="1"/>
  <c r="AD58" i="1"/>
  <c r="AC66" i="1"/>
  <c r="AC74" i="1"/>
  <c r="AC82" i="1"/>
  <c r="AB62" i="1"/>
  <c r="AB70" i="1"/>
  <c r="AB78" i="1"/>
  <c r="AB58" i="1"/>
  <c r="AK59" i="1"/>
  <c r="AK67" i="1"/>
  <c r="AK75" i="1"/>
  <c r="AK83" i="1"/>
  <c r="AJ63" i="1"/>
  <c r="AJ71" i="1"/>
  <c r="AJ79" i="1"/>
  <c r="AI59" i="1"/>
  <c r="AI67" i="1"/>
  <c r="AI75" i="1"/>
  <c r="AI83" i="1"/>
  <c r="AH63" i="1"/>
  <c r="AK60" i="1"/>
  <c r="AK68" i="1"/>
  <c r="AK76" i="1"/>
  <c r="AK84" i="1"/>
  <c r="AJ64" i="1"/>
  <c r="AJ72" i="1"/>
  <c r="AJ80" i="1"/>
  <c r="AI60" i="1"/>
  <c r="AI68" i="1"/>
  <c r="AI76" i="1"/>
  <c r="AI84" i="1"/>
  <c r="AH64" i="1"/>
  <c r="AH72" i="1"/>
  <c r="AH80" i="1"/>
  <c r="AG60" i="1"/>
  <c r="AG68" i="1"/>
  <c r="AG76" i="1"/>
  <c r="AG84" i="1"/>
  <c r="AF64" i="1"/>
  <c r="AF72" i="1"/>
  <c r="AF80" i="1"/>
  <c r="AE59" i="1"/>
  <c r="AE67" i="1"/>
  <c r="AE75" i="1"/>
  <c r="AE83" i="1"/>
  <c r="AD64" i="1"/>
  <c r="AD72" i="1"/>
  <c r="AD80" i="1"/>
  <c r="AC60" i="1"/>
  <c r="AC68" i="1"/>
  <c r="AC76" i="1"/>
  <c r="AC84" i="1"/>
  <c r="AB64" i="1"/>
  <c r="AB72" i="1"/>
  <c r="AB80" i="1"/>
  <c r="AA58" i="1"/>
  <c r="AK61" i="1"/>
  <c r="AK69" i="1"/>
  <c r="AK77" i="1"/>
  <c r="AK85" i="1"/>
  <c r="AJ65" i="1"/>
  <c r="AJ73" i="1"/>
  <c r="AJ81" i="1"/>
  <c r="AI61" i="1"/>
  <c r="AI69" i="1"/>
  <c r="AI77" i="1"/>
  <c r="AI85" i="1"/>
  <c r="AH65" i="1"/>
  <c r="AH73" i="1"/>
  <c r="AH81" i="1"/>
  <c r="AG61" i="1"/>
  <c r="AG69" i="1"/>
  <c r="AG77" i="1"/>
  <c r="AG85" i="1"/>
  <c r="AF65" i="1"/>
  <c r="AF73" i="1"/>
  <c r="AF81" i="1"/>
  <c r="AE60" i="1"/>
  <c r="AE68" i="1"/>
  <c r="AE76" i="1"/>
  <c r="AE84" i="1"/>
  <c r="AD65" i="1"/>
  <c r="AD73" i="1"/>
  <c r="AD81" i="1"/>
  <c r="AC61" i="1"/>
  <c r="AC69" i="1"/>
  <c r="AC77" i="1"/>
  <c r="AC85" i="1"/>
  <c r="AB65" i="1"/>
  <c r="AB73" i="1"/>
  <c r="AB81" i="1"/>
  <c r="AK62" i="1"/>
  <c r="AK70" i="1"/>
  <c r="AK78" i="1"/>
  <c r="AK58" i="1"/>
  <c r="AJ66" i="1"/>
  <c r="AJ74" i="1"/>
  <c r="AJ82" i="1"/>
  <c r="AI62" i="1"/>
  <c r="AI70" i="1"/>
  <c r="AI78" i="1"/>
  <c r="AI58" i="1"/>
  <c r="AH66" i="1"/>
  <c r="AH74" i="1"/>
  <c r="AH82" i="1"/>
  <c r="AG62" i="1"/>
  <c r="AG70" i="1"/>
  <c r="AG78" i="1"/>
  <c r="AG58" i="1"/>
  <c r="AF66" i="1"/>
  <c r="AF74" i="1"/>
  <c r="AF82" i="1"/>
  <c r="AE61" i="1"/>
  <c r="AE69" i="1"/>
  <c r="AE77" i="1"/>
  <c r="AE85" i="1"/>
  <c r="AD66" i="1"/>
  <c r="AD74" i="1"/>
  <c r="AD82" i="1"/>
  <c r="AK63" i="1"/>
  <c r="AK71" i="1"/>
  <c r="AK79" i="1"/>
  <c r="AJ59" i="1"/>
  <c r="AJ67" i="1"/>
  <c r="AJ75" i="1"/>
  <c r="AJ83" i="1"/>
  <c r="AI63" i="1"/>
  <c r="AI71" i="1"/>
  <c r="AI79" i="1"/>
  <c r="AH59" i="1"/>
  <c r="AH67" i="1"/>
  <c r="AH75" i="1"/>
  <c r="AH83" i="1"/>
  <c r="AG63" i="1"/>
  <c r="AG71" i="1"/>
  <c r="AG79" i="1"/>
  <c r="AF59" i="1"/>
  <c r="AF67" i="1"/>
  <c r="AF75" i="1"/>
  <c r="AF83" i="1"/>
  <c r="AE62" i="1"/>
  <c r="AE70" i="1"/>
  <c r="AE78" i="1"/>
  <c r="AD59" i="1"/>
  <c r="AD67" i="1"/>
  <c r="AD75" i="1"/>
  <c r="AD83" i="1"/>
  <c r="AC63" i="1"/>
  <c r="AH71" i="1"/>
  <c r="AF79" i="1"/>
  <c r="AD69" i="1"/>
  <c r="AC67" i="1"/>
  <c r="AC83" i="1"/>
  <c r="AB71" i="1"/>
  <c r="Z58" i="1"/>
  <c r="AA62" i="1"/>
  <c r="AA66" i="1"/>
  <c r="AA70" i="1"/>
  <c r="AA74" i="1"/>
  <c r="AA78" i="1"/>
  <c r="AA82" i="1"/>
  <c r="Y60" i="1"/>
  <c r="Y68" i="1"/>
  <c r="Y76" i="1"/>
  <c r="Y84" i="1"/>
  <c r="X63" i="1"/>
  <c r="X71" i="1"/>
  <c r="X79" i="1"/>
  <c r="W60" i="1"/>
  <c r="W68" i="1"/>
  <c r="W76" i="1"/>
  <c r="W84" i="1"/>
  <c r="V60" i="1"/>
  <c r="V64" i="1"/>
  <c r="V68" i="1"/>
  <c r="V72" i="1"/>
  <c r="V76" i="1"/>
  <c r="V80" i="1"/>
  <c r="V84" i="1"/>
  <c r="T64" i="1"/>
  <c r="T72" i="1"/>
  <c r="T80" i="1"/>
  <c r="L58" i="1"/>
  <c r="K59" i="1"/>
  <c r="S59" i="1"/>
  <c r="R60" i="1"/>
  <c r="Q61" i="1"/>
  <c r="P62" i="1"/>
  <c r="O63" i="1"/>
  <c r="N64" i="1"/>
  <c r="M65" i="1"/>
  <c r="L66" i="1"/>
  <c r="K67" i="1"/>
  <c r="S67" i="1"/>
  <c r="R68" i="1"/>
  <c r="Q69" i="1"/>
  <c r="P70" i="1"/>
  <c r="O71" i="1"/>
  <c r="N72" i="1"/>
  <c r="M73" i="1"/>
  <c r="L74" i="1"/>
  <c r="K75" i="1"/>
  <c r="S75" i="1"/>
  <c r="R76" i="1"/>
  <c r="Q77" i="1"/>
  <c r="P78" i="1"/>
  <c r="O79" i="1"/>
  <c r="N80" i="1"/>
  <c r="M81" i="1"/>
  <c r="L82" i="1"/>
  <c r="K83" i="1"/>
  <c r="S83" i="1"/>
  <c r="R84" i="1"/>
  <c r="Q85" i="1"/>
  <c r="J64" i="1"/>
  <c r="J72" i="1"/>
  <c r="J80" i="1"/>
  <c r="F58" i="1"/>
  <c r="I59" i="1"/>
  <c r="G61" i="1"/>
  <c r="E63" i="1"/>
  <c r="H64" i="1"/>
  <c r="F66" i="1"/>
  <c r="I67" i="1"/>
  <c r="G69" i="1"/>
  <c r="E71" i="1"/>
  <c r="H72" i="1"/>
  <c r="F74" i="1"/>
  <c r="I75" i="1"/>
  <c r="G77" i="1"/>
  <c r="E79" i="1"/>
  <c r="H80" i="1"/>
  <c r="F82" i="1"/>
  <c r="I83" i="1"/>
  <c r="G85" i="1"/>
  <c r="D64" i="1"/>
  <c r="D72" i="1"/>
  <c r="D80" i="1"/>
  <c r="C59" i="1"/>
  <c r="C67" i="1"/>
  <c r="C75" i="1"/>
  <c r="C83" i="1"/>
  <c r="B64" i="1"/>
  <c r="B72" i="1"/>
  <c r="B80" i="1"/>
  <c r="AH79" i="1"/>
  <c r="AE58" i="1"/>
  <c r="AD71" i="1"/>
  <c r="AC70" i="1"/>
  <c r="AC58" i="1"/>
  <c r="AB74" i="1"/>
  <c r="Z59" i="1"/>
  <c r="Z63" i="1"/>
  <c r="Z67" i="1"/>
  <c r="Z71" i="1"/>
  <c r="Z75" i="1"/>
  <c r="Z79" i="1"/>
  <c r="Z83" i="1"/>
  <c r="Y61" i="1"/>
  <c r="Y69" i="1"/>
  <c r="Y77" i="1"/>
  <c r="Y85" i="1"/>
  <c r="X64" i="1"/>
  <c r="X72" i="1"/>
  <c r="X80" i="1"/>
  <c r="W61" i="1"/>
  <c r="W69" i="1"/>
  <c r="W77" i="1"/>
  <c r="W85" i="1"/>
  <c r="U61" i="1"/>
  <c r="U65" i="1"/>
  <c r="U69" i="1"/>
  <c r="U73" i="1"/>
  <c r="U77" i="1"/>
  <c r="U81" i="1"/>
  <c r="U85" i="1"/>
  <c r="T65" i="1"/>
  <c r="T73" i="1"/>
  <c r="T81" i="1"/>
  <c r="M58" i="1"/>
  <c r="L59" i="1"/>
  <c r="K60" i="1"/>
  <c r="S60" i="1"/>
  <c r="R61" i="1"/>
  <c r="Q62" i="1"/>
  <c r="P63" i="1"/>
  <c r="O64" i="1"/>
  <c r="N65" i="1"/>
  <c r="M66" i="1"/>
  <c r="L67" i="1"/>
  <c r="K68" i="1"/>
  <c r="S68" i="1"/>
  <c r="R69" i="1"/>
  <c r="Q70" i="1"/>
  <c r="P71" i="1"/>
  <c r="O72" i="1"/>
  <c r="N73" i="1"/>
  <c r="M74" i="1"/>
  <c r="L75" i="1"/>
  <c r="K76" i="1"/>
  <c r="S76" i="1"/>
  <c r="R77" i="1"/>
  <c r="Q78" i="1"/>
  <c r="P79" i="1"/>
  <c r="O80" i="1"/>
  <c r="N81" i="1"/>
  <c r="M82" i="1"/>
  <c r="L83" i="1"/>
  <c r="K84" i="1"/>
  <c r="S84" i="1"/>
  <c r="R85" i="1"/>
  <c r="J65" i="1"/>
  <c r="J73" i="1"/>
  <c r="J81" i="1"/>
  <c r="G58" i="1"/>
  <c r="E60" i="1"/>
  <c r="H61" i="1"/>
  <c r="F63" i="1"/>
  <c r="I64" i="1"/>
  <c r="G66" i="1"/>
  <c r="E68" i="1"/>
  <c r="H69" i="1"/>
  <c r="F71" i="1"/>
  <c r="I72" i="1"/>
  <c r="G74" i="1"/>
  <c r="E76" i="1"/>
  <c r="H77" i="1"/>
  <c r="F79" i="1"/>
  <c r="I80" i="1"/>
  <c r="G82" i="1"/>
  <c r="E84" i="1"/>
  <c r="H85" i="1"/>
  <c r="D65" i="1"/>
  <c r="D73" i="1"/>
  <c r="D81" i="1"/>
  <c r="C60" i="1"/>
  <c r="C68" i="1"/>
  <c r="C76" i="1"/>
  <c r="C84" i="1"/>
  <c r="B65" i="1"/>
  <c r="B73" i="1"/>
  <c r="B81" i="1"/>
  <c r="AG59" i="1"/>
  <c r="AE66" i="1"/>
  <c r="AD77" i="1"/>
  <c r="AC71" i="1"/>
  <c r="AB59" i="1"/>
  <c r="AB75" i="1"/>
  <c r="AA59" i="1"/>
  <c r="AA63" i="1"/>
  <c r="AA67" i="1"/>
  <c r="AA71" i="1"/>
  <c r="AA75" i="1"/>
  <c r="AA79" i="1"/>
  <c r="AA83" i="1"/>
  <c r="Y62" i="1"/>
  <c r="Y70" i="1"/>
  <c r="Y78" i="1"/>
  <c r="Y58" i="1"/>
  <c r="X65" i="1"/>
  <c r="X73" i="1"/>
  <c r="X81" i="1"/>
  <c r="W62" i="1"/>
  <c r="W70" i="1"/>
  <c r="W78" i="1"/>
  <c r="W58" i="1"/>
  <c r="V61" i="1"/>
  <c r="V65" i="1"/>
  <c r="V69" i="1"/>
  <c r="V73" i="1"/>
  <c r="V77" i="1"/>
  <c r="V81" i="1"/>
  <c r="V85" i="1"/>
  <c r="T66" i="1"/>
  <c r="T74" i="1"/>
  <c r="T82" i="1"/>
  <c r="N58" i="1"/>
  <c r="M59" i="1"/>
  <c r="L60" i="1"/>
  <c r="K61" i="1"/>
  <c r="S61" i="1"/>
  <c r="R62" i="1"/>
  <c r="Q63" i="1"/>
  <c r="P64" i="1"/>
  <c r="O65" i="1"/>
  <c r="N66" i="1"/>
  <c r="M67" i="1"/>
  <c r="L68" i="1"/>
  <c r="K69" i="1"/>
  <c r="S69" i="1"/>
  <c r="R70" i="1"/>
  <c r="Q71" i="1"/>
  <c r="P72" i="1"/>
  <c r="O73" i="1"/>
  <c r="N74" i="1"/>
  <c r="M75" i="1"/>
  <c r="L76" i="1"/>
  <c r="K77" i="1"/>
  <c r="S77" i="1"/>
  <c r="R78" i="1"/>
  <c r="Q79" i="1"/>
  <c r="P80" i="1"/>
  <c r="O81" i="1"/>
  <c r="N82" i="1"/>
  <c r="M83" i="1"/>
  <c r="L84" i="1"/>
  <c r="K85" i="1"/>
  <c r="S85" i="1"/>
  <c r="J66" i="1"/>
  <c r="J74" i="1"/>
  <c r="J82" i="1"/>
  <c r="H58" i="1"/>
  <c r="F60" i="1"/>
  <c r="I61" i="1"/>
  <c r="G63" i="1"/>
  <c r="E65" i="1"/>
  <c r="H66" i="1"/>
  <c r="F68" i="1"/>
  <c r="I69" i="1"/>
  <c r="G71" i="1"/>
  <c r="E73" i="1"/>
  <c r="H74" i="1"/>
  <c r="F76" i="1"/>
  <c r="I77" i="1"/>
  <c r="G79" i="1"/>
  <c r="E81" i="1"/>
  <c r="H82" i="1"/>
  <c r="F84" i="1"/>
  <c r="I85" i="1"/>
  <c r="D66" i="1"/>
  <c r="D74" i="1"/>
  <c r="D82" i="1"/>
  <c r="C61" i="1"/>
  <c r="C69" i="1"/>
  <c r="C77" i="1"/>
  <c r="C85" i="1"/>
  <c r="B66" i="1"/>
  <c r="B74" i="1"/>
  <c r="B82" i="1"/>
  <c r="AG67" i="1"/>
  <c r="AE74" i="1"/>
  <c r="AD79" i="1"/>
  <c r="AC73" i="1"/>
  <c r="AB61" i="1"/>
  <c r="AB77" i="1"/>
  <c r="Z60" i="1"/>
  <c r="Z64" i="1"/>
  <c r="Z68" i="1"/>
  <c r="Z72" i="1"/>
  <c r="Z76" i="1"/>
  <c r="Z80" i="1"/>
  <c r="Z84" i="1"/>
  <c r="Y63" i="1"/>
  <c r="Y71" i="1"/>
  <c r="Y79" i="1"/>
  <c r="X58" i="1"/>
  <c r="X66" i="1"/>
  <c r="X74" i="1"/>
  <c r="X82" i="1"/>
  <c r="W63" i="1"/>
  <c r="W71" i="1"/>
  <c r="W79" i="1"/>
  <c r="U58" i="1"/>
  <c r="U62" i="1"/>
  <c r="U66" i="1"/>
  <c r="U70" i="1"/>
  <c r="U74" i="1"/>
  <c r="U78" i="1"/>
  <c r="U82" i="1"/>
  <c r="T59" i="1"/>
  <c r="T67" i="1"/>
  <c r="T75" i="1"/>
  <c r="T83" i="1"/>
  <c r="O58" i="1"/>
  <c r="N59" i="1"/>
  <c r="M60" i="1"/>
  <c r="L61" i="1"/>
  <c r="K62" i="1"/>
  <c r="S62" i="1"/>
  <c r="R63" i="1"/>
  <c r="Q64" i="1"/>
  <c r="P65" i="1"/>
  <c r="O66" i="1"/>
  <c r="N67" i="1"/>
  <c r="M68" i="1"/>
  <c r="L69" i="1"/>
  <c r="K70" i="1"/>
  <c r="S70" i="1"/>
  <c r="R71" i="1"/>
  <c r="Q72" i="1"/>
  <c r="P73" i="1"/>
  <c r="O74" i="1"/>
  <c r="N75" i="1"/>
  <c r="M76" i="1"/>
  <c r="L77" i="1"/>
  <c r="K78" i="1"/>
  <c r="S78" i="1"/>
  <c r="R79" i="1"/>
  <c r="Q80" i="1"/>
  <c r="P81" i="1"/>
  <c r="O82" i="1"/>
  <c r="N83" i="1"/>
  <c r="M84" i="1"/>
  <c r="L85" i="1"/>
  <c r="J59" i="1"/>
  <c r="J67" i="1"/>
  <c r="J75" i="1"/>
  <c r="J83" i="1"/>
  <c r="I58" i="1"/>
  <c r="G60" i="1"/>
  <c r="E62" i="1"/>
  <c r="H63" i="1"/>
  <c r="F65" i="1"/>
  <c r="I66" i="1"/>
  <c r="G68" i="1"/>
  <c r="E70" i="1"/>
  <c r="H71" i="1"/>
  <c r="F73" i="1"/>
  <c r="I74" i="1"/>
  <c r="G76" i="1"/>
  <c r="E78" i="1"/>
  <c r="H79" i="1"/>
  <c r="F81" i="1"/>
  <c r="I82" i="1"/>
  <c r="G84" i="1"/>
  <c r="D59" i="1"/>
  <c r="D67" i="1"/>
  <c r="D75" i="1"/>
  <c r="D83" i="1"/>
  <c r="C62" i="1"/>
  <c r="C70" i="1"/>
  <c r="C78" i="1"/>
  <c r="B59" i="1"/>
  <c r="B67" i="1"/>
  <c r="B75" i="1"/>
  <c r="B83" i="1"/>
  <c r="AG75" i="1"/>
  <c r="AE80" i="1"/>
  <c r="AD85" i="1"/>
  <c r="AC75" i="1"/>
  <c r="AB63" i="1"/>
  <c r="AB79" i="1"/>
  <c r="AA60" i="1"/>
  <c r="AA64" i="1"/>
  <c r="AA68" i="1"/>
  <c r="AA72" i="1"/>
  <c r="AA76" i="1"/>
  <c r="AA80" i="1"/>
  <c r="AA84" i="1"/>
  <c r="Y64" i="1"/>
  <c r="Y72" i="1"/>
  <c r="Y80" i="1"/>
  <c r="X59" i="1"/>
  <c r="X67" i="1"/>
  <c r="X75" i="1"/>
  <c r="X83" i="1"/>
  <c r="W64" i="1"/>
  <c r="W72" i="1"/>
  <c r="W80" i="1"/>
  <c r="V58" i="1"/>
  <c r="V62" i="1"/>
  <c r="V66" i="1"/>
  <c r="V70" i="1"/>
  <c r="V74" i="1"/>
  <c r="V78" i="1"/>
  <c r="V82" i="1"/>
  <c r="T60" i="1"/>
  <c r="T68" i="1"/>
  <c r="T76" i="1"/>
  <c r="T84" i="1"/>
  <c r="P58" i="1"/>
  <c r="O59" i="1"/>
  <c r="N60" i="1"/>
  <c r="M61" i="1"/>
  <c r="L62" i="1"/>
  <c r="K63" i="1"/>
  <c r="S63" i="1"/>
  <c r="R64" i="1"/>
  <c r="Q65" i="1"/>
  <c r="P66" i="1"/>
  <c r="O67" i="1"/>
  <c r="N68" i="1"/>
  <c r="M69" i="1"/>
  <c r="L70" i="1"/>
  <c r="K71" i="1"/>
  <c r="S71" i="1"/>
  <c r="R72" i="1"/>
  <c r="Q73" i="1"/>
  <c r="P74" i="1"/>
  <c r="O75" i="1"/>
  <c r="N76" i="1"/>
  <c r="M77" i="1"/>
  <c r="L78" i="1"/>
  <c r="K79" i="1"/>
  <c r="S79" i="1"/>
  <c r="R80" i="1"/>
  <c r="Q81" i="1"/>
  <c r="P82" i="1"/>
  <c r="O83" i="1"/>
  <c r="N84" i="1"/>
  <c r="M85" i="1"/>
  <c r="J60" i="1"/>
  <c r="J68" i="1"/>
  <c r="J76" i="1"/>
  <c r="J84" i="1"/>
  <c r="E59" i="1"/>
  <c r="H60" i="1"/>
  <c r="F62" i="1"/>
  <c r="I63" i="1"/>
  <c r="G65" i="1"/>
  <c r="E67" i="1"/>
  <c r="H68" i="1"/>
  <c r="F70" i="1"/>
  <c r="I71" i="1"/>
  <c r="G73" i="1"/>
  <c r="E75" i="1"/>
  <c r="H76" i="1"/>
  <c r="F78" i="1"/>
  <c r="I79" i="1"/>
  <c r="G81" i="1"/>
  <c r="E83" i="1"/>
  <c r="H84" i="1"/>
  <c r="D60" i="1"/>
  <c r="D68" i="1"/>
  <c r="D76" i="1"/>
  <c r="D84" i="1"/>
  <c r="C63" i="1"/>
  <c r="C71" i="1"/>
  <c r="C79" i="1"/>
  <c r="B60" i="1"/>
  <c r="B68" i="1"/>
  <c r="B76" i="1"/>
  <c r="B84" i="1"/>
  <c r="AG83" i="1"/>
  <c r="AE82" i="1"/>
  <c r="AC59" i="1"/>
  <c r="AC78" i="1"/>
  <c r="AB66" i="1"/>
  <c r="AB82" i="1"/>
  <c r="Z61" i="1"/>
  <c r="Z65" i="1"/>
  <c r="Z69" i="1"/>
  <c r="Z73" i="1"/>
  <c r="Z77" i="1"/>
  <c r="Z81" i="1"/>
  <c r="Z85" i="1"/>
  <c r="Y65" i="1"/>
  <c r="Y73" i="1"/>
  <c r="Y81" i="1"/>
  <c r="X60" i="1"/>
  <c r="X68" i="1"/>
  <c r="X76" i="1"/>
  <c r="X84" i="1"/>
  <c r="W65" i="1"/>
  <c r="W73" i="1"/>
  <c r="W81" i="1"/>
  <c r="U59" i="1"/>
  <c r="U63" i="1"/>
  <c r="U67" i="1"/>
  <c r="U71" i="1"/>
  <c r="U75" i="1"/>
  <c r="U79" i="1"/>
  <c r="U83" i="1"/>
  <c r="T61" i="1"/>
  <c r="T69" i="1"/>
  <c r="T77" i="1"/>
  <c r="T85" i="1"/>
  <c r="Q58" i="1"/>
  <c r="P59" i="1"/>
  <c r="O60" i="1"/>
  <c r="N61" i="1"/>
  <c r="M62" i="1"/>
  <c r="L63" i="1"/>
  <c r="K64" i="1"/>
  <c r="S64" i="1"/>
  <c r="R65" i="1"/>
  <c r="Q66" i="1"/>
  <c r="P67" i="1"/>
  <c r="O68" i="1"/>
  <c r="N69" i="1"/>
  <c r="M70" i="1"/>
  <c r="L71" i="1"/>
  <c r="K72" i="1"/>
  <c r="S72" i="1"/>
  <c r="R73" i="1"/>
  <c r="Q74" i="1"/>
  <c r="P75" i="1"/>
  <c r="O76" i="1"/>
  <c r="N77" i="1"/>
  <c r="M78" i="1"/>
  <c r="L79" i="1"/>
  <c r="K80" i="1"/>
  <c r="S80" i="1"/>
  <c r="R81" i="1"/>
  <c r="Q82" i="1"/>
  <c r="P83" i="1"/>
  <c r="O84" i="1"/>
  <c r="N85" i="1"/>
  <c r="J61" i="1"/>
  <c r="J69" i="1"/>
  <c r="J77" i="1"/>
  <c r="J85" i="1"/>
  <c r="F59" i="1"/>
  <c r="I60" i="1"/>
  <c r="G62" i="1"/>
  <c r="E64" i="1"/>
  <c r="H65" i="1"/>
  <c r="F67" i="1"/>
  <c r="I68" i="1"/>
  <c r="G70" i="1"/>
  <c r="E72" i="1"/>
  <c r="H73" i="1"/>
  <c r="F75" i="1"/>
  <c r="I76" i="1"/>
  <c r="G78" i="1"/>
  <c r="E80" i="1"/>
  <c r="H81" i="1"/>
  <c r="F83" i="1"/>
  <c r="I84" i="1"/>
  <c r="D61" i="1"/>
  <c r="D69" i="1"/>
  <c r="D77" i="1"/>
  <c r="D85" i="1"/>
  <c r="C64" i="1"/>
  <c r="C72" i="1"/>
  <c r="C80" i="1"/>
  <c r="B61" i="1"/>
  <c r="B69" i="1"/>
  <c r="B77" i="1"/>
  <c r="B85" i="1"/>
  <c r="AF63" i="1"/>
  <c r="AD61" i="1"/>
  <c r="AC62" i="1"/>
  <c r="AC79" i="1"/>
  <c r="AB67" i="1"/>
  <c r="AB83" i="1"/>
  <c r="AA61" i="1"/>
  <c r="AA65" i="1"/>
  <c r="AA69" i="1"/>
  <c r="AA73" i="1"/>
  <c r="AA77" i="1"/>
  <c r="AA81" i="1"/>
  <c r="AA85" i="1"/>
  <c r="Y66" i="1"/>
  <c r="Y74" i="1"/>
  <c r="Y82" i="1"/>
  <c r="X61" i="1"/>
  <c r="X69" i="1"/>
  <c r="X77" i="1"/>
  <c r="X85" i="1"/>
  <c r="W66" i="1"/>
  <c r="W74" i="1"/>
  <c r="W82" i="1"/>
  <c r="V59" i="1"/>
  <c r="V63" i="1"/>
  <c r="V67" i="1"/>
  <c r="V71" i="1"/>
  <c r="V75" i="1"/>
  <c r="V79" i="1"/>
  <c r="V83" i="1"/>
  <c r="T62" i="1"/>
  <c r="T70" i="1"/>
  <c r="T78" i="1"/>
  <c r="T58" i="1"/>
  <c r="R58" i="1"/>
  <c r="Q59" i="1"/>
  <c r="P60" i="1"/>
  <c r="O61" i="1"/>
  <c r="N62" i="1"/>
  <c r="M63" i="1"/>
  <c r="L64" i="1"/>
  <c r="K65" i="1"/>
  <c r="S65" i="1"/>
  <c r="R66" i="1"/>
  <c r="Q67" i="1"/>
  <c r="P68" i="1"/>
  <c r="O69" i="1"/>
  <c r="N70" i="1"/>
  <c r="M71" i="1"/>
  <c r="L72" i="1"/>
  <c r="K73" i="1"/>
  <c r="S73" i="1"/>
  <c r="R74" i="1"/>
  <c r="Q75" i="1"/>
  <c r="P76" i="1"/>
  <c r="O77" i="1"/>
  <c r="N78" i="1"/>
  <c r="M79" i="1"/>
  <c r="L80" i="1"/>
  <c r="K81" i="1"/>
  <c r="S81" i="1"/>
  <c r="R82" i="1"/>
  <c r="Q83" i="1"/>
  <c r="P84" i="1"/>
  <c r="O85" i="1"/>
  <c r="J62" i="1"/>
  <c r="J70" i="1"/>
  <c r="J78" i="1"/>
  <c r="J58" i="1"/>
  <c r="G59" i="1"/>
  <c r="E61" i="1"/>
  <c r="H62" i="1"/>
  <c r="F64" i="1"/>
  <c r="I65" i="1"/>
  <c r="G67" i="1"/>
  <c r="E69" i="1"/>
  <c r="H70" i="1"/>
  <c r="F72" i="1"/>
  <c r="I73" i="1"/>
  <c r="G75" i="1"/>
  <c r="E77" i="1"/>
  <c r="H78" i="1"/>
  <c r="F80" i="1"/>
  <c r="I81" i="1"/>
  <c r="G83" i="1"/>
  <c r="E85" i="1"/>
  <c r="D62" i="1"/>
  <c r="D70" i="1"/>
  <c r="D78" i="1"/>
  <c r="D58" i="1"/>
  <c r="C65" i="1"/>
  <c r="C73" i="1"/>
  <c r="C81" i="1"/>
  <c r="B62" i="1"/>
  <c r="B70" i="1"/>
  <c r="B78" i="1"/>
  <c r="B58" i="1"/>
  <c r="AF71" i="1"/>
  <c r="AD63" i="1"/>
  <c r="AC65" i="1"/>
  <c r="AC81" i="1"/>
  <c r="AB69" i="1"/>
  <c r="AB85" i="1"/>
  <c r="Z62" i="1"/>
  <c r="Z66" i="1"/>
  <c r="Z70" i="1"/>
  <c r="Z74" i="1"/>
  <c r="Z78" i="1"/>
  <c r="Z82" i="1"/>
  <c r="Y59" i="1"/>
  <c r="Y67" i="1"/>
  <c r="Y75" i="1"/>
  <c r="Y83" i="1"/>
  <c r="X62" i="1"/>
  <c r="X70" i="1"/>
  <c r="X78" i="1"/>
  <c r="W59" i="1"/>
  <c r="W67" i="1"/>
  <c r="W75" i="1"/>
  <c r="W83" i="1"/>
  <c r="U60" i="1"/>
  <c r="U64" i="1"/>
  <c r="U68" i="1"/>
  <c r="U72" i="1"/>
  <c r="U76" i="1"/>
  <c r="U80" i="1"/>
  <c r="U84" i="1"/>
  <c r="T63" i="1"/>
  <c r="T71" i="1"/>
  <c r="T79" i="1"/>
  <c r="K58" i="1"/>
  <c r="S58" i="1"/>
  <c r="R59" i="1"/>
  <c r="Q60" i="1"/>
  <c r="P61" i="1"/>
  <c r="O62" i="1"/>
  <c r="N63" i="1"/>
  <c r="M64" i="1"/>
  <c r="L65" i="1"/>
  <c r="K66" i="1"/>
  <c r="S66" i="1"/>
  <c r="R67" i="1"/>
  <c r="Q68" i="1"/>
  <c r="P69" i="1"/>
  <c r="O70" i="1"/>
  <c r="N71" i="1"/>
  <c r="M72" i="1"/>
  <c r="L73" i="1"/>
  <c r="K74" i="1"/>
  <c r="S74" i="1"/>
  <c r="R75" i="1"/>
  <c r="Q76" i="1"/>
  <c r="P77" i="1"/>
  <c r="O78" i="1"/>
  <c r="N79" i="1"/>
  <c r="M80" i="1"/>
  <c r="L81" i="1"/>
  <c r="K82" i="1"/>
  <c r="S82" i="1"/>
  <c r="R83" i="1"/>
  <c r="Q84" i="1"/>
  <c r="P85" i="1"/>
  <c r="J63" i="1"/>
  <c r="J71" i="1"/>
  <c r="J79" i="1"/>
  <c r="E58" i="1"/>
  <c r="H59" i="1"/>
  <c r="F61" i="1"/>
  <c r="I62" i="1"/>
  <c r="G64" i="1"/>
  <c r="E66" i="1"/>
  <c r="H67" i="1"/>
  <c r="F69" i="1"/>
  <c r="I70" i="1"/>
  <c r="G72" i="1"/>
  <c r="E74" i="1"/>
  <c r="H75" i="1"/>
  <c r="F77" i="1"/>
  <c r="I78" i="1"/>
  <c r="G80" i="1"/>
  <c r="E82" i="1"/>
  <c r="H83" i="1"/>
  <c r="F85" i="1"/>
  <c r="D63" i="1"/>
  <c r="D71" i="1"/>
  <c r="D79" i="1"/>
  <c r="C58" i="1"/>
  <c r="C66" i="1"/>
  <c r="C74" i="1"/>
  <c r="C82" i="1"/>
  <c r="B63" i="1"/>
  <c r="B71" i="1"/>
  <c r="B79" i="1"/>
  <c r="AQ28" i="1"/>
  <c r="AQ44" i="1"/>
  <c r="AQ29" i="1"/>
  <c r="AQ25" i="1"/>
  <c r="AQ46" i="1"/>
  <c r="AQ31" i="1"/>
  <c r="AQ39" i="1"/>
  <c r="AQ47" i="1"/>
  <c r="AQ51" i="1"/>
  <c r="AQ52" i="1"/>
  <c r="AQ45" i="1"/>
  <c r="AQ38" i="1"/>
  <c r="AQ32" i="1"/>
  <c r="AQ40" i="1"/>
  <c r="AQ48" i="1"/>
  <c r="AQ33" i="1"/>
  <c r="AQ41" i="1"/>
  <c r="AQ49" i="1"/>
  <c r="AQ26" i="1"/>
  <c r="AQ34" i="1"/>
  <c r="AQ42" i="1"/>
  <c r="AQ50" i="1"/>
  <c r="AQ27" i="1"/>
  <c r="AQ35" i="1"/>
  <c r="AQ43" i="1"/>
  <c r="AQ36" i="1"/>
  <c r="AQ37" i="1"/>
  <c r="AQ30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25" i="1"/>
  <c r="A3671" i="17" l="1"/>
  <c r="A3669" i="17"/>
  <c r="A3661" i="17"/>
  <c r="A3653" i="17"/>
  <c r="A3695" i="17"/>
  <c r="A3684" i="17"/>
  <c r="A3703" i="17"/>
  <c r="A3687" i="17"/>
  <c r="A3648" i="17"/>
  <c r="A3668" i="17"/>
  <c r="A3660" i="17"/>
  <c r="A3652" i="17"/>
  <c r="A3694" i="17"/>
  <c r="A3707" i="17"/>
  <c r="A3710" i="17"/>
  <c r="A3702" i="17"/>
  <c r="A3672" i="17"/>
  <c r="A3675" i="17"/>
  <c r="A3667" i="17"/>
  <c r="A3659" i="17"/>
  <c r="A3651" i="17"/>
  <c r="A3701" i="17"/>
  <c r="A3699" i="17"/>
  <c r="A3709" i="17"/>
  <c r="A3686" i="17"/>
  <c r="A3674" i="17"/>
  <c r="A3666" i="17"/>
  <c r="A3658" i="17"/>
  <c r="A3650" i="17"/>
  <c r="A3693" i="17"/>
  <c r="A3691" i="17"/>
  <c r="A3705" i="17"/>
  <c r="A3673" i="17"/>
  <c r="A3665" i="17"/>
  <c r="A3657" i="17"/>
  <c r="A3649" i="17"/>
  <c r="A3685" i="17"/>
  <c r="A3706" i="17"/>
  <c r="A3697" i="17"/>
  <c r="A3664" i="17"/>
  <c r="A3656" i="17"/>
  <c r="A3708" i="17"/>
  <c r="A3698" i="17"/>
  <c r="A3689" i="17"/>
  <c r="A3655" i="17"/>
  <c r="A3700" i="17"/>
  <c r="A3690" i="17"/>
  <c r="A3704" i="17"/>
  <c r="A3663" i="17"/>
  <c r="A3670" i="17"/>
  <c r="A3662" i="17"/>
  <c r="A3654" i="17"/>
  <c r="A3688" i="17"/>
  <c r="A3692" i="17"/>
  <c r="A3696" i="17"/>
  <c r="A3683" i="17"/>
  <c r="E9" i="1"/>
  <c r="AO40" i="1" l="1"/>
  <c r="AO41" i="1"/>
  <c r="AO26" i="1"/>
  <c r="AO34" i="1"/>
  <c r="AO42" i="1"/>
  <c r="AO50" i="1"/>
  <c r="AO27" i="1"/>
  <c r="AO35" i="1"/>
  <c r="AO43" i="1"/>
  <c r="AO51" i="1"/>
  <c r="AO45" i="1"/>
  <c r="AO30" i="1"/>
  <c r="AO46" i="1"/>
  <c r="AO31" i="1"/>
  <c r="AO39" i="1"/>
  <c r="AO47" i="1"/>
  <c r="AO32" i="1"/>
  <c r="AO48" i="1"/>
  <c r="AO33" i="1"/>
  <c r="AO49" i="1"/>
  <c r="AO28" i="1"/>
  <c r="AO36" i="1"/>
  <c r="AO44" i="1"/>
  <c r="AO52" i="1"/>
  <c r="AO29" i="1"/>
  <c r="AO37" i="1"/>
  <c r="AO25" i="1"/>
  <c r="AO38" i="1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8" i="3"/>
  <c r="A3640" i="17" l="1"/>
  <c r="A3619" i="17"/>
  <c r="A3638" i="17"/>
  <c r="A3615" i="17"/>
  <c r="A3627" i="17"/>
  <c r="A3630" i="17"/>
  <c r="A3618" i="17"/>
  <c r="A3622" i="17"/>
  <c r="A3632" i="17"/>
  <c r="A3616" i="17"/>
  <c r="A3626" i="17"/>
  <c r="A3613" i="17"/>
  <c r="A3621" i="17"/>
  <c r="A3633" i="17"/>
  <c r="A3614" i="17"/>
  <c r="A3623" i="17"/>
  <c r="A3635" i="17"/>
  <c r="A3624" i="17"/>
  <c r="A3634" i="17"/>
  <c r="A3637" i="17"/>
  <c r="A3625" i="17"/>
  <c r="A3636" i="17"/>
  <c r="A3639" i="17"/>
  <c r="A3629" i="17"/>
  <c r="A3617" i="17"/>
  <c r="A3620" i="17"/>
  <c r="A3631" i="17"/>
  <c r="A3628" i="17"/>
  <c r="A3543" i="17"/>
  <c r="A3578" i="17"/>
  <c r="A3509" i="17"/>
  <c r="A3544" i="17"/>
  <c r="A3579" i="17"/>
  <c r="A3510" i="17"/>
  <c r="A3545" i="17"/>
  <c r="A3580" i="17"/>
  <c r="A3511" i="17"/>
  <c r="A3546" i="17"/>
  <c r="A3581" i="17"/>
  <c r="A3512" i="17"/>
  <c r="A3547" i="17"/>
  <c r="A3582" i="17"/>
  <c r="A3513" i="17"/>
  <c r="A3548" i="17"/>
  <c r="A3583" i="17"/>
  <c r="A3514" i="17"/>
  <c r="A3549" i="17"/>
  <c r="A3584" i="17"/>
  <c r="A3515" i="17"/>
  <c r="A3550" i="17"/>
  <c r="A3585" i="17"/>
  <c r="A3516" i="17"/>
  <c r="A3551" i="17"/>
  <c r="A3586" i="17"/>
  <c r="A3517" i="17"/>
  <c r="A3552" i="17"/>
  <c r="A3587" i="17"/>
  <c r="A3518" i="17"/>
  <c r="A3553" i="17"/>
  <c r="A3588" i="17"/>
  <c r="A3519" i="17"/>
  <c r="A3554" i="17"/>
  <c r="A3589" i="17"/>
  <c r="A3520" i="17"/>
  <c r="A3555" i="17"/>
  <c r="A3590" i="17"/>
  <c r="A3521" i="17"/>
  <c r="A3556" i="17"/>
  <c r="A3591" i="17"/>
  <c r="A3522" i="17"/>
  <c r="A3557" i="17"/>
  <c r="A3592" i="17"/>
  <c r="A3523" i="17"/>
  <c r="A3558" i="17"/>
  <c r="A3593" i="17"/>
  <c r="A3524" i="17"/>
  <c r="A3559" i="17"/>
  <c r="A3594" i="17"/>
  <c r="A3525" i="17"/>
  <c r="A3560" i="17"/>
  <c r="A3595" i="17"/>
  <c r="A3526" i="17"/>
  <c r="A3561" i="17"/>
  <c r="A3596" i="17"/>
  <c r="A3527" i="17"/>
  <c r="A3562" i="17"/>
  <c r="A3597" i="17"/>
  <c r="A3528" i="17"/>
  <c r="A3563" i="17"/>
  <c r="A3598" i="17"/>
  <c r="A3529" i="17"/>
  <c r="A3564" i="17"/>
  <c r="A3599" i="17"/>
  <c r="A3530" i="17"/>
  <c r="A3565" i="17"/>
  <c r="A3600" i="17"/>
  <c r="A3531" i="17"/>
  <c r="A3566" i="17"/>
  <c r="A3601" i="17"/>
  <c r="A3532" i="17"/>
  <c r="A3567" i="17"/>
  <c r="A3602" i="17"/>
  <c r="A3533" i="17"/>
  <c r="A3568" i="17"/>
  <c r="A3603" i="17"/>
  <c r="A3534" i="17"/>
  <c r="A3569" i="17"/>
  <c r="A3604" i="17"/>
  <c r="A3535" i="17"/>
  <c r="A3570" i="17"/>
  <c r="A3605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<sst xmlns="http://schemas.openxmlformats.org/spreadsheetml/2006/main" count="3073" uniqueCount="1905">
  <si>
    <t>E(MeV)</t>
  </si>
  <si>
    <t>18Ar</t>
  </si>
  <si>
    <t>19K</t>
  </si>
  <si>
    <t>20Ca</t>
  </si>
  <si>
    <t>24Cr</t>
  </si>
  <si>
    <t>25Mn</t>
  </si>
  <si>
    <t>26Fe</t>
  </si>
  <si>
    <t>28Ni</t>
  </si>
  <si>
    <t>29Cu</t>
  </si>
  <si>
    <t>42Mo</t>
  </si>
  <si>
    <t>b</t>
  </si>
  <si>
    <t>c</t>
  </si>
  <si>
    <t>a</t>
  </si>
  <si>
    <t>d</t>
  </si>
  <si>
    <t>St. Dev.</t>
  </si>
  <si>
    <t>Xk</t>
  </si>
  <si>
    <t>Max. Dev.</t>
  </si>
  <si>
    <t>Xmax</t>
  </si>
  <si>
    <t>Air</t>
  </si>
  <si>
    <t>Water</t>
  </si>
  <si>
    <t>Concrete</t>
  </si>
  <si>
    <t>57La</t>
  </si>
  <si>
    <t>64Gd</t>
  </si>
  <si>
    <t>74w</t>
  </si>
  <si>
    <t>90Th</t>
  </si>
  <si>
    <t>72Hf</t>
  </si>
  <si>
    <t>82Pb</t>
  </si>
  <si>
    <t>92U</t>
  </si>
  <si>
    <t>40zr</t>
  </si>
  <si>
    <t>41Nb</t>
  </si>
  <si>
    <t>50Sn</t>
  </si>
  <si>
    <t>56Ba</t>
  </si>
  <si>
    <t>48Cd</t>
  </si>
  <si>
    <t>11Na</t>
  </si>
  <si>
    <t>12Mg</t>
  </si>
  <si>
    <t>14Si</t>
  </si>
  <si>
    <t>15p</t>
  </si>
  <si>
    <t>17cl</t>
  </si>
  <si>
    <t>13Al</t>
  </si>
  <si>
    <t>16s</t>
  </si>
  <si>
    <t>1H</t>
  </si>
  <si>
    <t>3Li</t>
  </si>
  <si>
    <t>4Be</t>
  </si>
  <si>
    <t>5B</t>
  </si>
  <si>
    <t>6C</t>
  </si>
  <si>
    <t>7N</t>
  </si>
  <si>
    <t>8O</t>
  </si>
  <si>
    <t>ANS-6.4.3-1991 Table 2</t>
  </si>
  <si>
    <t>Iron</t>
  </si>
  <si>
    <t>Aluminum</t>
  </si>
  <si>
    <t>Copper</t>
  </si>
  <si>
    <t>Tungsten</t>
  </si>
  <si>
    <t>Lead</t>
  </si>
  <si>
    <t>Uranium</t>
  </si>
  <si>
    <t>water</t>
  </si>
  <si>
    <t>concrete</t>
  </si>
  <si>
    <t>Added Materials</t>
  </si>
  <si>
    <t>UO2</t>
  </si>
  <si>
    <t>O</t>
  </si>
  <si>
    <t>U</t>
  </si>
  <si>
    <t>w/o</t>
  </si>
  <si>
    <t>Element</t>
  </si>
  <si>
    <t>C</t>
  </si>
  <si>
    <t>Si</t>
  </si>
  <si>
    <t>P</t>
  </si>
  <si>
    <t>Cr</t>
  </si>
  <si>
    <t>Mn</t>
  </si>
  <si>
    <t>Fe</t>
  </si>
  <si>
    <t>Ni</t>
  </si>
  <si>
    <t>Mo</t>
  </si>
  <si>
    <t xml:space="preserve">S </t>
  </si>
  <si>
    <t>SS304L</t>
  </si>
  <si>
    <t>Resin Mix</t>
  </si>
  <si>
    <t>density (g/cc)</t>
  </si>
  <si>
    <t>Mixture</t>
  </si>
  <si>
    <t>resin</t>
  </si>
  <si>
    <t xml:space="preserve">This spreadsheet is used to generate the data in </t>
  </si>
  <si>
    <t>Available data sources can have conflicting values.</t>
  </si>
  <si>
    <t>Sources evaluated in this workbook include:</t>
  </si>
  <si>
    <t>ANSI/ANS 6.4.3</t>
  </si>
  <si>
    <t>DLC-129 ANS643</t>
  </si>
  <si>
    <t>Data retrieved from ANSI/ANS 6.4.3 was extracted from a PDF and</t>
  </si>
  <si>
    <t>the OCR results were less than perfect.  Basic data corrections were automated</t>
  </si>
  <si>
    <t>Data from RSICC DLC-129 ANS643 was then compared to the working</t>
  </si>
  <si>
    <t>as EXCEL macros to create a working dataset.</t>
  </si>
  <si>
    <t>outdated is some instances.  However, the DLC-129 data were useful</t>
  </si>
  <si>
    <t>dataset.  The DLC-129 data were found to be generally consistent, albeit</t>
  </si>
  <si>
    <t>in screening most of the working dataset.  Differences were evaluated by referencing</t>
  </si>
  <si>
    <t>the ANS 6.4.3 document to determine the correct values.</t>
  </si>
  <si>
    <t>Attenuation coefficients for mixtures were not available in DLC-129</t>
  </si>
  <si>
    <t>and the values in the working dataset were verified by inspection with the</t>
  </si>
  <si>
    <t>original pdf.</t>
  </si>
  <si>
    <t>Buildup factors were verified in a similar manner.  Comparisons were made between</t>
  </si>
  <si>
    <t>the ANSI/ANS 6.4.3 pdf scans and the DLC-129 files.  Differences were resolved</t>
  </si>
  <si>
    <t>by direct comparison with the pdf.  Note that buildup factors for high-Z materials</t>
  </si>
  <si>
    <t>were stored separately in DLC-129.</t>
  </si>
  <si>
    <t>SCALE 6.4.1 (determined to be equivalent to DLC-129)</t>
  </si>
  <si>
    <t>Data extracted from ANSI/ANS 6.4.3, with the exception of material compositions for UO2, SS304L, and resin</t>
  </si>
  <si>
    <t>PHOTON MASS ATTENUATION COEFFICIENTS  MU/RO (CM**2/G) PHOTX 1988 (FREE)</t>
  </si>
  <si>
    <t xml:space="preserve"> 1.000E-2 1.500E-2 2.000E-2 3.000E-2 4.000E-2 5.000E-2 6.000E-2 8.000E-2</t>
  </si>
  <si>
    <t xml:space="preserve"> 1.000E-1 1.500E-1 2.000E-1 3.000E-1 4.000E-1 5.000E-1 6.000E-1 8.000E-1</t>
  </si>
  <si>
    <t xml:space="preserve"> 1.000E+0 1.500E+0 2.000E+0 3.000E+0 4.000E+0 5.000E+0 6.000E+0 8.000E+0</t>
  </si>
  <si>
    <t xml:space="preserve"> 1.000E+1 1.500E+1 2.000E+1 3.000E+1</t>
  </si>
  <si>
    <t xml:space="preserve">  1 H HYDROGEN</t>
  </si>
  <si>
    <t xml:space="preserve"> 3.854E-1 3.764E-1 3.695E-1 3.570E-1 3.458E-1 3.355E-1 3.260E-1 3.091E-1</t>
  </si>
  <si>
    <t xml:space="preserve"> 2.944E-1 2.650E-1 2.429E-1 2.112E-1 1.892E-1 1.728E-1 1.598E-1 1.404E-1</t>
  </si>
  <si>
    <t xml:space="preserve"> 1.262E-1 1.026E-1 8.758E-2 6.910E-2 5.793E-2 5.036E-2 4.486E-2 3.735E-2</t>
  </si>
  <si>
    <t xml:space="preserve"> 3.244E-2 2.530E-2 2.145E-2 1.741E-2</t>
  </si>
  <si>
    <t xml:space="preserve">  2HE HELIUM</t>
  </si>
  <si>
    <t xml:space="preserve"> 2.220E-1 1.966E-1 1.887E-1 1.804E-1 1.743E-1 1.691E-1 1.642E-1 1.558E-1</t>
  </si>
  <si>
    <t xml:space="preserve"> 1.483E-1 1.334E-1 1.223E-1 1.063E-1 9.530E-2 8.701E-2 8.049E-2 7.070E-2</t>
  </si>
  <si>
    <t xml:space="preserve"> 6.355E-2 5.167E-2 4.414E-2 3.495E-2 2.941E-2 2.569E-2 2.301E-2 1.935E-2</t>
  </si>
  <si>
    <t xml:space="preserve"> 1.698E-2 1.358E-2 1.179E-2 9.972E-3</t>
  </si>
  <si>
    <t xml:space="preserve">  3LI LITHIUM</t>
  </si>
  <si>
    <t xml:space="preserve"> 3.027E-1 1.985E-1 1.741E-1 1.588E-1 1.519E-1 1.467E-1 1.423E-1 1.348E-1</t>
  </si>
  <si>
    <t xml:space="preserve"> 1.283E-1 1.155E-1 1.058E-1 9.197E-2 8.242E-2 7.526E-2 6.963E-2 6.116E-2</t>
  </si>
  <si>
    <t xml:space="preserve"> 5.497E-2 4.469E-2 3.824E-2 3.037E-2 2.566E-2 2.252E-2 2.025E-2 1.721E-2</t>
  </si>
  <si>
    <t xml:space="preserve"> 1.525E-2 1.248E-2 1.105E-2 9.654E-3</t>
  </si>
  <si>
    <t xml:space="preserve">  4BE BERYLLIUM</t>
  </si>
  <si>
    <t xml:space="preserve"> 5.941E-1 2.782E-1 2.072E-1 1.705E-1 1.588E-1 1.520E-1 1.469E-1 1.387E-1</t>
  </si>
  <si>
    <t xml:space="preserve"> 1.319E-1 1.186E-1 1.086E-1 9.449E-2 8.466E-2 7.732E-2 7.150E-2 6.280E-2</t>
  </si>
  <si>
    <t xml:space="preserve"> 5.645E-2 4.590E-2 3.931E-2 3.132E-2 2.658E-2 2.342E-2 2.116E-2 1.814E-2</t>
  </si>
  <si>
    <t xml:space="preserve"> 1.623E-2 1.356E-2 1.223E-2 1.097E-2</t>
  </si>
  <si>
    <t xml:space="preserve">  5 B BORON</t>
  </si>
  <si>
    <t xml:space="preserve"> 1.182E+0 4.407E-1 2.746E-1 1.930E-1 1.714E-1 1.612E-1 1.546E-1 1.450E-1</t>
  </si>
  <si>
    <t xml:space="preserve"> 1.377E-1 1.237E-1 1.132E-1 9.845E-2 8.819E-2 8.055E-2 7.448E-2 6.546E-2</t>
  </si>
  <si>
    <t xml:space="preserve"> 5.883E-2 4.785E-2 4.102E-2 3.277E-2 2.793E-2 2.471E-2 2.242E-2 1.940E-2</t>
  </si>
  <si>
    <t xml:space="preserve"> 1.750E-2 1.491E-2 1.365E-2 1.252E-2</t>
  </si>
  <si>
    <t xml:space="preserve">  6 C CARBON</t>
  </si>
  <si>
    <t xml:space="preserve"> 2.268E+0 7.476E-1 4.035E-1 2.368E-1 1.960E-1 1.794E-1 1.698E-1 1.578E-1</t>
  </si>
  <si>
    <t xml:space="preserve"> 1.493E-1 1.338E-1 1.223E-1 1.063E-1 9.527E-2 8.700E-2 8.047E-2 7.070E-2</t>
  </si>
  <si>
    <t xml:space="preserve"> 6.352E-2 5.167E-2 4.435E-2 3.555E-2 3.040E-2 2.701E-2 2.463E-2 2.148E-2</t>
  </si>
  <si>
    <t xml:space="preserve"> 1.954E-2 1.693E-2 1.571E-2 1.468E-2</t>
  </si>
  <si>
    <t xml:space="preserve">  7 N NITROGEN</t>
  </si>
  <si>
    <t xml:space="preserve"> 3.736E+0 1.156E+0 5.667E-1 2.807E-1 2.133E-1 1.877E-1 1.743E-1 1.596E-1</t>
  </si>
  <si>
    <t xml:space="preserve"> 1.501E-1 1.340E-1 1.225E-1 1.064E-1 9.535E-2 8.703E-2 8.049E-2 7.073E-2</t>
  </si>
  <si>
    <t xml:space="preserve"> 6.355E-2 5.173E-2 4.444E-2 3.571E-2 3.066E-2 2.736E-2 2.505E-2 2.203E-2</t>
  </si>
  <si>
    <t xml:space="preserve"> 2.019E-2 1.778E-2 1.669E-2 1.584E-2</t>
  </si>
  <si>
    <t xml:space="preserve">  8 O OXYGEN</t>
  </si>
  <si>
    <t xml:space="preserve"> 5.758E+0 1.731E+0 7.985E-1 3.440E-1 2.382E-1 1.997E-1 1.811E-1 1.622E-1</t>
  </si>
  <si>
    <t xml:space="preserve"> 1.514E-1 1.344E-1 1.227E-1 1.066E-1 9.538E-2 8.708E-2 8.056E-2 7.077E-2</t>
  </si>
  <si>
    <t xml:space="preserve"> 6.362E-2 5.178E-2 4.450E-2 3.589E-2 3.093E-2 2.770E-2 2.546E-2 2.258E-2</t>
  </si>
  <si>
    <t xml:space="preserve"> 2.084E-2 1.861E-2 1.766E-2 1.702E-2</t>
  </si>
  <si>
    <t xml:space="preserve">  9 F FLUORINE</t>
  </si>
  <si>
    <t xml:space="preserve"> 7.965E+0 2.363E+0 1.051E+0 4.074E-1 2.581E-1 2.050E-1 1.803E-1 1.571E-1</t>
  </si>
  <si>
    <t xml:space="preserve"> 1.452E-1 1.278E-1 1.164E-1 1.010E-1 9.039E-2 8.254E-2 7.632E-2 6.705E-2</t>
  </si>
  <si>
    <t xml:space="preserve"> 6.026E-2 4.905E-2 4.220E-2 3.415E-2 2.953E-2 2.657E-2 2.451E-2 2.190E-2</t>
  </si>
  <si>
    <t xml:space="preserve"> 2.034E-2 1.842E-2 1.765E-2 1.722E-2</t>
  </si>
  <si>
    <t xml:space="preserve"> 10NE NEON</t>
  </si>
  <si>
    <t xml:space="preserve"> 1.164E+1 3.441E+0 1.498E+0 5.376E-1 3.146E-1 2.362E-1 2.007E-1 1.691E-1</t>
  </si>
  <si>
    <t xml:space="preserve"> 1.542E-1 1.343E-1 1.221E-1 1.057E-1 9.461E-2 8.636E-2 7.987E-2 7.015E-2</t>
  </si>
  <si>
    <t xml:space="preserve"> 6.303E-2 5.135E-2 4.423E-2 3.588E-2 3.115E-2 2.811E-2 2.605E-2 2.343E-2</t>
  </si>
  <si>
    <t xml:space="preserve"> 2.192E-2 2.008E-2 1.942E-2 1.915E-2</t>
  </si>
  <si>
    <t xml:space="preserve"> 11NA SODIUM</t>
  </si>
  <si>
    <t xml:space="preserve"> 1.520E+1 4.498E+0 1.934E+0 6.576E-1 3.595E-1 2.555E-1 2.091E-1 1.693E-1</t>
  </si>
  <si>
    <t xml:space="preserve"> 1.518E-1 1.305E-1 1.181E-1 1.021E-1 9.136E-2 8.339E-2 7.711E-2 6.774E-2</t>
  </si>
  <si>
    <t xml:space="preserve"> 6.087E-2 4.958E-2 4.274E-2 3.478E-2 3.031E-2 2.747E-2 2.553E-2 2.314E-2</t>
  </si>
  <si>
    <t xml:space="preserve"> 2.176E-2 2.018E-2 1.966E-2 1.958E-2</t>
  </si>
  <si>
    <t xml:space="preserve"> 12MG MAGNESIUM</t>
  </si>
  <si>
    <t xml:space="preserve"> 2.063E+1 6.124E+0 2.616E+0 8.562E-1 4.431E-1 2.993E-1 2.357E-1 1.827E-1</t>
  </si>
  <si>
    <t xml:space="preserve"> 1.605E-1 1.357E-1 1.224E-1 1.055E-1 9.434E-2 8.608E-2 7.960E-2 6.990E-2</t>
  </si>
  <si>
    <t xml:space="preserve"> 6.283E-2 5.118E-2 4.415E-2 3.604E-2 3.153E-2 2.866E-2 2.675E-2 2.439E-2</t>
  </si>
  <si>
    <t xml:space="preserve"> 2.308E-2 2.163E-2 2.123E-2 2.134E-2</t>
  </si>
  <si>
    <t xml:space="preserve"> 13AL ALUMINUM</t>
  </si>
  <si>
    <t xml:space="preserve"> 2.575E+1 7.697E+0 3.279E+0 1.045E+0 5.184E-1 3.347E-1 2.539E-1 1.880E-1</t>
  </si>
  <si>
    <t xml:space="preserve"> 1.614E-1 1.337E-1 1.199E-1 1.031E-1 9.213E-2 8.403E-2 7.769E-2 6.821E-2</t>
  </si>
  <si>
    <t xml:space="preserve"> 6.132E-2 4.995E-2 4.316E-2 3.533E-2 3.101E-2 2.829E-2 2.649E-2 2.432E-2</t>
  </si>
  <si>
    <t xml:space="preserve"> 2.313E-2 2.191E-2 2.164E-2 2.192E-2</t>
  </si>
  <si>
    <t xml:space="preserve"> 14SI SILICON</t>
  </si>
  <si>
    <t xml:space="preserve"> 3.334E+1 1.004E+1 4.275E+0 1.340E+0 6.425E-1 3.993E-1 2.927E-1 2.065E-1</t>
  </si>
  <si>
    <t xml:space="preserve"> 1.729E-1 1.399E-1 1.247E-1 1.069E-1 9.542E-2 8.698E-2 8.041E-2 7.058E-2</t>
  </si>
  <si>
    <t xml:space="preserve"> 6.344E-2 5.171E-2 4.469E-2 3.670E-2 3.233E-2 2.960E-2 2.781E-2 2.568E-2</t>
  </si>
  <si>
    <t xml:space="preserve"> 2.457E-2 2.347E-2 2.334E-2 2.381E-2</t>
  </si>
  <si>
    <t xml:space="preserve"> 15 P PHOSPHORUS</t>
  </si>
  <si>
    <t xml:space="preserve"> 3.978E+1 1.207E+1 5.148E+0 1.596E+0 7.459E-1 4.489E-1 3.188E-1 2.146E-1</t>
  </si>
  <si>
    <t xml:space="preserve"> 1.749E-1 1.379E-1 1.219E-1 1.041E-1 9.279E-2 8.458E-2 7.815E-2 6.859E-2</t>
  </si>
  <si>
    <t xml:space="preserve"> 6.164E-2 5.027E-2 4.348E-2 3.580E-2 3.165E-2 2.908E-2 2.741E-2 2.547E-2</t>
  </si>
  <si>
    <t xml:space="preserve"> 2.447E-2 2.360E-2 2.359E-2 2.422E-2</t>
  </si>
  <si>
    <t xml:space="preserve"> 16 S SULFUR</t>
  </si>
  <si>
    <t xml:space="preserve"> 4.950E+1 1.513E+1 6.475E+0 1.993E+0 9.144E-1 5.358E-1 3.701E-1 2.381E-1</t>
  </si>
  <si>
    <t xml:space="preserve"> 1.886E-1 1.444E-1 1.267E-1 1.075E-1 9.574E-2 8.722E-2 8.059E-2 7.071E-2</t>
  </si>
  <si>
    <t xml:space="preserve"> 6.353E-2 5.181E-2 4.487E-2 3.706E-2 3.287E-2 3.031E-2 2.866E-2 2.677E-2</t>
  </si>
  <si>
    <t xml:space="preserve"> 2.585E-2 2.512E-2 2.525E-2 2.609E-2</t>
  </si>
  <si>
    <t xml:space="preserve"> 17CL CHLORINE</t>
  </si>
  <si>
    <t xml:space="preserve"> 5.659E+1 1.745E+1 7.492E+0 2.299E+0 1.039E+0 5.959E-1 4.019E-1 2.476E-1</t>
  </si>
  <si>
    <t xml:space="preserve"> 1.906E-1 1.414E-1 1.228E-1 1.037E-1 9.214E-2 8.388E-2 7.747E-2 6.796E-2</t>
  </si>
  <si>
    <t xml:space="preserve"> 6.107E-2 4.981E-2 4.317E-2 3.577E-2 3.182E-2 2.944E-2 2.792E-2 2.623E-2</t>
  </si>
  <si>
    <t xml:space="preserve"> 2.543E-2 2.491E-2 2.516E-2 2.614E-2</t>
  </si>
  <si>
    <t xml:space="preserve"> 18AR ARGON</t>
  </si>
  <si>
    <t xml:space="preserve"> 6.249E+1 1.943E+1 8.375E+0 2.566E+0 1.148E+0 6.470E-1 4.273E-1 2.531E-1</t>
  </si>
  <si>
    <t xml:space="preserve"> 1.893E-1 1.359E-1 1.166E-1 9.773E-2 8.672E-2 7.890E-2 7.286E-2 6.389E-2</t>
  </si>
  <si>
    <t xml:space="preserve"> 5.740E-2 4.682E-2 4.062E-2 3.375E-2 3.013E-2 2.797E-2 2.660E-2 2.512E-2</t>
  </si>
  <si>
    <t xml:space="preserve"> 2.446E-2 2.414E-2 2.449E-2 2.558E-2</t>
  </si>
  <si>
    <t xml:space="preserve"> 19 K POTASSIUM</t>
  </si>
  <si>
    <t xml:space="preserve"> 7.832E+1 2.457E+1 1.063E+1 3.260E+0 1.447E+0 8.042E-1 5.220E-1 2.981E-1</t>
  </si>
  <si>
    <t xml:space="preserve"> 2.168E-1 1.501E-1 1.273E-1 1.059E-1 9.373E-2 8.520E-2 7.864E-2 6.894E-2</t>
  </si>
  <si>
    <t xml:space="preserve"> 6.192E-2 5.053E-2 4.388E-2 3.657E-2 3.274E-2 3.047E-2 2.908E-2 2.761E-2</t>
  </si>
  <si>
    <t xml:space="preserve"> 2.699E-2 2.682E-2 2.733E-2 2.866E-2</t>
  </si>
  <si>
    <t xml:space="preserve"> 20CA CALCIUM</t>
  </si>
  <si>
    <t xml:space="preserve"> 9.259E+1 2.929E+1 1.273E+1 3.909E+0 1.726E+0 9.483E-1 6.067E-1 3.355E-1</t>
  </si>
  <si>
    <t xml:space="preserve"> 2.374E-1 1.583E-1 1.324E-1 1.092E-1 9.648E-2 8.761E-2 8.083E-2 7.083E-2</t>
  </si>
  <si>
    <t xml:space="preserve"> 6.361E-2 5.191E-2 4.512E-2 3.771E-2 3.386E-2 3.163E-2 3.027E-2 2.887E-2</t>
  </si>
  <si>
    <t xml:space="preserve"> 2.834E-2 2.833E-2 2.899E-2 3.055E-2</t>
  </si>
  <si>
    <t xml:space="preserve"> 21SC SCANDIUM</t>
  </si>
  <si>
    <t xml:space="preserve"> 9.872E+1 3.152E+1 1.376E+1 4.237E+0 1.864E+0 1.015E+0 6.415E-1 3.446E-1</t>
  </si>
  <si>
    <t xml:space="preserve"> 2.377E-1 1.527E-1 1.257E-1 1.028E-1 9.055E-2 8.215E-2 7.574E-2 6.635E-2</t>
  </si>
  <si>
    <t xml:space="preserve"> 5.957E-2 4.862E-2 4.231E-2 3.545E-2 3.193E-2 2.992E-2 2.872E-2 2.752E-2</t>
  </si>
  <si>
    <t xml:space="preserve"> 2.711E-2 2.728E-2 2.800E-2 2.963E-2</t>
  </si>
  <si>
    <t xml:space="preserve"> 22TI TITANIUM</t>
  </si>
  <si>
    <t xml:space="preserve"> 1.099E+2 3.535E+1 1.550E+1 4.789E+0 2.101E+0 1.137E+0 7.111E-1 3.726E-1</t>
  </si>
  <si>
    <t xml:space="preserve"> 2.508E-1 1.551E-1 1.258E-1 1.017E-1 8.934E-2 8.096E-2 7.460E-2 6.531E-2</t>
  </si>
  <si>
    <t xml:space="preserve"> 5.863E-2 4.785E-2 4.168E-2 3.502E-2 3.165E-2 2.974E-2 2.862E-2 2.753E-2</t>
  </si>
  <si>
    <t xml:space="preserve"> 2.723E-2 2.758E-2 2.840E-2 3.017E-2</t>
  </si>
  <si>
    <t xml:space="preserve"> 23 V VANADIUM</t>
  </si>
  <si>
    <t xml:space="preserve"> 1.209E+2 3.928E+1 1.731E+1 5.371E+0 2.355E+0 1.267E+0 7.855E-1 4.026E-1</t>
  </si>
  <si>
    <t xml:space="preserve"> 2.649E-1 1.577E-1 1.258E-1 1.007E-1 8.809E-2 7.972E-2 7.341E-2 6.423E-2</t>
  </si>
  <si>
    <t xml:space="preserve"> 5.764E-2 4.704E-2 4.102E-2 3.456E-2 3.133E-2 2.953E-2 2.848E-2 2.754E-2</t>
  </si>
  <si>
    <t xml:space="preserve"> 2.733E-2 2.782E-2 2.873E-2 3.064E-2</t>
  </si>
  <si>
    <t xml:space="preserve"> 24CR CHROMIUM</t>
  </si>
  <si>
    <t xml:space="preserve"> 1.377E+2 4.512E+1 1.998E+1 6.221E+0 2.725E+0 1.462E+0 8.998E-1 4.523E-1</t>
  </si>
  <si>
    <t xml:space="preserve"> 2.917E-1 1.674E-1 1.312E-1 1.037E-1 9.040E-2 8.168E-2 7.518E-2 6.572E-2</t>
  </si>
  <si>
    <t xml:space="preserve"> 5.897E-2 4.814E-2 4.200E-2 3.549E-2 3.227E-2 3.050E-2 2.950E-2 2.864E-2</t>
  </si>
  <si>
    <t xml:space="preserve"> 2.850E-2 2.916E-2 3.022E-2 3.232E-2</t>
  </si>
  <si>
    <t xml:space="preserve"> 25MN MANGANESE</t>
  </si>
  <si>
    <t xml:space="preserve"> 1.504E+2 4.965E+1 2.211E+1 6.917E+0 3.031E+0 1.621E+0 9.922E-1 4.903E-1</t>
  </si>
  <si>
    <t xml:space="preserve"> 3.102E-1 1.715E-1 1.321E-1 1.030E-1 8.950E-2 8.073E-2 7.424E-2 6.487E-2</t>
  </si>
  <si>
    <t xml:space="preserve"> 5.817E-2 4.749E-2 4.148E-2 3.514E-2 3.204E-2 3.038E-2 2.945E-2 2.870E-2</t>
  </si>
  <si>
    <t xml:space="preserve"> 2.866E-2 2.947E-2 3.064E-2 3.287E-2</t>
  </si>
  <si>
    <t xml:space="preserve"> 26   IRON</t>
  </si>
  <si>
    <t xml:space="preserve"> 1.696E+2 5.641E+1 2.522E+1 7.930E+0 3.478E+0 1.854E+0 1.131E+0 5.510E-1</t>
  </si>
  <si>
    <t xml:space="preserve"> 3.425E-1 1.829E-1 1.383E-1 1.064E-1 9.200E-2 8.282E-2 7.611E-2 6.644E-2</t>
  </si>
  <si>
    <t xml:space="preserve"> 5.957E-2 4.862E-2 4.250E-2 3.611E-2 3.303E-2 3.139E-2 3.050E-2 2.985E-2</t>
  </si>
  <si>
    <t xml:space="preserve"> 2.989E-2 3.088E-2 3.220E-2 3.465E-2</t>
  </si>
  <si>
    <t xml:space="preserve"> 27CO COBALT</t>
  </si>
  <si>
    <t xml:space="preserve"> 1.829E+2 6.130E+1 2.754E+1 8.703E+0 3.821E+0 2.036E+0 1.236E+0 5.948E-1</t>
  </si>
  <si>
    <t xml:space="preserve"> 3.640E-1 1.881E-1 1.395E-1 1.057E-1 9.098E-2 8.178E-2 7.505E-2 6.546E-2</t>
  </si>
  <si>
    <t xml:space="preserve"> 5.867E-2 4.789E-2 4.189E-2 3.569E-2 3.274E-2 3.119E-2 3.039E-2 2.985E-2</t>
  </si>
  <si>
    <t xml:space="preserve"> 2.997E-2 3.111E-2 3.252E-2 3.508E-2</t>
  </si>
  <si>
    <t xml:space="preserve"> 28NI NICKEL</t>
  </si>
  <si>
    <t xml:space="preserve"> 2.077E+2 7.003E+1 3.167E+1 1.005E+1 4.422E+0 2.354E+0 1.425E+0 6.786E-1</t>
  </si>
  <si>
    <t xml:space="preserve"> 4.097E-1 2.049E-1 1.490E-1 1.113E-1 9.529E-2 8.545E-2 7.835E-2 6.827E-2</t>
  </si>
  <si>
    <t xml:space="preserve"> 6.116E-2 4.991E-2 4.370E-2 3.734E-2 3.435E-2 3.281E-2 3.202E-2 3.158E-2</t>
  </si>
  <si>
    <t xml:space="preserve"> 3.180E-2 3.316E-2 3.472E-2 3.755E-2</t>
  </si>
  <si>
    <t xml:space="preserve"> 29CU COPPER</t>
  </si>
  <si>
    <t xml:space="preserve"> 2.146E+2 7.325E+1 3.325E+1 1.062E+1 4.680E+0 2.490E+0 1.504E+0 7.097E-1</t>
  </si>
  <si>
    <t xml:space="preserve"> 4.232E-1 2.053E-1 1.466E-1 1.076E-1 9.170E-2 8.204E-2 7.513E-2 6.540E-2</t>
  </si>
  <si>
    <t xml:space="preserve"> 5.856E-2 4.780E-2 4.188E-2 3.588E-2 3.309E-2 3.169E-2 3.102E-2 3.068E-2</t>
  </si>
  <si>
    <t xml:space="preserve"> 3.099E-2 3.243E-2 3.404E-2 3.690E-2</t>
  </si>
  <si>
    <t xml:space="preserve"> 30ZN ZINC</t>
  </si>
  <si>
    <t xml:space="preserve"> 2.317E+2 8.032E+1 3.662E+1 1.175E+1 5.190E+0 2.761E+0 1.664E+0 7.797E-1</t>
  </si>
  <si>
    <t xml:space="preserve"> 4.597E-1 2.168E-1 1.518E-1 1.096E-1 9.280E-2 8.283E-2 7.576E-2 6.587E-2</t>
  </si>
  <si>
    <t xml:space="preserve"> 5.894E-2 4.810E-2 4.219E-2 3.624E-2 3.351E-2 3.217E-2 3.155E-2 3.133E-2</t>
  </si>
  <si>
    <t xml:space="preserve"> 3.171E-2 3.330E-2 3.506E-2 3.808E-2</t>
  </si>
  <si>
    <t xml:space="preserve"> 31GA GALLIUM</t>
  </si>
  <si>
    <t xml:space="preserve"> 3.273E+1 8.450E+1 3.869E+1 1.249E+1 5.526E+0 2.940E+0 1.770E+0 8.239E-1</t>
  </si>
  <si>
    <t xml:space="preserve"> 4.810E-1 2.207E-1 1.516E-1 1.076E-1 9.057E-2 8.061E-2 7.364E-2 6.394E-2</t>
  </si>
  <si>
    <t xml:space="preserve"> 5.719E-2 4.666E-2 4.096E-2 3.527E-2 3.271E-2 3.149E-2 3.092E-2 3.080E-2</t>
  </si>
  <si>
    <t xml:space="preserve"> 3.125E-2 3.295E-2 3.476E-2 3.785E-2</t>
  </si>
  <si>
    <t xml:space="preserve"> 32GE GERMANIUM</t>
  </si>
  <si>
    <t xml:space="preserve"> 3.589E+1 9.063E+1 4.161E+1 1.351E+1 5.998E+0 3.194E+0 1.920E+0 8.890E-1</t>
  </si>
  <si>
    <t xml:space="preserve"> 5.144E-1 2.302E-1 1.552E-1 1.082E-1 9.045E-2 8.031E-2 7.325E-2 6.353E-2</t>
  </si>
  <si>
    <t xml:space="preserve"> 5.679E-2 4.631E-2 4.069E-2 3.513E-2 3.266E-2 3.152E-2 3.101E-2 3.098E-2</t>
  </si>
  <si>
    <t xml:space="preserve"> 3.151E-2 3.337E-2 3.525E-2 3.846E-2</t>
  </si>
  <si>
    <t xml:space="preserve"> 33AS ARSENIC</t>
  </si>
  <si>
    <t xml:space="preserve"> 3.954E+1 9.760E+1 4.500E+1 1.470E+1 6.540E+0 3.485E+0 2.094E+0 9.652E-1</t>
  </si>
  <si>
    <t xml:space="preserve"> 5.541E-1 2.423E-1 1.604E-1 1.097E-1 9.115E-2 8.066E-2 7.345E-2 6.361E-2</t>
  </si>
  <si>
    <t xml:space="preserve"> 5.682E-2 4.634E-2 4.075E-2 3.527E-2 3.287E-2 3.180E-2 3.134E-2 3.140E-2</t>
  </si>
  <si>
    <t xml:space="preserve"> 3.202E-2 3.401E-2 3.599E-2 3.936E-2</t>
  </si>
  <si>
    <t xml:space="preserve"> 34SE SELENIUM</t>
  </si>
  <si>
    <t xml:space="preserve"> 4.249E+1 1.022E+2 4.752E+1 1.560E+1 6.956E+0 3.709E+0 2.229E+0 1.023E+0</t>
  </si>
  <si>
    <t xml:space="preserve"> 5.835E-1 2.496E-1 1.623E-1 1.090E-1 8.992E-2 7.929E-2 7.208E-2 6.232E-2</t>
  </si>
  <si>
    <t xml:space="preserve"> 5.564E-2 4.536E-2 3.991E-2 3.464E-2 3.238E-2 3.137E-2 3.099E-2 3.113E-2</t>
  </si>
  <si>
    <t xml:space="preserve"> 3.182E-2 3.391E-2 3.596E-2 3.938E-2</t>
  </si>
  <si>
    <t xml:space="preserve"> 35BR BROMINE</t>
  </si>
  <si>
    <t xml:space="preserve"> 4.737E+1 1.109E+2 5.195E+1 1.714E+1 7.657E+0 4.097E+0 2.462E+0 1.127E+0</t>
  </si>
  <si>
    <t xml:space="preserve"> 6.387E-1 2.678E-1 1.711E-1 1.128E-1 9.227E-2 8.113E-2 7.363E-2 6.355E-2</t>
  </si>
  <si>
    <t xml:space="preserve"> 5.669E-2 4.620E-2 4.069E-2 3.540E-2 3.317E-2 3.221E-2 3.188E-2 3.212E-2</t>
  </si>
  <si>
    <t xml:space="preserve"> 3.289E-2 3.517E-2 3.734E-2 4.097E-2</t>
  </si>
  <si>
    <t xml:space="preserve"> 36KR KRYPTON</t>
  </si>
  <si>
    <t xml:space="preserve"> 5.079E+1 1.157E+2 5.476E+1 1.813E+1 8.138E+0 4.352E+0 2.615E+0 1.193E+0</t>
  </si>
  <si>
    <t xml:space="preserve"> 6.732E-1 2.770E-1 1.741E-1 1.126E-1 9.141E-2 8.007E-2 7.253E-2 6.249E-2</t>
  </si>
  <si>
    <t xml:space="preserve"> 5.570E-2 4.538E-2 4.000E-2 3.489E-2 3.276E-2 3.188E-2 3.161E-2 3.194E-2</t>
  </si>
  <si>
    <t xml:space="preserve"> 3.276E-2 3.514E-2 3.737E-2 4.108E-2</t>
  </si>
  <si>
    <t xml:space="preserve"> 37RB RUBIDIUM</t>
  </si>
  <si>
    <t xml:space="preserve"> 5.582E+1 1.797E+1 5.905E+1 1.967E+1 8.846E+0 4.738E+0 2.848E+0 1.297E+0</t>
  </si>
  <si>
    <t xml:space="preserve"> 7.282E-1 2.946E-1 1.821E-1 1.156E-1 9.311E-2 8.124E-2 7.344E-2 6.316E-2</t>
  </si>
  <si>
    <t xml:space="preserve"> 5.625E-2 4.580E-2 4.040E-2 3.532E-2 3.325E-2 3.242E-2 3.221E-2 3.262E-2</t>
  </si>
  <si>
    <t xml:space="preserve"> 3.352E-2 3.605E-2 3.841E-2 4.229E-2</t>
  </si>
  <si>
    <t xml:space="preserve"> 38SR STRONTIUM</t>
  </si>
  <si>
    <t xml:space="preserve"> 6.082E+1 1.962E+1 6.308E+1 2.112E+1 9.542E+0 5.116E+0 3.077E+0 1.400E+0</t>
  </si>
  <si>
    <t xml:space="preserve"> 7.823E-1 3.115E-1 1.897E-1 1.181E-1 9.428E-2 8.198E-2 7.392E-2 6.345E-2</t>
  </si>
  <si>
    <t xml:space="preserve"> 5.647E-2 4.596E-2 4.058E-2 3.555E-2 3.355E-2 3.278E-2 3.261E-2 3.312E-2</t>
  </si>
  <si>
    <t xml:space="preserve"> 3.409E-2 3.679E-2 3.923E-2 4.325E-2</t>
  </si>
  <si>
    <t xml:space="preserve"> 39 Y YTTRIUM</t>
  </si>
  <si>
    <t xml:space="preserve"> 6.672E+1 2.156E+1 6.773E+1 2.284E+1 1.036E+1 5.564E+0 3.348E+0 1.522E+0</t>
  </si>
  <si>
    <t xml:space="preserve"> 8.474E-1 3.326E-1 1.994E-1 1.218E-1 9.655E-2 8.356E-2 7.518E-2 6.439E-2</t>
  </si>
  <si>
    <t xml:space="preserve"> 5.724E-2 4.656E-2 4.114E-2 3.615E-2 3.418E-2 3.347E-2 3.334E-2 3.393E-2</t>
  </si>
  <si>
    <t xml:space="preserve"> 3.499E-2 3.786E-2 4.044E-2 4.466E-2</t>
  </si>
  <si>
    <t xml:space="preserve"> 40ZR ZIRCONIUM</t>
  </si>
  <si>
    <t xml:space="preserve"> 7.212E+1 2.335E+1 7.151E+1 2.438E+1 1.109E+1 5.966E+0 3.592E+0 1.631E+0</t>
  </si>
  <si>
    <t xml:space="preserve"> 9.061E-1 3.509E-1 2.075E-1 1.244E-1 9.764E-2 8.420E-2 7.560E-2 6.459E-2</t>
  </si>
  <si>
    <t xml:space="preserve"> 5.736E-2 4.663E-2 4.123E-2 3.630E-2 3.441E-2 3.376E-2 3.367E-2 3.435E-2</t>
  </si>
  <si>
    <t xml:space="preserve"> 3.549E-2 3.851E-2 4.118E-2 4.553E-2</t>
  </si>
  <si>
    <t xml:space="preserve"> 41NB NIOBIUM</t>
  </si>
  <si>
    <t xml:space="preserve"> 7.826E+1 2.539E+1 7.623E+1 2.616E+1 1.191E+1 6.426E+0 3.874E+0 1.759E+0</t>
  </si>
  <si>
    <t xml:space="preserve"> 9.731E-1 3.728E-1 2.174E-1 1.279E-1 9.954E-2 8.546E-2 7.655E-2 6.524E-2</t>
  </si>
  <si>
    <t xml:space="preserve"> 5.788E-2 4.703E-2 4.160E-2 3.672E-2 3.488E-2 3.427E-2 3.424E-2 3.502E-2</t>
  </si>
  <si>
    <t xml:space="preserve"> 3.623E-2 3.940E-2 4.220E-2 4.672E-2</t>
  </si>
  <si>
    <t xml:space="preserve"> 42MO MOLYBDENUM</t>
  </si>
  <si>
    <t xml:space="preserve"> 8.358E+1 2.716E+1 7.862E+1 2.759E+1 1.261E+1 6.812E+0 4.110E+0 1.864E+0</t>
  </si>
  <si>
    <t xml:space="preserve"> 1.031E+0 3.902E-1 2.246E-1 1.298E-1 1.001E-1 8.553E-2 7.638E-2 6.497E-2</t>
  </si>
  <si>
    <t xml:space="preserve"> 5.757E-2 4.673E-2 4.138E-2 3.661E-2 3.485E-2 3.430E-2 3.433E-2 3.517E-2</t>
  </si>
  <si>
    <t xml:space="preserve"> 3.645E-2 3.974E-2 4.261E-2 4.721E-2</t>
  </si>
  <si>
    <t xml:space="preserve"> 43TC TECHNETIUM</t>
  </si>
  <si>
    <t xml:space="preserve"> 9.009E+1 2.935E+1 1.314E+1 2.940E+1 1.346E+1 7.289E+0 4.400E+0 1.997E+0</t>
  </si>
  <si>
    <t xml:space="preserve"> 1.101E+0 4.129E-1 2.349E-1 1.334E-1 1.018E-1 8.655E-2 7.716E-2 6.543E-2</t>
  </si>
  <si>
    <t xml:space="preserve"> 5.792E-2 4.699E-2 4.163E-2 3.690E-2 3.521E-2 3.473E-2 3.479E-2 3.572E-2</t>
  </si>
  <si>
    <t xml:space="preserve"> 3.707E-2 4.051E-2 4.349E-2 4.825E-2</t>
  </si>
  <si>
    <t xml:space="preserve"> 44RU RUTHENIUM</t>
  </si>
  <si>
    <t xml:space="preserve"> 9.573E+1 3.125E+1 1.401E+1 3.086E+1 1.417E+1 7.681E+0 4.646E+0 2.110E+0</t>
  </si>
  <si>
    <t xml:space="preserve"> 1.162E+0 4.316E-1 2.427E-1 1.353E-1 1.024E-1 8.664E-2 7.704E-2 6.516E-2</t>
  </si>
  <si>
    <t xml:space="preserve"> 5.759E-2 4.667E-2 4.137E-2 3.676E-2 3.516E-2 3.473E-2 3.483E-2 3.585E-2</t>
  </si>
  <si>
    <t xml:space="preserve"> 3.725E-2 4.079E-2 4.383E-2 4.869E-2</t>
  </si>
  <si>
    <t xml:space="preserve"> 45RH RHODIUM</t>
  </si>
  <si>
    <t xml:space="preserve"> 1.030E+2 3.367E+1 1.512E+1 3.274E+1 1.508E+1 8.196E+0 4.963E+0 2.255E+0</t>
  </si>
  <si>
    <t xml:space="preserve"> 1.241E+0 4.570E-1 2.542E-1 1.394E-1 1.045E-1 8.793E-2 7.797E-2 6.572E-2</t>
  </si>
  <si>
    <t xml:space="preserve"> 5.803E-2 4.700E-2 4.169E-2 3.712E-2 3.557E-2 3.520E-2 3.534E-2 3.644E-2</t>
  </si>
  <si>
    <t xml:space="preserve"> 3.791E-2 4.161E-2 4.477E-2 4.977E-2</t>
  </si>
  <si>
    <t xml:space="preserve"> 46PD PALLADIUM</t>
  </si>
  <si>
    <t xml:space="preserve"> 1.086E+2 3.562E+1 1.600E+1 3.407E+1 1.577E+1 8.590E+0 5.210E+0 2.368E+0</t>
  </si>
  <si>
    <t xml:space="preserve"> 1.302E+0 4.759E-1 2.621E-1 1.412E-1 1.049E-1 8.785E-2 7.762E-2 6.530E-2</t>
  </si>
  <si>
    <t xml:space="preserve"> 5.756E-2 4.657E-2 4.133E-2 3.688E-2 3.540E-2 3.509E-2 3.529E-2 3.645E-2</t>
  </si>
  <si>
    <t xml:space="preserve"> 3.796E-2 4.177E-2 4.497E-2 5.002E-2</t>
  </si>
  <si>
    <t xml:space="preserve"> 47AG SILVER</t>
  </si>
  <si>
    <t xml:space="preserve"> 1.168E+2 3.839E+1 1.727E+1 3.608E+1 1.680E+1 9.173E+0 5.568E+0 2.532E+0</t>
  </si>
  <si>
    <t xml:space="preserve"> 1.391E+0 5.053E-1 2.756E-1 1.461E-1 1.075E-1 8.955E-2 7.890E-2 6.613E-2</t>
  </si>
  <si>
    <t xml:space="preserve"> 5.823E-2 4.706E-2 4.179E-2 3.737E-2 3.594E-2 3.568E-2 3.593E-2 3.717E-2</t>
  </si>
  <si>
    <t xml:space="preserve"> 3.876E-2 4.272E-2 4.605E-2 5.129E-2</t>
  </si>
  <si>
    <t xml:space="preserve"> 48CD CADMIUM</t>
  </si>
  <si>
    <t xml:space="preserve"> 1.219E+2 4.018E+1 1.809E+1 3.704E+1 1.739E+1 9.504E+0 5.774E+0 2.630E+0</t>
  </si>
  <si>
    <t xml:space="preserve"> 1.444E+0 5.213E-1 2.818E-1 1.471E-1 1.071E-1 8.878E-2 7.799E-2 6.518E-2</t>
  </si>
  <si>
    <t xml:space="preserve"> 5.729E-2 4.625E-2 4.109E-2 3.681E-2 3.547E-2 3.527E-2 3.555E-2 3.685E-2</t>
  </si>
  <si>
    <t xml:space="preserve"> 3.848E-2 4.249E-2 4.584E-2 5.108E-2</t>
  </si>
  <si>
    <t xml:space="preserve"> 49IN INDIUM</t>
  </si>
  <si>
    <t xml:space="preserve"> 1.296E+2 4.281E+1 1.930E+1 3.886E+1 1.832E+1 1.002E+1 6.098E+0 2.782E+0</t>
  </si>
  <si>
    <t xml:space="preserve"> 1.526E+0 5.481E-1 2.939E-1 1.510E-1 1.090E-1 8.980E-2 7.865E-2 6.548E-2</t>
  </si>
  <si>
    <t xml:space="preserve"> 5.747E-2 4.634E-2 4.120E-2 3.698E-2 3.570E-2 3.554E-2 3.588E-2 3.724E-2</t>
  </si>
  <si>
    <t xml:space="preserve"> 3.893E-2 4.307E-2 4.650E-2 5.186E-2</t>
  </si>
  <si>
    <t xml:space="preserve"> 50SN TIN</t>
  </si>
  <si>
    <t xml:space="preserve"> 1.359E+2 4.499E+1 2.030E+1 4.058E+1 1.902E+1 1.041E+1 6.355E+0 2.901E+0</t>
  </si>
  <si>
    <t xml:space="preserve"> 1.592E+0 5.690E-1 3.026E-1 1.532E-1 1.095E-1 8.976E-2 7.831E-2 6.503E-2</t>
  </si>
  <si>
    <t xml:space="preserve"> 5.696E-2 4.588E-2 4.081E-2 3.670E-2 3.550E-2 3.539E-2 3.576E-2 3.717E-2</t>
  </si>
  <si>
    <t xml:space="preserve"> 3.891E-2 4.312E-2 4.659E-2 5.200E-2</t>
  </si>
  <si>
    <t xml:space="preserve"> 51SB ANTIMONY</t>
  </si>
  <si>
    <t xml:space="preserve"> 1.432E+2 4.754E+1 2.150E+1 6.974E+0 1.985E+1 1.090E+1 6.659E+0 3.045E+0</t>
  </si>
  <si>
    <t xml:space="preserve"> 1.670E+0 5.946E-1 3.140E-1 1.567E-1 1.109E-1 9.042E-2 7.864E-2 6.504E-2</t>
  </si>
  <si>
    <t xml:space="preserve"> 5.688E-2 4.576E-2 4.072E-2 3.669E-2 3.555E-2 3.549E-2 3.590E-2 3.739E-2</t>
  </si>
  <si>
    <t xml:space="preserve"> 3.915E-2 4.346E-2 4.700E-2 5.250E-2</t>
  </si>
  <si>
    <t xml:space="preserve"> 52TE TELLURIUM</t>
  </si>
  <si>
    <t xml:space="preserve"> 1.475E+2 4.910E+1 2.223E+1 7.221E+0 2.022E+1 1.115E+1 6.821E+0 3.123E+0</t>
  </si>
  <si>
    <t xml:space="preserve"> 1.713E+0 6.075E-1 3.186E-1 1.568E-1 1.099E-1 8.915E-2 7.728E-2 6.369E-2</t>
  </si>
  <si>
    <t xml:space="preserve"> 5.558E-2 4.466E-2 3.977E-2 3.589E-2 3.482E-2 3.482E-2 3.526E-2 3.677E-2</t>
  </si>
  <si>
    <t xml:space="preserve"> 3.854E-2 4.286E-2 4.638E-2 5.184E-2</t>
  </si>
  <si>
    <t xml:space="preserve"> 53 I IODINE</t>
  </si>
  <si>
    <t xml:space="preserve"> 1.599E+2 5.336E+1 2.419E+1 7.867E+0 2.165E+1 1.201E+1 7.348E+0 3.370E+0</t>
  </si>
  <si>
    <t xml:space="preserve"> 1.849E+0 6.535E-1 3.406E-1 1.654E-1 1.149E-1 9.262E-2 8.002E-2 6.568E-2</t>
  </si>
  <si>
    <t xml:space="preserve"> 5.722E-2 4.592E-2 4.090E-2 3.697E-2 3.594E-2 3.598E-2 3.647E-2 3.809E-2</t>
  </si>
  <si>
    <t xml:space="preserve"> 3.996E-2 4.451E-2 4.819E-2 5.393E-2</t>
  </si>
  <si>
    <t xml:space="preserve"> 54XE XENON</t>
  </si>
  <si>
    <t xml:space="preserve"> 1.663E+2 5.566E+1 2.526E+1 8.225E+0 2.225E+1 1.241E+1 7.589E+0 3.491E+0</t>
  </si>
  <si>
    <t xml:space="preserve"> 1.915E+0 6.750E-1 3.497E-1 1.677E-1 1.154E-1 9.254E-2 7.961E-2 6.515E-2</t>
  </si>
  <si>
    <t xml:space="preserve"> 5.668E-2 4.537E-2 4.043E-2 3.662E-2 3.564E-2 3.573E-2 3.625E-2 3.791E-2</t>
  </si>
  <si>
    <t xml:space="preserve"> 3.981E-2 4.441E-2 4.811E-2 5.385E-2</t>
  </si>
  <si>
    <t xml:space="preserve"> 55CS CESIUM</t>
  </si>
  <si>
    <t xml:space="preserve"> 1.765E+2 5.924E+1 2.693E+1 8.780E+0 2.334E+1 1.307E+1 8.007E+0 3.688E+0</t>
  </si>
  <si>
    <t xml:space="preserve"> 2.025E+0 7.123E-1 3.669E-1 1.737E-1 1.185E-1 9.443E-2 8.101E-2 6.599E-2</t>
  </si>
  <si>
    <t xml:space="preserve"> 5.731E-2 4.583E-2 4.085E-2 3.705E-2 3.612E-2 3.625E-2 3.681E-2 3.854E-2</t>
  </si>
  <si>
    <t xml:space="preserve"> 4.051E-2 4.525E-2 4.906E-2 5.494E-2</t>
  </si>
  <si>
    <t xml:space="preserve"> 56BA BARIUM</t>
  </si>
  <si>
    <t xml:space="preserve"> 1.832E+2 6.164E+1 2.808E+1 9.167E+0 2.410E+1 1.346E+1 8.264E+0 3.813E+0</t>
  </si>
  <si>
    <t xml:space="preserve"> 2.095E+0 7.352E-1 3.768E-1 1.763E-1 1.192E-1 9.446E-2 8.075E-2 6.553E-2</t>
  </si>
  <si>
    <t xml:space="preserve"> 5.676E-2 4.532E-2 4.041E-2 3.672E-2 3.585E-2 3.602E-2 3.661E-2 3.838E-2</t>
  </si>
  <si>
    <t xml:space="preserve"> 4.037E-2 4.514E-2 4.898E-2 5.486E-2</t>
  </si>
  <si>
    <t xml:space="preserve"> 57LA LANTHANUM</t>
  </si>
  <si>
    <t xml:space="preserve"> 1.938E+2 6.545E+1 2.985E+1 9.760E+0 2.529E+1 1.413E+1 8.706E+0 4.022E+0</t>
  </si>
  <si>
    <t xml:space="preserve"> 2.211E+0 7.747E-1 3.952E-1 1.829E-1 1.225E-1 9.654E-2 8.223E-2 6.643E-2</t>
  </si>
  <si>
    <t xml:space="preserve"> 5.744E-2 4.578E-2 4.084E-2 3.717E-2 3.633E-2 3.653E-2 3.717E-2 3.900E-2</t>
  </si>
  <si>
    <t xml:space="preserve"> 4.108E-2 4.599E-2 4.992E-2 5.596E-2</t>
  </si>
  <si>
    <t xml:space="preserve"> 58CE CERIUM</t>
  </si>
  <si>
    <t xml:space="preserve"> 2.052E+2 6.948E+1 3.174E+1 1.040E+1 4.708E+0 1.484E+1 9.183E+0 4.248E+0</t>
  </si>
  <si>
    <t xml:space="preserve"> 2.337E+0 8.175E-1 4.153E-1 1.901E-1 1.263E-1 9.894E-2 8.392E-2 6.756E-2</t>
  </si>
  <si>
    <t xml:space="preserve"> 5.826E-2 4.637E-2 4.137E-2 3.770E-2 3.691E-2 3.715E-2 3.783E-2 3.974E-2</t>
  </si>
  <si>
    <t xml:space="preserve"> 4.188E-2 4.694E-2 5.100E-2 5.722E-2</t>
  </si>
  <si>
    <t xml:space="preserve"> 59PR PRASEODYMIUM</t>
  </si>
  <si>
    <t xml:space="preserve"> 2.178E+2 7.397E+1 3.383E+1 1.110E+1 5.031E+0 1.562E+1 9.703E+0 4.494E+0</t>
  </si>
  <si>
    <t xml:space="preserve"> 2.475E+0 8.644E-1 4.374E-1 1.983E-1 1.306E-1 1.017E-1 8.597E-2 6.888E-2</t>
  </si>
  <si>
    <t xml:space="preserve"> 5.928E-2 4.708E-2 4.203E-2 3.836E-2 3.759E-2 3.789E-2 3.861E-2 4.060E-2</t>
  </si>
  <si>
    <t xml:space="preserve"> 4.282E-2 4.804E-2 5.222E-2 5.863E-2</t>
  </si>
  <si>
    <t xml:space="preserve"> 60ND NEODYMIUM</t>
  </si>
  <si>
    <t xml:space="preserve"> 2.268E+2 7.719E+1 3.538E+1 1.162E+1 5.272E+0 1.612E+1 1.005E+1 4.668E+0</t>
  </si>
  <si>
    <t xml:space="preserve"> 2.573E+0 8.973E-1 4.524E-1 2.030E-1 1.327E-1 1.028E-1 8.652E-2 6.903E-2</t>
  </si>
  <si>
    <t xml:space="preserve"> 5.926E-2 4.696E-2 4.194E-2 3.834E-2 3.761E-2 3.795E-2 3.870E-2 4.074E-2</t>
  </si>
  <si>
    <t xml:space="preserve"> 4.298E-2 4.828E-2 5.253E-2 5.897E-2</t>
  </si>
  <si>
    <t xml:space="preserve"> 61PM PROMETHIUM</t>
  </si>
  <si>
    <t xml:space="preserve"> 2.407E+2 8.199E+1 3.765E+1 1.239E+1 5.620E+0 1.696E+1 1.058E+1 4.927E+0</t>
  </si>
  <si>
    <t xml:space="preserve"> 2.720E+0 9.478E-1 4.764E-1 2.118E-1 1.373E-1 1.057E-1 8.873E-2 7.044E-2</t>
  </si>
  <si>
    <t xml:space="preserve"> 6.034E-2 4.777E-2 4.264E-2 3.902E-2 3.834E-2 3.871E-2 3.950E-2 4.162E-2</t>
  </si>
  <si>
    <t xml:space="preserve"> 4.395E-2 4.941E-2 5.376E-2 6.042E-2</t>
  </si>
  <si>
    <t xml:space="preserve"> 62SM SAMARIUM</t>
  </si>
  <si>
    <t xml:space="preserve"> 2.466E+2 8.418E+1 3.873E+1 1.277E+1 5.799E+0 1.735E+1 1.078E+1 5.030E+0</t>
  </si>
  <si>
    <t xml:space="preserve"> 2.780E+0 9.693E-1 4.854E-1 2.140E-1 1.376E-1 1.054E-1 8.806E-2 6.965E-2</t>
  </si>
  <si>
    <t xml:space="preserve"> 5.949E-2 4.700E-2 4.196E-2 3.845E-2 3.782E-2 3.822E-2 3.903E-2 4.117E-2</t>
  </si>
  <si>
    <t xml:space="preserve"> 4.349E-2 4.895E-2 5.331E-2 5.990E-2</t>
  </si>
  <si>
    <t xml:space="preserve"> 63EU EUROPIUM</t>
  </si>
  <si>
    <t xml:space="preserve"> 2.595E+2 8.869E+1 4.085E+1 1.351E+1 6.136E+0 1.809E+1 1.125E+1 5.269E+0</t>
  </si>
  <si>
    <t xml:space="preserve"> 2.914E+0 1.016E+0 5.076E-1 2.219E-1 1.416E-1 1.079E-1 8.978E-2 7.065E-2</t>
  </si>
  <si>
    <t xml:space="preserve"> 6.027E-2 4.747E-2 4.240E-2 3.890E-2 3.829E-2 3.873E-2 3.957E-2 4.178E-2</t>
  </si>
  <si>
    <t xml:space="preserve"> 4.416E-2 4.976E-2 5.419E-2 6.096E-2</t>
  </si>
  <si>
    <t xml:space="preserve"> 64GD GADOLINIUM</t>
  </si>
  <si>
    <t xml:space="preserve"> 2.659E+2 9.115E+1 4.204E+1 1.393E+1 6.335E+0 3.450E+0 1.144E+1 5.385E+0</t>
  </si>
  <si>
    <t xml:space="preserve"> 2.982E+0 1.040E+0 5.181E-1 2.247E-1 1.424E-1 1.078E-1 8.941E-2 7.005E-2</t>
  </si>
  <si>
    <t xml:space="preserve"> 5.958E-2 4.682E-2 4.183E-2 3.841E-2 3.786E-2 3.832E-2 3.919E-2 4.140E-2</t>
  </si>
  <si>
    <t xml:space="preserve"> 4.378E-2 4.939E-2 5.381E-2 6.054E-2</t>
  </si>
  <si>
    <t xml:space="preserve"> 65TB TERBIUM</t>
  </si>
  <si>
    <t xml:space="preserve"> 2.779E+2 9.572E+1 4.425E+1 1.469E+1 6.683E+0 3.640E+0 1.191E+1 5.629E+0</t>
  </si>
  <si>
    <t xml:space="preserve"> 3.122E+0 1.088E+0 5.408E-1 2.328E-1 1.465E-1 1.104E-1 9.117E-2 7.107E-2</t>
  </si>
  <si>
    <t xml:space="preserve"> 6.031E-2 4.728E-2 4.225E-2 3.884E-2 3.832E-2 3.882E-2 3.971E-2 4.199E-2</t>
  </si>
  <si>
    <t xml:space="preserve"> 4.443E-2 5.012E-2 5.466E-2 6.152E-2</t>
  </si>
  <si>
    <t xml:space="preserve"> 66DY DYSPROSIUM</t>
  </si>
  <si>
    <t xml:space="preserve"> 2.866E+2 9.928E+1 4.600E+1 1.529E+1 6.965E+0 3.795E+0 1.227E+1 5.815E+0</t>
  </si>
  <si>
    <t xml:space="preserve"> 3.226E+0 1.124E+0 5.578E-1 2.385E-1 1.490E-1 1.116E-1 9.185E-2 7.131E-2</t>
  </si>
  <si>
    <t xml:space="preserve"> 6.034E-2 4.719E-2 4.217E-2 3.880E-2 3.832E-2 3.884E-2 3.976E-2 4.207E-2</t>
  </si>
  <si>
    <t xml:space="preserve"> 4.454E-2 5.029E-2 5.489E-2 6.178E-2</t>
  </si>
  <si>
    <t xml:space="preserve"> 67HO HOLMIUM</t>
  </si>
  <si>
    <t xml:space="preserve"> 2.975E+2 1.036E+2 4.813E+1 1.603E+1 7.306E+0 3.982E+0 1.276E+1 6.038E+0</t>
  </si>
  <si>
    <t xml:space="preserve"> 3.355E+0 1.170E+0 5.792E-1 2.460E-1 1.527E-1 1.138E-1 9.328E-2 7.205E-2</t>
  </si>
  <si>
    <t xml:space="preserve"> 6.080E-2 4.747E-2 4.240E-2 3.905E-2 3.860E-2 3.915E-2 4.010E-2 4.246E-2</t>
  </si>
  <si>
    <t xml:space="preserve"> 4.498E-2 5.084E-2 5.547E-2 6.250E-2</t>
  </si>
  <si>
    <t xml:space="preserve"> 68ER ERBIUM</t>
  </si>
  <si>
    <t xml:space="preserve"> 3.091E+2 1.081E+2 5.030E+1 1.679E+1 7.663E+0 4.177E+0 1.328E+1 6.269E+0</t>
  </si>
  <si>
    <t xml:space="preserve"> 3.486E+0 1.217E+0 6.017E-1 2.540E-1 1.566E-1 1.161E-1 9.481E-2 7.291E-2</t>
  </si>
  <si>
    <t xml:space="preserve"> 6.134E-2 4.776E-2 4.266E-2 3.932E-2 3.890E-2 3.949E-2 4.046E-2 4.287E-2</t>
  </si>
  <si>
    <t xml:space="preserve"> 4.543E-2 5.136E-2 5.609E-2 6.323E-2</t>
  </si>
  <si>
    <t xml:space="preserve"> 69TM THULIUM</t>
  </si>
  <si>
    <t xml:space="preserve"> 2.791E+2 1.132E+2 5.273E+1 1.764E+1 8.063E+0 4.398E+0 1.374E+1 6.526E+0</t>
  </si>
  <si>
    <t xml:space="preserve"> 3.634E+0 1.270E+0 6.272E-1 2.631E-1 1.612E-1 1.189E-1 9.677E-2 7.403E-2</t>
  </si>
  <si>
    <t xml:space="preserve"> 6.212E-2 4.824E-2 4.310E-2 3.975E-2 3.936E-2 3.997E-2 4.098E-2 4.345E-2</t>
  </si>
  <si>
    <t xml:space="preserve"> 4.606E-2 5.211E-2 5.694E-2 6.420E-2</t>
  </si>
  <si>
    <t xml:space="preserve"> 70YB YTTERBIUM</t>
  </si>
  <si>
    <t xml:space="preserve"> 2.904E+2 1.167E+2 5.447E+1 1.827E+1 8.358E+0 4.560E+0 2.791E+0 6.690E+0</t>
  </si>
  <si>
    <t xml:space="preserve"> 3.732E+0 1.307E+0 6.443E-1 2.688E-1 1.637E-1 1.201E-1 9.734E-2 7.416E-2</t>
  </si>
  <si>
    <t xml:space="preserve"> 6.205E-2 4.805E-2 4.294E-2 3.962E-2 3.926E-2 3.989E-2 4.091E-2 4.340E-2</t>
  </si>
  <si>
    <t xml:space="preserve"> 4.603E-2 5.214E-2 5.696E-2 6.423E-2</t>
  </si>
  <si>
    <t xml:space="preserve"> 71LU LUTETIUM</t>
  </si>
  <si>
    <t xml:space="preserve"> 2.170E+2 1.221E+2 5.698E+1 1.915E+1 8.770E+0 4.787E+0 2.931E+0 6.935E+0</t>
  </si>
  <si>
    <t xml:space="preserve"> 3.879E+0 1.361E+0 6.700E-1 2.781E-1 1.683E-1 1.230E-1 9.928E-2 7.524E-2</t>
  </si>
  <si>
    <t xml:space="preserve"> 6.282E-2 4.848E-2 4.330E-2 4.001E-2 3.967E-2 4.032E-2 4.136E-2 4.391E-2</t>
  </si>
  <si>
    <t xml:space="preserve"> 4.658E-2 5.278E-2 5.769E-2 6.510E-2</t>
  </si>
  <si>
    <t xml:space="preserve"> 72HF HAFNIUM</t>
  </si>
  <si>
    <t xml:space="preserve"> 2.259E+2 1.263E+2 5.899E+1 1.988E+1 9.112E+0 4.978E+0 3.048E+0 7.119E+0</t>
  </si>
  <si>
    <t xml:space="preserve"> 3.997E+0 1.402E+0 6.899E-1 2.850E-1 1.716E-1 1.247E-1 1.004E-1 7.569E-2</t>
  </si>
  <si>
    <t xml:space="preserve"> 6.300E-2 4.848E-2 4.331E-2 4.002E-2 3.971E-2 4.039E-2 4.145E-2 4.402E-2</t>
  </si>
  <si>
    <t xml:space="preserve"> 4.671E-2 5.296E-2 5.792E-2 6.538E-2</t>
  </si>
  <si>
    <t xml:space="preserve"> 73TA TANTALUM</t>
  </si>
  <si>
    <t xml:space="preserve"> 2.336E+2 1.313E+2 6.142E+1 2.075E+1 9.518E+0 5.205E+0 3.188E+0 7.351E+0</t>
  </si>
  <si>
    <t xml:space="preserve"> 4.140E+0 1.454E+0 7.148E-1 2.938E-1 1.760E-1 1.273E-1 1.021E-1 7.660E-2</t>
  </si>
  <si>
    <t xml:space="preserve"> 6.358E-2 4.882E-2 4.355E-2 4.028E-2 3.999E-2 4.068E-2 4.177E-2 4.438E-2</t>
  </si>
  <si>
    <t xml:space="preserve"> 4.711E-2 5.345E-2 5.848E-2 6.602E-2</t>
  </si>
  <si>
    <t xml:space="preserve"> 74 W TUNGSTEN</t>
  </si>
  <si>
    <t xml:space="preserve"> 9.256E+1 1.361E+2 6.376E+1 2.158E+1 9.922E+0 5.426E+0 3.324E+0 7.568E+0</t>
  </si>
  <si>
    <t xml:space="preserve"> 4.273E+0 1.502E+0 7.383E-1 3.023E-1 1.801E-1 1.297E-1 1.036E-1 7.738E-2</t>
  </si>
  <si>
    <t xml:space="preserve"> 6.403E-2 4.902E-2 4.373E-2 4.046E-2 4.019E-2 4.089E-2 4.199E-2 4.464E-2</t>
  </si>
  <si>
    <t xml:space="preserve"> 4.741E-2 5.380E-2 5.889E-2 6.650E-2</t>
  </si>
  <si>
    <t xml:space="preserve"> 75RE RHENIUM</t>
  </si>
  <si>
    <t xml:space="preserve"> 9.667E+1 1.411E+2 6.635E+1 2.251E+1 1.036E+1 5.669E+0 3.473E+0 7.823E+0</t>
  </si>
  <si>
    <t xml:space="preserve"> 4.418E+0 1.556E+0 7.645E-1 3.118E-1 1.848E-1 1.326E-1 1.055E-1 7.840E-2</t>
  </si>
  <si>
    <t xml:space="preserve"> 6.469E-2 4.937E-2 4.405E-2 4.075E-2 4.049E-2 4.123E-2 4.235E-2 4.503E-2</t>
  </si>
  <si>
    <t xml:space="preserve"> 4.784E-2 5.432E-2 5.949E-2 6.720E-2</t>
  </si>
  <si>
    <t xml:space="preserve"> 76OS OSMIUM</t>
  </si>
  <si>
    <t xml:space="preserve"> 1.000E+2 1.449E+2 6.834E+1 2.325E+1 1.071E+1 5.869E+0 3.598E+0 8.037E+0</t>
  </si>
  <si>
    <t xml:space="preserve"> 4.526E+0 1.597E+0 7.845E-1 3.187E-1 1.881E-1 1.342E-1 1.065E-1 7.879E-2</t>
  </si>
  <si>
    <t xml:space="preserve"> 6.481E-2 4.930E-2 4.395E-2 4.069E-2 4.046E-2 4.120E-2 4.233E-2 4.503E-2</t>
  </si>
  <si>
    <t xml:space="preserve"> 4.785E-2 5.437E-2 5.952E-2 6.727E-2</t>
  </si>
  <si>
    <t xml:space="preserve"> 77IR IRIDIUM</t>
  </si>
  <si>
    <t xml:space="preserve"> 1.044E+2 1.500E+2 7.111E+1 2.425E+1 1.119E+1 6.135E+0 3.759E+0 8.326E+0</t>
  </si>
  <si>
    <t xml:space="preserve"> 4.680E+0 1.656E+0 8.130E-1 3.293E-1 1.934E-1 1.376E-1 1.087E-1 8.001E-2</t>
  </si>
  <si>
    <t xml:space="preserve"> 6.562E-2 4.976E-2 4.436E-2 4.107E-2 4.084E-2 4.160E-2 4.275E-2 4.550E-2</t>
  </si>
  <si>
    <t xml:space="preserve"> 4.838E-2 5.497E-2 6.020E-2 6.806E-2</t>
  </si>
  <si>
    <t xml:space="preserve"> 78PT PLATINUM</t>
  </si>
  <si>
    <t xml:space="preserve"> 1.086E+2 1.548E+2 7.362E+1 2.518E+1 1.164E+1 6.383E+0 3.916E+0 8.469E+0</t>
  </si>
  <si>
    <t xml:space="preserve"> 4.814E+0 1.709E+0 8.387E-1 3.386E-1 1.980E-1 1.402E-1 1.105E-1 8.095E-2</t>
  </si>
  <si>
    <t xml:space="preserve"> 6.618E-2 5.001E-2 4.459E-2 4.128E-2 4.104E-2 4.181E-2 4.299E-2 4.576E-2</t>
  </si>
  <si>
    <t xml:space="preserve"> 4.865E-2 5.532E-2 6.060E-2 6.853E-2</t>
  </si>
  <si>
    <t xml:space="preserve"> 79AU GOLD</t>
  </si>
  <si>
    <t xml:space="preserve"> 1.134E+2 1.606E+2 7.665E+1 2.626E+1 1.215E+1 6.673E+0 4.094E+0 1.915E+0</t>
  </si>
  <si>
    <t xml:space="preserve"> 4.974E+0 1.770E+0 8.692E-1 3.499E-1 2.038E-1 1.437E-1 1.129E-1 8.229E-2</t>
  </si>
  <si>
    <t xml:space="preserve"> 6.712E-2 5.053E-2 4.501E-2 4.168E-2 4.145E-2 4.224E-2 4.343E-2 4.625E-2</t>
  </si>
  <si>
    <t xml:space="preserve"> 4.919E-2 5.593E-2 6.132E-2 6.937E-2</t>
  </si>
  <si>
    <t xml:space="preserve"> 80HG MERCURY</t>
  </si>
  <si>
    <t xml:space="preserve"> 1.173E+2 1.650E+2 7.905E+1 2.713E+1 1.257E+1 6.907E+0 4.241E+0 1.985E+0</t>
  </si>
  <si>
    <t xml:space="preserve"> 5.090E+0 1.819E+0 8.923E-1 3.585E-1 2.079E-1 1.461E-1 1.143E-1 8.299E-2</t>
  </si>
  <si>
    <t xml:space="preserve"> 6.745E-2 5.065E-2 4.508E-2 4.173E-2 4.151E-2 4.231E-2 4.350E-2 4.635E-2</t>
  </si>
  <si>
    <t xml:space="preserve"> 4.930E-2 5.608E-2 6.150E-2 6.958E-2</t>
  </si>
  <si>
    <t xml:space="preserve"> 81TL THALLIUM</t>
  </si>
  <si>
    <t xml:space="preserve"> 1.212E+2 1.465E+2 8.138E+1 2.799E+1 1.299E+1 7.146E+0 4.391E+0 2.054E+0</t>
  </si>
  <si>
    <t xml:space="preserve"> 5.206E+0 1.865E+0 9.152E-1 3.668E-1 2.120E-1 1.484E-1 1.158E-1 8.361E-2</t>
  </si>
  <si>
    <t xml:space="preserve"> 6.777E-2 5.070E-2 4.512E-2 4.176E-2 4.154E-2 4.233E-2 4.354E-2 4.639E-2</t>
  </si>
  <si>
    <t xml:space="preserve"> 4.936E-2 5.617E-2 6.158E-2 6.972E-2</t>
  </si>
  <si>
    <t xml:space="preserve"> 82PB LEAD</t>
  </si>
  <si>
    <t xml:space="preserve"> 1.257E+2 1.084E+2 8.411E+1 2.900E+1 1.349E+1 7.426E+0 4.563E+0 2.135E+0</t>
  </si>
  <si>
    <t xml:space="preserve"> 5.355E+0 1.921E+0 9.432E-1 3.772E-1 2.172E-1 1.514E-1 1.178E-1 8.472E-2</t>
  </si>
  <si>
    <t xml:space="preserve"> 6.844E-2 5.102E-2 4.536E-2 4.199E-2 4.175E-2 4.257E-2 4.379E-2 4.667E-2</t>
  </si>
  <si>
    <t xml:space="preserve"> 4.965E-2 5.653E-2 6.202E-2 7.019E-2</t>
  </si>
  <si>
    <t xml:space="preserve"> 83BI BISMUTH</t>
  </si>
  <si>
    <t xml:space="preserve"> 1.310E+2 1.127E+2 8.720E+1 3.017E+1 1.406E+1 7.747E+0 4.764E+0 2.231E+0</t>
  </si>
  <si>
    <t xml:space="preserve"> 5.538E+0 1.985E+0 9.761E-1 3.897E-1 2.236E-1 1.555E-1 1.205E-1 8.625E-2</t>
  </si>
  <si>
    <t xml:space="preserve"> 6.947E-2 5.161E-2 4.586E-2 4.243E-2 4.220E-2 4.301E-2 4.425E-2 4.716E-2</t>
  </si>
  <si>
    <t xml:space="preserve"> 5.018E-2 5.716E-2 6.272E-2 7.103E-2</t>
  </si>
  <si>
    <t xml:space="preserve"> 84PO POLONIUM</t>
  </si>
  <si>
    <t xml:space="preserve"> 1.376E+2 1.185E+2 9.115E+1 3.164E+1 1.477E+1 8.150E+0 5.014E+0 2.348E+0</t>
  </si>
  <si>
    <t xml:space="preserve"> 5.784E+0 2.070E+0 1.018E+0 4.057E-1 2.322E-1 1.609E-1 1.244E-1 8.858E-2</t>
  </si>
  <si>
    <t xml:space="preserve"> 7.112E-2 5.265E-2 4.673E-2 4.325E-2 4.300E-2 4.383E-2 4.509E-2 4.807E-2</t>
  </si>
  <si>
    <t xml:space="preserve"> 5.117E-2 5.830E-2 6.394E-2 7.246E-2</t>
  </si>
  <si>
    <t xml:space="preserve"> 85AT ASTATINE</t>
  </si>
  <si>
    <t xml:space="preserve"> 1.437E+2 1.243E+2 9.459E+1 3.301E+1 1.544E+1 8.525E+0 5.249E+0 2.460E+0</t>
  </si>
  <si>
    <t xml:space="preserve"> 5.962E+0 2.146E+0 1.057E+0 4.205E-1 2.399E-1 1.656E-1 1.277E-1 9.057E-2</t>
  </si>
  <si>
    <t xml:space="preserve"> 7.248E-2 5.345E-2 4.743E-2 4.386E-2 4.359E-2 4.444E-2 4.572E-2 4.874E-2</t>
  </si>
  <si>
    <t xml:space="preserve"> 5.188E-2 5.913E-2 6.489E-2 7.354E-2</t>
  </si>
  <si>
    <t xml:space="preserve"> 86RN RADON</t>
  </si>
  <si>
    <t xml:space="preserve"> 1.427E+2 1.225E+2 9.327E+1 3.269E+1 1.532E+1 8.471E+0 5.221E+0 2.447E+0</t>
  </si>
  <si>
    <t xml:space="preserve"> 5.879E+0 2.114E+0 1.042E+0 4.139E-1 2.355E-1 1.622E-1 1.246E-1 8.799E-2</t>
  </si>
  <si>
    <t xml:space="preserve"> 7.021E-2 5.161E-2 4.575E-2 4.227E-2 4.201E-2 4.281E-2 4.405E-2 4.696E-2</t>
  </si>
  <si>
    <t xml:space="preserve"> 5.000E-2 5.699E-2 6.256E-2 7.090E-2</t>
  </si>
  <si>
    <t xml:space="preserve"> 87FR FRANCIUM</t>
  </si>
  <si>
    <t xml:space="preserve"> 1.488E+2 5.231E+1 9.690E+1 3.408E+1 1.599E+1 8.854E+0 5.461E+0 2.561E+0</t>
  </si>
  <si>
    <t xml:space="preserve"> 1.442E+0 2.190E+0 1.080E+0 4.290E-1 2.433E-1 1.670E-1 1.280E-1 8.997E-2</t>
  </si>
  <si>
    <t xml:space="preserve"> 7.161E-2 5.242E-2 4.641E-2 4.286E-2 4.259E-2 4.341E-2 4.466E-2 4.760E-2</t>
  </si>
  <si>
    <t xml:space="preserve"> 5.070E-2 5.781E-2 6.346E-2 7.196E-2</t>
  </si>
  <si>
    <t xml:space="preserve"> 88RA RADIUM</t>
  </si>
  <si>
    <t xml:space="preserve"> 1.537E+2 5.413E+1 9.983E+1 3.520E+1 1.654E+1 9.169E+0 5.659E+0 2.656E+0</t>
  </si>
  <si>
    <t xml:space="preserve"> 1.496E+0 2.249E+0 1.109E+0 4.401E-1 2.491E-1 1.705E-1 1.304E-1 9.123E-2</t>
  </si>
  <si>
    <t xml:space="preserve"> 7.237E-2 5.277E-2 4.669E-2 4.309E-2 4.280E-2 4.362E-2 4.487E-2 4.784E-2</t>
  </si>
  <si>
    <t xml:space="preserve"> 5.095E-2 5.810E-2 6.379E-2 7.233E-2</t>
  </si>
  <si>
    <t xml:space="preserve"> 89AC ACTINIUM</t>
  </si>
  <si>
    <t xml:space="preserve"> 1.600E+2 5.646E+1 1.036E+2 3.664E+1 1.725E+1 9.571E+0 5.911E+0 2.778E+0</t>
  </si>
  <si>
    <t xml:space="preserve"> 1.564E+0 2.325E+0 1.149E+0 4.556E-1 2.572E-1 1.756E-1 1.339E-1 9.331E-2</t>
  </si>
  <si>
    <t xml:space="preserve"> 7.380E-2 5.361E-2 4.740E-2 4.369E-2 4.338E-2 4.420E-2 4.546E-2 4.847E-2</t>
  </si>
  <si>
    <t xml:space="preserve"> 5.164E-2 5.890E-2 6.469E-2 7.339E-2</t>
  </si>
  <si>
    <t xml:space="preserve"> 90TH THORIUM</t>
  </si>
  <si>
    <t xml:space="preserve"> 1.636E+2 5.787E+1 9.113E+1 3.743E+1 1.766E+1 9.816E+0 6.066E+0 2.851E+0</t>
  </si>
  <si>
    <t xml:space="preserve"> 1.606E+0 2.362E+0 1.169E+0 4.633E-1 2.610E-1 1.778E-1 1.352E-1 9.385E-2</t>
  </si>
  <si>
    <t xml:space="preserve"> 7.398E-2 5.353E-2 4.726E-2 4.355E-2 4.322E-2 4.403E-2 4.528E-2 4.827E-2</t>
  </si>
  <si>
    <t xml:space="preserve"> 5.142E-2 5.866E-2 6.443E-2 7.312E-2</t>
  </si>
  <si>
    <t xml:space="preserve"> 91PA PROTACTINIUM</t>
  </si>
  <si>
    <t xml:space="preserve"> 1.715E+2 6.075E+1 6.763E+1 3.924E+1 1.855E+1 1.032E+1 6.385E+0 3.005E+0</t>
  </si>
  <si>
    <t xml:space="preserve"> 1.692E+0 2.461E+0 1.221E+0 4.834E-1 2.718E-1 1.847E-1 1.401E-1 9.684E-2</t>
  </si>
  <si>
    <t xml:space="preserve"> 7.612E-2 5.486E-2 4.840E-2 4.454E-2 4.419E-2 4.501E-2 4.627E-2 4.933E-2</t>
  </si>
  <si>
    <t xml:space="preserve"> 5.254E-2 5.995E-2 6.588E-2 7.476E-2</t>
  </si>
  <si>
    <t xml:space="preserve"> 92 U URANIUM</t>
  </si>
  <si>
    <t xml:space="preserve"> 1.737E+2 6.162E+1 6.845E+1 3.976E+1 1.881E+1 1.048E+1 6.489E+0 3.057E+0</t>
  </si>
  <si>
    <t xml:space="preserve"> 1.722E+0 2.477E+0 1.230E+0 4.873E-1 2.735E-1 1.854E-1 1.403E-1 9.662E-2</t>
  </si>
  <si>
    <t xml:space="preserve"> 7.569E-2 5.436E-2 4.789E-2 4.403E-2 4.365E-2 4.445E-2 4.569E-2 4.869E-2</t>
  </si>
  <si>
    <t xml:space="preserve"> 5.187E-2 5.921E-2 6.507E-2 7.387E-2</t>
  </si>
  <si>
    <t xml:space="preserve"> 93NP NEPTUNIUM</t>
  </si>
  <si>
    <t xml:space="preserve"> 1.819E+2 6.463E+1 7.176E+1 4.158E+1 1.972E+1 1.101E+1 6.823E+0 3.217E+0</t>
  </si>
  <si>
    <t xml:space="preserve"> 1.813E+0 2.578E+0 1.283E+0 5.080E-1 2.847E-1 1.925E-1 1.454E-1 9.970E-2</t>
  </si>
  <si>
    <t xml:space="preserve"> 7.789E-2 5.571E-2 4.902E-2 4.502E-2 4.460E-2 4.540E-2 4.665E-2 4.971E-2</t>
  </si>
  <si>
    <t xml:space="preserve"> 5.296E-2 6.045E-2 6.647E-2 7.548E-2</t>
  </si>
  <si>
    <t xml:space="preserve"> 94PU PLUTONIUM</t>
  </si>
  <si>
    <t xml:space="preserve"> 1.879E+2 6.683E+1 7.434E+1 4.292E+1 2.040E+1 1.140E+1 7.077E+0 3.342E+0</t>
  </si>
  <si>
    <t xml:space="preserve"> 1.883E+0 2.647E+0 1.319E+0 5.225E-1 2.925E-1 1.974E-1 1.488E-1 1.017E-1</t>
  </si>
  <si>
    <t xml:space="preserve"> 7.915E-2 5.639E-2 4.955E-2 4.546E-2 4.500E-2 4.579E-2 4.702E-2 5.010E-2</t>
  </si>
  <si>
    <t xml:space="preserve"> 5.337E-2 6.095E-2 6.701E-2 7.613E-2</t>
  </si>
  <si>
    <t xml:space="preserve"> 95AM AMERICIUM</t>
  </si>
  <si>
    <t xml:space="preserve"> 1.923E+2 6.853E+1 7.658E+1 4.389E+1 2.093E+1 1.171E+1 7.278E+0 3.440E+0</t>
  </si>
  <si>
    <t xml:space="preserve"> 1.939E+0 2.696E+0 1.345E+0 5.331E-1 2.980E-1 2.007E-1 1.510E-1 1.028E-1</t>
  </si>
  <si>
    <t xml:space="preserve"> 7.981E-2 5.660E-2 4.966E-2 4.551E-2 4.502E-2 4.579E-2 4.700E-2 5.007E-2</t>
  </si>
  <si>
    <t xml:space="preserve"> 5.335E-2 6.093E-2 6.700E-2 7.614E-2</t>
  </si>
  <si>
    <t xml:space="preserve"> 96CM CURIUM</t>
  </si>
  <si>
    <t xml:space="preserve"> 1.969E+2 7.025E+1 7.866E+1 4.486E+1 2.146E+1 1.204E+1 7.486E+0 3.543E+0</t>
  </si>
  <si>
    <t xml:space="preserve"> 1.998E+0 2.746E+0 1.370E+0 5.439E-1 3.037E-1 2.042E-1 1.533E-1 1.039E-1</t>
  </si>
  <si>
    <t xml:space="preserve"> 8.049E-2 5.684E-2 4.981E-2 4.558E-2 4.505E-2 4.580E-2 4.698E-2 5.005E-2</t>
  </si>
  <si>
    <t xml:space="preserve"> 5.331E-2 6.092E-2 6.701E-2 7.617E-2</t>
  </si>
  <si>
    <t xml:space="preserve"> 97BK BERKELIUM</t>
  </si>
  <si>
    <t xml:space="preserve"> 2.045E+2 7.315E+1 8.104E+1 4.657E+1 2.236E+1 1.255E+1 7.819E+0 3.706E+0</t>
  </si>
  <si>
    <t xml:space="preserve"> 2.091E+0 2.842E+0 1.420E+0 5.637E-1 3.145E-1 2.111E-1 1.581E-1 1.068E-1</t>
  </si>
  <si>
    <t xml:space="preserve"> 8.251E-2 5.802E-2 5.078E-2 4.639E-2 4.582E-2 4.655E-2 4.772E-2 5.084E-2</t>
  </si>
  <si>
    <t xml:space="preserve"> 5.416E-2 6.187E-2 6.808E-2 7.743E-2</t>
  </si>
  <si>
    <t xml:space="preserve"> 98CF CALIFORNIUM</t>
  </si>
  <si>
    <t xml:space="preserve"> 2.088E+2 7.486E+1 8.287E+1 4.753E+1 2.291E+1 1.289E+1 8.031E+0 3.810E+0</t>
  </si>
  <si>
    <t xml:space="preserve"> 2.152E+0 2.896E+0 1.446E+0 5.748E-1 3.202E-1 2.147E-1 1.605E-1 1.081E-1</t>
  </si>
  <si>
    <t xml:space="preserve"> 8.325E-2 5.829E-2 5.093E-2 4.647E-2 4.585E-2 4.656E-2 4.770E-2 5.080E-2</t>
  </si>
  <si>
    <t xml:space="preserve"> 5.411E-2 6.184E-2 6.807E-2 7.744E-2</t>
  </si>
  <si>
    <t xml:space="preserve"> 99ES EINSTEINIUM</t>
  </si>
  <si>
    <t xml:space="preserve"> 2.158E+2 7.755E+1 3.712E+1 4.909E+1 2.375E+1 1.338E+1 8.344E+0 3.966E+0</t>
  </si>
  <si>
    <t xml:space="preserve"> 2.241E+0 2.984E+0 1.491E+0 5.929E-1 3.302E-1 2.210E-1 1.650E-1 1.107E-1</t>
  </si>
  <si>
    <t xml:space="preserve"> 8.500E-2 5.930E-2 5.172E-2 4.711E-2 4.644E-2 4.715E-2 4.825E-2 5.137E-2</t>
  </si>
  <si>
    <t xml:space="preserve"> 5.474E-2 6.255E-2 6.885E-2 7.838E-2</t>
  </si>
  <si>
    <t>100FM FERMIUM</t>
  </si>
  <si>
    <t xml:space="preserve"> 2.196E+2 7.901E+1 3.788E+1 4.998E+1 2.421E+1 1.366E+1 8.532E+0 4.061E+0</t>
  </si>
  <si>
    <t xml:space="preserve"> 2.296E+0 3.008E+0 1.512E+0 6.019E-1 3.351E-1 2.239E-1 1.669E-1 1.116E-1</t>
  </si>
  <si>
    <t xml:space="preserve"> 8.547E-2 5.937E-2 5.170E-2 4.702E-2 4.630E-2 4.698E-2 4.804E-2 5.113E-2</t>
  </si>
  <si>
    <t xml:space="preserve"> 5.447E-2 6.227E-2 6.857E-2 7.807E-2</t>
  </si>
  <si>
    <t>energy</t>
  </si>
  <si>
    <t>Block 1 parses the original ata</t>
  </si>
  <si>
    <t>Block 2 sorts the results to eliminate blank lines</t>
  </si>
  <si>
    <t>Block 3 transposes the data</t>
  </si>
  <si>
    <t>BLOCK 1</t>
  </si>
  <si>
    <t>BLOCK 2</t>
  </si>
  <si>
    <t>BLOCK 3</t>
  </si>
  <si>
    <t xml:space="preserve">    E(MEV)   B      C      A      XK      D       MAX.D  XMAX  S.D</t>
  </si>
  <si>
    <t xml:space="preserve">    ----------------------------------------------------------------</t>
  </si>
  <si>
    <t xml:space="preserve">                  BERYLLIUM MEDIUM, AIR RESPONSE</t>
  </si>
  <si>
    <t xml:space="preserve">     0.015  2.527  0.957  0.023  12.01   -0.0216  3.01%  0.5  1.237%</t>
  </si>
  <si>
    <t xml:space="preserve">     0.020  3.834  1.517 -0.089  16.27    0.0300  2.25%  0.5  0.788%</t>
  </si>
  <si>
    <t xml:space="preserve">     0.030  6.543  2.464 -0.204  14.71    0.0774  2.52% 25.0  1.471%</t>
  </si>
  <si>
    <t xml:space="preserve">     0.040  8.672  3.150 -0.260  14.20    0.1068  3.59% 10.0  2.348%</t>
  </si>
  <si>
    <t xml:space="preserve">     0.050  9.770  3.613 -0.292  14.02    0.1238  4.49% 10.0  2.847%</t>
  </si>
  <si>
    <t xml:space="preserve">     0.060  9.823  3.916 -0.311  13.93    0.1334  4.85% 10.0  3.133%</t>
  </si>
  <si>
    <t xml:space="preserve">     0.080  8.582  4.200 -0.328  14.01    0.1398  4.98% 25.0  3.145%</t>
  </si>
  <si>
    <t xml:space="preserve">     0.100  7.303  4.252 -0.333  14.11    0.1406  4.64% 25.0  2.996%</t>
  </si>
  <si>
    <t xml:space="preserve">     0.150  4.983  4.136 -0.331  14.43    0.1391  4.28% 35.0  2.596%</t>
  </si>
  <si>
    <t xml:space="preserve">     0.200  4.396  3.877 -0.323  14.44    0.1425  4.45% 35.0  2.612%</t>
  </si>
  <si>
    <t xml:space="preserve">     0.300  3.448  3.442 -0.304  14.20    0.1422  4.80% 25.0  2.833%</t>
  </si>
  <si>
    <t xml:space="preserve">     0.400  3.218  3.046 -0.280  14.18    0.1370  4.37% 15.0  2.652%</t>
  </si>
  <si>
    <t xml:space="preserve">     0.500  2.793  2.934 -0.281  13.44    0.1494  5.92% 35.0  3.826%</t>
  </si>
  <si>
    <t xml:space="preserve">     0.600  2.654  2.672 -0.261  13.20    0.1435  5.82% 10.0  3.747%</t>
  </si>
  <si>
    <t xml:space="preserve">     0.800  2.505  2.225 -0.215  13.24    0.1211  6.14%  1.0  3.848%</t>
  </si>
  <si>
    <t xml:space="preserve">     1.000  2.330  1.997 -0.190  12.98    0.1115  7.37%  1.0  4.366%</t>
  </si>
  <si>
    <t xml:space="preserve">     1.500  2.150  1.549 -0.122  13.00    0.0757  6.41%  0.5  3.260%</t>
  </si>
  <si>
    <t xml:space="preserve">     2.000  2.061  1.284 -0.069  13.26    0.0434  4.27%  0.5  1.857%</t>
  </si>
  <si>
    <t xml:space="preserve">     3.000  1.863  1.087 -0.024  13.06    0.0168  2.95%  0.5  1.072%</t>
  </si>
  <si>
    <t xml:space="preserve">     4.000  1.740  0.986  0.002   9.42    0.0022  1.59%  0.5  0.593%</t>
  </si>
  <si>
    <t xml:space="preserve">     5.000  1.641  0.932  0.017  17.21   -0.0085  1.30%  0.5  0.487%</t>
  </si>
  <si>
    <t xml:space="preserve">     6.000  1.584  0.886  0.031  14.51   -0.0159  0.96%  0.5  0.450%</t>
  </si>
  <si>
    <t xml:space="preserve">     8.000  1.480  0.851  0.041  14.63   -0.0207  0.69% 25.0  0.393%</t>
  </si>
  <si>
    <t xml:space="preserve">    10.000  1.437  0.772  0.071  14.24   -0.0469  3.49%  0.5  1.311%</t>
  </si>
  <si>
    <t xml:space="preserve">    15.000  1.306  0.802  0.057  12.34   -0.0247  0.83% 35.0  0.445%</t>
  </si>
  <si>
    <t xml:space="preserve">                  BORON MEDIUM, AIR RESPONSE</t>
  </si>
  <si>
    <t xml:space="preserve">     0.015  1.728  0.683  0.095  15.02   -0.0460  1.78%  0.5  0.740%</t>
  </si>
  <si>
    <t xml:space="preserve">     0.020  2.629  0.959  0.021  13.74   -0.0179  2.87%  0.5  1.125%</t>
  </si>
  <si>
    <t xml:space="preserve">     0.030  4.699  1.665 -0.117  14.48    0.0497  1.44% 35.0  0.854%</t>
  </si>
  <si>
    <t xml:space="preserve">     0.040  6.906  2.243 -0.184  14.61    0.0788  2.32% 35.0  1.257%</t>
  </si>
  <si>
    <t xml:space="preserve">     0.050  8.247  2.657 -0.223  14.47    0.0972  2.83% 25.0  1.611%</t>
  </si>
  <si>
    <t xml:space="preserve">     0.060  8.580  2.947 -0.247  14.36    0.1080  3.27% 15.0  1.842%</t>
  </si>
  <si>
    <t xml:space="preserve">     0.080  8.089  3.170 -0.262  14.66    0.1119  2.83% 15.0  1.645%</t>
  </si>
  <si>
    <t xml:space="preserve">     0.100  8.262  2.951 -0.238  16.05    0.0956  1.77%  3.0  1.043%</t>
  </si>
  <si>
    <t xml:space="preserve">     0.150  5.943  3.081 -0.256  15.38    0.1057  0.0 %  0.0  0.0  %</t>
  </si>
  <si>
    <t xml:space="preserve">     0.200  3.927  3.222 -0.279  14.14    0.1225  3.73% 15.0  2.159%</t>
  </si>
  <si>
    <t xml:space="preserve">     0.300  3.156  2.928 -0.265  13.98    0.1270  5.20%  1.0  2.668%</t>
  </si>
  <si>
    <t xml:space="preserve">     0.400  2.862  2.630 -0.245  12.58    0.1109  3.08% 10.0  2.092%</t>
  </si>
  <si>
    <t xml:space="preserve">     0.500  2.679  2.375 -0.222  12.68    0.1043  3.44%  1.0  2.261%</t>
  </si>
  <si>
    <t xml:space="preserve">     0.600  2.547  2.161 -0.198  13.69    0.1020  4.06% 10.0  2.710%</t>
  </si>
  <si>
    <t xml:space="preserve">     0.800  2.359  1.894 -0.167  13.38    0.0876  4.38%  1.0  2.824%</t>
  </si>
  <si>
    <t xml:space="preserve">     1.000  2.258  1.674 -0.135  13.53    0.0718  3.65%  0.5  2.392%</t>
  </si>
  <si>
    <t xml:space="preserve">     1.500  2.075  1.372 -0.083  13.78    0.0470  3.29%  0.5  1.539%</t>
  </si>
  <si>
    <t xml:space="preserve">     2.000  1.955  1.213 -0.050  14.44    0.0278  2.86%  0.5  1.202%</t>
  </si>
  <si>
    <t xml:space="preserve">     3.000  1.785  1.069 -0.018  12.74    0.0106  1.82%  0.5  0.638%</t>
  </si>
  <si>
    <t xml:space="preserve">     4.000  1.684  0.978  0.006  17.12   -0.0045  1.07%  0.5  0.342%</t>
  </si>
  <si>
    <t xml:space="preserve">     5.000  1.599  0.933  0.018  14.95   -0.0099  0.70%  2.0  0.275%</t>
  </si>
  <si>
    <t xml:space="preserve">     6.000  1.541  0.904  0.026  14.92   -0.0142  0.58%  1.0  0.260%</t>
  </si>
  <si>
    <t xml:space="preserve">     8.000  1.447  0.873  0.035  14.16   -0.0200  0.75% 35.0  0.332%</t>
  </si>
  <si>
    <t xml:space="preserve">    10.000  1.383  0.853  0.041  13.43   -0.0179  0.79%  0.5  0.369%</t>
  </si>
  <si>
    <t xml:space="preserve">    15.000  1.286  0.830  0.048  14.00   -0.0243  1.08%  1.0  0.469%</t>
  </si>
  <si>
    <t xml:space="preserve">                  CARBON MEDIUM, AIR RESPONSE</t>
  </si>
  <si>
    <t xml:space="preserve">     0.015  1.386  0.539  0.146  14.31   -0.0718  1.81%  0.5  0.692%</t>
  </si>
  <si>
    <t xml:space="preserve">     0.020  1.877  0.732  0.079  16.57   -0.0395  0.77%  0.5  0.411%</t>
  </si>
  <si>
    <t xml:space="preserve">     0.030  3.511  1.153 -0.027  12.82    0.0087  0.84%  2.0  0.399%</t>
  </si>
  <si>
    <t xml:space="preserve">     0.040  5.260  1.745 -0.129  13.91    0.0571  2.28% 35.0  1.397%</t>
  </si>
  <si>
    <t xml:space="preserve">     0.050  6.706  2.108 -0.170  14.34    0.0735  2.96%  2.0  1.506%</t>
  </si>
  <si>
    <t xml:space="preserve">     0.060  7.209  2.383 -0.198  14.53    0.0878  2.66% 15.0  1.551%</t>
  </si>
  <si>
    <t xml:space="preserve">     0.080  6.765  2.691 -0.227  14.44    0.0998  3.28% 15.0  1.834%</t>
  </si>
  <si>
    <t xml:space="preserve">     0.100  5.890  2.824 -0.239  14.40    0.1046  3.32% 15.0  1.784%</t>
  </si>
  <si>
    <t xml:space="preserve">     0.150  4.381  2.866 -0.246  14.14    0.1067  3.22% 15.0  1.856%</t>
  </si>
  <si>
    <t xml:space="preserve">     0.200  3.750  2.698 -0.233  15.08    0.1060  4.12% 35.0  2.212%</t>
  </si>
  <si>
    <t xml:space="preserve">     0.300  3.147  2.413 -0.211  14.41    0.0944  4.33%  3.0  1.973%</t>
  </si>
  <si>
    <t xml:space="preserve">     0.400  2.843  2.197 -0.192  13.47    0.0805  3.04%  2.0  1.664%</t>
  </si>
  <si>
    <t xml:space="preserve">     0.500  2.657  2.011 -0.171  14.19    0.0795  4.22%  2.0  1.885%</t>
  </si>
  <si>
    <t xml:space="preserve">     0.600  2.543  1.851 -0.151  13.60    0.0610  4.40%  2.0  1.971%</t>
  </si>
  <si>
    <t xml:space="preserve">     0.800  2.312  1.691 -0.133  13.80    0.0643  2.76%  1.0  1.814%</t>
  </si>
  <si>
    <t xml:space="preserve">     1.000  2.192  1.544 -0.110  13.78    0.0533  2.91%  1.0  1.654%</t>
  </si>
  <si>
    <t xml:space="preserve">     1.500  2.011  1.311 -0.069  13.69    0.0332  2.47%  0.5  1.140%</t>
  </si>
  <si>
    <t xml:space="preserve">     2.000  1.898  1.192 -0.044  13.99    0.0206  1.85%  0.5  0.739%</t>
  </si>
  <si>
    <t xml:space="preserve">     3.000  1.752  1.058 -0.014  11.98    0.0060  1.47%  0.5  0.468%</t>
  </si>
  <si>
    <t xml:space="preserve">     4.000  1.653  0.986  0.004  25.64   -0.0080  0.60%  0.5  0.302%</t>
  </si>
  <si>
    <t xml:space="preserve">     5.000  1.575  0.939  0.017  14.50   -0.0109  0.85% 35.0  0.313%</t>
  </si>
  <si>
    <t xml:space="preserve">     6.000  1.525  0.908  0.026  14.36   -0.0149  0.97%  1.0  0.380%</t>
  </si>
  <si>
    <t xml:space="preserve">     8.000  1.440  0.868  0.038  17.08   -0.0351  0.69%  1.0  0.402%</t>
  </si>
  <si>
    <t xml:space="preserve">    10.000  1.373  0.855  0.042  12.35   -0.0208  0.63%  4.0  0.351%</t>
  </si>
  <si>
    <t xml:space="preserve">    15.000  1.276  0.841  0.046  15.27   -0.0296  1.29%  0.5  0.614%</t>
  </si>
  <si>
    <t xml:space="preserve">                  NITROGEN MEDIUM, AIR RESPONSE</t>
  </si>
  <si>
    <t xml:space="preserve">     0.015  1.234  0.475  0.171  14.27   -0.0858  1.56%  0.5  0.677%</t>
  </si>
  <si>
    <t xml:space="preserve">     0.020  1.543  0.586  0.130  15.00   -0.0632  1.97%  0.5  0.762%</t>
  </si>
  <si>
    <t xml:space="preserve">     0.030  2.621  0.842  0.053  15.71   -0.0398  1.97%  0.5  0.831%</t>
  </si>
  <si>
    <t xml:space="preserve">     0.040  3.945  1.279 -0.053  13.58    0.0191  0.86% 25.0  0.490%</t>
  </si>
  <si>
    <t xml:space="preserve">     0.050  5.039  1.640 -0.113  13.85    0.0489  1.60% 25.0  1.099%</t>
  </si>
  <si>
    <t xml:space="preserve">     0.060  5.510  1.937 -0.154  13.68    0.0714  2.81%  0.5  1.892%</t>
  </si>
  <si>
    <t xml:space="preserve">     0.080  5.432  2.283 -0.194  13.30    0.0892  3.31% 35.0  2.192%</t>
  </si>
  <si>
    <t xml:space="preserve">     0.100  5.208  2.311 -0.191  14.39    0.0825  2.88% 15.0  1.572%</t>
  </si>
  <si>
    <t xml:space="preserve">     0.150  3.970  2.453 -0.209  14.11    0.0943  3.41% 35.0  1.982%</t>
  </si>
  <si>
    <t xml:space="preserve">     0.200  3.395  2.408 -0.208  13.32    0.0891  3.19%  1.0  2.001%</t>
  </si>
  <si>
    <t xml:space="preserve">     0.300  2.962  2.142 -0.180  14.06    0.0755  2.66% 25.0  1.645%</t>
  </si>
  <si>
    <t xml:space="preserve">     0.400  2.700  1.976 -0.163  14.05    0.0690  2.47% 35.0  1.626%</t>
  </si>
  <si>
    <t xml:space="preserve">     0.500  2.538  1.835 -0.146  14.13    0.0612  2.34%  1.0  1.499%</t>
  </si>
  <si>
    <t xml:space="preserve">     0.600  2.406  1.737 -0.134  14.11    0.0572  2.16% 10.0  1.434%</t>
  </si>
  <si>
    <t xml:space="preserve">     0.800  2.241  1.580 -0.112  14.03    0.0484  1.86%  1.0  1.326%</t>
  </si>
  <si>
    <t xml:space="preserve">     1.000  2.123  1.474 -0.096  13.97    0.0426  3.56%  1.0  1.417%</t>
  </si>
  <si>
    <t xml:space="preserve">     1.500  1.968  1.270 -0.058  14.81    0.0246  2.13%  0.5  0.806%</t>
  </si>
  <si>
    <t xml:space="preserve">     2.000  1.858  1.176 -0.040  13.95    0.0175  1.34%  0.5  0.575%</t>
  </si>
  <si>
    <t xml:space="preserve">     3.000  1.718  1.061 -0.014  13.95    0.0047  0.96%  0.5  0.343%</t>
  </si>
  <si>
    <t xml:space="preserve">     4.000  1.631  0.989  0.004  15.65   -0.0044  0.58%  2.0  0.275%</t>
  </si>
  <si>
    <t xml:space="preserve">     5.000  1.562  0.940  0.018  13.58   -0.0128  0.51%  1.0  0.260%</t>
  </si>
  <si>
    <t xml:space="preserve">     6.000  1.517  0.901  0.030  12.46   -0.0186  1.05%  0.5  0.488%</t>
  </si>
  <si>
    <t xml:space="preserve">     8.000  1.423  0.887  0.033  11.67   -0.0159  0.89%  0.5  0.463%</t>
  </si>
  <si>
    <t xml:space="preserve">    10.000  1.361  0.873  0.037  14.21   -0.0221  1.38%  1.0  0.521%</t>
  </si>
  <si>
    <t xml:space="preserve">    15.000  1.271  0.841  0.048  15.04   -0.0339  1.51%  0.5  0.710%</t>
  </si>
  <si>
    <t xml:space="preserve">                  OXYGEN MEDIUM, AIR RESPONSE</t>
  </si>
  <si>
    <t xml:space="preserve">     0.015  1.153  0.432  0.189  14.49   -0.0965  1.38%  0.5  0.519%</t>
  </si>
  <si>
    <t xml:space="preserve">     0.020  1.355  0.505  0.162  14.65   -0.0825  2.23%  0.5  0.804%</t>
  </si>
  <si>
    <t xml:space="preserve">     0.030  2.054  0.718  0.086  16.37   -0.0456  3.17%  0.5  1.147%</t>
  </si>
  <si>
    <t xml:space="preserve">     0.040  3.137  0.990  0.012  13.45   -0.0134  1.27%  0.5  0.412%</t>
  </si>
  <si>
    <t xml:space="preserve">     0.050  4.063  1.305 -0.056  13.54    0.0184  0.97%  4.0  0.590%</t>
  </si>
  <si>
    <t xml:space="preserve">     0.060  4.610  1.562 -0.100  13.75    0.0412  1.73%  0.5  1.177%</t>
  </si>
  <si>
    <t xml:space="preserve">     0.080  4.783  1.887 -0.146  13.73    0.0643  2.71% 35.0  1.754%</t>
  </si>
  <si>
    <t xml:space="preserve">     0.100  4.492  2.043 -0.164  13.85    0.0718  2.61% 25.0  1.781%</t>
  </si>
  <si>
    <t xml:space="preserve">     0.150  3.877  2.069 -0.163  14.48    0.0637  2.50%  2.0  1.380%</t>
  </si>
  <si>
    <t xml:space="preserve">     0.200  3.320  2.090 -0.169  14.03    0.0678  2.38% 25.0  1.446%</t>
  </si>
  <si>
    <t xml:space="preserve">     0.300  2.870  1.948 -0.154  14.20    0.0595  2.32% 25.0  1.344%</t>
  </si>
  <si>
    <t xml:space="preserve">     0.400  2.629  1.828 -0.141  14.19    0.0546  1.85% 10.0  1.165%</t>
  </si>
  <si>
    <t xml:space="preserve">     0.500  2.475  1.723 -0.128  14.20    0.0488  1.85%  1.0  1.146%</t>
  </si>
  <si>
    <t xml:space="preserve">     0.600  2.362  1.635 -0.116  14.32    0.0439  1.81%  1.0  1.056%</t>
  </si>
  <si>
    <t xml:space="preserve">     0.800  2.185  1.532 -0.103  14.24    0.0427  1.95%  0.5  1.174%</t>
  </si>
  <si>
    <t xml:space="preserve">     1.000  2.098  1.418 -0.084  14.35    0.0333  1.58%  0.5  0.829%</t>
  </si>
  <si>
    <t xml:space="preserve">     1.500  1.929  1.265 -0.057  14.45    0.0235  1.61%  0.5  0.633%</t>
  </si>
  <si>
    <t xml:space="preserve">     2.000  1.837  1.164 -0.036  15.40    0.0137  1.45%  0.5  0.483%</t>
  </si>
  <si>
    <t xml:space="preserve">     3.000  1.711  1.052 -0.011  12.88    0.0020  0.77%  0.5  0.247%</t>
  </si>
  <si>
    <t xml:space="preserve">     4.000  1.624  0.990  0.004  20.49   -0.0070  0.55%  4.0  0.297%</t>
  </si>
  <si>
    <t xml:space="preserve">     5.000  1.553  0.947  0.016  14.42   -0.0111  0.70%  0.5  0.379%</t>
  </si>
  <si>
    <t xml:space="preserve">     6.000  1.505  0.917  0.025  15.64   -0.0229  0.99%  1.0  0.467%</t>
  </si>
  <si>
    <t xml:space="preserve">     8.000  1.417  0.891  0.033  12.30   -0.0194  1.16%  0.5  0.467%</t>
  </si>
  <si>
    <t xml:space="preserve">    10.000  1.358  0.872  0.039  13.99   -0.0252  1.14%  0.5  0.542%</t>
  </si>
  <si>
    <t xml:space="preserve">    15.000  1.265  0.842  0.050  15.03   -0.0387  1.19%  3.0  0.728%</t>
  </si>
  <si>
    <t xml:space="preserve">                  SODIUM MEDIUM, AIR RESPONSE</t>
  </si>
  <si>
    <t xml:space="preserve">     0.015  1.052  0.379  0.223  11.69   -0.1146  0.66%  0.5  0.279%</t>
  </si>
  <si>
    <t xml:space="preserve">     0.020  1.122  0.398  0.212  13.54   -0.1140  1.20%  0.5  0.432%</t>
  </si>
  <si>
    <t xml:space="preserve">     0.030  1.388  0.480  0.176  14.60   -0.0921  1.99%  0.5  0.765%</t>
  </si>
  <si>
    <t xml:space="preserve">     0.040  1.779  0.662  0.099  16.41   -0.0479  2.05%  2.0  0.747%</t>
  </si>
  <si>
    <t xml:space="preserve">     0.050  2.394  0.740  0.087  14.31   -0.0552  2.23%  0.5  1.153%</t>
  </si>
  <si>
    <t xml:space="preserve">     0.060  2.836  0.910  0.038  13.27   -0.0339  1.23%  0.5  0.609%</t>
  </si>
  <si>
    <t xml:space="preserve">     0.080  3.300  1.183 -0.028  13.57   -0.0025  0.30%  1.0  0.141%</t>
  </si>
  <si>
    <t xml:space="preserve">     0.100  3.388  1.368 -0.062  14.35    0.0115  0.83%  4.0  0.394%</t>
  </si>
  <si>
    <t xml:space="preserve">     0.150  3.190  1.575 -0.095  14.71    0.0260  0.95%  1.0  0.621%</t>
  </si>
  <si>
    <t xml:space="preserve">     0.200  2.968  1.627 -0.103  14.63    0.0281  0.95%  1.0  0.550%</t>
  </si>
  <si>
    <t xml:space="preserve">     0.300  2.658  1.633 -0.106  14.12    0.0279  0.73% 25.0  0.485%</t>
  </si>
  <si>
    <t xml:space="preserve">     0.400  2.481  1.587 -0.101  15.09    0.0285  0.98% 15.0  0.559%</t>
  </si>
  <si>
    <t xml:space="preserve">     0.500  2.350  1.548 -0.098  14.86    0.0307  1.02% 25.0  0.542%</t>
  </si>
  <si>
    <t xml:space="preserve">     0.600  2.253  1.498 -0.090  15.42    0.0264  0.89%  0.5  0.496%</t>
  </si>
  <si>
    <t xml:space="preserve">     0.800  2.117  1.421 -0.080  15.18    0.0250  0.89% 25.0  0.464%</t>
  </si>
  <si>
    <t xml:space="preserve">     1.000  2.023  1.356 -0.070  15.70    0.0234  0.65%  1.0  0.346%</t>
  </si>
  <si>
    <t xml:space="preserve">     1.500  1.879  1.234 -0.049  15.21    0.0168  0.91%  0.5  0.331%</t>
  </si>
  <si>
    <t xml:space="preserve">     2.000  1.795  1.154 -0.034  14.43    0.0122  0.80%  0.5  0.332%</t>
  </si>
  <si>
    <t xml:space="preserve">     3.000  1.684  1.056 -0.011  10.47    0.0009  0.50%  0.5  0.214%</t>
  </si>
  <si>
    <t xml:space="preserve">     4.000  1.606  0.992  0.006  12.86   -0.0089  0.54%  3.0  0.326%</t>
  </si>
  <si>
    <t xml:space="preserve">     5.000  1.536  0.956  0.016  15.20   -0.0205  0.70% 25.0  0.383%</t>
  </si>
  <si>
    <t xml:space="preserve">     6.000  1.494  0.914  0.031  11.38   -0.0247  0.54%  8.0  0.345%</t>
  </si>
  <si>
    <t xml:space="preserve">     8.000  1.406  0.902  0.033  13.53   -0.0260  0.99%  1.0  0.657%</t>
  </si>
  <si>
    <t xml:space="preserve">    10.000  1.347  0.876  0.043  13.19   -0.0335  1.62%  0.5  0.735%</t>
  </si>
  <si>
    <t xml:space="preserve">    15.000  1.263  0.823  0.064  14.35   -0.0562  1.79%  3.0  1.064%</t>
  </si>
  <si>
    <t xml:space="preserve">     0.015  1.037  0.401  0.211  13.33   -0.1332  0.65%  0.5  0.330%</t>
  </si>
  <si>
    <t xml:space="preserve">                  MAGNESIUM MEDIUM, AIR RESPONSE</t>
  </si>
  <si>
    <t xml:space="preserve">     0.020  1.085  0.439  0.178  14.34   -0.0910  0.72%  0.5  0.379%</t>
  </si>
  <si>
    <t xml:space="preserve">     0.030  1.288  0.449  0.189  14.38   -0.1020  1.92%  0.5  0.756%</t>
  </si>
  <si>
    <t xml:space="preserve">     0.040  1.617  0.557  0.143  15.17   -0.0757  1.39%  0.5  0.632%</t>
  </si>
  <si>
    <t xml:space="preserve">     0.050  2.099  0.633  0.125  14.15   -0.0657  2.77%  0.5  1.542%</t>
  </si>
  <si>
    <t xml:space="preserve">     0.060  2.467  0.794  0.071  14.91   -0.0563  2.47%  0.5  1.088%</t>
  </si>
  <si>
    <t xml:space="preserve">     0.080  2.950  1.039  0.005  13.70   -0.0201  0.72% 10.0  0.454%</t>
  </si>
  <si>
    <t xml:space="preserve">     0.100  3.102  1.229 -0.035  12.29   -0.0037  0.49%  6.0  0.202%</t>
  </si>
  <si>
    <t xml:space="preserve">     0.150  3.032  1.454 -0.075  15.08    0.0138  0.73%  1.0  0.314%</t>
  </si>
  <si>
    <t xml:space="preserve">     0.200  2.856  1.537 -0.088  15.99    0.0200  0.78%  4.0  0.411%</t>
  </si>
  <si>
    <t xml:space="preserve">     0.300  2.599  1.564 -0.094  15.96    0.0228  0.89% 15.0  0.373%</t>
  </si>
  <si>
    <t xml:space="preserve">     0.400  2.437  1.541 -0.093  15.45    0.0236  0.70%  1.0  0.332%</t>
  </si>
  <si>
    <t xml:space="preserve">     0.500  2.315  1.505 -0.089  16.00    0.0236  0.64% 15.0  0.284%</t>
  </si>
  <si>
    <t xml:space="preserve">     0.600  2.221  1.473 -0.086  15.28    0.0246  0.69% 35.0  0.291%</t>
  </si>
  <si>
    <t xml:space="preserve">     0.800  2.100  1.401 -0.076  15.64    0.0233  0.48%  1.0  0.247%</t>
  </si>
  <si>
    <t xml:space="preserve">     1.000  2.004  1.350 -0.069  15.69    0.0235  0.70% 15.0  0.330%</t>
  </si>
  <si>
    <t xml:space="preserve">     1.500  1.867  1.233 -0.049  14.52    0.0168  0.51%  0.5  0.292%</t>
  </si>
  <si>
    <t xml:space="preserve">     2.000  1.787  1.155 -0.033  16.11    0.0108  0.52%  0.5  0.248%</t>
  </si>
  <si>
    <t xml:space="preserve">     3.000  1.674  1.064 -0.013  16.49    0.0022  0.36%  1.0  0.150%</t>
  </si>
  <si>
    <t xml:space="preserve">     4.000  1.598  0.997  0.005  13.02   -0.0091  0.80%  0.5  0.382%</t>
  </si>
  <si>
    <t xml:space="preserve">     5.000  1.538  0.941  0.024  10.17   -0.0216  0.51% 30.0  0.338%</t>
  </si>
  <si>
    <t xml:space="preserve">     6.000  1.484  0.934  0.024  12.01   -0.0192  1.02%  0.5  0.447%</t>
  </si>
  <si>
    <t xml:space="preserve">     8.000  1.405  0.902  0.034  13.85   -0.0285  1.06%  1.0  0.684%</t>
  </si>
  <si>
    <t xml:space="preserve">    10.000  1.342  0.886  0.041  13.09   -0.0332  1.88%  0.5  0.828%</t>
  </si>
  <si>
    <t xml:space="preserve">    15.000  1.253  0.847  0.057  14.24   -0.0511  1.69%  4.0  1.093%</t>
  </si>
  <si>
    <t xml:space="preserve">     0.015  1.029  0.364  0.240  14.12   -0.1704  0.46% 25.0  0.236%</t>
  </si>
  <si>
    <t xml:space="preserve">                  ALUMINUM MEDIUM, AIR RESPONSE</t>
  </si>
  <si>
    <t xml:space="preserve">     0.015  1.029  0.394  0.206  15.51   -0.1388  0.45%  6.0  0.223%</t>
  </si>
  <si>
    <t xml:space="preserve">     0.020  1.067  0.384  0.220  13.81   -0.1204  0.71%  0.5  0.312%</t>
  </si>
  <si>
    <t xml:space="preserve">     0.030  1.223  0.422  0.198  15.10   -0.1042  1.83%  0.5  0.635%</t>
  </si>
  <si>
    <t xml:space="preserve">     0.040  1.480  0.503  0.166  14.78   -0.0893  1.72%  0.5  0.697%</t>
  </si>
  <si>
    <t xml:space="preserve">     0.050  1.765  0.666  0.099  16.34   -0.0493  2.10%  2.0  0.722%</t>
  </si>
  <si>
    <t xml:space="preserve">     0.060  2.189  0.697  0.104  12.90   -0.0580  3.00%  0.5  1.356%</t>
  </si>
  <si>
    <t xml:space="preserve">     0.080  2.640  0.924  0.035  12.99   -0.0351  1.54%  0.5  0.666%</t>
  </si>
  <si>
    <t xml:space="preserve">     0.100  2.847  1.110 -0.009  12.98   -0.0187  0.63%  0.5  0.413%</t>
  </si>
  <si>
    <t xml:space="preserve">     0.150  2.877  1.357 -0.058  21.73    0.0071  0.48%  4.0  0.243%</t>
  </si>
  <si>
    <t xml:space="preserve">     0.200  2.762  1.455 -0.074  17.02    0.0114  0.44%  1.0  0.196%</t>
  </si>
  <si>
    <t xml:space="preserve">     0.300  2.546  1.510 -0.085  16.22    0.0172  0.48%  4.0  0.215%</t>
  </si>
  <si>
    <t xml:space="preserve">     0.400  2.403  1.498 -0.085  16.45    0.0189  0.54%  1.0  0.237%</t>
  </si>
  <si>
    <t xml:space="preserve">     0.500  2.287  1.474 -0.083  16.41    0.0194  0.31%  1.0  0.181%</t>
  </si>
  <si>
    <t xml:space="preserve">     0.600  2.197  1.448 -0.081  17.03    0.0227  0.67% 15.0  0.293%</t>
  </si>
  <si>
    <t xml:space="preserve">     0.800  2.080  1.384 -0.072  16.24    0.0202  0.64%  0.5  0.283%</t>
  </si>
  <si>
    <t xml:space="preserve">     1.000  1.994  1.336 -0.066  15.85    0.0215  0.60%  6.0  0.282%</t>
  </si>
  <si>
    <t xml:space="preserve">     1.500  1.855  1.230 -0.048  16.01    0.0171  0.45% 15.0  0.226%</t>
  </si>
  <si>
    <t xml:space="preserve">     2.000  1.781  1.153 -0.032  15.32    0.0091  0.32%  0.5  0.142%</t>
  </si>
  <si>
    <t xml:space="preserve">     3.000  1.673  1.057 -0.010  10.79   -0.0025  0.42%  1.0  0.202%</t>
  </si>
  <si>
    <t xml:space="preserve">     4.000  1.607  0.974  0.013  12.22   -0.0164  1.05%  0.5  0.498%</t>
  </si>
  <si>
    <t xml:space="preserve">     5.000  1.529  0.957  0.018  10.90   -0.0157  0.92%  0.5  0.413%</t>
  </si>
  <si>
    <t xml:space="preserve">     6.000  1.481  0.933  0.026  12.33   -0.0239  1.13%  0.5  0.524%</t>
  </si>
  <si>
    <t xml:space="preserve">     8.000  1.396  0.917  0.030  13.88   -0.0262  1.37%  0.5  0.677%</t>
  </si>
  <si>
    <t xml:space="preserve">    10.000  1.334  0.902  0.038  13.03   -0.0332  1.48%  0.5  0.719%</t>
  </si>
  <si>
    <t xml:space="preserve">    15.000  1.244  0.869  0.050  14.91   -0.0476  1.97%  0.5  1.098%</t>
  </si>
  <si>
    <t xml:space="preserve">     0.020  1.051  0.426  0.179  17.64   -0.1078  0.81%  0.5  0.298%</t>
  </si>
  <si>
    <t xml:space="preserve">                  SILICON MEDIUM, AIR RESPONSE</t>
  </si>
  <si>
    <t xml:space="preserve">     0.015  1.023  0.349  0.262  11.98   -0.1791  0.50%  0.5  0.266%</t>
  </si>
  <si>
    <t xml:space="preserve">     0.030  1.179  0.395  0.216  13.99   -0.1163  1.50%  0.5  0.591%</t>
  </si>
  <si>
    <t xml:space="preserve">     0.040  1.385  0.460  0.188  14.33   -0.1065  1.95%  0.5  0.788%</t>
  </si>
  <si>
    <t xml:space="preserve">     0.050  1.640  0.579  0.135  15.12   -0.0715  0.94%  4.0  0.582%</t>
  </si>
  <si>
    <t xml:space="preserve">     0.060  1.894  0.702  0.092  15.29   -0.0516  3.02%  0.5  1.219%</t>
  </si>
  <si>
    <t xml:space="preserve">     0.080  2.400  0.838  0.058  14.66   -0.0505  2.36%  0.5  1.133%</t>
  </si>
  <si>
    <t xml:space="preserve">     0.100  2.627  1.018  0.012  13.65   -0.0298  1.54%  0.5  0.805%</t>
  </si>
  <si>
    <t xml:space="preserve">     0.150  2.733  1.273 -0.042  10.39   -0.0062  0.66%  0.5  0.237%</t>
  </si>
  <si>
    <t xml:space="preserve">     0.200  2.669  1.390 -0.063  20.50    0.0073  0.49% 15.0  0.294%</t>
  </si>
  <si>
    <t xml:space="preserve">     0.300  2.483  1.469 -0.078  16.89    0.0136  0.57%  0.5  0.225%</t>
  </si>
  <si>
    <t xml:space="preserve">     0.400  2.355  1.473 -0.081  15.82    0.0161  0.50% 35.0  0.226%</t>
  </si>
  <si>
    <t xml:space="preserve">     0.500  2.252  1.455 -0.080  16.30    0.0182  0.44% 40.0  0.155%</t>
  </si>
  <si>
    <t xml:space="preserve">     0.600  2.177  1.424 -0.076  18.67    0.0215  0.41%  5.0  0.215%</t>
  </si>
  <si>
    <t xml:space="preserve">     0.800  2.053  1.385 -0.073  15.28    0.0211  0.44% 35.0  0.203%</t>
  </si>
  <si>
    <t xml:space="preserve">     1.000  1.980  1.323 -0.063  15.81    0.0184  0.51%  1.0  0.192%</t>
  </si>
  <si>
    <t xml:space="preserve">     1.500  1.842  1.230 -0.048  15.12    0.0161  0.43% 35.0  0.227%</t>
  </si>
  <si>
    <t xml:space="preserve">     2.000  1.771  1.155 -0.033  14.57    0.0100  0.45% 40.0  0.167%</t>
  </si>
  <si>
    <t xml:space="preserve">     3.000  1.669  1.058 -0.010  10.43   -0.0026  0.40%  4.0  0.174%</t>
  </si>
  <si>
    <t xml:space="preserve">     4.000  1.585  1.011  0.002  15.91   -0.0125  0.94%  1.0  0.351%</t>
  </si>
  <si>
    <t xml:space="preserve">     5.000  1.522  0.967  0.016  11.03   -0.0170  1.26%  0.5  0.414%</t>
  </si>
  <si>
    <t xml:space="preserve">     6.000  1.474  0.953  0.019  14.09   -0.0190  1.54%  0.5  0.637%</t>
  </si>
  <si>
    <t xml:space="preserve">     8.000  1.389  0.930  0.027  13.47   -0.0249  1.73%  0.5  0.758%</t>
  </si>
  <si>
    <t xml:space="preserve">    10.000  1.331  0.908  0.036  13.36   -0.0319  1.64%  0.5  0.829%</t>
  </si>
  <si>
    <t xml:space="preserve">    15.000  1.236  0.887  0.047  13.39   -0.0432  2.39%  0.5  0.993%</t>
  </si>
  <si>
    <t xml:space="preserve">     0.015  1.018  0.398  0.212  12.01   -0.1279  0.52%  4.0  0.286%</t>
  </si>
  <si>
    <t xml:space="preserve">                  PHOSPHORUS MEDIUM, AIR RESPONSE</t>
  </si>
  <si>
    <t xml:space="preserve">     0.020  1.041  0.432  0.175  13.83   -0.0771  0.45%  0.5  0.249%</t>
  </si>
  <si>
    <t xml:space="preserve">     0.030  1.141  0.394  0.213  14.41   -0.1150  0.99%  0.5  0.372%</t>
  </si>
  <si>
    <t xml:space="preserve">     0.040  1.314  0.439  0.195  14.43   -0.1084  2.14%  0.5  0.811%</t>
  </si>
  <si>
    <t xml:space="preserve">     0.050  1.533  0.520  0.162  14.69   -0.0901  1.72%  0.5  0.773%</t>
  </si>
  <si>
    <t xml:space="preserve">     0.060  1.751  0.633  0.117  14.78   -0.0635  0.99%  0.5  0.582%</t>
  </si>
  <si>
    <t xml:space="preserve">     0.080  2.204  0.757  0.084  12.94   -0.0516  2.79%  0.5  1.399%</t>
  </si>
  <si>
    <t xml:space="preserve">     0.100  2.434  0.940  0.031  14.07   -0.0402  2.70%  0.5  1.169%</t>
  </si>
  <si>
    <t xml:space="preserve">     0.150  2.611  1.198 -0.027  11.68   -0.0137  0.82%  0.5  0.496%</t>
  </si>
  <si>
    <t xml:space="preserve">     0.200  2.590  1.319 -0.048   9.03   -0.0088  0.68%  3.0  0.383%</t>
  </si>
  <si>
    <t xml:space="preserve">     0.300  2.431  1.433 -0.072  19.17    0.0125  1.06%  0.5  0.328%</t>
  </si>
  <si>
    <t xml:space="preserve">     0.400  2.325  1.440 -0.075  17.17    0.0139  0.39%  0.5  0.246%</t>
  </si>
  <si>
    <t xml:space="preserve">     0.500  2.224  1.433 -0.076  16.31    0.0157  0.70%  0.5  0.250%</t>
  </si>
  <si>
    <t xml:space="preserve">     0.600  2.147  1.416 -0.075  16.44    0.0180  0.30%  6.0  0.153%</t>
  </si>
  <si>
    <t xml:space="preserve">     0.800  2.035  1.375 -0.071  15.64    0.0205  0.67%  0.5  0.226%</t>
  </si>
  <si>
    <t xml:space="preserve">     1.000  1.959  1.323 -0.063  17.02    0.0204  0.37% 15.0  0.165%</t>
  </si>
  <si>
    <t xml:space="preserve">     1.500  1.834  1.226 -0.047  15.36    0.0155  0.37% 10.0  0.184%</t>
  </si>
  <si>
    <t xml:space="preserve">     2.000  1.763  1.156 -0.033  14.97    0.0099  0.40%  0.5  0.190%</t>
  </si>
  <si>
    <t xml:space="preserve">     3.000  1.664  1.059 -0.010  13.40   -0.0030  0.36%  1.0  0.231%</t>
  </si>
  <si>
    <t xml:space="preserve">     4.000  1.590  1.003  0.005  15.05   -0.0156  0.74%  4.0  0.419%</t>
  </si>
  <si>
    <t xml:space="preserve">     5.000  1.521  0.968  0.016  11.99   -0.0176  1.30%  0.5  0.503%</t>
  </si>
  <si>
    <t xml:space="preserve">     6.000  1.470  0.958  0.018  14.30   -0.0190  1.73%  0.5  0.742%</t>
  </si>
  <si>
    <t xml:space="preserve">     8.000  1.389  0.928  0.029  13.67   -0.0279  1.71%  0.5  0.840%</t>
  </si>
  <si>
    <t xml:space="preserve">    10.000  1.330  0.907  0.038  13.34   -0.0349  1.67%  0.5  0.890%</t>
  </si>
  <si>
    <t xml:space="preserve">    15.000  1.235  0.879  0.053  13.06   -0.0508  2.40%  0.5  1.027%</t>
  </si>
  <si>
    <t xml:space="preserve">     0.030  1.115  0.387  0.215  13.89   -0.1155  0.73%  3.0  0.396%</t>
  </si>
  <si>
    <t xml:space="preserve">                  SULPHUR MEDIUM, AIR RESPONSE</t>
  </si>
  <si>
    <t xml:space="preserve">     0.015  1.017  0.293  0.325  10.44   -0.2521  0.43%  6.0  0.245%</t>
  </si>
  <si>
    <t xml:space="preserve">     0.020  1.039  0.340  0.228  27.88   -0.3834  0.52%  8.0  0.264%</t>
  </si>
  <si>
    <t xml:space="preserve">     0.040  1.257  0.418  0.204  14.60   -0.1126  1.66%  0.5  0.686%</t>
  </si>
  <si>
    <t xml:space="preserve">     0.050  1.440  0.487  0.176  14.61   -0.0988  1.89%  0.5  0.786%</t>
  </si>
  <si>
    <t xml:space="preserve">     0.060  1.635  0.576  0.140  14.63   -0.0781  1.54%  0.5  0.786%</t>
  </si>
  <si>
    <t xml:space="preserve">     0.080  1.965  0.763  0.074  14.91   -0.0445  3.72%  0.5  1.329%</t>
  </si>
  <si>
    <t xml:space="preserve">     0.100  2.276  0.868  0.051  12.99   -0.0441  2.56%  0.5  1.275%</t>
  </si>
  <si>
    <t xml:space="preserve">     0.150  2.492  1.133 -0.014  12.60   -0.0196  1.66%  0.5  0.723%</t>
  </si>
  <si>
    <t xml:space="preserve">     0.200  2.500  1.269 -0.039  10.97   -0.0123  1.14%  0.5  0.506%</t>
  </si>
  <si>
    <t xml:space="preserve">     0.300  2.385  1.393 -0.065  25.71    0.0135  1.36%  0.5  0.526%</t>
  </si>
  <si>
    <t xml:space="preserve">     0.400  2.285  1.417 -0.071  20.45    0.0155  0.70%  0.5  0.306%</t>
  </si>
  <si>
    <t xml:space="preserve">     0.500  2.201  1.415 -0.073  16.28    0.0148  0.58%  0.5  0.318%</t>
  </si>
  <si>
    <t xml:space="preserve">     0.600  2.135  1.392 -0.070  18.06    0.0158  0.44%  3.0  0.269%</t>
  </si>
  <si>
    <t xml:space="preserve">     0.800  2.029  1.353 -0.066  16.59    0.0166  0.28%  3.0  0.156%</t>
  </si>
  <si>
    <t xml:space="preserve">     1.000  1.951  1.313 -0.061  15.85    0.0173  0.32% 40.0  0.175%</t>
  </si>
  <si>
    <t xml:space="preserve">     1.500  1.832  1.215 -0.044  16.11    0.0131  0.34%  8.0  0.158%</t>
  </si>
  <si>
    <t xml:space="preserve">     2.000  1.761  1.149 -0.031  15.18    0.0082  0.39%  0.5  0.167%</t>
  </si>
  <si>
    <t xml:space="preserve">     3.000  1.660  1.059 -0.009  10.21   -0.0054  0.60%  1.0  0.248%</t>
  </si>
  <si>
    <t xml:space="preserve">     4.000  1.587  0.995  0.010  10.20   -0.0171  0.54%  4.0  0.300%</t>
  </si>
  <si>
    <t xml:space="preserve">     5.000  1.515  0.979  0.013  12.27   -0.0161  1.61%  0.5  0.605%</t>
  </si>
  <si>
    <t xml:space="preserve">     6.000  1.468  0.957  0.020  13.46   -0.0224  1.80%  0.5  0.742%</t>
  </si>
  <si>
    <t xml:space="preserve">     8.000  1.388  0.927  0.031  13.43   -0.0316  1.74%  0.5  0.901%</t>
  </si>
  <si>
    <t xml:space="preserve">    10.000  1.325  0.919  0.035  13.72   -0.0335  1.94%  0.5  0.975%</t>
  </si>
  <si>
    <t xml:space="preserve">    15.000  1.228  0.898  0.048  13.24   -0.0471  2.78%  0.5  1.079%</t>
  </si>
  <si>
    <t xml:space="preserve">     0.015  1.009  0.495  0.141  29.38   -0.2851  0.46%  0.5  0.285%</t>
  </si>
  <si>
    <t xml:space="preserve">     0.030  1.081  0.344  0.252  13.45   -0.1508  0.69%  0.5  0.281%</t>
  </si>
  <si>
    <t xml:space="preserve">                  ARGON MEDIUM, AIR RESPONSE</t>
  </si>
  <si>
    <t xml:space="preserve">     0.020  1.027  0.318  0.252  18.88   -0.1913  0.70%  2.0  0.291%</t>
  </si>
  <si>
    <t xml:space="preserve">     0.040  1.179  0.392  0.216  14.54   -0.1227  1.48%  0.5  0.661%</t>
  </si>
  <si>
    <t xml:space="preserve">     0.050  1.313  0.433  0.202  14.23   -0.1149  2.13%  0.5  0.866%</t>
  </si>
  <si>
    <t xml:space="preserve">     0.060  1.456  0.508  0.168  14.35   -0.0942  2.10%  0.5  0.898%</t>
  </si>
  <si>
    <t xml:space="preserve">     0.080  1.737  0.655  0.111  14.39   -0.0625  1.78%  0.5  0.821%</t>
  </si>
  <si>
    <t xml:space="preserve">     0.100  1.950  0.814  0.059  14.51   -0.0408  1.04%  0.5  0.663%</t>
  </si>
  <si>
    <t xml:space="preserve">     0.150  2.255  1.040  0.004  13.40   -0.0244  0.38%  2.0  0.170%</t>
  </si>
  <si>
    <t xml:space="preserve">     0.200  2.347  1.175 -0.021  12.06   -0.0193  1.56%  0.5  0.858%</t>
  </si>
  <si>
    <t xml:space="preserve">     0.300  2.314  1.322 -0.053  19.85    0.0016  1.66%  4.0  0.943%</t>
  </si>
  <si>
    <t xml:space="preserve">     0.400  2.213  1.375 -0.064  23.47    0.0154  1.80%  0.5  0.653%</t>
  </si>
  <si>
    <t xml:space="preserve">     0.500  2.145  1.378 -0.066  22.25    0.0179  1.29%  0.5  0.425%</t>
  </si>
  <si>
    <t xml:space="preserve">     0.600  2.088  1.369 -0.066  18.91    0.0152  0.98%  0.5  0.385%</t>
  </si>
  <si>
    <t xml:space="preserve">     0.800  1.994  1.341 -0.064  16.54    0.0166  0.42%  3.0  0.230%</t>
  </si>
  <si>
    <t xml:space="preserve">     1.000  1.925  1.303 -0.059  16.03    0.0166  0.46% 35.0  0.239%</t>
  </si>
  <si>
    <t xml:space="preserve">     1.500  1.814  1.211 -0.043  16.27    0.0125  0.33%  0.5  0.162%</t>
  </si>
  <si>
    <t xml:space="preserve">     2.000  1.749  1.147 -0.030  15.16    0.0065  0.40% 40.0  0.134%</t>
  </si>
  <si>
    <t xml:space="preserve">     3.000  1.657  1.052 -0.006  11.62   -0.0089  0.78%  1.0  0.355%</t>
  </si>
  <si>
    <t xml:space="preserve">     4.000  1.579  1.005  0.007  10.97   -0.0144  0.69%  1.0  0.405%</t>
  </si>
  <si>
    <t xml:space="preserve">     5.000  1.513  0.978  0.015  13.38   -0.0213  1.67%  0.5  0.742%</t>
  </si>
  <si>
    <t xml:space="preserve">     6.000  1.461  0.966  0.019  13.70   -0.0235  2.12%  0.5  0.812%</t>
  </si>
  <si>
    <t xml:space="preserve">     8.000  1.380  0.938  0.030  13.39   -0.0333  2.13%  0.5  1.040%</t>
  </si>
  <si>
    <t xml:space="preserve">    10.000  1.321  0.919  0.039  13.42   -0.0414  2.15%  1.0  1.040%</t>
  </si>
  <si>
    <t xml:space="preserve">    15.000  1.244  0.842  0.072  13.87   -0.0710  3.00%  3.0  1.737%</t>
  </si>
  <si>
    <t xml:space="preserve">                  POTASSIUM MEDIUM, AIR RESPONSE</t>
  </si>
  <si>
    <t xml:space="preserve">     0.015  1.012  0.130  0.620  11.39   -0.6162  0.43%  2.0  0.219%</t>
  </si>
  <si>
    <t xml:space="preserve">     0.020  1.024  0.289  0.289  12.38   -0.1453  0.41%  6.0  0.269%</t>
  </si>
  <si>
    <t xml:space="preserve">     0.030  1.067  0.384  0.215  12.44   -0.1141  0.71%  0.5  0.326%</t>
  </si>
  <si>
    <t xml:space="preserve">     0.040  1.151  0.382  0.222  13.92   -0.1229  1.26%  0.5  0.554%</t>
  </si>
  <si>
    <t xml:space="preserve">     0.050  1.269  0.408  0.217  14.20   -0.1274  1.77%  0.5  0.778%</t>
  </si>
  <si>
    <t xml:space="preserve">     0.060  1.392  0.483  0.178  14.36   -0.0988  1.82%  0.5  0.803%</t>
  </si>
  <si>
    <t xml:space="preserve">     0.080  1.644  0.609  0.129  14.32   -0.0742  2.23%  0.5  1.020%</t>
  </si>
  <si>
    <t xml:space="preserve">     0.100  1.853  0.757  0.077  14.33   -0.0502  2.55%  0.5  1.021%</t>
  </si>
  <si>
    <t xml:space="preserve">     0.150  2.146  1.005  0.010  13.70   -0.0216  0.96%  4.0  0.617%</t>
  </si>
  <si>
    <t xml:space="preserve">     0.200  2.235  1.166 -0.022  11.91   -0.0143  0.67%  1.0  0.438%</t>
  </si>
  <si>
    <t xml:space="preserve">     0.300  2.253  1.282 -0.043  10.15   -0.0111  1.68%  0.5  0.591%</t>
  </si>
  <si>
    <t xml:space="preserve">     0.400  2.199  1.343 -0.058  25.46    0.0094  1.31%  0.5  0.656%</t>
  </si>
  <si>
    <t xml:space="preserve">     0.500  2.122  1.361 -0.063  20.95    0.0137  1.19%  0.5  0.485%</t>
  </si>
  <si>
    <t xml:space="preserve">     0.600  2.070  1.353 -0.063  18.25    0.0123  0.74%  0.5  0.402%</t>
  </si>
  <si>
    <t xml:space="preserve">     0.800  1.979  1.328 -0.061  16.89    0.0137  0.71%  0.5  0.313%</t>
  </si>
  <si>
    <t xml:space="preserve">     1.000  1.914  1.294 -0.057  15.83    0.0146  0.54% 40.0  0.245%</t>
  </si>
  <si>
    <t xml:space="preserve">     1.500  1.804  1.214 -0.044  15.26    0.0131  0.45% 35.0  0.203%</t>
  </si>
  <si>
    <t xml:space="preserve">     2.000  1.744  1.144 -0.029  16.51    0.0061  0.34%  1.0  0.157%</t>
  </si>
  <si>
    <t xml:space="preserve">     3.000  1.658  1.047 -0.004  11.27   -0.0108  1.31%  1.0  0.488%</t>
  </si>
  <si>
    <t xml:space="preserve">     4.000  1.579  1.002  0.009  11.56   -0.0183  0.78%  0.5  0.492%</t>
  </si>
  <si>
    <t xml:space="preserve">     5.000  1.508  0.986  0.013  13.41   -0.0200  1.44%  1.0  0.683%</t>
  </si>
  <si>
    <t xml:space="preserve">     6.000  1.463  0.958  0.023  13.42   -0.0288  1.99%  0.5  0.865%</t>
  </si>
  <si>
    <t xml:space="preserve">     8.000  1.382  0.931  0.034  13.47   -0.0389  2.00%  0.5  0.978%</t>
  </si>
  <si>
    <t xml:space="preserve">    10.000  1.316  0.927  0.038  13.53   -0.0427  2.35%  0.5  1.085%</t>
  </si>
  <si>
    <t xml:space="preserve">    15.000  1.218  0.920  0.047  13.48   -0.0518  2.56%  1.0  1.163%</t>
  </si>
  <si>
    <t xml:space="preserve">                  CALCIUM MEDIUM, AIR RESPONSE</t>
  </si>
  <si>
    <t xml:space="preserve">     0.015  1.010  0.177  0.470  15.29   -0.4373  0.48%  4.0  0.260%</t>
  </si>
  <si>
    <t xml:space="preserve">     0.020  1.016  0.441  0.180  10.89   -0.0845  0.39%  1.0  0.262%</t>
  </si>
  <si>
    <t xml:space="preserve">     0.030  1.057  0.372  0.226  11.52   -0.1182  0.64%  3.0  0.277%</t>
  </si>
  <si>
    <t xml:space="preserve">     0.040  1.129  0.364  0.234  14.07   -0.1357  0.66%  3.0  0.344%</t>
  </si>
  <si>
    <t xml:space="preserve">     0.050  1.226  0.405  0.213  14.14   -0.1172  1.55%  0.5  0.669%</t>
  </si>
  <si>
    <t xml:space="preserve">     0.060  1.335  0.456  0.192  14.25   -0.1107  2.01%  0.5  0.871%</t>
  </si>
  <si>
    <t xml:space="preserve">     0.080  1.564  0.574  0.142  14.35   -0.0801  2.38%  0.5  1.070%</t>
  </si>
  <si>
    <t xml:space="preserve">     0.100  1.760  0.708  0.093  14.30   -0.0580  2.82%  0.5  1.112%</t>
  </si>
  <si>
    <t xml:space="preserve">     0.150  2.062  0.949  0.024  13.69   -0.0280  1.90%  0.5  0.795%</t>
  </si>
  <si>
    <t xml:space="preserve">     0.200  2.175  1.118 -0.012  12.58   -0.0188  1.88%  0.5  0.799%</t>
  </si>
  <si>
    <t xml:space="preserve">     0.300  2.204  1.257 -0.039  10.26   -0.0113  1.04%  0.5  0.521%</t>
  </si>
  <si>
    <t xml:space="preserve">     0.400  2.167  1.305 -0.049   9.80   -0.0059  1.30%  0.5  0.612%</t>
  </si>
  <si>
    <t xml:space="preserve">     0.500  2.101  1.344 -0.060  24.54    0.0172  1.04%  0.5  0.542%</t>
  </si>
  <si>
    <t xml:space="preserve">     0.600  2.058  1.333 -0.059  23.64    0.0150  1.03%  3.0  0.523%</t>
  </si>
  <si>
    <t xml:space="preserve">     0.800  1.963  1.322 -0.060  18.99    0.0166  1.17%  0.5  0.369%</t>
  </si>
  <si>
    <t xml:space="preserve">     1.000  1.904  1.289 -0.056  17.12    0.0159  0.77%  0.5  0.307%</t>
  </si>
  <si>
    <t xml:space="preserve">     1.500  1.796  1.210 -0.043  15.77    0.0128  0.33%  8.0  0.167%</t>
  </si>
  <si>
    <t xml:space="preserve">     2.000  1.737  1.148 -0.030  17.57    0.0079  0.45%  0.5  0.224%</t>
  </si>
  <si>
    <t xml:space="preserve">     3.000  1.640  1.070 -0.011  13.24   -0.0067  0.66% 40.0  0.317%</t>
  </si>
  <si>
    <t xml:space="preserve">     4.000  1.574  1.009  0.007  12.05   -0.0167  1.03%  0.5  0.579%</t>
  </si>
  <si>
    <t xml:space="preserve">     5.000  1.508  0.983  0.015  13.21   -0.0231  1.12%  0.5  0.665%</t>
  </si>
  <si>
    <t xml:space="preserve">     6.000  1.459  0.962  0.023  13.19   -0.0303  2.17%  0.5  0.918%</t>
  </si>
  <si>
    <t xml:space="preserve">     8.000  1.376  0.943  0.031  13.52   -0.0363  2.31%  0.5  1.091%</t>
  </si>
  <si>
    <t xml:space="preserve">    10.000  1.313  0.934  0.037  13.60   -0.0424  2.51%  0.5  1.147%</t>
  </si>
  <si>
    <t xml:space="preserve">    15.000  1.219  0.916  0.050  13.91   -0.0551  2.48%  1.0  1.277%</t>
  </si>
  <si>
    <t xml:space="preserve">     0.015  1.004  1.561 -0.554   5.60    0.3524  0.40%  1.0  0.129%</t>
  </si>
  <si>
    <t xml:space="preserve">                  IRON MEDIUM, AIR RESPONSE</t>
  </si>
  <si>
    <t xml:space="preserve">     0.020  1.012  0.130  0.620  11.39   -0.6162  0.43%  2.0  0.219%</t>
  </si>
  <si>
    <t xml:space="preserve">     0.030  1.028  0.374  0.190  29.34   -0.3170  0.65%  3.0  0.281%</t>
  </si>
  <si>
    <t xml:space="preserve">     0.040  1.058  0.336  0.248  11.65   -0.1188  0.50%  7.0  0.238%</t>
  </si>
  <si>
    <t xml:space="preserve">     0.050  1.099  0.366  0.232  14.01   -0.1354  0.65%  3.0  0.343%</t>
  </si>
  <si>
    <t xml:space="preserve">     0.060  1.148  0.405  0.208  14.17   -0.1142  1.53%  0.5  0.577%</t>
  </si>
  <si>
    <t xml:space="preserve">     0.080  1.267  0.470  0.180  14.48   -0.0974  2.32%  0.5  0.892%</t>
  </si>
  <si>
    <t xml:space="preserve">     0.100  1.389  0.557  0.144  14.11   -0.0791  2.58%  0.5  1.040%</t>
  </si>
  <si>
    <t xml:space="preserve">     0.150  1.660  0.743  0.079  14.12   -0.0476  2.93%  0.5  1.143%</t>
  </si>
  <si>
    <t xml:space="preserve">     0.200  1.839  0.911  0.034  13.23   -0.0334  2.60%  0.5  1.169%</t>
  </si>
  <si>
    <t xml:space="preserve">     0.300  1.973  1.095 -0.009  11.86   -0.0183  2.34%  0.5  0.955%</t>
  </si>
  <si>
    <t xml:space="preserve">     0.400  1.992  1.187 -0.027  10.72   -0.0140  1.84%  0.5  0.777%</t>
  </si>
  <si>
    <t xml:space="preserve">     0.500  1.957  1.261 -0.046  24.77    0.0084  2.23%  0.5  0.837%</t>
  </si>
  <si>
    <t xml:space="preserve">     0.600  1.932  1.274 -0.049  22.82    0.0097  1.79%  0.5  0.674%</t>
  </si>
  <si>
    <t xml:space="preserve">     0.800  1.884  1.270 -0.050  20.30    0.0120  1.27%  0.5  0.513%</t>
  </si>
  <si>
    <t xml:space="preserve">     1.000  1.841  1.250 -0.048  19.49    0.0140  1.16%  0.5  0.400%</t>
  </si>
  <si>
    <t xml:space="preserve">     1.500  1.750  1.197 -0.040  15.90    0.0110  1.05%  0.5  0.318%</t>
  </si>
  <si>
    <t xml:space="preserve">     2.000  1.703  1.143 -0.028  20.42    0.0070  0.88%  0.5  0.309%</t>
  </si>
  <si>
    <t xml:space="preserve">     3.000  1.627  1.059 -0.005  11.99   -0.0132  0.85%  0.5  0.507%</t>
  </si>
  <si>
    <t xml:space="preserve">     4.000  1.553  1.026  0.005  12.93   -0.0191  1.93%  0.5  0.791%</t>
  </si>
  <si>
    <t xml:space="preserve">     5.000  1.483  1.009  0.012  13.12   -0.0258  2.24%  0.5  0.939%</t>
  </si>
  <si>
    <t xml:space="preserve">     6.000  1.442  0.980  0.023  13.37   -0.0355  2.16%  0.5  1.120%</t>
  </si>
  <si>
    <t xml:space="preserve">     8.000  1.354  0.974  0.029  13.65   -0.0424  3.36%  0.5  1.370%</t>
  </si>
  <si>
    <t xml:space="preserve">    10.000  1.297  0.949  0.042  13.97   -0.0561  3.23%  0.5  1.500%</t>
  </si>
  <si>
    <t xml:space="preserve">    15.000  1.199  0.957  0.049  14.37   -0.0594  3.38%  0.5  1.553%</t>
  </si>
  <si>
    <t xml:space="preserve">     0.015  1.001  2.044 -0.310  11.15    0.2519  0.46%  3.0  0.175%</t>
  </si>
  <si>
    <t xml:space="preserve">     0.050  1.071  0.353  0.243  12.89   -0.1407  0.39%  0.5  0.163%</t>
  </si>
  <si>
    <t xml:space="preserve">                  COPPER MEDIUM, AIR RESPONSE</t>
  </si>
  <si>
    <t xml:space="preserve">     0.020  1.009  0.103  0.764  10.78   -1.0613  0.48%  7.0  0.243%</t>
  </si>
  <si>
    <t xml:space="preserve">     0.030  1.020  0.359  0.205  12.00   -0.0510  0.37%  8.0  0.247%</t>
  </si>
  <si>
    <t xml:space="preserve">     0.040  1.042  0.330  0.239  14.45   -0.0962  0.38%  4.0  0.215%</t>
  </si>
  <si>
    <t xml:space="preserve">     0.060  1.109  0.364  0.237  13.54   -0.1349  0.92%  0.5  0.410%</t>
  </si>
  <si>
    <t xml:space="preserve">     0.080  1.189  0.446  0.192  13.97   -0.1094  2.08%  0.5  0.748%</t>
  </si>
  <si>
    <t xml:space="preserve">     0.100  1.287  0.507  0.165  13.89   -0.0924  2.37%  0.5  0.921%</t>
  </si>
  <si>
    <t xml:space="preserve">     0.150  1.518  0.675  0.100  13.99   -0.0555  3.10%  0.5  1.109%</t>
  </si>
  <si>
    <t xml:space="preserve">     0.200  1.695  0.835  0.052  13.62   -0.0364  3.10%  0.5  1.163%</t>
  </si>
  <si>
    <t xml:space="preserve">     0.300  1.865  1.023  0.005  12.51   -0.0197  2.69%  0.5  1.004%</t>
  </si>
  <si>
    <t xml:space="preserve">     0.400  1.908  1.135 -0.018  11.46   -0.0137  2.16%  0.5  0.862%</t>
  </si>
  <si>
    <t xml:space="preserve">     0.500  1.899  1.215 -0.038  16.22    0.0026  2.42%  0.5  0.986%</t>
  </si>
  <si>
    <t xml:space="preserve">     0.600  1.882  1.235 -0.042  23.77    0.0062  2.44%  0.5  0.834%</t>
  </si>
  <si>
    <t xml:space="preserve">     0.800  1.854  1.239 -0.044  17.25    0.0057  1.35%  0.5  0.700%</t>
  </si>
  <si>
    <t xml:space="preserve">     1.000  1.813  1.226 -0.043  21.74    0.0120  1.23%  0.5  0.469%</t>
  </si>
  <si>
    <t xml:space="preserve">     1.500  1.733  1.185 -0.037  18.36    0.0106  0.84%  0.5  0.302%</t>
  </si>
  <si>
    <t xml:space="preserve">     2.000  1.694  1.128 -0.024  24.48    0.0026  1.10%  0.5  0.408%</t>
  </si>
  <si>
    <t xml:space="preserve">     3.000  1.617  1.059 -0.004  12.21   -0.0146  1.22%  0.5  0.608%</t>
  </si>
  <si>
    <t xml:space="preserve">     4.000  1.546  1.022  0.009  12.92   -0.0258  2.16%  0.5  0.976%</t>
  </si>
  <si>
    <t xml:space="preserve">     5.000  1.479  1.008  0.015  13.26   -0.0310  2.39%  0.5  1.105%</t>
  </si>
  <si>
    <t xml:space="preserve">     6.000  1.428  0.995  0.021  13.23   -0.0371  2.80%  0.5  1.201%</t>
  </si>
  <si>
    <t xml:space="preserve">     8.000  1.353  0.960  0.038  13.50   -0.0547  3.32%  0.5  1.576%</t>
  </si>
  <si>
    <t xml:space="preserve">    10.000  1.289  0.962  0.042  13.91   -0.0577  3.62%  0.5  1.627%</t>
  </si>
  <si>
    <t xml:space="preserve">    15.000  1.191  0.969  0.052  14.48   -0.0640  3.95%  1.0  1.757%</t>
  </si>
  <si>
    <t xml:space="preserve">                  MOLYBDENUM MEDIUM, AIR RESPONSE</t>
  </si>
  <si>
    <t xml:space="preserve">     0.015  1.009  0.366  0.223  12.62   -0.1086  0.0 % 10.0  0.018%</t>
  </si>
  <si>
    <t xml:space="preserve">     0.020  2.556  2.027  0.023  13.30   -0.0123  9.70%  3.0  4.622%</t>
  </si>
  <si>
    <t xml:space="preserve">     0.030  3.642  1.092  0.109  32.14   -0.2177  6.60%  0.5  3.404%</t>
  </si>
  <si>
    <t xml:space="preserve">     0.040  3.941  0.322  0.088  23.37   -0.0321  0.90% 10.0  0.446%</t>
  </si>
  <si>
    <t xml:space="preserve">     0.050  3.109  0.038 -0.317  11.96    0.0558  2.20%  1.0  0.949%</t>
  </si>
  <si>
    <t xml:space="preserve">     0.060  2.408  0.004  1.103  17.52   -0.1479  1.30%  1.0  0.417%</t>
  </si>
  <si>
    <t xml:space="preserve">     0.080  1.661  0.033  0.767  14.40   -0.2560  1.80%  0.5  0.760%</t>
  </si>
  <si>
    <t xml:space="preserve">     0.100  1.158  0.300  0.290  13.75   -0.1554  1.10%  0.5  0.445%</t>
  </si>
  <si>
    <t xml:space="preserve">     0.150  1.241  0.490  0.174  14.42   -0.0901  0.80%  0.5  0.408%</t>
  </si>
  <si>
    <t xml:space="preserve">     0.200  1.474  0.514  0.173  14.29   -0.0993  2.10%  0.5  0.843%</t>
  </si>
  <si>
    <t xml:space="preserve">     0.300  1.589  0.733  0.080  14.49   -0.0428  0.90%  5.0  0.391%</t>
  </si>
  <si>
    <t xml:space="preserve">     0.400  1.711  0.891  0.038  14.18   -0.0333  1.00%  5.0  0.476%</t>
  </si>
  <si>
    <t xml:space="preserve">     0.500  1.773  0.978  0.016  14.33   -0.0238  1.20%  5.0  0.433%</t>
  </si>
  <si>
    <t xml:space="preserve">     0.600  1.796  1.024  0.004  13.94   -0.0183  0.90%  5.0  0.384%</t>
  </si>
  <si>
    <t xml:space="preserve">     0.800  1.804  1.073 -0.008  14.02   -0.0129  0.90%  5.0  0.385%</t>
  </si>
  <si>
    <t xml:space="preserve">     1.000  1.784  1.092 -0.013  13.43   -0.0103  0.90%  3.0  0.394%</t>
  </si>
  <si>
    <t xml:space="preserve">     1.500  1.624  1.161 -0.030   7.13    0.0009  1.30%  0.5  0.459%</t>
  </si>
  <si>
    <t xml:space="preserve">     2.000  1.601  1.127 -0.021  12.62   -0.0054  0.70%  5.0  0.292%</t>
  </si>
  <si>
    <t xml:space="preserve">     3.000  1.557  1.065  0.0    12.84   -0.0283  1.90%  1.0  0.953%</t>
  </si>
  <si>
    <t xml:space="preserve">     4.000  1.505  1.023  0.016  13.36   -0.0428  2.70%  0.5  1.335%</t>
  </si>
  <si>
    <t xml:space="preserve">     5.000  1.519  0.942  0.046  13.59   -0.0702  3.40%  0.5  1.957%</t>
  </si>
  <si>
    <t xml:space="preserve">     6.000  1.497  0.921  0.057  13.82   -0.0796  4.00%  1.0  2.155%</t>
  </si>
  <si>
    <t xml:space="preserve">     8.000  1.531  0.878  0.080  14.15   -0.0985  4.40%  1.0  2.381%</t>
  </si>
  <si>
    <t xml:space="preserve">    10.000  1.502  0.965  0.059  14.21   -0.0784  3.90%  1.0  2.024%</t>
  </si>
  <si>
    <t xml:space="preserve">    15.000  1.573  1.118  0.035  14.16   -0.0599  3.30%  1.0  1.603%</t>
  </si>
  <si>
    <t xml:space="preserve">                  TIN MEDIUM, AIR RESPONSE</t>
  </si>
  <si>
    <t xml:space="preserve">     0.015  1.005  0.432  0.160  26.10   -0.1522  0.0 %  2.0  0.021%</t>
  </si>
  <si>
    <t xml:space="preserve">     0.020  1.011  0.389  0.192  14.26   -0.0695  0.10%  6.0  0.026%</t>
  </si>
  <si>
    <t xml:space="preserve">     0.030  2.897  1.873  0.040  10.77   -0.0311 11.30%  3.0  4.998%</t>
  </si>
  <si>
    <t xml:space="preserve">     0.040  3.574  1.221  0.097  26.32   -0.1252  8.80%  3.0  4.316%</t>
  </si>
  <si>
    <t xml:space="preserve">     0.050  3.487  0.491  0.280  16.80   -0.2372  2.30%  0.5  1.207%</t>
  </si>
  <si>
    <t xml:space="preserve">     0.060  2.945  0.234 -0.028   5.00   -0.0557  0.60% 40.0  0.363%</t>
  </si>
  <si>
    <t xml:space="preserve">     0.080  1.808  0.017  0.811  15.45   -0.1526  1.10%  1.0  0.364%</t>
  </si>
  <si>
    <t xml:space="preserve">     0.100  1.396  0.056  0.688  13.79   -0.3221  1.70%  2.0  0.774%</t>
  </si>
  <si>
    <t xml:space="preserve">     0.150  1.219  0.326  0.279  13.95   -0.1554  1.40%  0.5  0.599%</t>
  </si>
  <si>
    <t xml:space="preserve">     0.200  1.261  0.500  0.171  14.62   -0.0918  1.10%  0.5  0.484%</t>
  </si>
  <si>
    <t xml:space="preserve">     0.300  1.405  0.647  0.106  14.23   -0.0501  0.80%  5.0  0.391%</t>
  </si>
  <si>
    <t xml:space="preserve">     0.400  1.531  0.788  0.065  14.14   -0.0424  0.90%  5.0  0.475%</t>
  </si>
  <si>
    <t xml:space="preserve">     0.500  1.610  0.871  0.043  14.06   -0.0355  1.00%  5.0  0.476%</t>
  </si>
  <si>
    <t xml:space="preserve">     0.600  1.645  0.935  0.024  14.02   -0.0249  0.90%  5.0  0.427%</t>
  </si>
  <si>
    <t xml:space="preserve">     0.800  1.683  0.999  0.008  14.09   -0.0183  1.00%  5.0  0.393%</t>
  </si>
  <si>
    <t xml:space="preserve">     1.000  1.685  1.029  0.001  13.43   -0.0162  0.90%  5.0  0.362%</t>
  </si>
  <si>
    <t xml:space="preserve">     1.500  1.570  1.122 -0.021  14.30   -0.0045  0.90%  0.5  0.346%</t>
  </si>
  <si>
    <t xml:space="preserve">     2.000  1.556  1.108 -0.016  13.10   -0.0087  0.80%  1.0  0.352%</t>
  </si>
  <si>
    <t xml:space="preserve">     3.000  1.523  1.058  0.004  12.99   -0.0331  2.20%  0.5  1.149%</t>
  </si>
  <si>
    <t xml:space="preserve">     4.000  1.470  1.035  0.016  13.43   -0.0449  3.40%  0.5  1.516%</t>
  </si>
  <si>
    <t xml:space="preserve">     5.000  1.490  0.957  0.046  13.69   -0.0729  4.30%  0.5  2.163%</t>
  </si>
  <si>
    <t xml:space="preserve">     6.000  1.479  0.933  0.059  13.92   -0.0842  4.50%  0.5  2.328%</t>
  </si>
  <si>
    <t xml:space="preserve">     8.000  1.525  0.913  0.076  14.16   -0.0983  4.70%  1.0  2.538%</t>
  </si>
  <si>
    <t xml:space="preserve">    10.000  1.504  1.033  0.048  14.18   -0.0710  4.10%  1.0  2.083%</t>
  </si>
  <si>
    <t xml:space="preserve">    15.000  1.592  1.207  0.026  13.91   -0.0566  3.60%  1.0  1.671%</t>
  </si>
  <si>
    <t xml:space="preserve">                  LANTHANUM MEDIUM, AIR RESPONSE</t>
  </si>
  <si>
    <t xml:space="preserve">     0.015  1.003  0.501  0.128  11.60   -0.0387  0.10%  6.0  0.028%</t>
  </si>
  <si>
    <t xml:space="preserve">     0.020  1.007  0.414  0.172  17.10   -0.0603  0.10%  0.5  0.028%</t>
  </si>
  <si>
    <t xml:space="preserve">     0.030  1.022  0.322  0.244  13.95   -0.0909  0.10% 35.0  0.029%</t>
  </si>
  <si>
    <t xml:space="preserve">     0.040  2.921  1.788  0.049  10.98   -0.0358 12.30%  3.0  5.336%</t>
  </si>
  <si>
    <t xml:space="preserve">     0.050  3.127  1.311  0.089  20.24   -0.0771  9.10%  3.0  5.153%</t>
  </si>
  <si>
    <t xml:space="preserve">     0.060  2.825  0.774  0.184  16.36   -0.1517  2.80%  1.0  1.540%</t>
  </si>
  <si>
    <t xml:space="preserve">     0.080  2.048  0.212 -0.124  16.38    0.0663  0.70%  1.0  0.319%</t>
  </si>
  <si>
    <t xml:space="preserve">     0.100  1.470  0.039  0.661  14.46   -0.1664  0.70%  1.0  0.270%</t>
  </si>
  <si>
    <t xml:space="preserve">     0.150  1.194  0.236  0.361  13.74   -0.2061  1.40%  0.5  0.587%</t>
  </si>
  <si>
    <t xml:space="preserve">     0.200  1.194  0.450  0.195  14.20   -0.1044  1.10%  0.5  0.441%</t>
  </si>
  <si>
    <t xml:space="preserve">     0.300  1.308  0.580  0.131  13.84   -0.0623  0.60%  5.0  0.385%</t>
  </si>
  <si>
    <t xml:space="preserve">     0.400  1.416  0.713  0.087  14.12   -0.0505  0.80%  5.0  0.459%</t>
  </si>
  <si>
    <t xml:space="preserve">     0.500  1.488  0.803  0.060  14.10   -0.0399  0.90%  5.0  0.464%</t>
  </si>
  <si>
    <t xml:space="preserve">     0.600  1.534  0.865  0.041  13.81   -0.0304  0.90%  5.0  0.445%</t>
  </si>
  <si>
    <t xml:space="preserve">     0.800  1.588  0.934  0.023  13.66   -0.0234  0.90%  5.0  0.394%</t>
  </si>
  <si>
    <t xml:space="preserve">     1.000  1.602  0.974  0.014  13.24   -0.0222  0.70% 25.0  0.412%</t>
  </si>
  <si>
    <t xml:space="preserve">     1.500  1.538  1.072 -0.009  13.64   -0.0108  0.60%  1.0  0.277%</t>
  </si>
  <si>
    <t xml:space="preserve">     2.000  1.553  1.044  0.002  13.08   -0.0225  0.90%  4.0  0.628%</t>
  </si>
  <si>
    <t xml:space="preserve">     3.000  1.543  1.009  0.019  13.39   -0.0447  3.40%  0.5  1.518%</t>
  </si>
  <si>
    <t xml:space="preserve">     4.000  1.523  0.970  0.037  13.74   -0.0609  4.10%  0.5  1.821%</t>
  </si>
  <si>
    <t xml:space="preserve">     5.000  1.611  0.888  0.070  13.96   -0.0893  4.80%  0.5  2.332%</t>
  </si>
  <si>
    <t xml:space="preserve">     6.000  1.650  0.884  0.076  14.19   -0.0919  4.50%  0.5  2.307%</t>
  </si>
  <si>
    <t xml:space="preserve">     8.000  1.847  0.929  0.073  14.18   -0.0906  4.00%  0.5  2.245%</t>
  </si>
  <si>
    <t xml:space="preserve">    10.000  1.918  1.097  0.035  14.06   -0.0582  2.90%  0.5  1.639%</t>
  </si>
  <si>
    <t xml:space="preserve">    15.000  2.180  1.316  0.008  13.68   -0.0396  1.90%  1.0  1.063%</t>
  </si>
  <si>
    <t xml:space="preserve">                  GADOLINIUM MEDIUM, AIR RESPONSE</t>
  </si>
  <si>
    <t xml:space="preserve">     0.015  1.003  0.261  0.299  21.25   -0.2771  0.10%  1.0  0.034%</t>
  </si>
  <si>
    <t xml:space="preserve">     0.020  1.005  0.393  0.195  12.95   -0.0802  0.10% 15.0  0.028%</t>
  </si>
  <si>
    <t xml:space="preserve">     0.030  1.015  0.326  0.241  13.87   -0.0885  0.10% 35.0  0.022%</t>
  </si>
  <si>
    <t xml:space="preserve">     0.040  1.031  0.312  0.256  14.14   -0.0997  0.10%  8.0  0.032%</t>
  </si>
  <si>
    <t xml:space="preserve">     0.050  1.051  0.324  0.248  14.02   -0.1050  0.10% 10.0  0.065%</t>
  </si>
  <si>
    <t xml:space="preserve">     0.060  2.512  1.510  0.062  28.83   -0.1054 10.40% 20.0  5.657%</t>
  </si>
  <si>
    <t xml:space="preserve">     0.080  2.104  0.593  0.243  15.93   -0.2151  2.40% 35.0  1.390%</t>
  </si>
  <si>
    <t xml:space="preserve">     0.100  1.617  0.241 -0.007  19.33    0.0608  0.30%  0.5  0.173%</t>
  </si>
  <si>
    <t xml:space="preserve">     0.150  1.198  0.149  0.473  13.83   -0.2602  1.00%  0.5  0.498%</t>
  </si>
  <si>
    <t xml:space="preserve">     0.200  1.159  0.389  0.229  14.18   -0.1218  1.10%  0.5  0.442%</t>
  </si>
  <si>
    <t xml:space="preserve">     0.300  1.233  0.544  0.143  13.81   -0.0659  0.50%  0.5  0.335%</t>
  </si>
  <si>
    <t xml:space="preserve">     0.400  1.321  0.669  0.099  14.23   -0.0534  0.70% 35.0  0.413%</t>
  </si>
  <si>
    <t xml:space="preserve">     0.500  1.394  0.744  0.076  14.15   -0.0447  0.70%  5.0  0.443%</t>
  </si>
  <si>
    <t xml:space="preserve">     0.600  1.442  0.800  0.058  13.75   -0.0359  0.80%  5.0  0.461%</t>
  </si>
  <si>
    <t xml:space="preserve">     0.800  1.506  0.872  0.038  13.69   -0.0279  0.90%  5.0  0.431%</t>
  </si>
  <si>
    <t xml:space="preserve">     1.000  1.527  0.929  0.023  13.52   -0.0222  0.90%  5.0  0.414%</t>
  </si>
  <si>
    <t xml:space="preserve">     1.500  1.495  1.023  0.003  14.01   -0.0176  0.60% 35.0  0.279%</t>
  </si>
  <si>
    <t xml:space="preserve">     2.000  1.496  1.042  0.001  13.15   -0.0192  1.50%  0.5  0.657%</t>
  </si>
  <si>
    <t xml:space="preserve">     3.000  1.488  1.014  0.018  13.26   -0.0438  3.60%  0.5  1.536%</t>
  </si>
  <si>
    <t xml:space="preserve">     4.000  1.466  0.987  0.033  13.74   -0.0572  4.20%  0.5  1.804%</t>
  </si>
  <si>
    <t xml:space="preserve">     5.000  1.533  0.915  0.063  13.98   -0.0835  5.40%  0.5  2.377%</t>
  </si>
  <si>
    <t xml:space="preserve">     6.000  1.563  0.915  0.069  14.16   -0.0873  5.20%  0.5  2.378%</t>
  </si>
  <si>
    <t xml:space="preserve">     8.000  1.726  0.966  0.066  14.13   -0.0861  5.00%  0.5  2.398%</t>
  </si>
  <si>
    <t xml:space="preserve">    10.000  1.793  1.127  0.033  13.96   -0.0587  3.40%  0.5  1.736%</t>
  </si>
  <si>
    <t xml:space="preserve">    15.000  2.000  1.358  0.005  13.71   -0.0370  2.70%  1.0  1.253%</t>
  </si>
  <si>
    <t xml:space="preserve">     0.020  1.003  0.468  0.137  25.30   -0.0820  0.10%  3.0  0.028%</t>
  </si>
  <si>
    <t xml:space="preserve">                  TUNGSTEN MEDIUM, AIR RESPONSE</t>
  </si>
  <si>
    <t xml:space="preserve">     0.015  1.002  0.317  0.228  33.67   -0.4556  0.10%  2.0  0.032%</t>
  </si>
  <si>
    <t xml:space="preserve">     0.030  1.009  0.388  0.187  19.12   -0.0843  0.10%  1.0  0.031%</t>
  </si>
  <si>
    <t xml:space="preserve">     0.040  1.019  0.320  0.251  13.89   -0.1026  0.10%  1.0  0.038%</t>
  </si>
  <si>
    <t xml:space="preserve">     0.050  1.033  0.299  0.264  13.96   -0.1066  0.10%  7.0  0.053%</t>
  </si>
  <si>
    <t xml:space="preserve">     0.060  1.048  0.314  0.257  14.20   -0.1100  0.10% 35.0  0.088%</t>
  </si>
  <si>
    <t xml:space="preserve">     0.080  2.238  1.442  0.079  17.80   -0.0858 10.90% 25.0  6.249%</t>
  </si>
  <si>
    <t xml:space="preserve">     0.100  1.764  0.867  0.160  15.88   -0.1366  2.90%  4.0  1.753%</t>
  </si>
  <si>
    <t xml:space="preserve">     0.150  1.253  0.145  0.353  15.12   -0.0845  0.40%  0.5  0.152%</t>
  </si>
  <si>
    <t xml:space="preserve">     0.200  1.155  0.248  0.347  13.68   -0.1966  0.90%  0.5  0.466%</t>
  </si>
  <si>
    <t xml:space="preserve">     0.300  1.170  0.487  0.168  13.62   -0.0812  0.60%  0.5  0.326%</t>
  </si>
  <si>
    <t xml:space="preserve">     0.400  1.234  0.601  0.123  14.14   -0.0647  0.60% 25.0  0.378%</t>
  </si>
  <si>
    <t xml:space="preserve">     0.500  1.293  0.672  0.098  14.13   -0.0532  0.60% 25.0  0.405%</t>
  </si>
  <si>
    <t xml:space="preserve">     0.600  1.338  0.722  0.080  13.69   -0.0438  0.70%  5.0  0.415%</t>
  </si>
  <si>
    <t xml:space="preserve">     0.800  1.402  0.797  0.057  13.71   -0.0334  0.70% 25.0  0.410%</t>
  </si>
  <si>
    <t xml:space="preserve">     1.000  1.436  0.853  0.042  13.34   -0.0285  0.80%  5.0  0.426%</t>
  </si>
  <si>
    <t xml:space="preserve">     1.500  1.421  0.977  0.013  14.30   -0.0205  0.50%  4.0  0.258%</t>
  </si>
  <si>
    <t xml:space="preserve">     2.000  1.428  1.012  0.007  13.40   -0.0200  1.30%  0.5  0.665%</t>
  </si>
  <si>
    <t xml:space="preserve">     3.000  1.406  1.023  0.014  13.42   -0.0385  3.30%  0.5  1.351%</t>
  </si>
  <si>
    <t xml:space="preserve">     4.000  1.363  1.037  0.018  13.72   -0.0437  4.20%  0.5  1.555%</t>
  </si>
  <si>
    <t xml:space="preserve">     5.000  1.393  0.964  0.049  13.94   -0.0723  5.40%  0.5  2.246%</t>
  </si>
  <si>
    <t xml:space="preserve">     6.000  1.397  0.963  0.056  14.34   -0.0769  5.50%  0.5  2.371%</t>
  </si>
  <si>
    <t xml:space="preserve">     8.000  1.465  0.990  0.063  14.15   -0.0848  5.80%  0.5  2.583%</t>
  </si>
  <si>
    <t xml:space="preserve">    10.000  1.475  1.151  0.031  14.10   -0.0561  4.50%  0.5  1.890%</t>
  </si>
  <si>
    <t xml:space="preserve">    15.000  1.589  1.335  0.016  13.60   -0.0494  3.40%  0.5  1.708%</t>
  </si>
  <si>
    <t xml:space="preserve">                  LEAD MEDIUM, AIR RESPONSE</t>
  </si>
  <si>
    <t xml:space="preserve">     0.015  1.007  0.322  0.246  13.67   -0.1030  0.0 %  0.5  0.020%</t>
  </si>
  <si>
    <t xml:space="preserve">     0.020  1.007  0.322  0.246  13.67   -0.1030  0.0 %  0.5  0.020%</t>
  </si>
  <si>
    <t xml:space="preserve">     0.030  1.007  0.322  0.246  13.67   -0.1030  0.0 %  0.5  0.020%</t>
  </si>
  <si>
    <t xml:space="preserve">     0.040  1.014  0.317  0.245  14.95   -0.0867  0.10%  0.5  0.035%</t>
  </si>
  <si>
    <t xml:space="preserve">     0.050  1.023  0.312  0.252  14.17   -0.1005  0.10%  0.5  0.044%</t>
  </si>
  <si>
    <t xml:space="preserve">     0.060  1.033  0.320  0.260  13.89   -0.1223  0.10%  4.0  0.058%</t>
  </si>
  <si>
    <t xml:space="preserve">     0.080  1.058  0.362  0.233  13.91   -0.1127  0.20%  0.5  0.115%</t>
  </si>
  <si>
    <t xml:space="preserve">     0.100  1.930  1.499  0.061  29.65   -0.1162 10.10% 40.0  4.366%</t>
  </si>
  <si>
    <t xml:space="preserve">     0.150  1.402  0.352  0.269  17.09   -0.0247  1.10%  0.5  0.581%</t>
  </si>
  <si>
    <t xml:space="preserve">     0.200  1.201  0.158  0.426  14.12   -0.1873  0.30% 10.0  0.202%</t>
  </si>
  <si>
    <t xml:space="preserve">     0.300  1.148  0.422  0.203  13.49   -0.1013  0.80%  0.5  0.364%</t>
  </si>
  <si>
    <t xml:space="preserve">     0.400  1.187  0.562  0.137  14.19   -0.0706  0.60%  0.5  0.351%</t>
  </si>
  <si>
    <t xml:space="preserve">     0.500  1.233  0.634  0.109  14.20   -0.0556  0.60%  0.5  0.380%</t>
  </si>
  <si>
    <t xml:space="preserve">     0.600  1.269  0.685  0.089  13.78   -0.0440  0.60%  1.0  0.360%</t>
  </si>
  <si>
    <t xml:space="preserve">     0.800  1.329  0.759  0.065  13.69   -0.0317  0.80%  1.0  0.394%</t>
  </si>
  <si>
    <t xml:space="preserve">     1.000  1.367  0.811  0.051  13.67   -0.0283  0.80%  1.0  0.416%</t>
  </si>
  <si>
    <t xml:space="preserve">     1.500  1.369  0.942  0.020  14.65   -0.0207  0.90%  1.0  0.336%</t>
  </si>
  <si>
    <t xml:space="preserve">     2.000  1.384  0.980  0.014  13.51   -0.0216  1.70%  0.5  0.675%</t>
  </si>
  <si>
    <t xml:space="preserve">     3.000  1.367  1.006  0.017  13.33   -0.0377  3.40%  0.5  1.304%</t>
  </si>
  <si>
    <t xml:space="preserve">     4.000  1.337  1.009  0.024  14.15   -0.0455  3.70%  0.5  1.464%</t>
  </si>
  <si>
    <t xml:space="preserve">     5.000  1.360  0.957  0.049  14.04   -0.0683  5.40%  0.5  2.117%</t>
  </si>
  <si>
    <t xml:space="preserve">     6.000  1.363  0.965  0.054  14.21   -0.0716  5.70%  0.5  2.211%</t>
  </si>
  <si>
    <t xml:space="preserve">     8.000  1.441  0.994  0.061  14.18   -0.0800  5.80%  0.5  2.450%</t>
  </si>
  <si>
    <t xml:space="preserve">    10.000  1.464  1.148  0.032  14.08   -0.0554  4.10%  0.5  1.733%</t>
  </si>
  <si>
    <t xml:space="preserve">    15.000  1.573  1.337  0.016  13.54   -0.0463  3.50%  0.5  1.755%</t>
  </si>
  <si>
    <t xml:space="preserve">     0.015  1.005  0.336  0.224  25.06   -0.2039  0.0 %  8.0  0.021%</t>
  </si>
  <si>
    <t xml:space="preserve">     0.020  1.005  0.336  0.224  25.06   -0.2039  0.0 %  8.0  0.021%</t>
  </si>
  <si>
    <t xml:space="preserve">     0.030  1.005  0.336  0.224  25.06   -0.2039  0.0 %  8.0  0.021%</t>
  </si>
  <si>
    <t xml:space="preserve">                  URANIUM MEDIUM, AIR RESPONSE</t>
  </si>
  <si>
    <t xml:space="preserve">     0.040  1.010  0.296  0.272  14.23   -0.1199  0.10%  2.0  0.028%</t>
  </si>
  <si>
    <t xml:space="preserve">     0.050  1.016  0.313  0.248  13.81   -0.0893  0.10% 10.0  0.029%</t>
  </si>
  <si>
    <t xml:space="preserve">     0.060  1.022  0.336  0.244  14.48   -0.1157  0.10%  2.0  0.036%</t>
  </si>
  <si>
    <t xml:space="preserve">     0.080  1.039  0.357  0.236  13.87   -0.1154  0.20%  0.5  0.093%</t>
  </si>
  <si>
    <t xml:space="preserve">     0.100  1.057  0.390  0.217  13.78   -0.1096  0.20%  3.0  0.125%</t>
  </si>
  <si>
    <t xml:space="preserve">     0.150  1.598  1.030  0.122  16.02   -0.0996  4.00%  1.0  2.002%</t>
  </si>
  <si>
    <t xml:space="preserve">     0.200  1.324  0.366  0.167  13.28   -0.0655  0.20%  3.0  0.108%</t>
  </si>
  <si>
    <t xml:space="preserve">     0.300  1.160  0.284  0.304  13.28   -0.1643  0.80%  0.5  0.419%</t>
  </si>
  <si>
    <t xml:space="preserve">     0.400  1.157  0.490  0.171  13.96   -0.0911  0.90%  0.5  0.417%</t>
  </si>
  <si>
    <t xml:space="preserve">     0.500  1.185  0.577  0.131  14.05   -0.0682  0.70%  0.5  0.389%</t>
  </si>
  <si>
    <t xml:space="preserve">     0.600  1.207  0.643  0.101  13.80   -0.0473  0.60%  1.0  0.332%</t>
  </si>
  <si>
    <t xml:space="preserve">     0.800  1.261  0.705  0.080  13.89   -0.0362  0.70%  1.0  0.353%</t>
  </si>
  <si>
    <t xml:space="preserve">     1.000  1.298  0.754  0.066  13.69   -0.0325  0.70%  1.0  0.404%</t>
  </si>
  <si>
    <t xml:space="preserve">     1.500  1.320  0.873  0.038  14.78   -0.0282  0.60% 10.0  0.345%</t>
  </si>
  <si>
    <t xml:space="preserve">     2.000  1.338  0.923  0.028  13.56   -0.0274  1.60%  0.5  0.691%</t>
  </si>
  <si>
    <t xml:space="preserve">     3.000  1.326  0.968  0.024  13.45   -0.0372  3.20%  0.5  1.172%</t>
  </si>
  <si>
    <t xml:space="preserve">     4.000  1.299  0.984  0.027  13.84   -0.0418  3.50%  0.5  1.280%</t>
  </si>
  <si>
    <t xml:space="preserve">     5.000  1.327  0.932  0.052  14.08   -0.0638  5.10%  0.5  1.903%</t>
  </si>
  <si>
    <t xml:space="preserve">     6.000  1.339  0.935  0.058  14.53   -0.0676  5.10%  0.5  1.982%</t>
  </si>
  <si>
    <t xml:space="preserve">     8.000  1.422  0.973  0.063  14.26   -0.0761  5.30%  0.5  2.190%</t>
  </si>
  <si>
    <t xml:space="preserve">    10.000  1.451  1.133  0.032  14.31   -0.0502  3.70%  0.5  1.486%</t>
  </si>
  <si>
    <t xml:space="preserve">    15.000  1.557  1.328  0.015  13.75   -0.0405  3.60%  0.5  1.573%</t>
  </si>
  <si>
    <t xml:space="preserve">                  WATER MEDIUM, AIR RESPONSE</t>
  </si>
  <si>
    <t xml:space="preserve">     0.015  1.182  0.463  0.175  14.23   -0.0908  1.69%  0.5  0.634%</t>
  </si>
  <si>
    <t xml:space="preserve">     0.020  1.427  0.549  0.143  14.86   -0.0707  2.31%  0.5  0.780%</t>
  </si>
  <si>
    <t xml:space="preserve">     0.030  2.335  0.736  0.087  13.28   -0.0419  2.34%  0.5  1.180%</t>
  </si>
  <si>
    <t xml:space="preserve">     0.040  3.477  1.117 -0.019  11.67    0.0026  0.89%  0.5  0.298%</t>
  </si>
  <si>
    <t xml:space="preserve">     0.050  4.461  1.457 -0.084  13.62    0.0341  1.26% 10.0  0.850%</t>
  </si>
  <si>
    <t xml:space="preserve">     0.060  4.983  1.730 -0.126  13.64    0.0561  2.22% 10.0  1.563%</t>
  </si>
  <si>
    <t xml:space="preserve">     0.080  5.059  2.059 -0.168  13.67    0.0770  2.94% 35.0  1.946%</t>
  </si>
  <si>
    <t xml:space="preserve">     0.100  4.663  2.221 -0.186  13.33    0.0826  3.02% 10.0  1.925%</t>
  </si>
  <si>
    <t xml:space="preserve">     0.150  3.897  2.242 -0.185  14.19    0.0777  2.55% 15.0  1.584%</t>
  </si>
  <si>
    <t xml:space="preserve">     0.200  3.478  2.154 -0.176  14.50    0.0774  2.50%  0.5  1.492%</t>
  </si>
  <si>
    <t xml:space="preserve">     0.300  2.920  2.022 -0.164  14.21    0.0655  2.46%  1.0  1.471%</t>
  </si>
  <si>
    <t xml:space="preserve">     0.400  2.660  1.882 -0.149  14.24    0.0595  2.17% 35.0  1.372%</t>
  </si>
  <si>
    <t xml:space="preserve">     0.500  2.500  1.766 -0.135  14.33    0.0546  2.46%  1.0  1.380%</t>
  </si>
  <si>
    <t xml:space="preserve">     0.600  2.377  1.679 -0.124  14.23    0.0503  2.02%  1.0  1.265%</t>
  </si>
  <si>
    <t xml:space="preserve">     0.800  2.212  1.544 -0.105  14.36    0.0437  1.97%  0.5  1.186%</t>
  </si>
  <si>
    <t xml:space="preserve">     1.000  2.103  1.441 -0.089  14.22    0.0378  1.55%  0.5  0.895%</t>
  </si>
  <si>
    <t xml:space="preserve">     1.500  1.939  1.269 -0.058  14.52    0.0246  1.91%  0.5  0.757%</t>
  </si>
  <si>
    <t xml:space="preserve">     2.000  1.839  1.173 -0.039  14.07    0.0161  1.45%  0.5  0.522%</t>
  </si>
  <si>
    <t xml:space="preserve">     3.000  1.710  1.056 -0.013  11.82    0.0047  0.70%  0.5  0.239%</t>
  </si>
  <si>
    <t xml:space="preserve">     4.000  1.621  0.989  0.004  13.45   -0.0041  0.55%  1.0  0.211%</t>
  </si>
  <si>
    <t xml:space="preserve">     5.000  1.554  0.939  0.018  13.55   -0.0122  0.51% 30.0  0.333%</t>
  </si>
  <si>
    <t xml:space="preserve">     6.000  1.507  0.903  0.029  16.13   -0.0272  0.85% 25.0  0.475%</t>
  </si>
  <si>
    <t xml:space="preserve">     8.000  1.422  0.879  0.035  13.36   -0.0191  0.89%  0.5  0.445%</t>
  </si>
  <si>
    <t xml:space="preserve">    10.000  1.362  0.859  0.042  13.37   -0.0247  0.90%  0.5  0.453%</t>
  </si>
  <si>
    <t xml:space="preserve">    15.000  1.267  0.843  0.047  15.08   -0.0336  1.02%  1.0  0.604%</t>
  </si>
  <si>
    <t xml:space="preserve">                  CONCRETE MEDIUM, AIR RESPONSE</t>
  </si>
  <si>
    <t xml:space="preserve">     0.020  1.067  0.389  0.214  12.68   -0.1126  0.72%  0.5  0.359%</t>
  </si>
  <si>
    <t xml:space="preserve">     0.030  1.212  0.421  0.201  14.12   -0.1079  1.56%  0.5  0.610%</t>
  </si>
  <si>
    <t xml:space="preserve">     0.040  1.455  0.493  0.171  14.53   -0.0925  2.01%  0.5  0.831%</t>
  </si>
  <si>
    <t xml:space="preserve">     0.050  1.737  0.628  0.115  15.82   -0.0600  0.97%  2.0  0.499%</t>
  </si>
  <si>
    <t xml:space="preserve">     0.060  2.125  0.664  0.118  11.90   -0.0615  2.90%  0.5  1.389%</t>
  </si>
  <si>
    <t xml:space="preserve">     0.080  2.557  0.895  0.042  14.37   -0.0413  1.86%  0.5  0.958%</t>
  </si>
  <si>
    <t xml:space="preserve">     0.100  2.766  1.069  0.001  12.64   -0.0251  1.14% 35.0  0.623%</t>
  </si>
  <si>
    <t xml:space="preserve">     0.150  2.812  1.319 -0.050   8.75   -0.0040  0.41%  5.0  0.269%</t>
  </si>
  <si>
    <t xml:space="preserve">     0.200  2.716  1.430 -0.070  18.52    0.0108  0.50%  0.5  0.164%</t>
  </si>
  <si>
    <t xml:space="preserve">     0.300  2.522  1.492 -0.082  16.59    0.0161  0.49% 40.0  0.246%</t>
  </si>
  <si>
    <t xml:space="preserve">     0.400  2.372  1.494 -0.085  15.96    0.0194  0.40% 25.0  0.195%</t>
  </si>
  <si>
    <t xml:space="preserve">     0.500  2.271  1.466 -0.082  16.25    0.0195  0.28% 15.0  0.163%</t>
  </si>
  <si>
    <t xml:space="preserve">     0.600  2.192  1.434 -0.078  17.02    0.0199  0.55%  1.0  0.242%</t>
  </si>
  <si>
    <t xml:space="preserve">     0.800  2.066  1.386 -0.073  15.07    0.0202  0.68% 35.0  0.296%</t>
  </si>
  <si>
    <t xml:space="preserve">     1.000  1.982  1.332 -0.065  15.38    0.0193  0.46% 35.0  0.189%</t>
  </si>
  <si>
    <t xml:space="preserve">     1.500  1.848  1.227 -0.047  16.41    0.0160  0.64%  0.5  0.317%</t>
  </si>
  <si>
    <t xml:space="preserve">     2.000  1.775  1.154 -0.033  14.35    0.0100  0.64% 40.0  0.194%</t>
  </si>
  <si>
    <t xml:space="preserve">     3.000  1.671  1.054 -0.010  10.47   -0.0008  0.31%  3.0  0.152%</t>
  </si>
  <si>
    <t xml:space="preserve">     4.000  1.597  0.988  0.008  12.53   -0.0115  0.81%  1.0  0.433%</t>
  </si>
  <si>
    <t xml:space="preserve">     5.000  1.531  0.945  0.022  10.26   -0.0199  0.59% 40.0  0.335%</t>
  </si>
  <si>
    <t xml:space="preserve">     6.000  1.478  0.940  0.021  13.11   -0.0163  1.30%  0.5  0.560%</t>
  </si>
  <si>
    <t xml:space="preserve">     8.000  1.395  0.917  0.028  13.45   -0.0213  1.42%  0.5  0.604%</t>
  </si>
  <si>
    <t xml:space="preserve">    10.000  1.334  0.901  0.035  12.56   -0.0267  1.48%  0.5  0.623%</t>
  </si>
  <si>
    <t xml:space="preserve">    15.000  1.260  0.823  0.065  14.28   -0.0581  1.96%  3.0  1.151%</t>
  </si>
  <si>
    <t xml:space="preserve">                  AIR MEDIUM, AIR RESPONSE</t>
  </si>
  <si>
    <t xml:space="preserve">     0.015  1.170  0.459  0.175  13.73   -0.0862  1.45%  0.5  0.512%</t>
  </si>
  <si>
    <t xml:space="preserve">     0.020  1.407  0.512  0.161  14.40   -0.0819  2.15%  0.5  0.830%</t>
  </si>
  <si>
    <t xml:space="preserve">     0.030  2.292  0.693  0.102  13.34   -0.0484  2.48%  0.5  1.240%</t>
  </si>
  <si>
    <t xml:space="preserve">     0.040  3.390  1.052 -0.004  19.76   -0.0068  0.95%  0.5  0.383%</t>
  </si>
  <si>
    <t xml:space="preserve">     0.050  4.322  1.383 -0.071  13.51    0.0270  1.19%  4.0  0.782%</t>
  </si>
  <si>
    <t xml:space="preserve">     0.060  4.837  1.653 -0.115  13.66    0.0511  2.37%  0.5  1.422%</t>
  </si>
  <si>
    <t xml:space="preserve">     0.080  4.929  1.983 -0.159  13.74    0.0730  2.73% 10.0  1.909%</t>
  </si>
  <si>
    <t xml:space="preserve">     0.100  4.580  2.146 -0.178  12.83    0.0759  2.69%  1.0  1.733%</t>
  </si>
  <si>
    <t xml:space="preserve">     0.150  3.894  2.148 -0.173  14.46    0.0698  2.51% 35.0  1.506%</t>
  </si>
  <si>
    <t xml:space="preserve">     0.200  3.345  2.147 -0.176  14.08    0.0719  2.51% 35.0  1.540%</t>
  </si>
  <si>
    <t xml:space="preserve">     0.300  2.887  1.990 -0.160  14.13    0.0633  2.29% 25.0  1.450%</t>
  </si>
  <si>
    <t xml:space="preserve">     0.400  2.635  1.860 -0.146  14.24    0.0583  2.17% 35.0  1.377%</t>
  </si>
  <si>
    <t xml:space="preserve">     0.500  2.496  1.736 -0.130  14.32    0.0505  2.30%  1.0  1.267%</t>
  </si>
  <si>
    <t xml:space="preserve">     0.600  2.371  1.656 -0.120  14.27    0.0472  1.80% 25.0  1.198%</t>
  </si>
  <si>
    <t xml:space="preserve">     0.800  2.207  1.532 -0.103  14.12    0.0425  1.92%  0.5  1.131%</t>
  </si>
  <si>
    <t xml:space="preserve">     1.000  2.102  1.428 -0.086  14.35    0.0344  1.63%  0.5  0.858%</t>
  </si>
  <si>
    <t xml:space="preserve">     1.500  1.939  1.265 -0.057  14.24    0.0232  1.22%  0.5  0.610%</t>
  </si>
  <si>
    <t xml:space="preserve">     2.000  1.835  1.173 -0.039  14.07    0.0161  1.31%  0.5  0.534%</t>
  </si>
  <si>
    <t xml:space="preserve">     3.000  1.712  1.051 -0.011  13.67    0.0024  0.81%  0.5  0.254%</t>
  </si>
  <si>
    <t xml:space="preserve">     4.000  1.627  0.983  0.006  13.51   -0.0051  0.44%  5.0  0.257%</t>
  </si>
  <si>
    <t xml:space="preserve">     5.000  1.558  0.943  0.017  13.82   -0.0117  0.76%  1.0  0.371%</t>
  </si>
  <si>
    <t xml:space="preserve">     6.000  1.505  0.915  0.025  16.37   -0.0231  0.99%  1.0  0.513%</t>
  </si>
  <si>
    <t xml:space="preserve">     8.000  1.418  0.891  0.032  12.06   -0.0167  1.12%  0.5  0.418%</t>
  </si>
  <si>
    <t xml:space="preserve">    10.000  1.358  0.875  0.037  14.01   -0.0226  1.16%  0.5  0.547%</t>
  </si>
  <si>
    <t xml:space="preserve">    15.000  1.267  0.844  0.048  14.55   -0.0344  1.08%  4.0  0.651%</t>
  </si>
  <si>
    <t>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</t>
  </si>
  <si>
    <t>-----</t>
  </si>
  <si>
    <t xml:space="preserve">     0.015  1.009  0.366  0.223  12.62   -0.1086   0.0   10.  0.02</t>
  </si>
  <si>
    <t xml:space="preserve">     0.019  1.017  0.383  0.193  15.61   -0.0672   0.0    2.  0.02</t>
  </si>
  <si>
    <t xml:space="preserve">     0.02   2.556  2.027  0.023  13.30   -0.0123   9.7    3.  4.62</t>
  </si>
  <si>
    <t xml:space="preserve">     0.021  2.758  1.901  0.036  10.61   -0.0286  10.7    3.  4.71</t>
  </si>
  <si>
    <t xml:space="preserve">     0.022  2.977  1.762  0.051  10.41   -0.0427  12.4    3.  5.32</t>
  </si>
  <si>
    <t xml:space="preserve">     0.024  3.266  1.584  0.065  10.03   -0.0440  12.5    3.  5.50</t>
  </si>
  <si>
    <t xml:space="preserve">     0.026  3.290  1.499  0.059  34.29   -0.1015  10.5   40.  5.65</t>
  </si>
  <si>
    <t xml:space="preserve">     0.028  3.638  1.258  0.089  28.63   -0.1109   9.5    3.  4.52</t>
  </si>
  <si>
    <t xml:space="preserve">     0.03   3.642  1.092  0.109  32.14   -0.2177   6.6   0.5  3.40</t>
  </si>
  <si>
    <t xml:space="preserve">     0.035  3.958  0.529  0.259  17.14   -0.2127   2.0   0.5  0.94</t>
  </si>
  <si>
    <t xml:space="preserve">     0.04   3.941  0.322  0.088  23.37   -0.0321   0.9   10.  0.45</t>
  </si>
  <si>
    <t xml:space="preserve">     0.05   3.109  0.038 -0.317  11.96    0.0558   2.2    1.  0.95</t>
  </si>
  <si>
    <t xml:space="preserve">     0.06   2.408  0.004  1.103  17.52   -0.1479   1.3    1.  0.42</t>
  </si>
  <si>
    <t xml:space="preserve">     0.08   1.661  0.033  0.767  14.40   -0.2560   1.8   0.5  0.76</t>
  </si>
  <si>
    <t xml:space="preserve">     0.1    1.158  0.300  0.290  13.75   -0.1554   1.1   0.5  0.44</t>
  </si>
  <si>
    <t xml:space="preserve">     0.15   1.241  0.490  0.174  14.42   -0.0901   0.8   0.5  0.41</t>
  </si>
  <si>
    <t xml:space="preserve">     0.2    1.474  0.514  0.173  14.29   -0.0993   2.1   0.5  0.84</t>
  </si>
  <si>
    <t xml:space="preserve">     0.3    1.589  0.733  0.080  14.49   -0.0428   0.9    5.  0.39</t>
  </si>
  <si>
    <t xml:space="preserve">     0.4    1.711  0.891  0.038  14.18   -0.0333   1.0    5.  0.48</t>
  </si>
  <si>
    <t xml:space="preserve">     0.5    1.773  0.978  0.016  14.33   -0.0238   1.2    5.  0.43</t>
  </si>
  <si>
    <t xml:space="preserve">     0.6    1.796  1.024  0.004  13.94   -0.0183   0.9    5.  0.38</t>
  </si>
  <si>
    <t xml:space="preserve">     0.8    1.804  1.073 -0.008  14.02   -0.0129   0.9    5.  0.38</t>
  </si>
  <si>
    <t xml:space="preserve">      1.    1.784  1.092 -0.013  13.43   -0.0103   0.9    3.  0.39</t>
  </si>
  <si>
    <t xml:space="preserve">     1.5    1.624  1.161 -0.030   7.13    0.0009   1.3   0.5  0.46</t>
  </si>
  <si>
    <t xml:space="preserve">      2.    1.601  1.127 -0.021  12.62   -0.0054   0.7    5.  0.29</t>
  </si>
  <si>
    <t xml:space="preserve">      3.    1.557  1.065  0.0    12.84   -0.0283   1.9    1.  0.95</t>
  </si>
  <si>
    <t xml:space="preserve">      4.    1.505  1.023  0.016  13.36   -0.0428   2.7   0.5  1.34</t>
  </si>
  <si>
    <t xml:space="preserve">      5.    1.519  0.942  0.046  13.59   -0.0702   3.4   0.5  1.96</t>
  </si>
  <si>
    <t xml:space="preserve">      6.    1.497  0.921  0.057  13.82   -0.0796   4.0    1.  2.15</t>
  </si>
  <si>
    <t xml:space="preserve">      8.    1.531  0.878  0.080  14.15   -0.0985   4.4    1.  2.38</t>
  </si>
  <si>
    <t xml:space="preserve">     10.    1.502  0.965  0.059  14.21   -0.0784   3.9    1.  2.02</t>
  </si>
  <si>
    <t xml:space="preserve">     15.    1.573  1.118  0.035  14.16   -0.0599   3.3    1.  1.60</t>
  </si>
  <si>
    <t>_x000C_</t>
  </si>
  <si>
    <t xml:space="preserve">                  TIN MEDUM, AIR RESPONSE</t>
  </si>
  <si>
    <t xml:space="preserve">     0.015  1.005  0.432  0.160  26.10   -0.1522   0.0    2.  0.02</t>
  </si>
  <si>
    <t xml:space="preserve">     0.02   1.011  0.389  0.192  14.26   -0.0695   0.1    6.  0.03</t>
  </si>
  <si>
    <t xml:space="preserve">     0.029  1.030  0.333  0.239  14.11   -0.0965   0.1    2.  0.04</t>
  </si>
  <si>
    <t xml:space="preserve">     0.03   2.897  1.873  0.040  10.77   -0.0311  11.3    3.  5.00</t>
  </si>
  <si>
    <t xml:space="preserve">     0.035  3.281  1.569  0.061  14.08   -0.0411  13.8   40.  7.28</t>
  </si>
  <si>
    <t xml:space="preserve">     0.04   3.574  1.221  0.097  26.32   -0.1252   8.8    3.  4.32</t>
  </si>
  <si>
    <t xml:space="preserve">     0.045  3.498  0.863  0.159  17.41   -0.1220   3.4    4.  2.00</t>
  </si>
  <si>
    <t xml:space="preserve">     0.05   3.487  0.491  0.280  16.80   -0.2372   2.3   0.5  1.21</t>
  </si>
  <si>
    <t xml:space="preserve">     0.055  3.212  0.321  0.232  14.20    0.1250   2.2   0.5  1.39</t>
  </si>
  <si>
    <t xml:space="preserve">     0.06   2.945  0.234 -0.028   5.00   -0.0557   0.6   40.  0.36</t>
  </si>
  <si>
    <t xml:space="preserve">     0.07   2.248  0.049 -0.565   9.48    0.0993   0.8    2.  0.39</t>
  </si>
  <si>
    <t xml:space="preserve">     0.08   1.808  0.017  0.811  15.45   -0.1526   1.1    1.  0.36</t>
  </si>
  <si>
    <t xml:space="preserve">     0.09   1.542  0.032  0.775  14.12   -0.2754   1.6   0.5  0.60</t>
  </si>
  <si>
    <t xml:space="preserve">     0.1    1.396  0.056  0.688  13.79   -0.3221   1.7    2.  0.77</t>
  </si>
  <si>
    <t xml:space="preserve">     0.15   1.219  0.326  0.279  13.95   -0.1554   1.4   0.5  0.60</t>
  </si>
  <si>
    <t xml:space="preserve">     0.2    1.261  0.500  0.171  14.62   -0.0918   1.1   0.5  0.48</t>
  </si>
  <si>
    <t xml:space="preserve">     0.3    1.405  0.647  0.106  14.23   -0.0501   0.8    5.  0.39</t>
  </si>
  <si>
    <t xml:space="preserve">     0.4    1.531  0.788  0.065  14.14   -0.0424   0.9    5.  0.48</t>
  </si>
  <si>
    <t xml:space="preserve">     0.5    1.610  0.871  0.043  14.06   -0.0355   1.0    5.  0.48</t>
  </si>
  <si>
    <t xml:space="preserve">     0.6    1.645  0.935  0.024  14.02   -0.0249   0.9    5.  0.43</t>
  </si>
  <si>
    <t xml:space="preserve">     0.8    1.683  0.999  0.008  14.09   -0.0183   1.0    5.  0.39</t>
  </si>
  <si>
    <t xml:space="preserve">      1.    1.685  1.029  0.001  13.43   -0.0162   0.9    5.  0.36</t>
  </si>
  <si>
    <t xml:space="preserve">     1.5    1.570  1.122 -0.021  14.30   -0.0045   0.9   0.5  0.35</t>
  </si>
  <si>
    <t xml:space="preserve">      2.    1.556  1.108 -0.016  13.10   -0.0087   0.8    1.  0.35</t>
  </si>
  <si>
    <t xml:space="preserve">      3.    1.523  1.058  0.004  12.99   -0.0331   2.2   0.5  1.15</t>
  </si>
  <si>
    <t xml:space="preserve">      4.    1.470  1.035  0.016  13.43   -0.0449   3.4   0.5  1.52</t>
  </si>
  <si>
    <t xml:space="preserve">      5.    1.490  0.957  0.046  13.69   -0.0729   4.3   0.5  2.16</t>
  </si>
  <si>
    <t xml:space="preserve">      6.    1.479  0.933  0.059  13.92   -0.0842   4.5   0.5  2.33</t>
  </si>
  <si>
    <t xml:space="preserve">      8.    1.525  0.913  0.076  14.16   -0.0983   4.7    1.  2.54</t>
  </si>
  <si>
    <t xml:space="preserve">     10.    1.504  1.033  0.048  14.18   -0.0710   4.1    1.  2.08</t>
  </si>
  <si>
    <t xml:space="preserve">     15.    1.592  1.207  0.026  13.91   -0.0566   3.6    1.  1.67</t>
  </si>
  <si>
    <t xml:space="preserve">     0.015  1.003  0.501  0.128  11.60   -0.0387   0.1    6.  0.03</t>
  </si>
  <si>
    <t xml:space="preserve">     0.02   1.007  0.414  0.172  17.10   -0.0603   0.1   0.5  0.03</t>
  </si>
  <si>
    <t xml:space="preserve">     0.03   1.022  0.322  0.244  13.95   -0.0909   0.1   35.  0.03</t>
  </si>
  <si>
    <t xml:space="preserve">     0.038  1.039  0.326  0.239  15.04   -0.0953   0.1   25.  0.05</t>
  </si>
  <si>
    <t xml:space="preserve">     0.039  2.829  1.842  0.046   9.59   -0.0394  11.6    3.  4.92</t>
  </si>
  <si>
    <t xml:space="preserve">     0.04   2.921  1.788  0.049  10.98   -0.0358  12.3    3.  5.34</t>
  </si>
  <si>
    <t xml:space="preserve">     0.042  3.041  1.678  0.059  11.23   -0.0405  13.0    3.  5.73</t>
  </si>
  <si>
    <t xml:space="preserve">     0.044  2.993  1.632  0.057  14.01   -0.0389  11.9   20.  6.79</t>
  </si>
  <si>
    <t xml:space="preserve">     0.046  3.042  1.526  0.066  21.62   -0.0704  10.5   25.  6.32</t>
  </si>
  <si>
    <t xml:space="preserve">     0.048  3.118  1.412  0.077  25.91   -0.0902  10.5    3.  5.01</t>
  </si>
  <si>
    <t xml:space="preserve">     0.05   3.127  1.311  0.089  20.24   -0.0771   9.1    3.  5.15</t>
  </si>
  <si>
    <t xml:space="preserve">     0.055  3.000  1.038  0.128  17.58   -0.0930   6.2    3.  2.97</t>
  </si>
  <si>
    <t xml:space="preserve">     0.06   2.825  0.774  0.184  16.36   -0.1517   2.8    1.  1.54</t>
  </si>
  <si>
    <t xml:space="preserve">     0.07   2.422  0.299  0.349  28.55   -0.3688   4.1   0.5  2.22</t>
  </si>
  <si>
    <t xml:space="preserve">     0.08   2.048  0.212 -0.124  16.38    0.0663   0.7    1.  0.32</t>
  </si>
  <si>
    <t xml:space="preserve">     0.09   1.686  0.075  0.026   8.77    0.1150   0.6   15.  0.36</t>
  </si>
  <si>
    <t xml:space="preserve">     0.1    1.470  0.039  0.661  14.46   -0.1664   0.7    1.  0.27</t>
  </si>
  <si>
    <t xml:space="preserve">     0.15   1.194  0.236  0.361  13.74   -0.2061   1.4   0.5  0.59</t>
  </si>
  <si>
    <t xml:space="preserve">     0.2    1.194  0.450  0.195  14.20   -0.1044   1.1   0.5  0.44</t>
  </si>
  <si>
    <t xml:space="preserve">     0.3    1.308  0.580  0.131  13.84   -0.0623   0.6    5.  0.38</t>
  </si>
  <si>
    <t xml:space="preserve">     0.4    1.416  0.713  0.087  14.12   -0.0505   0.8    5.  0.46</t>
  </si>
  <si>
    <t xml:space="preserve">     0.5    1.488  0.803  0.060  14.10   -0.0399   0.9    5.  0.46</t>
  </si>
  <si>
    <t xml:space="preserve">     0.6    1.534  0.865  0.041  13.81   -0.0304   0.9    5.  0.44</t>
  </si>
  <si>
    <t xml:space="preserve">     0.8    1.588  0.934  0.023  13.66   -0.0234   0.9    5.  0.39</t>
  </si>
  <si>
    <t xml:space="preserve">      1.    1.602  0.974  0.014  13.24   -0.0222   0.7   25.  0.41</t>
  </si>
  <si>
    <t xml:space="preserve">     1.5    1.538  1.072 -0.009  13.64   -0.0108   0.6    1.  0.28</t>
  </si>
  <si>
    <t xml:space="preserve">      2.    1.553  1.044  0.002  13.08   -0.0225   0.9    4.  0.63</t>
  </si>
  <si>
    <t xml:space="preserve">      3.    1.543  1.009  0.019  13.39   -0.0447   3.4   0.5  1.52</t>
  </si>
  <si>
    <t xml:space="preserve">      4.    1.523  0.970  0.037  13.74   -0.0609   4.1   0.5  1.82</t>
  </si>
  <si>
    <t xml:space="preserve">      5.    1.611  0.888  0.070  13.96   -0.0893   4.8   0.5  2.33</t>
  </si>
  <si>
    <t xml:space="preserve">      6.    1.650  0.884  0.076  14.19   -0.0919   4.5   0.5  2.31</t>
  </si>
  <si>
    <t xml:space="preserve">      8.    1.847  0.929  0.073  14.18   -0.0906   4.0   0.5  2.24</t>
  </si>
  <si>
    <t xml:space="preserve">     10.    1.918  1.097  0.035  14.06   -0.0582   2.9   0.5  1.64</t>
  </si>
  <si>
    <t xml:space="preserve">     15.    2.180  1.316  0.008  13.68   -0.0396   1.9    1.  1.06</t>
  </si>
  <si>
    <t xml:space="preserve">     0.015  1.003  0.261  0.299  21.25   -0.2771   0.1    1.  0.03</t>
  </si>
  <si>
    <t xml:space="preserve">     0.02   1.005  0.393  0.195  12.95   -0.0802   0.1   15.  0.03</t>
  </si>
  <si>
    <t xml:space="preserve">     0.03   1.015  0.326  0.241  13.87   -0.0885   0.1   35.  0.02</t>
  </si>
  <si>
    <t xml:space="preserve">     0.04   1.031  0.312  0.256  14.14   -0.0997   0.1    8.  0.03</t>
  </si>
  <si>
    <t xml:space="preserve">     0.05   1.051  0.324  0.248  14.02   -0.1050   0.1   10.  0.06</t>
  </si>
  <si>
    <t xml:space="preserve">     0.051  2.757  1.753  0.054   9.91   -0.0401  12.1    3.  5.31</t>
  </si>
  <si>
    <t xml:space="preserve">     0.052  2.769  1.719  0.056  12.05   -0.0413  13.0    3.  5.98</t>
  </si>
  <si>
    <t xml:space="preserve">     0.054  2.693  1.696  0.052  13.52   -0.0347  11.7   20.  6.37</t>
  </si>
  <si>
    <t xml:space="preserve">     0.056  2.643  1.629  0.056  32.16   -0.1844  13.4   40.  6.54</t>
  </si>
  <si>
    <t xml:space="preserve">     0.058  2.505  1.624  0.049  23.79   -0.0550  15.9   20.  7.72</t>
  </si>
  <si>
    <t xml:space="preserve">     0.06   2.512  1.510  0.062  28.83   -0.1054  10.4   20.  5.66</t>
  </si>
  <si>
    <t xml:space="preserve">     0.065  2.553  1.207  0.106  18.01   -0.0839   8.5    3.  4.16</t>
  </si>
  <si>
    <t xml:space="preserve">     0.07   2.323  1.035  0.128  17.88   -0.1051   4.2    4.  2.77</t>
  </si>
  <si>
    <t xml:space="preserve">     0.075  2.191  0.816  0.174  16.26   -0.1458   3.1    1.  1.63</t>
  </si>
  <si>
    <t xml:space="preserve">     0.08   2.104  0.593  0.243  15.93   -0.2151   2.4   35.  1.39</t>
  </si>
  <si>
    <t xml:space="preserve">     0.09   1.804  0.320  0.294  28.34   -0.0207   3.3    2.  1.56</t>
  </si>
  <si>
    <t xml:space="preserve">     0.1    1.617  0.241 -0.007  19.33    0.0608   0.3   0.5  0.17  </t>
  </si>
  <si>
    <t xml:space="preserve">     0.15   1.198  0.149  0.473  13.83   -0.2602   1.0   0.5  0.50  </t>
  </si>
  <si>
    <t xml:space="preserve">     0.2    1.159  0.389  0.229  14.18   -0.1218   1.1   0.5  0.44  </t>
  </si>
  <si>
    <t xml:space="preserve">     0.3    1.233  0.544  0.143  13.81   -0.0659   0.5   0.5  0.33</t>
  </si>
  <si>
    <t xml:space="preserve">     0.4    1.321  0.669  0.099  14.23   -0.0534   0.7   35.  0.41</t>
  </si>
  <si>
    <t xml:space="preserve">     0.5    1.394  0.744  0.076  14.15   -0.0447   0.7    5.  0.44</t>
  </si>
  <si>
    <t xml:space="preserve">     0.6    1.442  0.800  0.058  13.75   -0.0359   0.8    5.  0.46</t>
  </si>
  <si>
    <t xml:space="preserve">     0.8    1.506  0.872  0.038  13.69   -0.0279   0.9    5.  0.43</t>
  </si>
  <si>
    <t xml:space="preserve">      1.    1.527  0.929  0.023  13.52   -0.0222   0.9    5.  0.41</t>
  </si>
  <si>
    <t xml:space="preserve">     1.5    1.495  1.023  0.003  14.01   -0.0176   0.6   35.  0.28</t>
  </si>
  <si>
    <t xml:space="preserve">      2.    1.496  1.042  0.001  13.15   -0.0192   1.5   0.5  0.66</t>
  </si>
  <si>
    <t xml:space="preserve">      3.    1.488  1.014  0.018  13.26   -0.0438   3.6   0.5  1.54</t>
  </si>
  <si>
    <t xml:space="preserve">      4.    1.466  0.987  0.033  13.74   -0.0572   4.2   0.5  1.80</t>
  </si>
  <si>
    <t xml:space="preserve">      5.    1.533  0.915  0.063  13.98   -0.0835   5.4   0.5  2.38</t>
  </si>
  <si>
    <t xml:space="preserve">      6.    1.563  0.915  0.069  14.16   -0.0873   5.2   0.5  2.38</t>
  </si>
  <si>
    <t xml:space="preserve">      8.    1.726  0.966  0.066  14.13   -0.0861   5.0   0.5  2.40</t>
  </si>
  <si>
    <t xml:space="preserve">     10.    1.793  1.127  0.033  13.96   -0.0587   3.4   0.5  1.74</t>
  </si>
  <si>
    <t xml:space="preserve">     15.    2.000  1.358  0.005  13.71   -0.0370   2.7    1.  1.25</t>
  </si>
  <si>
    <t xml:space="preserve">     0.02   1.003  0.468  0.137  25.30   -0.0820   0.1    3.  0.03</t>
  </si>
  <si>
    <t xml:space="preserve">     0.015  1.002  0.317  0.228  33.67   -0.4556   0.1    2.  0.03</t>
  </si>
  <si>
    <t xml:space="preserve">     0.03   1.009  0.388  0.187  19.12   -0.0843   0.1    1.  0.03</t>
  </si>
  <si>
    <t xml:space="preserve">     0.04   1.019  0.320  0.251  13.89   -0.1026   0.1    1.  0.04</t>
  </si>
  <si>
    <t xml:space="preserve">     0.05   1.033  0.299  0.264  13.96   -0.1066   0.1    7.  0.05</t>
  </si>
  <si>
    <t xml:space="preserve">     0.06   1.048  0.314  0.257  14.20   -0.1100   0.1   35.  0.09</t>
  </si>
  <si>
    <t xml:space="preserve">     0.069  1.060  0.352  0.236  14.20   -0.1079   0.2   0.5  0.13</t>
  </si>
  <si>
    <t xml:space="preserve">     0.07   2.446  1.708  0.058  11.02   -0.0404  12.3    3.  5.68</t>
  </si>
  <si>
    <t xml:space="preserve">     0.075  2.310  1.603  0.062  15.06   -0.0503  11.3   20.  6.27</t>
  </si>
  <si>
    <t xml:space="preserve">     0.08   2.238  1.442  0.079  17.80   -0.0858  10.9   25.  6.25</t>
  </si>
  <si>
    <t xml:space="preserve">     0.09   1.951  1.179  0.104  17.18   -0.0757   5.4    4.  2.69</t>
  </si>
  <si>
    <t xml:space="preserve">     0.1    1.764  0.867  0.160  15.88   -0.1366   2.9    4.  1.75</t>
  </si>
  <si>
    <t xml:space="preserve">     0.11   1.610  0.562  0.247  15.87   -0.2118   3.1   35.  1.41</t>
  </si>
  <si>
    <t xml:space="preserve">     0.12   1.501  0.340  0.305  24.33   -0.1784   1.6   0.5  0.84</t>
  </si>
  <si>
    <t xml:space="preserve">     0.13   1.393  0.306  0.122   9.72   -0.0574   0.2   30.  0.10</t>
  </si>
  <si>
    <t xml:space="preserve">     0.14   1.314  0.210  0.156  10.36    0.0356   0.2   0.5  0.08</t>
  </si>
  <si>
    <t xml:space="preserve">     0.15   1.253  0.145  0.353  15.12   -0.0845   0.4   0.5  0.15</t>
  </si>
  <si>
    <t xml:space="preserve">     0.2    1.155  0.248  0.347  13.68   -0.1966   0.9   0.5  0.47</t>
  </si>
  <si>
    <t xml:space="preserve">     0.3    1.170  0.487  0.168  13.62   -0.0812   0.6   0.5  0.33</t>
  </si>
  <si>
    <t xml:space="preserve">     0.4    1.234  0.601  0.123  14.14   -0.0647   0.6   25.  0.38</t>
  </si>
  <si>
    <t xml:space="preserve">     0.5    1.293  0.672  0.098  14.13   -0.0532   0.6   25.  0.40</t>
  </si>
  <si>
    <t xml:space="preserve">     0.6    1.338  0.722  0.080  13.69   -0.0438   0.7    5.  0.42</t>
  </si>
  <si>
    <t xml:space="preserve">     0.8    1.402  0.797  0.057  13.71   -0.0334   0.7   25.  0.41</t>
  </si>
  <si>
    <t xml:space="preserve">      1.    1.436  0.853  0.042  13.34   -0.0285   0.8    5.  0.43</t>
  </si>
  <si>
    <t xml:space="preserve">     1.5    1.421  0.977  0.013  14.30   -0.0205   0.5    4.  0.26</t>
  </si>
  <si>
    <t xml:space="preserve">      2.    1.428  1.012  0.007  13.40   -0.0200   1.3   0.5  0.67</t>
  </si>
  <si>
    <t xml:space="preserve">      3.    1.406  1.023  0.014  13.42   -0.0385   3.3   0.5  1.35</t>
  </si>
  <si>
    <t xml:space="preserve">      4.    1.363  1.037  0.018  13.72   -0.0437   4.2   0.5  1.56</t>
  </si>
  <si>
    <t xml:space="preserve">      5.    1.393  0.964  0.049  13.94   -0.0723   5.4   0.5  2.25</t>
  </si>
  <si>
    <t xml:space="preserve">      6.    1.397  0.963  0.056  14.34   -0.0769   5.5   0.5  2.37</t>
  </si>
  <si>
    <t xml:space="preserve">      8.    1.465  0.990  0.063  14.15   -0.0848   5.8   0.5  2.58</t>
  </si>
  <si>
    <t xml:space="preserve">     10.    1.475  1.151  0.031  14.10   -0.0561   4.5   0.5  1.89</t>
  </si>
  <si>
    <t xml:space="preserve">     15.    1.589  1.335  0.016  13.60   -0.0494   3.4   0.5  1.71</t>
  </si>
  <si>
    <t xml:space="preserve">     0.015  1.007  0.322  0.246  13.67   -0.1030   0.0   0.5  0.02</t>
  </si>
  <si>
    <t xml:space="preserve">     0.02   1.007  0.322  0.246  13.67   -0.1030   0.0   0.5  0.02</t>
  </si>
  <si>
    <t xml:space="preserve">     0.03   1.007  0.322  0.246  13.67   -0.1030   0.0   0.5  0.02</t>
  </si>
  <si>
    <t xml:space="preserve">     0.04   1.014  0.317  0.245  14.95   -0.0867   0.1   0.5  0.04</t>
  </si>
  <si>
    <t xml:space="preserve">     0.05   1.023  0.312  0.252  14.17   -0.1005   0.1   0.5  0.04</t>
  </si>
  <si>
    <t xml:space="preserve">     0.06   1.033  0.320  0.260  13.89   -0.1223   0.1    4.  0.06</t>
  </si>
  <si>
    <t xml:space="preserve">     0.08   1.058  0.362  0.233  13.91   -0.1127   0.2   0.5  0.12</t>
  </si>
  <si>
    <t xml:space="preserve">     0.088  1.067  0.382  0.220  14.14   -0.1048   0.3   0.5  0.15</t>
  </si>
  <si>
    <t xml:space="preserve">     0.089  2.368  1.580  0.075  12.44   -0.0635  14.1    3.  6.38</t>
  </si>
  <si>
    <t xml:space="preserve">     0.09   2.187  1.693  0.050  18.21   -0.0415   9.4   20.  5.51</t>
  </si>
  <si>
    <t xml:space="preserve">     0.1    1.930  1.499  0.061  29.65   -0.1162  10.1   40.  4.37</t>
  </si>
  <si>
    <t xml:space="preserve">     0.11   1.821  1.196  0.102  16.64   -0.0756   5.5    4.  2.72</t>
  </si>
  <si>
    <t xml:space="preserve">     0.12   1.644  0.970  0.136  16.10   -0.1135   3.6    1.  1.90</t>
  </si>
  <si>
    <t xml:space="preserve">     0.13   1.540  0.718  0.194  15.69   -0.1685   2.7    1.  1.60</t>
  </si>
  <si>
    <t xml:space="preserve">     0.14   1.472  0.479  0.273  16.50   -0.2153   1.7   35.  1.05</t>
  </si>
  <si>
    <t xml:space="preserve">     0.15   1.402  0.352  0.269  17.09   -0.0247   1.1   0.5  0.58</t>
  </si>
  <si>
    <t xml:space="preserve">     0.16   1.334  0.329  0.145  11.38   -0.0643   0.2   30.  0.10</t>
  </si>
  <si>
    <t xml:space="preserve">     0.2    1.201  0.158  0.426  14.12   -0.1873   0.3   10.  0.20</t>
  </si>
  <si>
    <t xml:space="preserve">     0.3    1.148  0.422  0.203  13.49   -0.1013   0.8   0.5  0.36</t>
  </si>
  <si>
    <t xml:space="preserve">     0.4    1.187  0.562  0.137  14.19   -0.0706   0.6   0.5  0.35</t>
  </si>
  <si>
    <t xml:space="preserve">     0.5    1.233  0.634  0.109  14.20   -0.0556   0.6   0.5  0.38</t>
  </si>
  <si>
    <t xml:space="preserve">     0.6    1.269  0.685  0.089  13.78   -0.0440   0.6    1.  0.36</t>
  </si>
  <si>
    <t xml:space="preserve">     0.8    1.329  0.759  0.065  13.69   -0.0317   0.8    1.  0.39</t>
  </si>
  <si>
    <t xml:space="preserve">      1.    1.367  0.811  0.051  13.67   -0.0283   0.8    1.  0.42</t>
  </si>
  <si>
    <t xml:space="preserve">     1.5    1.369  0.942  0.020  14.65   -0.0207   0.9    1.  0.34</t>
  </si>
  <si>
    <t xml:space="preserve">      2.    1.384  0.980  0.014  13.51   -0.0216   1.7   0.5  0.68</t>
  </si>
  <si>
    <t xml:space="preserve">      3.    1.367  1.006  0.017  13.33   -0.0377   3.4   0.5  1.30</t>
  </si>
  <si>
    <t xml:space="preserve">      4.    1.337  1.009  0.024  14.15   -0.0455   3.7   0.5  1.46</t>
  </si>
  <si>
    <t xml:space="preserve">      5.    1.360  0.957  0.049  14.04   -0.0683   5.4   0.5  2.12</t>
  </si>
  <si>
    <t xml:space="preserve">      6.    1.363  0.965  0.054  14.21   -0.0716   5.7   0.5  2.21</t>
  </si>
  <si>
    <t xml:space="preserve">      8.    1.441  0.994  0.061  14.18   -0.0800   5.8   0.5  2.45</t>
  </si>
  <si>
    <t xml:space="preserve">     10.    1.464  1.148  0.032  14.08   -0.0554   4.1   0.5  1.73</t>
  </si>
  <si>
    <t xml:space="preserve">     15.    1.573  1.337  0.016  13.54   -0.0463   3.5   0.5  1.76</t>
  </si>
  <si>
    <t xml:space="preserve">     0.015  1.005  0.336  0.224  25.06   -0.2039   0.0    8.  0.02</t>
  </si>
  <si>
    <t xml:space="preserve">     0.02   1.005  0.336  0.224  25.06   -0.2039   0.0    8.  0.02</t>
  </si>
  <si>
    <t xml:space="preserve">     0.03   1.005  0.336  0.224  25.06   -0.2039   0.0    8.  0.02</t>
  </si>
  <si>
    <t xml:space="preserve">     0.04   1.010  0.296  0.272  14.23   -0.1199   0.1    2.  0.03</t>
  </si>
  <si>
    <t xml:space="preserve">     0.05   1.016  0.313  0.248  13.81   -0.0893   0.1   10.  0.03</t>
  </si>
  <si>
    <t xml:space="preserve">     0.06   1.022  0.336  0.244  14.48   -0.1157   0.1    2.  0.04</t>
  </si>
  <si>
    <t xml:space="preserve">     0.08   1.039  0.357  0.236  13.87   -0.1154   0.2   0.5  0.09</t>
  </si>
  <si>
    <t xml:space="preserve">     0.1    1.057  0.390  0.217  13.78   -0.1096   0.2    3.  0.13</t>
  </si>
  <si>
    <t xml:space="preserve">     0.115  1.071  0.435  0.194  14.51   -0.0996   0.3   0.5  0.14</t>
  </si>
  <si>
    <t xml:space="preserve">     0.116  2.070  1.630  0.057  14.52   -0.0412  10.1    3.  5.12</t>
  </si>
  <si>
    <t xml:space="preserve">     0.12   1.921  1.623  0.050  29.71   -0.1023   7.4   20.  4.41</t>
  </si>
  <si>
    <t xml:space="preserve">     0.13   1.917  1.318  0.093  15.12   -0.0711   9.7    3.  4.35</t>
  </si>
  <si>
    <t xml:space="preserve">     0.14   1.734  1.184  0.103  16.31   -0.0814   5.7    4.  2.79</t>
  </si>
  <si>
    <t xml:space="preserve">     0.15   1.598  1.030  0.122  16.02   -0.0996   4.0    1.  2.00</t>
  </si>
  <si>
    <t xml:space="preserve">     0.16   1.529  0.826  0.164  15.64   -0.1408   2.9    1.  1.68</t>
  </si>
  <si>
    <t xml:space="preserve">     0.17   1.461  0.649  0.209  15.75   -0.1759   2.3   35.  1.54</t>
  </si>
  <si>
    <t xml:space="preserve">     0.18   1.423  0.470  0.269  16.82   -0.2004   1.4   35.  0.85</t>
  </si>
  <si>
    <t xml:space="preserve">     0.19   1.377  0.374  0.267  18.15   -0.0639   1.1   0.5  0.52</t>
  </si>
  <si>
    <t xml:space="preserve">     0.2    1.324  0.366  0.167  13.28   -0.0655   0.2    3.  0.11</t>
  </si>
  <si>
    <t xml:space="preserve">     0.25   1.206  0.191  0.378  14.46   -0.1639   0.3   35.  0.17</t>
  </si>
  <si>
    <t xml:space="preserve">     0.3    1.160  0.284  0.304  13.28   -0.1643   0.8   0.5  0.42</t>
  </si>
  <si>
    <t xml:space="preserve">     0.4    1.157  0.490  0.171  13.96   -0.0911   0.9   0.5  0.42</t>
  </si>
  <si>
    <t xml:space="preserve">     0.5    1.185  0.577  0.131  14.05   -0.0682   0.7   0.5  0.39</t>
  </si>
  <si>
    <t xml:space="preserve">     0.6    1.207  0.643  0.101  13.80   -0.0473   0.6    1.  0.33</t>
  </si>
  <si>
    <t xml:space="preserve">     0.8    1.261  0.705  0.080  13.89   -0.0362   0.7    1.  0.35</t>
  </si>
  <si>
    <t xml:space="preserve">      1.    1.298  0.754  0.066  13.69   -0.0325   0.7    1.  0.40</t>
  </si>
  <si>
    <t xml:space="preserve">     1.5    1.320  0.873  0.038  14.78   -0.0282   0.6   10.  0.35</t>
  </si>
  <si>
    <t xml:space="preserve">      2.    1.338  0.923  0.028  13.56   -0.0274   1.6   0.5  0.69</t>
  </si>
  <si>
    <t xml:space="preserve">      3.    1.326  0.968  0.024  13.45   -0.0372   3.2   0.5  1.17</t>
  </si>
  <si>
    <t xml:space="preserve">      4.    1.299  0.984  0.027  13.84   -0.0418   3.5   0.5  1.28</t>
  </si>
  <si>
    <t xml:space="preserve">      5.    1.327  0.932  0.052  14.08   -0.0638   5.1   0.5  1.90</t>
  </si>
  <si>
    <t xml:space="preserve">      6.    1.339  0.935  0.058  14.53   -0.0676   5.1   0.5  1.98</t>
  </si>
  <si>
    <t xml:space="preserve">      8.    1.422  0.973  0.063  14.26   -0.0761   5.3   0.5  2.19</t>
  </si>
  <si>
    <t xml:space="preserve">     10.    1.451  1.133  0.032  14.31   -0.0502   3.7   0.5  1.49</t>
  </si>
  <si>
    <t xml:space="preserve">     15.    1.557  1.328  0.015  13.75   -0.0405   3.6   0.5  1.57</t>
  </si>
  <si>
    <t>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</t>
  </si>
  <si>
    <t>G-P Exposure Buildup Factor Coefficients</t>
  </si>
  <si>
    <t>G-P Energy Absorption Buildup Factor Coefficients</t>
  </si>
  <si>
    <t>Carbon</t>
  </si>
  <si>
    <t>Nitrogen</t>
  </si>
  <si>
    <t>Oxygen</t>
  </si>
  <si>
    <t>Sodium</t>
  </si>
  <si>
    <t>Magnesium</t>
  </si>
  <si>
    <t>Exposure Buildup Factor Coefficients</t>
  </si>
  <si>
    <t>Silicon</t>
  </si>
  <si>
    <t>Phosphorus</t>
  </si>
  <si>
    <t>SuJphur</t>
  </si>
  <si>
    <t>Argon</t>
  </si>
  <si>
    <t>Potassium</t>
  </si>
  <si>
    <t>Calcium</t>
  </si>
  <si>
    <t>G·P Exposure Buildup Factor Coefficients</t>
  </si>
  <si>
    <t>Molybdenum</t>
  </si>
  <si>
    <t>G-P Exposure Buildup Factor Coctric:icnta</t>
  </si>
  <si>
    <t>Tin</t>
  </si>
  <si>
    <t>G-P Exposure Buildup Factor CocfTicients</t>
  </si>
  <si>
    <t>Lanthanum</t>
  </si>
  <si>
    <t>G-P Exposure Buildup Factor CoelTicienta</t>
  </si>
  <si>
    <t>Gadolinium</t>
  </si>
  <si>
    <t>G-P Exposure Buildup Factor CoefTJCients</t>
  </si>
  <si>
    <t>0-P Exposure Buildup Factor Coefficients</t>
  </si>
  <si>
    <t>OK</t>
  </si>
  <si>
    <t>Note 1</t>
  </si>
  <si>
    <t>Signs for "a" and "d" at 3 MeV have been switched.  This is consistent with the code and seems to trend better</t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</si>
  <si>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</t>
    </r>
  </si>
  <si>
    <r>
      <t xml:space="preserve">  energy-units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MeV</t>
    </r>
  </si>
  <si>
    <r>
      <t xml:space="preserve">  mass-atten-coff-units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cm2/g</t>
    </r>
  </si>
  <si>
    <r>
      <t xml:space="preserve">  mass-atten-coff</t>
    </r>
    <r>
      <rPr>
        <sz val="11"/>
        <color rgb="FF000000"/>
        <rFont val="Calibri"/>
        <family val="2"/>
        <scheme val="minor"/>
      </rPr>
      <t>:</t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</si>
  <si>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</si>
  <si>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</si>
  <si>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</si>
  <si>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</si>
  <si>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</si>
  <si>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</si>
  <si>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</si>
  <si>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</si>
  <si>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</si>
  <si>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</si>
  <si>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</si>
  <si>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</si>
  <si>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</si>
  <si>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</si>
  <si>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</si>
  <si>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</si>
  <si>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</si>
  <si>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</si>
  <si>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</si>
  <si>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</si>
  <si>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</si>
  <si>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</si>
  <si>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</si>
  <si>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</si>
  <si>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</si>
  <si>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</si>
  <si>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</si>
  <si>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</si>
  <si>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</si>
  <si>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</si>
  <si>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</si>
  <si>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</si>
  <si>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</si>
  <si>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</si>
  <si>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</si>
  <si>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</si>
  <si>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</si>
  <si>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</si>
  <si>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</si>
  <si>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</si>
  <si>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</si>
  <si>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</si>
  <si>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</si>
  <si>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</si>
  <si>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</si>
  <si>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</si>
  <si>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</si>
  <si>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</si>
  <si>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</si>
  <si>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</si>
  <si>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</si>
  <si>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</si>
  <si>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</si>
  <si>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</si>
  <si>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</si>
  <si>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</si>
  <si>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</si>
  <si>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</si>
  <si>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</si>
  <si>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</si>
  <si>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</si>
  <si>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</si>
  <si>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</si>
  <si>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</si>
  <si>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</si>
  <si>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</si>
  <si>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</si>
  <si>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</si>
  <si>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</si>
  <si>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</si>
  <si>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</si>
  <si>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</si>
  <si>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</si>
  <si>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</si>
  <si>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</si>
  <si>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</si>
  <si>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</si>
  <si>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</si>
  <si>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</si>
  <si>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</si>
  <si>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</si>
  <si>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</si>
  <si>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</si>
  <si>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</si>
  <si>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</si>
  <si>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</si>
  <si>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</si>
  <si>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</si>
  <si>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</si>
  <si>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</si>
  <si>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</si>
  <si>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</si>
  <si>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</si>
  <si>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</si>
  <si>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</si>
  <si>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</si>
  <si>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</si>
  <si>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</si>
  <si>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g/cm102</t>
    </r>
    <r>
      <rPr>
        <sz val="12"/>
        <color theme="1"/>
        <rFont val="Calibri"/>
        <family val="2"/>
        <scheme val="minor"/>
      </rPr>
      <t/>
    </r>
  </si>
  <si>
    <t>Data taken from  https://physics.nist.gov/PhysRefData/XrayMassCoef/tab1.html</t>
  </si>
  <si>
    <t xml:space="preserve">Densities for Astatine and Francium arbitrarily set to 10. </t>
  </si>
  <si>
    <t xml:space="preserve">Densities for elements 93 through 100 arbitrarily set to 10. </t>
  </si>
  <si>
    <t>Density (g/cc)</t>
  </si>
  <si>
    <t>Material</t>
  </si>
  <si>
    <t>0.001205</t>
  </si>
  <si>
    <t>2.3</t>
  </si>
  <si>
    <t>8.0</t>
  </si>
  <si>
    <t>1.0</t>
  </si>
  <si>
    <t>10.412</t>
  </si>
  <si>
    <t>2.01</t>
  </si>
  <si>
    <t>8.375E-05</t>
  </si>
  <si>
    <t>1.663E-04</t>
  </si>
  <si>
    <t>5.340E-01</t>
  </si>
  <si>
    <t>1.848E+00</t>
  </si>
  <si>
    <t>2.370E+00</t>
  </si>
  <si>
    <t>1.700E+00</t>
  </si>
  <si>
    <t>1.165E-03</t>
  </si>
  <si>
    <t>1.332E-03</t>
  </si>
  <si>
    <t>1.580E-03</t>
  </si>
  <si>
    <t>8.385E-04</t>
  </si>
  <si>
    <t>9.710E-01</t>
  </si>
  <si>
    <t>1.740E+00</t>
  </si>
  <si>
    <t>2.699E+00</t>
  </si>
  <si>
    <t>2.330E+00</t>
  </si>
  <si>
    <t>2.200E+00</t>
  </si>
  <si>
    <t>2.000E+00</t>
  </si>
  <si>
    <t>2.995E-03</t>
  </si>
  <si>
    <t>1.662E-03</t>
  </si>
  <si>
    <t>8.620E-01</t>
  </si>
  <si>
    <t>1.550E+00</t>
  </si>
  <si>
    <t>2.989E+00</t>
  </si>
  <si>
    <t>4.540E+00</t>
  </si>
  <si>
    <t>6.110E+00</t>
  </si>
  <si>
    <t>7.180E+00</t>
  </si>
  <si>
    <t>7.440E+00</t>
  </si>
  <si>
    <t>7.874E+00</t>
  </si>
  <si>
    <t>8.900E+00</t>
  </si>
  <si>
    <t>8.902E+00</t>
  </si>
  <si>
    <t>8.960E+00</t>
  </si>
  <si>
    <t>7.133E+00</t>
  </si>
  <si>
    <t>5.904E+00</t>
  </si>
  <si>
    <t>5.323E+00</t>
  </si>
  <si>
    <t>5.730E+00</t>
  </si>
  <si>
    <t>4.500E+00</t>
  </si>
  <si>
    <t>7.072E-03</t>
  </si>
  <si>
    <t>3.478E-03</t>
  </si>
  <si>
    <t>1.532E+00</t>
  </si>
  <si>
    <t>2.540E+00</t>
  </si>
  <si>
    <t>4.469E+00</t>
  </si>
  <si>
    <t>6.506E+00</t>
  </si>
  <si>
    <t>8.570E+00</t>
  </si>
  <si>
    <t>1.022E+01</t>
  </si>
  <si>
    <t>1.150E+01</t>
  </si>
  <si>
    <t>1.241E+01</t>
  </si>
  <si>
    <t>1.202E+01</t>
  </si>
  <si>
    <t>1.050E+01</t>
  </si>
  <si>
    <t>8.650E+00</t>
  </si>
  <si>
    <t>7.310E+00</t>
  </si>
  <si>
    <t>6.691E+00</t>
  </si>
  <si>
    <t>6.240E+00</t>
  </si>
  <si>
    <t>4.930E+00</t>
  </si>
  <si>
    <t>5.485E-03</t>
  </si>
  <si>
    <t>1.873E+00</t>
  </si>
  <si>
    <t>3.500E+00</t>
  </si>
  <si>
    <t>6.154E+00</t>
  </si>
  <si>
    <t>6.657E+00</t>
  </si>
  <si>
    <t>6.710E+00</t>
  </si>
  <si>
    <t>6.900E+00</t>
  </si>
  <si>
    <t>7.220E+00</t>
  </si>
  <si>
    <t>7.460E+00</t>
  </si>
  <si>
    <t>5.243E+00</t>
  </si>
  <si>
    <t>7.900E+00</t>
  </si>
  <si>
    <t>8.229E+00</t>
  </si>
  <si>
    <t>8.550E+00</t>
  </si>
  <si>
    <t>8.795E+00</t>
  </si>
  <si>
    <t>9.066E+00</t>
  </si>
  <si>
    <t>9.321E+00</t>
  </si>
  <si>
    <t>6.730E+00</t>
  </si>
  <si>
    <t>9.840E+00</t>
  </si>
  <si>
    <t>1.331E+01</t>
  </si>
  <si>
    <t>1.665E+01</t>
  </si>
  <si>
    <t>1.930E+01</t>
  </si>
  <si>
    <t>2.102E+01</t>
  </si>
  <si>
    <t>2.257E+01</t>
  </si>
  <si>
    <t>2.242E+01</t>
  </si>
  <si>
    <t>2.145E+01</t>
  </si>
  <si>
    <t>1.932E+01</t>
  </si>
  <si>
    <t>1.355E+01</t>
  </si>
  <si>
    <t>1.172E+01</t>
  </si>
  <si>
    <t>1.135E+01</t>
  </si>
  <si>
    <t>9.747E+00</t>
  </si>
  <si>
    <t>9.320E+00</t>
  </si>
  <si>
    <t>1.000E+01</t>
  </si>
  <si>
    <t>9.066E-03</t>
  </si>
  <si>
    <t>5.000E+00</t>
  </si>
  <si>
    <t>1.007E+01</t>
  </si>
  <si>
    <t>1.537E+01</t>
  </si>
  <si>
    <t>1.895E+01</t>
  </si>
  <si>
    <t>air:</t>
  </si>
  <si>
    <t>water:</t>
  </si>
  <si>
    <t>concrete:</t>
  </si>
  <si>
    <t>uo2:</t>
  </si>
  <si>
    <t>ss304l:</t>
  </si>
  <si>
    <t>resin:</t>
  </si>
  <si>
    <t>hydrogen:</t>
  </si>
  <si>
    <t>helium:</t>
  </si>
  <si>
    <t>lithium:</t>
  </si>
  <si>
    <t>beryllium:</t>
  </si>
  <si>
    <t>boron:</t>
  </si>
  <si>
    <t>carbon:</t>
  </si>
  <si>
    <t>nitrogen:</t>
  </si>
  <si>
    <t>oxygen:</t>
  </si>
  <si>
    <t>fluorine:</t>
  </si>
  <si>
    <t>neon:</t>
  </si>
  <si>
    <t>sodium:</t>
  </si>
  <si>
    <t>magnesium:</t>
  </si>
  <si>
    <t>aluminum:</t>
  </si>
  <si>
    <t>silicon:</t>
  </si>
  <si>
    <t>phosphorus:</t>
  </si>
  <si>
    <t>sulfur:</t>
  </si>
  <si>
    <t>chlorine:</t>
  </si>
  <si>
    <t>argon:</t>
  </si>
  <si>
    <t>potassium:</t>
  </si>
  <si>
    <t>calcium:</t>
  </si>
  <si>
    <t>scandium:</t>
  </si>
  <si>
    <t>titanium:</t>
  </si>
  <si>
    <t>vanadium:</t>
  </si>
  <si>
    <t>chromium:</t>
  </si>
  <si>
    <t>manganese:</t>
  </si>
  <si>
    <t>iron:</t>
  </si>
  <si>
    <t>cobalt:</t>
  </si>
  <si>
    <t>nickel:</t>
  </si>
  <si>
    <t>copper:</t>
  </si>
  <si>
    <t>zinc:</t>
  </si>
  <si>
    <t>gallium:</t>
  </si>
  <si>
    <t>germanium:</t>
  </si>
  <si>
    <t>arsenic:</t>
  </si>
  <si>
    <t>selenium:</t>
  </si>
  <si>
    <t>bromine:</t>
  </si>
  <si>
    <t>krypton:</t>
  </si>
  <si>
    <t>rubidium:</t>
  </si>
  <si>
    <t>strontium:</t>
  </si>
  <si>
    <t>yttrium:</t>
  </si>
  <si>
    <t>zirconium:</t>
  </si>
  <si>
    <t>niobium:</t>
  </si>
  <si>
    <t>molybdenum:</t>
  </si>
  <si>
    <t>technetium:</t>
  </si>
  <si>
    <t>ruthenium:</t>
  </si>
  <si>
    <t>rhodium:</t>
  </si>
  <si>
    <t>palladium:</t>
  </si>
  <si>
    <t>silver:</t>
  </si>
  <si>
    <t>cadmium:</t>
  </si>
  <si>
    <t>indium:</t>
  </si>
  <si>
    <t>tin:</t>
  </si>
  <si>
    <t>antimony:</t>
  </si>
  <si>
    <t>tellurium:</t>
  </si>
  <si>
    <t>iodine:</t>
  </si>
  <si>
    <t>xenon:</t>
  </si>
  <si>
    <t>cesium:</t>
  </si>
  <si>
    <t>barium:</t>
  </si>
  <si>
    <t>lanthanum:</t>
  </si>
  <si>
    <t>cerium:</t>
  </si>
  <si>
    <t>praseodymium:</t>
  </si>
  <si>
    <t>neodymium:</t>
  </si>
  <si>
    <t>promethium:</t>
  </si>
  <si>
    <t>samarium:</t>
  </si>
  <si>
    <t>europium:</t>
  </si>
  <si>
    <t>gadolinium:</t>
  </si>
  <si>
    <t>terbium:</t>
  </si>
  <si>
    <t>dysprosium:</t>
  </si>
  <si>
    <t>holmium:</t>
  </si>
  <si>
    <t>erbium:</t>
  </si>
  <si>
    <t>thulium:</t>
  </si>
  <si>
    <t>ytterbium:</t>
  </si>
  <si>
    <t>lutetium:</t>
  </si>
  <si>
    <t>hafnium:</t>
  </si>
  <si>
    <t>tantalum:</t>
  </si>
  <si>
    <t>tungsten:</t>
  </si>
  <si>
    <t>rhenium:</t>
  </si>
  <si>
    <t>osmium:</t>
  </si>
  <si>
    <t>iridium:</t>
  </si>
  <si>
    <t>platinum:</t>
  </si>
  <si>
    <t>gold:</t>
  </si>
  <si>
    <t>mercury:</t>
  </si>
  <si>
    <t>thallium:</t>
  </si>
  <si>
    <t>lead:</t>
  </si>
  <si>
    <t>bismuth:</t>
  </si>
  <si>
    <t>polonium:</t>
  </si>
  <si>
    <t>astatine:</t>
  </si>
  <si>
    <t>radon:</t>
  </si>
  <si>
    <t>francium:</t>
  </si>
  <si>
    <t>radium:</t>
  </si>
  <si>
    <t>actinium:</t>
  </si>
  <si>
    <t>thorium:</t>
  </si>
  <si>
    <t>protactinium:</t>
  </si>
  <si>
    <t>uranium:</t>
  </si>
  <si>
    <t>neptunium:</t>
  </si>
  <si>
    <t>plutonium:</t>
  </si>
  <si>
    <t>americium:</t>
  </si>
  <si>
    <t>curium:</t>
  </si>
  <si>
    <t>berkelium:</t>
  </si>
  <si>
    <t>californium:</t>
  </si>
  <si>
    <t>einsteinium:</t>
  </si>
  <si>
    <t>fermium:</t>
  </si>
  <si>
    <r>
      <t xml:space="preserve">  mass-atten-coff-energy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AF00DB"/>
        <rFont val="Calibri"/>
        <family val="2"/>
        <scheme val="minor"/>
      </rPr>
      <t>*</t>
    </r>
    <r>
      <rPr>
        <sz val="11"/>
        <color rgb="FF001080"/>
        <rFont val="Calibri"/>
        <family val="2"/>
        <scheme val="minor"/>
      </rPr>
      <t>id001</t>
    </r>
  </si>
  <si>
    <t>Beryllium:</t>
  </si>
  <si>
    <t>Boron:</t>
  </si>
  <si>
    <r>
      <t xml:space="preserve">  gp-coff-energy</t>
    </r>
    <r>
      <rPr>
        <sz val="11"/>
        <color rgb="FF000000"/>
        <rFont val="Courier New"/>
        <family val="1"/>
      </rPr>
      <t>:</t>
    </r>
  </si>
  <si>
    <t xml:space="preserve">  # GP Coefficients b, c, a, X, d</t>
  </si>
  <si>
    <t xml:space="preserve">  gp-coeff:</t>
  </si>
  <si>
    <t>the ZapMeNot data file materialLibrary.yml, Rev. 2</t>
  </si>
  <si>
    <t>The purpose of this spreadsheet is to record, test, and format</t>
  </si>
  <si>
    <t>data manually extracted from the ANSI/ANS 6.4.3 Standard.</t>
  </si>
  <si>
    <t>Testing was performed by comparison to data from the</t>
  </si>
  <si>
    <t>augmented with mass attenuation coefficients for additional</t>
  </si>
  <si>
    <t>elements taken from SCALE 6.4.1.</t>
  </si>
  <si>
    <t>RSICC distribution DLC-129, "ANS643".  Differences were corrected</t>
  </si>
  <si>
    <t>unless it was determined that the ANSI/ANS 6.4.3 data were more recent.  The dataset was</t>
  </si>
  <si>
    <t>Data used to create user-generated mass attenuation coefficients for UO2, SS304L, and resin.</t>
  </si>
  <si>
    <t>ANS-6.4.3-1991 Table 1a, Mass attenuation coefficients</t>
  </si>
  <si>
    <t>The following is a comparison of the ANS/ANSI 6.4.3 data with the DLC-129 data. "Zeros" mean the data values are identical.</t>
  </si>
  <si>
    <t>This sheet is used to validate and format the buildup factor data extracted from ANSI/ANS 6.4.3.</t>
  </si>
  <si>
    <t>The data under test is to the left.  The YAML-formatted data is in the center.</t>
  </si>
  <si>
    <t>The tables highlighted in green are the blocks testing the ANSI data against data from DLC-129.</t>
  </si>
  <si>
    <t>A few discrepancies were noted - primarily where the ANSI/ANS 6.4.3 updated the G-P coefficients at certain energies.</t>
  </si>
  <si>
    <t>NOTE:</t>
  </si>
  <si>
    <t xml:space="preserve">The G-P coefficients for magnesium at 3 MeV have two unresolved discrepancies.  The </t>
  </si>
  <si>
    <t>"a" and "d" coefficients have signs that differ between the ANSI and DLC sources.</t>
  </si>
  <si>
    <t>The DLC source was chosen based on inspection, but further evaluation may be warranted.</t>
  </si>
  <si>
    <t>ANSI/ANS G-P Exposure Buildup Factor Coefficients</t>
  </si>
  <si>
    <t>====================================================================================</t>
  </si>
  <si>
    <t>ANS-6.4.3-1991 Table 5.1</t>
  </si>
  <si>
    <t>============================================</t>
  </si>
  <si>
    <t>YAML-formatted data</t>
  </si>
  <si>
    <t>Test Results Comparing the ANSI/ANS data with DLC-129 data</t>
  </si>
  <si>
    <t>This sheet contains the final YAML-formatted G-P buildup factor data</t>
  </si>
  <si>
    <t>ANS/ANS 6.4.4 Air Mass Asbsorption Coefficients</t>
  </si>
  <si>
    <t>ANS-6.4.3-1991 Data</t>
  </si>
  <si>
    <t>====================</t>
  </si>
  <si>
    <t>YAML-formatted Data</t>
  </si>
  <si>
    <t>DLC-129 Data</t>
  </si>
  <si>
    <t>Data Comparison/Validation</t>
  </si>
  <si>
    <t>ANS 6.4.3 Table 3</t>
  </si>
  <si>
    <t>Magnesium Exposure Buildup Factors</t>
  </si>
  <si>
    <t>3 MeV</t>
  </si>
  <si>
    <t>mfp</t>
  </si>
  <si>
    <t>BF</t>
  </si>
  <si>
    <t>GP</t>
  </si>
  <si>
    <t>GP (signs reversed)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</si>
</sst>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E+00"/>
    <numFmt numFmtId="165" formatCode="0.000"/>
    <numFmt numFmtId="166" formatCode="0.0000"/>
    <numFmt numFmtId="167" formatCode="0.000000"/>
    <numFmt numFmtId="168" formatCode="0.000%"/>
  </numFmts>
  <fonts count="2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MT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313131"/>
      <name val="Calibri"/>
      <family val="2"/>
      <scheme val="minor"/>
    </font>
    <font>
      <sz val="11"/>
      <color rgb="FF292929"/>
      <name val="Calibri"/>
      <family val="2"/>
      <scheme val="minor"/>
    </font>
    <font>
      <sz val="11"/>
      <color rgb="FF323232"/>
      <name val="Calibri"/>
      <family val="2"/>
      <scheme val="minor"/>
    </font>
    <font>
      <sz val="1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8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name val="Calibri"/>
      <family val="2"/>
      <scheme val="minor"/>
    </font>
    <font>
      <sz val="11"/>
      <color rgb="FFAF00DB"/>
      <name val="Calibri"/>
      <family val="2"/>
      <scheme val="minor"/>
    </font>
    <font>
      <sz val="11"/>
      <color rgb="FF001080"/>
      <name val="Calibri"/>
      <family val="2"/>
      <scheme val="minor"/>
    </font>
    <font>
      <sz val="11"/>
      <color theme="1"/>
      <name val="Courier New"/>
      <family val="1"/>
    </font>
    <font>
      <sz val="11"/>
      <color rgb="FF800000"/>
      <name val="Courier New"/>
      <family val="1"/>
    </font>
    <font>
      <sz val="11"/>
      <color rgb="FF000000"/>
      <name val="Courier New"/>
      <family val="1"/>
    </font>
    <font>
      <b/>
      <sz val="14"/>
      <color rgb="FF31313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11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0" fontId="0" fillId="0" borderId="0" xfId="0" quotePrefix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0" fontId="8" fillId="0" borderId="0" xfId="0" applyFont="1"/>
    <xf numFmtId="0" fontId="8" fillId="2" borderId="0" xfId="0" applyFont="1" applyFill="1"/>
    <xf numFmtId="0" fontId="7" fillId="2" borderId="0" xfId="0" applyFont="1" applyFill="1"/>
    <xf numFmtId="0" fontId="10" fillId="3" borderId="0" xfId="0" applyFont="1" applyFill="1" applyAlignment="1">
      <alignment horizontal="center"/>
    </xf>
    <xf numFmtId="168" fontId="0" fillId="0" borderId="0" xfId="0" applyNumberFormat="1"/>
    <xf numFmtId="0" fontId="11" fillId="0" borderId="0" xfId="0" applyFont="1"/>
    <xf numFmtId="0" fontId="11" fillId="0" borderId="0" xfId="0" quotePrefix="1" applyFont="1"/>
    <xf numFmtId="0" fontId="12" fillId="0" borderId="0" xfId="0" applyFont="1"/>
    <xf numFmtId="49" fontId="0" fillId="0" borderId="0" xfId="0" applyNumberFormat="1"/>
    <xf numFmtId="0" fontId="12" fillId="0" borderId="0" xfId="0" quotePrefix="1" applyFont="1"/>
    <xf numFmtId="0" fontId="17" fillId="0" borderId="0" xfId="0" applyFont="1"/>
    <xf numFmtId="0" fontId="18" fillId="0" borderId="0" xfId="0" quotePrefix="1" applyFont="1"/>
    <xf numFmtId="0" fontId="17" fillId="0" borderId="0" xfId="0" quotePrefix="1" applyFont="1"/>
    <xf numFmtId="0" fontId="10" fillId="0" borderId="0" xfId="0" applyFont="1" applyAlignment="1">
      <alignment horizontal="center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4" xfId="0" applyBorder="1"/>
    <xf numFmtId="166" fontId="0" fillId="0" borderId="5" xfId="0" applyNumberFormat="1" applyBorder="1"/>
    <xf numFmtId="0" fontId="0" fillId="0" borderId="5" xfId="0" applyBorder="1"/>
    <xf numFmtId="167" fontId="3" fillId="0" borderId="0" xfId="0" applyNumberFormat="1" applyFont="1"/>
    <xf numFmtId="0" fontId="0" fillId="0" borderId="6" xfId="0" applyBorder="1"/>
    <xf numFmtId="0" fontId="0" fillId="0" borderId="7" xfId="0" applyBorder="1"/>
    <xf numFmtId="167" fontId="3" fillId="0" borderId="7" xfId="0" applyNumberFormat="1" applyFont="1" applyBorder="1"/>
    <xf numFmtId="0" fontId="0" fillId="0" borderId="8" xfId="0" applyBorder="1"/>
    <xf numFmtId="0" fontId="20" fillId="0" borderId="0" xfId="0" applyFont="1"/>
    <xf numFmtId="0" fontId="20" fillId="0" borderId="0" xfId="0" quotePrefix="1" applyFont="1"/>
    <xf numFmtId="0" fontId="21" fillId="0" borderId="0" xfId="0" applyFont="1"/>
    <xf numFmtId="2" fontId="0" fillId="0" borderId="0" xfId="0" applyNumberFormat="1"/>
  </cellXfs>
  <cellStyles count="1">
    <cellStyle name="Normal" xfId="0" builtinId="0"/>
  </cellStyles>
  <dxfs count="2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C649-B191-9A45-8761-4667DF714835}">
  <sheetPr codeName="Sheet2"/>
  <dimension ref="B2:B34"/>
  <sheetViews>
    <sheetView topLeftCell="A18" zoomScale="171" zoomScaleNormal="171" workbookViewId="0">
      <selection activeCell="A13" sqref="A13:XFD13"/>
    </sheetView>
  </sheetViews>
  <sheetFormatPr baseColWidth="10" defaultColWidth="11.5" defaultRowHeight="15"/>
  <sheetData>
    <row r="2" spans="2:2" ht="19">
      <c r="B2" s="7" t="s">
        <v>76</v>
      </c>
    </row>
    <row r="3" spans="2:2" ht="19">
      <c r="B3" s="7" t="s">
        <v>1866</v>
      </c>
    </row>
    <row r="4" spans="2:2">
      <c r="B4" s="5"/>
    </row>
    <row r="5" spans="2:2">
      <c r="B5" s="5" t="s">
        <v>1867</v>
      </c>
    </row>
    <row r="6" spans="2:2">
      <c r="B6" s="5" t="s">
        <v>1868</v>
      </c>
    </row>
    <row r="7" spans="2:2">
      <c r="B7" s="5" t="s">
        <v>1869</v>
      </c>
    </row>
    <row r="8" spans="2:2">
      <c r="B8" s="5" t="s">
        <v>1872</v>
      </c>
    </row>
    <row r="9" spans="2:2">
      <c r="B9" s="5" t="s">
        <v>1873</v>
      </c>
    </row>
    <row r="10" spans="2:2">
      <c r="B10" s="5" t="s">
        <v>1870</v>
      </c>
    </row>
    <row r="11" spans="2:2">
      <c r="B11" s="5" t="s">
        <v>1871</v>
      </c>
    </row>
    <row r="12" spans="2:2">
      <c r="B12" s="5"/>
    </row>
    <row r="14" spans="2:2">
      <c r="B14" t="s">
        <v>77</v>
      </c>
    </row>
    <row r="15" spans="2:2">
      <c r="B15" t="s">
        <v>78</v>
      </c>
    </row>
    <row r="16" spans="2:2">
      <c r="B16" t="s">
        <v>79</v>
      </c>
    </row>
    <row r="17" spans="2:2">
      <c r="B17" t="s">
        <v>80</v>
      </c>
    </row>
    <row r="18" spans="2:2">
      <c r="B18" t="s">
        <v>96</v>
      </c>
    </row>
    <row r="20" spans="2:2">
      <c r="B20" t="s">
        <v>81</v>
      </c>
    </row>
    <row r="21" spans="2:2">
      <c r="B21" t="s">
        <v>82</v>
      </c>
    </row>
    <row r="22" spans="2:2">
      <c r="B22" t="s">
        <v>84</v>
      </c>
    </row>
    <row r="23" spans="2:2">
      <c r="B23" t="s">
        <v>83</v>
      </c>
    </row>
    <row r="24" spans="2:2">
      <c r="B24" t="s">
        <v>86</v>
      </c>
    </row>
    <row r="25" spans="2:2">
      <c r="B25" t="s">
        <v>85</v>
      </c>
    </row>
    <row r="26" spans="2:2">
      <c r="B26" t="s">
        <v>87</v>
      </c>
    </row>
    <row r="27" spans="2:2">
      <c r="B27" t="s">
        <v>88</v>
      </c>
    </row>
    <row r="28" spans="2:2">
      <c r="B28" t="s">
        <v>89</v>
      </c>
    </row>
    <row r="29" spans="2:2">
      <c r="B29" t="s">
        <v>90</v>
      </c>
    </row>
    <row r="30" spans="2:2">
      <c r="B30" t="s">
        <v>91</v>
      </c>
    </row>
    <row r="31" spans="2:2">
      <c r="B31" t="s">
        <v>92</v>
      </c>
    </row>
    <row r="32" spans="2:2">
      <c r="B32" t="s">
        <v>93</v>
      </c>
    </row>
    <row r="33" spans="2:2">
      <c r="B33" t="s">
        <v>94</v>
      </c>
    </row>
    <row r="34" spans="2:2">
      <c r="B34" t="s">
        <v>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EB6D-D081-0F46-9462-DD9D0D80DDEA}">
  <sheetPr codeName="Sheet4"/>
  <dimension ref="A1:E110"/>
  <sheetViews>
    <sheetView zoomScale="140" zoomScaleNormal="140" workbookViewId="0">
      <selection activeCell="B5" sqref="B5"/>
    </sheetView>
  </sheetViews>
  <sheetFormatPr baseColWidth="10" defaultRowHeight="15"/>
  <sheetData>
    <row r="1" spans="1:5">
      <c r="A1" t="s">
        <v>1655</v>
      </c>
    </row>
    <row r="2" spans="1:5">
      <c r="A2" t="s">
        <v>1656</v>
      </c>
    </row>
    <row r="3" spans="1:5">
      <c r="A3" t="s">
        <v>1657</v>
      </c>
    </row>
    <row r="4" spans="1:5">
      <c r="A4" t="s">
        <v>1659</v>
      </c>
      <c r="B4" t="s">
        <v>1658</v>
      </c>
    </row>
    <row r="5" spans="1:5">
      <c r="A5" t="s">
        <v>1754</v>
      </c>
      <c r="B5" t="s">
        <v>1660</v>
      </c>
    </row>
    <row r="6" spans="1:5">
      <c r="A6" t="s">
        <v>1755</v>
      </c>
      <c r="B6" s="6" t="s">
        <v>1663</v>
      </c>
    </row>
    <row r="7" spans="1:5">
      <c r="A7" t="s">
        <v>1756</v>
      </c>
      <c r="B7" t="s">
        <v>1661</v>
      </c>
    </row>
    <row r="8" spans="1:5">
      <c r="A8" t="s">
        <v>1757</v>
      </c>
      <c r="B8" s="6" t="s">
        <v>1664</v>
      </c>
    </row>
    <row r="9" spans="1:5">
      <c r="A9" t="s">
        <v>1758</v>
      </c>
      <c r="B9" t="s">
        <v>1662</v>
      </c>
    </row>
    <row r="10" spans="1:5">
      <c r="A10" t="s">
        <v>1759</v>
      </c>
      <c r="B10" s="6" t="s">
        <v>1665</v>
      </c>
    </row>
    <row r="11" spans="1:5">
      <c r="A11" t="s">
        <v>1760</v>
      </c>
      <c r="B11" s="20" t="s">
        <v>1666</v>
      </c>
      <c r="D11" s="20"/>
      <c r="E11" s="20"/>
    </row>
    <row r="12" spans="1:5">
      <c r="A12" t="s">
        <v>1761</v>
      </c>
      <c r="B12" s="20" t="s">
        <v>1667</v>
      </c>
      <c r="D12" s="20"/>
      <c r="E12" s="20"/>
    </row>
    <row r="13" spans="1:5">
      <c r="A13" t="s">
        <v>1762</v>
      </c>
      <c r="B13" s="20" t="s">
        <v>1668</v>
      </c>
      <c r="D13" s="20"/>
      <c r="E13" s="20"/>
    </row>
    <row r="14" spans="1:5">
      <c r="A14" t="s">
        <v>1763</v>
      </c>
      <c r="B14" s="20" t="s">
        <v>1669</v>
      </c>
      <c r="D14" s="20"/>
      <c r="E14" s="20"/>
    </row>
    <row r="15" spans="1:5">
      <c r="A15" t="s">
        <v>1764</v>
      </c>
      <c r="B15" s="20" t="s">
        <v>1670</v>
      </c>
      <c r="D15" s="20"/>
      <c r="E15" s="20"/>
    </row>
    <row r="16" spans="1:5">
      <c r="A16" t="s">
        <v>1765</v>
      </c>
      <c r="B16" s="20" t="s">
        <v>1671</v>
      </c>
      <c r="D16" s="20"/>
      <c r="E16" s="20"/>
    </row>
    <row r="17" spans="1:5">
      <c r="A17" t="s">
        <v>1766</v>
      </c>
      <c r="B17" s="20" t="s">
        <v>1672</v>
      </c>
      <c r="D17" s="20"/>
      <c r="E17" s="20"/>
    </row>
    <row r="18" spans="1:5">
      <c r="A18" t="s">
        <v>1767</v>
      </c>
      <c r="B18" s="20" t="s">
        <v>1673</v>
      </c>
      <c r="D18" s="20"/>
      <c r="E18" s="20"/>
    </row>
    <row r="19" spans="1:5">
      <c r="A19" t="s">
        <v>1768</v>
      </c>
      <c r="B19" s="20" t="s">
        <v>1674</v>
      </c>
      <c r="D19" s="20"/>
      <c r="E19" s="20"/>
    </row>
    <row r="20" spans="1:5">
      <c r="A20" t="s">
        <v>1769</v>
      </c>
      <c r="B20" s="20" t="s">
        <v>1675</v>
      </c>
      <c r="D20" s="20"/>
      <c r="E20" s="20"/>
    </row>
    <row r="21" spans="1:5">
      <c r="A21" t="s">
        <v>1770</v>
      </c>
      <c r="B21" s="20" t="s">
        <v>1676</v>
      </c>
      <c r="D21" s="20"/>
      <c r="E21" s="20"/>
    </row>
    <row r="22" spans="1:5">
      <c r="A22" t="s">
        <v>1771</v>
      </c>
      <c r="B22" s="20" t="s">
        <v>1677</v>
      </c>
      <c r="D22" s="20"/>
      <c r="E22" s="20"/>
    </row>
    <row r="23" spans="1:5">
      <c r="A23" t="s">
        <v>1772</v>
      </c>
      <c r="B23" s="20" t="s">
        <v>1678</v>
      </c>
      <c r="D23" s="20"/>
      <c r="E23" s="20"/>
    </row>
    <row r="24" spans="1:5">
      <c r="A24" t="s">
        <v>1773</v>
      </c>
      <c r="B24" s="20" t="s">
        <v>1679</v>
      </c>
      <c r="D24" s="20"/>
      <c r="E24" s="20"/>
    </row>
    <row r="25" spans="1:5">
      <c r="A25" t="s">
        <v>1774</v>
      </c>
      <c r="B25" s="20" t="s">
        <v>1680</v>
      </c>
      <c r="D25" s="20"/>
      <c r="E25" s="20"/>
    </row>
    <row r="26" spans="1:5">
      <c r="A26" t="s">
        <v>1775</v>
      </c>
      <c r="B26" s="20" t="s">
        <v>1681</v>
      </c>
      <c r="D26" s="20"/>
      <c r="E26" s="20"/>
    </row>
    <row r="27" spans="1:5">
      <c r="A27" t="s">
        <v>1776</v>
      </c>
      <c r="B27" s="20" t="s">
        <v>1682</v>
      </c>
      <c r="D27" s="20"/>
      <c r="E27" s="20"/>
    </row>
    <row r="28" spans="1:5">
      <c r="A28" t="s">
        <v>1777</v>
      </c>
      <c r="B28" s="20" t="s">
        <v>1683</v>
      </c>
      <c r="D28" s="20"/>
      <c r="E28" s="20"/>
    </row>
    <row r="29" spans="1:5">
      <c r="A29" t="s">
        <v>1778</v>
      </c>
      <c r="B29" s="20" t="s">
        <v>1684</v>
      </c>
      <c r="D29" s="20"/>
      <c r="E29" s="20"/>
    </row>
    <row r="30" spans="1:5">
      <c r="A30" t="s">
        <v>1779</v>
      </c>
      <c r="B30" s="20" t="s">
        <v>1685</v>
      </c>
      <c r="D30" s="20"/>
      <c r="E30" s="20"/>
    </row>
    <row r="31" spans="1:5">
      <c r="A31" t="s">
        <v>1780</v>
      </c>
      <c r="B31" s="20" t="s">
        <v>1686</v>
      </c>
      <c r="D31" s="20"/>
      <c r="E31" s="20"/>
    </row>
    <row r="32" spans="1:5">
      <c r="A32" t="s">
        <v>1781</v>
      </c>
      <c r="B32" s="20" t="s">
        <v>1687</v>
      </c>
      <c r="D32" s="20"/>
      <c r="E32" s="20"/>
    </row>
    <row r="33" spans="1:5">
      <c r="A33" t="s">
        <v>1782</v>
      </c>
      <c r="B33" s="20" t="s">
        <v>1688</v>
      </c>
      <c r="D33" s="20"/>
      <c r="E33" s="20"/>
    </row>
    <row r="34" spans="1:5">
      <c r="A34" t="s">
        <v>1783</v>
      </c>
      <c r="B34" s="20" t="s">
        <v>1689</v>
      </c>
      <c r="D34" s="20"/>
      <c r="E34" s="20"/>
    </row>
    <row r="35" spans="1:5">
      <c r="A35" t="s">
        <v>1784</v>
      </c>
      <c r="B35" s="20" t="s">
        <v>1690</v>
      </c>
      <c r="D35" s="20"/>
      <c r="E35" s="20"/>
    </row>
    <row r="36" spans="1:5">
      <c r="A36" t="s">
        <v>1785</v>
      </c>
      <c r="B36" s="20" t="s">
        <v>1691</v>
      </c>
      <c r="D36" s="20"/>
      <c r="E36" s="20"/>
    </row>
    <row r="37" spans="1:5">
      <c r="A37" t="s">
        <v>1786</v>
      </c>
      <c r="B37" s="20" t="s">
        <v>1692</v>
      </c>
      <c r="D37" s="20"/>
      <c r="E37" s="20"/>
    </row>
    <row r="38" spans="1:5">
      <c r="A38" t="s">
        <v>1787</v>
      </c>
      <c r="B38" s="20" t="s">
        <v>1693</v>
      </c>
      <c r="D38" s="20"/>
      <c r="E38" s="20"/>
    </row>
    <row r="39" spans="1:5">
      <c r="A39" t="s">
        <v>1788</v>
      </c>
      <c r="B39" s="20" t="s">
        <v>1694</v>
      </c>
      <c r="D39" s="20"/>
      <c r="E39" s="20"/>
    </row>
    <row r="40" spans="1:5">
      <c r="A40" t="s">
        <v>1789</v>
      </c>
      <c r="B40" s="20" t="s">
        <v>1695</v>
      </c>
      <c r="D40" s="20"/>
      <c r="E40" s="20"/>
    </row>
    <row r="41" spans="1:5">
      <c r="A41" t="s">
        <v>1790</v>
      </c>
      <c r="B41" s="20" t="s">
        <v>1696</v>
      </c>
      <c r="D41" s="20"/>
      <c r="E41" s="20"/>
    </row>
    <row r="42" spans="1:5">
      <c r="A42" t="s">
        <v>1791</v>
      </c>
      <c r="B42" s="20" t="s">
        <v>1697</v>
      </c>
      <c r="D42" s="20"/>
      <c r="E42" s="20"/>
    </row>
    <row r="43" spans="1:5">
      <c r="A43" t="s">
        <v>1792</v>
      </c>
      <c r="B43" s="20" t="s">
        <v>1698</v>
      </c>
      <c r="D43" s="20"/>
      <c r="E43" s="20"/>
    </row>
    <row r="44" spans="1:5">
      <c r="A44" t="s">
        <v>1793</v>
      </c>
      <c r="B44" s="20" t="s">
        <v>1699</v>
      </c>
      <c r="D44" s="20"/>
      <c r="E44" s="20"/>
    </row>
    <row r="45" spans="1:5">
      <c r="A45" t="s">
        <v>1794</v>
      </c>
      <c r="B45" s="20" t="s">
        <v>1700</v>
      </c>
      <c r="D45" s="20"/>
      <c r="E45" s="20"/>
    </row>
    <row r="46" spans="1:5">
      <c r="A46" t="s">
        <v>1795</v>
      </c>
      <c r="B46" s="20" t="s">
        <v>1701</v>
      </c>
      <c r="D46" s="20"/>
      <c r="E46" s="20"/>
    </row>
    <row r="47" spans="1:5">
      <c r="A47" t="s">
        <v>1796</v>
      </c>
      <c r="B47" s="20" t="s">
        <v>1702</v>
      </c>
      <c r="D47" s="20"/>
      <c r="E47" s="20"/>
    </row>
    <row r="48" spans="1:5">
      <c r="A48" t="s">
        <v>1797</v>
      </c>
      <c r="B48" s="20" t="s">
        <v>1703</v>
      </c>
      <c r="D48" s="20"/>
      <c r="E48" s="20"/>
    </row>
    <row r="49" spans="1:5">
      <c r="A49" t="s">
        <v>1798</v>
      </c>
      <c r="B49" s="20" t="s">
        <v>1704</v>
      </c>
      <c r="D49" s="20"/>
      <c r="E49" s="20"/>
    </row>
    <row r="50" spans="1:5">
      <c r="A50" t="s">
        <v>1799</v>
      </c>
      <c r="B50" s="20" t="s">
        <v>1705</v>
      </c>
      <c r="D50" s="20"/>
      <c r="E50" s="20"/>
    </row>
    <row r="51" spans="1:5">
      <c r="A51" t="s">
        <v>1800</v>
      </c>
      <c r="B51" s="20" t="s">
        <v>1706</v>
      </c>
      <c r="D51" s="20"/>
      <c r="E51" s="20"/>
    </row>
    <row r="52" spans="1:5">
      <c r="A52" t="s">
        <v>1801</v>
      </c>
      <c r="B52" s="20" t="s">
        <v>1707</v>
      </c>
      <c r="D52" s="20"/>
      <c r="E52" s="20"/>
    </row>
    <row r="53" spans="1:5">
      <c r="A53" t="s">
        <v>1802</v>
      </c>
      <c r="B53" s="20" t="s">
        <v>1708</v>
      </c>
      <c r="D53" s="20"/>
      <c r="E53" s="20"/>
    </row>
    <row r="54" spans="1:5">
      <c r="A54" t="s">
        <v>1803</v>
      </c>
      <c r="B54" s="20" t="s">
        <v>1709</v>
      </c>
      <c r="D54" s="20"/>
      <c r="E54" s="20"/>
    </row>
    <row r="55" spans="1:5">
      <c r="A55" t="s">
        <v>1804</v>
      </c>
      <c r="B55" s="20" t="s">
        <v>1709</v>
      </c>
      <c r="D55" s="20"/>
      <c r="E55" s="20"/>
    </row>
    <row r="56" spans="1:5">
      <c r="A56" t="s">
        <v>1805</v>
      </c>
      <c r="B56" s="20" t="s">
        <v>1710</v>
      </c>
      <c r="D56" s="20"/>
      <c r="E56" s="20"/>
    </row>
    <row r="57" spans="1:5">
      <c r="A57" t="s">
        <v>1806</v>
      </c>
      <c r="B57" s="20" t="s">
        <v>1711</v>
      </c>
      <c r="D57" s="20"/>
      <c r="E57" s="20"/>
    </row>
    <row r="58" spans="1:5">
      <c r="A58" t="s">
        <v>1807</v>
      </c>
      <c r="B58" s="20" t="s">
        <v>1712</v>
      </c>
      <c r="D58" s="20"/>
      <c r="E58" s="20"/>
    </row>
    <row r="59" spans="1:5">
      <c r="A59" t="s">
        <v>1808</v>
      </c>
      <c r="B59" s="20" t="s">
        <v>1713</v>
      </c>
      <c r="D59" s="20"/>
      <c r="E59" s="20"/>
    </row>
    <row r="60" spans="1:5">
      <c r="A60" t="s">
        <v>1809</v>
      </c>
      <c r="B60" s="20" t="s">
        <v>1713</v>
      </c>
      <c r="D60" s="20"/>
      <c r="E60" s="20"/>
    </row>
    <row r="61" spans="1:5">
      <c r="A61" t="s">
        <v>1810</v>
      </c>
      <c r="B61" s="20" t="s">
        <v>1714</v>
      </c>
      <c r="D61" s="20"/>
      <c r="E61" s="20"/>
    </row>
    <row r="62" spans="1:5">
      <c r="A62" t="s">
        <v>1811</v>
      </c>
      <c r="B62" s="20" t="s">
        <v>1715</v>
      </c>
      <c r="D62" s="20"/>
      <c r="E62" s="20"/>
    </row>
    <row r="63" spans="1:5">
      <c r="A63" t="s">
        <v>1812</v>
      </c>
      <c r="B63" s="20" t="s">
        <v>1716</v>
      </c>
      <c r="D63" s="20"/>
      <c r="E63" s="20"/>
    </row>
    <row r="64" spans="1:5">
      <c r="A64" t="s">
        <v>1813</v>
      </c>
      <c r="B64" s="20" t="s">
        <v>1717</v>
      </c>
      <c r="D64" s="20"/>
      <c r="E64" s="20"/>
    </row>
    <row r="65" spans="1:5">
      <c r="A65" t="s">
        <v>1814</v>
      </c>
      <c r="B65" s="20" t="s">
        <v>1718</v>
      </c>
      <c r="D65" s="20"/>
      <c r="E65" s="20"/>
    </row>
    <row r="66" spans="1:5">
      <c r="A66" t="s">
        <v>1815</v>
      </c>
      <c r="B66" s="20" t="s">
        <v>1719</v>
      </c>
      <c r="D66" s="20"/>
      <c r="E66" s="20"/>
    </row>
    <row r="67" spans="1:5">
      <c r="A67" t="s">
        <v>1816</v>
      </c>
      <c r="B67" s="20" t="s">
        <v>1720</v>
      </c>
      <c r="D67" s="20"/>
      <c r="E67" s="20"/>
    </row>
    <row r="68" spans="1:5">
      <c r="A68" t="s">
        <v>1817</v>
      </c>
      <c r="B68" s="20" t="s">
        <v>1721</v>
      </c>
      <c r="D68" s="20"/>
      <c r="E68" s="20"/>
    </row>
    <row r="69" spans="1:5">
      <c r="A69" t="s">
        <v>1818</v>
      </c>
      <c r="B69" s="20" t="s">
        <v>1722</v>
      </c>
      <c r="D69" s="20"/>
      <c r="E69" s="20"/>
    </row>
    <row r="70" spans="1:5">
      <c r="A70" t="s">
        <v>1819</v>
      </c>
      <c r="B70" s="20" t="s">
        <v>1723</v>
      </c>
      <c r="D70" s="20"/>
      <c r="E70" s="20"/>
    </row>
    <row r="71" spans="1:5">
      <c r="A71" t="s">
        <v>1820</v>
      </c>
      <c r="B71" s="20" t="s">
        <v>1724</v>
      </c>
      <c r="D71" s="20"/>
      <c r="E71" s="20"/>
    </row>
    <row r="72" spans="1:5">
      <c r="A72" t="s">
        <v>1821</v>
      </c>
      <c r="B72" s="20" t="s">
        <v>1725</v>
      </c>
      <c r="D72" s="20"/>
      <c r="E72" s="20"/>
    </row>
    <row r="73" spans="1:5">
      <c r="A73" t="s">
        <v>1822</v>
      </c>
      <c r="B73" s="20" t="s">
        <v>1726</v>
      </c>
      <c r="D73" s="20"/>
      <c r="E73" s="20"/>
    </row>
    <row r="74" spans="1:5">
      <c r="A74" t="s">
        <v>1823</v>
      </c>
      <c r="B74" s="20" t="s">
        <v>1727</v>
      </c>
      <c r="D74" s="20"/>
      <c r="E74" s="20"/>
    </row>
    <row r="75" spans="1:5">
      <c r="A75" t="s">
        <v>1824</v>
      </c>
      <c r="B75" s="20" t="s">
        <v>1728</v>
      </c>
      <c r="D75" s="20"/>
      <c r="E75" s="20"/>
    </row>
    <row r="76" spans="1:5">
      <c r="A76" t="s">
        <v>1825</v>
      </c>
      <c r="B76" s="20" t="s">
        <v>1729</v>
      </c>
      <c r="D76" s="20"/>
      <c r="E76" s="20"/>
    </row>
    <row r="77" spans="1:5">
      <c r="A77" t="s">
        <v>1826</v>
      </c>
      <c r="B77" s="20" t="s">
        <v>1730</v>
      </c>
      <c r="D77" s="20"/>
      <c r="E77" s="20"/>
    </row>
    <row r="78" spans="1:5">
      <c r="A78" t="s">
        <v>1827</v>
      </c>
      <c r="B78" s="20" t="s">
        <v>1731</v>
      </c>
      <c r="D78" s="20"/>
      <c r="E78" s="20"/>
    </row>
    <row r="79" spans="1:5">
      <c r="A79" t="s">
        <v>1828</v>
      </c>
      <c r="B79" s="20" t="s">
        <v>1732</v>
      </c>
      <c r="D79" s="20"/>
      <c r="E79" s="20"/>
    </row>
    <row r="80" spans="1:5">
      <c r="A80" t="s">
        <v>1829</v>
      </c>
      <c r="B80" s="20" t="s">
        <v>1733</v>
      </c>
      <c r="D80" s="20"/>
      <c r="E80" s="20"/>
    </row>
    <row r="81" spans="1:5">
      <c r="A81" t="s">
        <v>1830</v>
      </c>
      <c r="B81" s="20" t="s">
        <v>1734</v>
      </c>
      <c r="D81" s="20"/>
      <c r="E81" s="20"/>
    </row>
    <row r="82" spans="1:5">
      <c r="A82" t="s">
        <v>1831</v>
      </c>
      <c r="B82" s="20" t="s">
        <v>1735</v>
      </c>
      <c r="D82" s="20"/>
      <c r="E82" s="20"/>
    </row>
    <row r="83" spans="1:5">
      <c r="A83" t="s">
        <v>1832</v>
      </c>
      <c r="B83" s="20" t="s">
        <v>1736</v>
      </c>
      <c r="D83" s="20"/>
      <c r="E83" s="20"/>
    </row>
    <row r="84" spans="1:5">
      <c r="A84" t="s">
        <v>1833</v>
      </c>
      <c r="B84" s="20" t="s">
        <v>1737</v>
      </c>
      <c r="D84" s="20"/>
      <c r="E84" s="20"/>
    </row>
    <row r="85" spans="1:5">
      <c r="A85" t="s">
        <v>1834</v>
      </c>
      <c r="B85" s="20" t="s">
        <v>1738</v>
      </c>
      <c r="D85" s="20"/>
      <c r="E85" s="20"/>
    </row>
    <row r="86" spans="1:5">
      <c r="A86" t="s">
        <v>1835</v>
      </c>
      <c r="B86" s="20" t="s">
        <v>1739</v>
      </c>
      <c r="D86" s="20"/>
      <c r="E86" s="20"/>
    </row>
    <row r="87" spans="1:5">
      <c r="A87" t="s">
        <v>1836</v>
      </c>
      <c r="B87" s="20" t="s">
        <v>1740</v>
      </c>
      <c r="D87" s="20"/>
      <c r="E87" s="20"/>
    </row>
    <row r="88" spans="1:5">
      <c r="A88" t="s">
        <v>1837</v>
      </c>
      <c r="B88" s="20" t="s">
        <v>1741</v>
      </c>
      <c r="D88" s="20"/>
      <c r="E88" s="20"/>
    </row>
    <row r="89" spans="1:5">
      <c r="A89" t="s">
        <v>1838</v>
      </c>
      <c r="B89" s="20" t="s">
        <v>1742</v>
      </c>
      <c r="D89" s="20"/>
      <c r="E89" s="20"/>
    </row>
    <row r="90" spans="1:5">
      <c r="A90" t="s">
        <v>1839</v>
      </c>
      <c r="B90" s="20" t="s">
        <v>1743</v>
      </c>
      <c r="D90" s="20"/>
      <c r="E90" s="20"/>
    </row>
    <row r="91" spans="1:5">
      <c r="A91" t="s">
        <v>1840</v>
      </c>
      <c r="B91" s="20" t="s">
        <v>1744</v>
      </c>
      <c r="D91" s="20"/>
      <c r="E91" s="20"/>
    </row>
    <row r="92" spans="1:5">
      <c r="A92" t="s">
        <v>1841</v>
      </c>
      <c r="B92" s="20" t="s">
        <v>1745</v>
      </c>
      <c r="D92" s="20"/>
      <c r="E92" s="20"/>
    </row>
    <row r="93" spans="1:5">
      <c r="A93" t="s">
        <v>1842</v>
      </c>
      <c r="B93" s="20" t="s">
        <v>1746</v>
      </c>
      <c r="D93" s="20"/>
      <c r="E93" s="20"/>
    </row>
    <row r="94" spans="1:5">
      <c r="A94" t="s">
        <v>1843</v>
      </c>
      <c r="B94" s="20" t="s">
        <v>1747</v>
      </c>
      <c r="D94" s="20"/>
      <c r="E94" s="20"/>
    </row>
    <row r="95" spans="1:5">
      <c r="A95" t="s">
        <v>1844</v>
      </c>
      <c r="B95" s="20" t="s">
        <v>1748</v>
      </c>
      <c r="D95" s="20"/>
      <c r="E95" s="20"/>
    </row>
    <row r="96" spans="1:5">
      <c r="A96" t="s">
        <v>1845</v>
      </c>
      <c r="B96" s="20" t="s">
        <v>1749</v>
      </c>
      <c r="D96" s="20"/>
      <c r="E96" s="20"/>
    </row>
    <row r="97" spans="1:5">
      <c r="A97" t="s">
        <v>1846</v>
      </c>
      <c r="B97" s="20" t="s">
        <v>1748</v>
      </c>
      <c r="D97" s="20"/>
      <c r="E97" s="20"/>
    </row>
    <row r="98" spans="1:5">
      <c r="A98" t="s">
        <v>1847</v>
      </c>
      <c r="B98" s="20" t="s">
        <v>1750</v>
      </c>
      <c r="D98" s="20"/>
      <c r="E98" s="20"/>
    </row>
    <row r="99" spans="1:5">
      <c r="A99" t="s">
        <v>1848</v>
      </c>
      <c r="B99" s="20" t="s">
        <v>1751</v>
      </c>
      <c r="D99" s="20"/>
      <c r="E99" s="20"/>
    </row>
    <row r="100" spans="1:5">
      <c r="A100" t="s">
        <v>1849</v>
      </c>
      <c r="B100" s="20" t="s">
        <v>1744</v>
      </c>
      <c r="D100" s="20"/>
      <c r="E100" s="20"/>
    </row>
    <row r="101" spans="1:5">
      <c r="A101" t="s">
        <v>1850</v>
      </c>
      <c r="B101" s="20" t="s">
        <v>1752</v>
      </c>
      <c r="D101" s="20"/>
      <c r="E101" s="20"/>
    </row>
    <row r="102" spans="1:5">
      <c r="A102" t="s">
        <v>1851</v>
      </c>
      <c r="B102" s="20" t="s">
        <v>1753</v>
      </c>
      <c r="D102" s="20"/>
      <c r="E102" s="20"/>
    </row>
    <row r="103" spans="1:5">
      <c r="A103" t="s">
        <v>1852</v>
      </c>
      <c r="B103" s="20" t="s">
        <v>1748</v>
      </c>
      <c r="D103" s="20"/>
      <c r="E103" s="20"/>
    </row>
    <row r="104" spans="1:5">
      <c r="A104" t="s">
        <v>1853</v>
      </c>
      <c r="B104" s="20" t="s">
        <v>1748</v>
      </c>
      <c r="D104" s="20"/>
      <c r="E104" s="20"/>
    </row>
    <row r="105" spans="1:5">
      <c r="A105" t="s">
        <v>1854</v>
      </c>
      <c r="B105" s="20" t="s">
        <v>1748</v>
      </c>
      <c r="D105" s="20"/>
      <c r="E105" s="20"/>
    </row>
    <row r="106" spans="1:5">
      <c r="A106" t="s">
        <v>1855</v>
      </c>
      <c r="B106" s="20" t="s">
        <v>1748</v>
      </c>
      <c r="D106" s="20"/>
      <c r="E106" s="20"/>
    </row>
    <row r="107" spans="1:5">
      <c r="A107" t="s">
        <v>1856</v>
      </c>
      <c r="B107" s="20" t="s">
        <v>1748</v>
      </c>
      <c r="D107" s="20"/>
      <c r="E107" s="20"/>
    </row>
    <row r="108" spans="1:5">
      <c r="A108" t="s">
        <v>1857</v>
      </c>
      <c r="B108" s="20" t="s">
        <v>1748</v>
      </c>
      <c r="D108" s="20"/>
      <c r="E108" s="20"/>
    </row>
    <row r="109" spans="1:5">
      <c r="A109" t="s">
        <v>1858</v>
      </c>
      <c r="B109" s="20" t="s">
        <v>1748</v>
      </c>
      <c r="D109" s="20"/>
      <c r="E109" s="20"/>
    </row>
    <row r="110" spans="1:5">
      <c r="A110" t="s">
        <v>1859</v>
      </c>
      <c r="B110" s="20" t="s">
        <v>1748</v>
      </c>
      <c r="D110" s="20"/>
      <c r="E110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6E61E-1297-4FDC-B035-8C0AF22AD51D}">
  <sheetPr codeName="Sheet1"/>
  <dimension ref="B1:AR87"/>
  <sheetViews>
    <sheetView topLeftCell="A8" zoomScale="150" zoomScaleNormal="150" workbookViewId="0">
      <selection activeCell="C23" sqref="C23"/>
    </sheetView>
  </sheetViews>
  <sheetFormatPr baseColWidth="10" defaultColWidth="8.83203125" defaultRowHeight="15"/>
  <cols>
    <col min="3" max="43" width="13.33203125" customWidth="1"/>
  </cols>
  <sheetData>
    <row r="1" spans="2:10">
      <c r="B1" t="s">
        <v>97</v>
      </c>
    </row>
    <row r="5" spans="2:10" ht="16" thickBot="1">
      <c r="C5" t="s">
        <v>1874</v>
      </c>
    </row>
    <row r="6" spans="2:10">
      <c r="C6" s="26" t="s">
        <v>56</v>
      </c>
      <c r="D6" s="27" t="s">
        <v>61</v>
      </c>
      <c r="E6" s="28" t="s">
        <v>60</v>
      </c>
      <c r="F6" s="27"/>
      <c r="G6" s="27"/>
      <c r="H6" s="27" t="s">
        <v>72</v>
      </c>
      <c r="I6" s="27" t="s">
        <v>73</v>
      </c>
      <c r="J6" s="29" t="s">
        <v>60</v>
      </c>
    </row>
    <row r="7" spans="2:10">
      <c r="C7" s="30" t="s">
        <v>57</v>
      </c>
      <c r="H7" t="s">
        <v>54</v>
      </c>
      <c r="I7">
        <v>0.13</v>
      </c>
      <c r="J7" s="31">
        <f>I7/$I$9</f>
        <v>6.4676616915422896E-2</v>
      </c>
    </row>
    <row r="8" spans="2:10">
      <c r="C8" s="30"/>
      <c r="D8" t="s">
        <v>58</v>
      </c>
      <c r="E8">
        <v>0.118533</v>
      </c>
      <c r="H8" t="s">
        <v>55</v>
      </c>
      <c r="I8">
        <v>1.88</v>
      </c>
      <c r="J8" s="31">
        <f>I8/$I$9</f>
        <v>0.93532338308457719</v>
      </c>
    </row>
    <row r="9" spans="2:10">
      <c r="C9" s="30"/>
      <c r="D9" t="s">
        <v>59</v>
      </c>
      <c r="E9">
        <f>1-E8</f>
        <v>0.881467</v>
      </c>
      <c r="H9" t="s">
        <v>74</v>
      </c>
      <c r="I9">
        <f>SUM(I7:I8)</f>
        <v>2.0099999999999998</v>
      </c>
      <c r="J9" s="31">
        <f>I9/$I$9</f>
        <v>1</v>
      </c>
    </row>
    <row r="10" spans="2:10">
      <c r="C10" s="30" t="s">
        <v>71</v>
      </c>
      <c r="J10" s="32"/>
    </row>
    <row r="11" spans="2:10">
      <c r="C11" s="30"/>
      <c r="D11" t="s">
        <v>62</v>
      </c>
      <c r="E11" s="33">
        <v>1.4999999999999999E-4</v>
      </c>
      <c r="J11" s="32"/>
    </row>
    <row r="12" spans="2:10">
      <c r="C12" s="30"/>
      <c r="D12" t="s">
        <v>63</v>
      </c>
      <c r="E12" s="33">
        <v>5.0000000000000001E-3</v>
      </c>
      <c r="J12" s="32"/>
    </row>
    <row r="13" spans="2:10">
      <c r="C13" s="30"/>
      <c r="D13" t="s">
        <v>64</v>
      </c>
      <c r="E13" s="33">
        <v>2.3000000000000001E-4</v>
      </c>
      <c r="J13" s="32"/>
    </row>
    <row r="14" spans="2:10">
      <c r="C14" s="30"/>
      <c r="D14" t="s">
        <v>70</v>
      </c>
      <c r="E14" s="33">
        <v>1.4999999999999999E-4</v>
      </c>
      <c r="J14" s="32"/>
    </row>
    <row r="15" spans="2:10">
      <c r="C15" s="30"/>
      <c r="D15" t="s">
        <v>65</v>
      </c>
      <c r="E15" s="33">
        <v>0.19</v>
      </c>
      <c r="J15" s="32"/>
    </row>
    <row r="16" spans="2:10">
      <c r="C16" s="30"/>
      <c r="D16" t="s">
        <v>66</v>
      </c>
      <c r="E16" s="33">
        <v>0.01</v>
      </c>
      <c r="J16" s="32"/>
    </row>
    <row r="17" spans="2:43">
      <c r="C17" s="30"/>
      <c r="D17" t="s">
        <v>67</v>
      </c>
      <c r="E17" s="33">
        <v>0.69447999999999999</v>
      </c>
      <c r="J17" s="32"/>
    </row>
    <row r="18" spans="2:43">
      <c r="C18" s="30"/>
      <c r="D18" t="s">
        <v>68</v>
      </c>
      <c r="E18" s="33">
        <v>0.1</v>
      </c>
      <c r="J18" s="32"/>
    </row>
    <row r="19" spans="2:43" ht="16" thickBot="1">
      <c r="C19" s="34"/>
      <c r="D19" s="35" t="s">
        <v>69</v>
      </c>
      <c r="E19" s="36">
        <v>0</v>
      </c>
      <c r="F19" s="35"/>
      <c r="G19" s="35"/>
      <c r="H19" s="35"/>
      <c r="I19" s="35"/>
      <c r="J19" s="37"/>
    </row>
    <row r="23" spans="2:43">
      <c r="C23" s="5" t="s">
        <v>1875</v>
      </c>
    </row>
    <row r="24" spans="2:43">
      <c r="B24" t="s">
        <v>0</v>
      </c>
      <c r="C24" t="s">
        <v>40</v>
      </c>
      <c r="D24" t="s">
        <v>41</v>
      </c>
      <c r="E24" t="s">
        <v>42</v>
      </c>
      <c r="F24" t="s">
        <v>43</v>
      </c>
      <c r="G24" t="s">
        <v>44</v>
      </c>
      <c r="H24" t="s">
        <v>45</v>
      </c>
      <c r="I24" t="s">
        <v>46</v>
      </c>
      <c r="J24" t="s">
        <v>33</v>
      </c>
      <c r="K24" t="s">
        <v>34</v>
      </c>
      <c r="L24" t="s">
        <v>38</v>
      </c>
      <c r="M24" t="s">
        <v>35</v>
      </c>
      <c r="N24" t="s">
        <v>36</v>
      </c>
      <c r="O24" t="s">
        <v>39</v>
      </c>
      <c r="P24" t="s">
        <v>37</v>
      </c>
      <c r="Q24" t="s">
        <v>1</v>
      </c>
      <c r="R24" t="s">
        <v>2</v>
      </c>
      <c r="S24" t="s">
        <v>3</v>
      </c>
      <c r="T24" t="s">
        <v>4</v>
      </c>
      <c r="U24" t="s">
        <v>5</v>
      </c>
      <c r="V24" t="s">
        <v>6</v>
      </c>
      <c r="W24" t="s">
        <v>7</v>
      </c>
      <c r="X24" t="s">
        <v>8</v>
      </c>
      <c r="Y24" t="s">
        <v>28</v>
      </c>
      <c r="Z24" s="1" t="s">
        <v>29</v>
      </c>
      <c r="AA24" s="1" t="s">
        <v>9</v>
      </c>
      <c r="AB24" s="1" t="s">
        <v>32</v>
      </c>
      <c r="AC24" t="s">
        <v>30</v>
      </c>
      <c r="AD24" s="1" t="s">
        <v>31</v>
      </c>
      <c r="AE24" t="s">
        <v>21</v>
      </c>
      <c r="AF24" t="s">
        <v>22</v>
      </c>
      <c r="AG24" t="s">
        <v>25</v>
      </c>
      <c r="AH24" t="s">
        <v>23</v>
      </c>
      <c r="AI24" t="s">
        <v>26</v>
      </c>
      <c r="AJ24" t="s">
        <v>24</v>
      </c>
      <c r="AK24" t="s">
        <v>27</v>
      </c>
      <c r="AL24" t="s">
        <v>18</v>
      </c>
      <c r="AM24" t="s">
        <v>19</v>
      </c>
      <c r="AN24" t="s">
        <v>20</v>
      </c>
      <c r="AO24" t="s">
        <v>57</v>
      </c>
      <c r="AP24" t="s">
        <v>71</v>
      </c>
      <c r="AQ24" t="s">
        <v>75</v>
      </c>
    </row>
    <row r="25" spans="2:43">
      <c r="B25" s="4">
        <v>0.01</v>
      </c>
      <c r="C25" s="3">
        <v>0.38540000000000002</v>
      </c>
      <c r="D25" s="3">
        <v>0.30270000000000002</v>
      </c>
      <c r="E25" s="3">
        <v>0.59409999999999996</v>
      </c>
      <c r="F25" s="3">
        <v>1.1819999999999999</v>
      </c>
      <c r="G25" s="3">
        <v>2.2679999999999998</v>
      </c>
      <c r="H25" s="3">
        <v>3.7360000000000002</v>
      </c>
      <c r="I25" s="3">
        <v>5.758</v>
      </c>
      <c r="J25" s="3">
        <v>15.2</v>
      </c>
      <c r="K25" s="3">
        <v>20.63</v>
      </c>
      <c r="L25" s="3">
        <v>25.75</v>
      </c>
      <c r="M25" s="3">
        <v>33.340000000000003</v>
      </c>
      <c r="N25" s="3">
        <v>39.78</v>
      </c>
      <c r="O25" s="3">
        <v>49.5</v>
      </c>
      <c r="P25" s="3">
        <v>56.59</v>
      </c>
      <c r="Q25" s="3">
        <v>62.49</v>
      </c>
      <c r="R25" s="3">
        <v>78.319999999999993</v>
      </c>
      <c r="S25" s="3">
        <v>92.59</v>
      </c>
      <c r="T25" s="3">
        <v>137.69999999999999</v>
      </c>
      <c r="U25" s="3">
        <v>150.4</v>
      </c>
      <c r="V25" s="3">
        <v>169.6</v>
      </c>
      <c r="W25" s="3">
        <v>207.7</v>
      </c>
      <c r="X25" s="3">
        <v>214.6</v>
      </c>
      <c r="Y25" s="3">
        <v>72.12</v>
      </c>
      <c r="Z25" s="3">
        <v>78.260000000000005</v>
      </c>
      <c r="AA25" s="3">
        <v>83.58</v>
      </c>
      <c r="AB25" s="3">
        <v>121.9</v>
      </c>
      <c r="AC25" s="3">
        <v>135.9</v>
      </c>
      <c r="AD25" s="3">
        <v>183.2</v>
      </c>
      <c r="AE25" s="3">
        <v>193.8</v>
      </c>
      <c r="AF25" s="3">
        <v>265.89999999999998</v>
      </c>
      <c r="AG25" s="3">
        <v>225.9</v>
      </c>
      <c r="AH25" s="3">
        <v>92.56</v>
      </c>
      <c r="AI25" s="3">
        <v>125.7</v>
      </c>
      <c r="AJ25" s="3">
        <v>163.6</v>
      </c>
      <c r="AK25" s="3">
        <v>173.7</v>
      </c>
      <c r="AL25" s="3">
        <v>4.9610000000000003</v>
      </c>
      <c r="AM25" s="3">
        <v>5.157</v>
      </c>
      <c r="AN25" s="3">
        <v>26.16</v>
      </c>
      <c r="AO25" s="3">
        <f>$E$8*I25+$E$9*AK25</f>
        <v>153.79333091399999</v>
      </c>
      <c r="AP25" s="3">
        <f>$E$11*G25+$E$12*M25+$E$13*N25+$E$14*O25+$E$15*T25+$E$16*U25+$E$17*V25+$E$18*W25+$E$19*AA25</f>
        <v>166.4044226</v>
      </c>
      <c r="AQ25" s="3">
        <f>$J$7*AM25+$J$8*AN25</f>
        <v>24.801597014925374</v>
      </c>
    </row>
    <row r="26" spans="2:43">
      <c r="B26" s="4">
        <v>1.4999999999999999E-2</v>
      </c>
      <c r="C26" s="3">
        <v>0.37640000000000001</v>
      </c>
      <c r="D26" s="3">
        <v>0.19850000000000001</v>
      </c>
      <c r="E26" s="3">
        <v>0.2782</v>
      </c>
      <c r="F26" s="3">
        <v>0.44069999999999998</v>
      </c>
      <c r="G26" s="3">
        <v>0.74760000000000004</v>
      </c>
      <c r="H26" s="3">
        <v>1.1559999999999999</v>
      </c>
      <c r="I26" s="3">
        <v>1.7310000000000001</v>
      </c>
      <c r="J26" s="3">
        <v>4.4980000000000002</v>
      </c>
      <c r="K26" s="3">
        <v>6.1239999999999997</v>
      </c>
      <c r="L26" s="3">
        <v>7.6970000000000001</v>
      </c>
      <c r="M26" s="3">
        <v>10.039999999999999</v>
      </c>
      <c r="N26" s="3">
        <v>12.07</v>
      </c>
      <c r="O26" s="3">
        <v>15.13</v>
      </c>
      <c r="P26" s="3">
        <v>17.45</v>
      </c>
      <c r="Q26" s="3">
        <v>19.43</v>
      </c>
      <c r="R26" s="3">
        <v>24.57</v>
      </c>
      <c r="S26" s="3">
        <v>29.29</v>
      </c>
      <c r="T26" s="3">
        <v>45.12</v>
      </c>
      <c r="U26" s="3">
        <v>49.65</v>
      </c>
      <c r="V26" s="3">
        <v>56.41</v>
      </c>
      <c r="W26" s="3">
        <v>70.03</v>
      </c>
      <c r="X26" s="3">
        <v>73.25</v>
      </c>
      <c r="Y26" s="3">
        <v>23.35</v>
      </c>
      <c r="Z26" s="3">
        <v>25.39</v>
      </c>
      <c r="AA26" s="3">
        <v>27.16</v>
      </c>
      <c r="AB26" s="3">
        <v>40.18</v>
      </c>
      <c r="AC26" s="3">
        <v>44.99</v>
      </c>
      <c r="AD26" s="3">
        <v>61.64</v>
      </c>
      <c r="AE26" s="3">
        <v>65.45</v>
      </c>
      <c r="AF26" s="3">
        <v>91.15</v>
      </c>
      <c r="AG26" s="3">
        <v>126.3</v>
      </c>
      <c r="AH26" s="3">
        <v>136.1</v>
      </c>
      <c r="AI26" s="3">
        <v>108.4</v>
      </c>
      <c r="AJ26" s="3">
        <v>57.87</v>
      </c>
      <c r="AK26" s="3">
        <v>61.62</v>
      </c>
      <c r="AL26" s="3">
        <v>1.5249999999999999</v>
      </c>
      <c r="AM26" s="3">
        <v>1.579</v>
      </c>
      <c r="AN26" s="3">
        <v>8.0749999999999993</v>
      </c>
      <c r="AO26" s="3">
        <f t="shared" ref="AO26:AO52" si="0">$E$8*I26+$E$9*AK26</f>
        <v>54.521177162999997</v>
      </c>
      <c r="AP26" s="3">
        <f t="shared" ref="AP26:AP52" si="1">$E$11*G26+$E$12*M26+$E$13*N26+$E$14*O26+$E$15*T26+$E$16*U26+$E$17*V26+$E$18*W26+$E$19*AA26</f>
        <v>55.303274539999997</v>
      </c>
      <c r="AQ26" s="3">
        <f t="shared" ref="AQ26:AQ52" si="2">$J$7*AM26+$J$8*AN26</f>
        <v>7.6548606965174129</v>
      </c>
    </row>
    <row r="27" spans="2:43">
      <c r="B27" s="4">
        <v>0.02</v>
      </c>
      <c r="C27" s="3">
        <v>0.3695</v>
      </c>
      <c r="D27" s="3">
        <v>0.1741</v>
      </c>
      <c r="E27" s="3">
        <v>0.2072</v>
      </c>
      <c r="F27" s="3">
        <v>0.27460000000000001</v>
      </c>
      <c r="G27" s="3">
        <v>0.40350000000000003</v>
      </c>
      <c r="H27" s="3">
        <v>0.56669999999999998</v>
      </c>
      <c r="I27" s="3">
        <v>0.79849999999999999</v>
      </c>
      <c r="J27" s="3">
        <v>1.9339999999999999</v>
      </c>
      <c r="K27" s="3">
        <v>2.6160000000000001</v>
      </c>
      <c r="L27" s="3">
        <v>3.2789999999999999</v>
      </c>
      <c r="M27" s="3">
        <v>4.2750000000000004</v>
      </c>
      <c r="N27" s="3">
        <v>5.1479999999999997</v>
      </c>
      <c r="O27" s="3">
        <v>6.4749999999999996</v>
      </c>
      <c r="P27" s="3">
        <v>7.492</v>
      </c>
      <c r="Q27" s="3">
        <v>8.375</v>
      </c>
      <c r="R27" s="3">
        <v>10.63</v>
      </c>
      <c r="S27" s="3">
        <v>12.73</v>
      </c>
      <c r="T27" s="3">
        <v>19.98</v>
      </c>
      <c r="U27" s="3">
        <v>22.11</v>
      </c>
      <c r="V27" s="3">
        <v>25.22</v>
      </c>
      <c r="W27" s="3">
        <v>31.67</v>
      </c>
      <c r="X27" s="3">
        <v>33.25</v>
      </c>
      <c r="Y27" s="3">
        <v>71.510000000000005</v>
      </c>
      <c r="Z27" s="3">
        <v>76.23</v>
      </c>
      <c r="AA27" s="3">
        <v>78.62</v>
      </c>
      <c r="AB27" s="3">
        <v>18.09</v>
      </c>
      <c r="AC27" s="3">
        <v>20.3</v>
      </c>
      <c r="AD27" s="3">
        <v>28.08</v>
      </c>
      <c r="AE27" s="3">
        <v>29.85</v>
      </c>
      <c r="AF27" s="3">
        <v>42.04</v>
      </c>
      <c r="AG27" s="3">
        <v>58.99</v>
      </c>
      <c r="AH27" s="3">
        <v>63.76</v>
      </c>
      <c r="AI27" s="3">
        <v>84.11</v>
      </c>
      <c r="AJ27" s="3">
        <v>91.13</v>
      </c>
      <c r="AK27" s="3">
        <v>68.45</v>
      </c>
      <c r="AL27" s="3">
        <v>0.72099999999999997</v>
      </c>
      <c r="AM27" s="3">
        <v>0.75049999999999994</v>
      </c>
      <c r="AN27" s="3">
        <v>3.51</v>
      </c>
      <c r="AO27" s="3">
        <f t="shared" si="0"/>
        <v>60.431064750500006</v>
      </c>
      <c r="AP27" s="3">
        <f t="shared" si="1"/>
        <v>24.722676415000002</v>
      </c>
      <c r="AQ27" s="3">
        <f t="shared" si="2"/>
        <v>3.3315248756218905</v>
      </c>
    </row>
    <row r="28" spans="2:43">
      <c r="B28" s="4">
        <v>0.03</v>
      </c>
      <c r="C28" s="3">
        <v>0.35699999999999998</v>
      </c>
      <c r="D28" s="3">
        <v>0.1588</v>
      </c>
      <c r="E28" s="3">
        <v>0.17050000000000001</v>
      </c>
      <c r="F28" s="3">
        <v>0.193</v>
      </c>
      <c r="G28" s="3">
        <v>0.23680000000000001</v>
      </c>
      <c r="H28" s="3">
        <v>0.28070000000000001</v>
      </c>
      <c r="I28" s="3">
        <v>0.34399999999999997</v>
      </c>
      <c r="J28" s="3">
        <v>0.65759999999999996</v>
      </c>
      <c r="K28" s="3">
        <v>0.85619999999999996</v>
      </c>
      <c r="L28" s="3">
        <v>1.0449999999999999</v>
      </c>
      <c r="M28" s="3">
        <v>1.34</v>
      </c>
      <c r="N28" s="3">
        <v>1.5960000000000001</v>
      </c>
      <c r="O28" s="3">
        <v>1.9930000000000001</v>
      </c>
      <c r="P28" s="3">
        <v>2.2989999999999999</v>
      </c>
      <c r="Q28" s="3">
        <v>2.5659999999999998</v>
      </c>
      <c r="R28" s="3">
        <v>3.26</v>
      </c>
      <c r="S28" s="3">
        <v>3.9089999999999998</v>
      </c>
      <c r="T28" s="3">
        <v>6.2210000000000001</v>
      </c>
      <c r="U28" s="3">
        <v>6.9169999999999998</v>
      </c>
      <c r="V28" s="3">
        <v>7.93</v>
      </c>
      <c r="W28" s="3">
        <v>10.050000000000001</v>
      </c>
      <c r="X28" s="3">
        <v>10.62</v>
      </c>
      <c r="Y28" s="3">
        <v>24.38</v>
      </c>
      <c r="Z28" s="3">
        <v>26.16</v>
      </c>
      <c r="AA28" s="3">
        <v>27.59</v>
      </c>
      <c r="AB28" s="3">
        <v>37.04</v>
      </c>
      <c r="AC28" s="3">
        <v>40.58</v>
      </c>
      <c r="AD28" s="3">
        <v>9.1669999999999998</v>
      </c>
      <c r="AE28" s="3">
        <v>9.76</v>
      </c>
      <c r="AF28" s="3">
        <v>13.93</v>
      </c>
      <c r="AG28" s="3">
        <v>19.88</v>
      </c>
      <c r="AH28" s="3">
        <v>21.58</v>
      </c>
      <c r="AI28" s="3">
        <v>29</v>
      </c>
      <c r="AJ28" s="3">
        <v>37.43</v>
      </c>
      <c r="AK28" s="3">
        <v>39.76</v>
      </c>
      <c r="AL28" s="3">
        <v>0.32479999999999998</v>
      </c>
      <c r="AM28" s="3">
        <v>0.34549999999999997</v>
      </c>
      <c r="AN28" s="3">
        <v>1.1419999999999999</v>
      </c>
      <c r="AO28" s="3">
        <f t="shared" si="0"/>
        <v>35.087903271999998</v>
      </c>
      <c r="AP28" s="3">
        <f t="shared" si="1"/>
        <v>7.7707879499999999</v>
      </c>
      <c r="AQ28" s="3">
        <f t="shared" si="2"/>
        <v>1.0904850746268657</v>
      </c>
    </row>
    <row r="29" spans="2:43">
      <c r="B29" s="4">
        <v>0.04</v>
      </c>
      <c r="C29" s="3">
        <v>0.3458</v>
      </c>
      <c r="D29" s="3">
        <v>0.15190000000000001</v>
      </c>
      <c r="E29" s="3">
        <v>0.1588</v>
      </c>
      <c r="F29" s="3">
        <v>0.1714</v>
      </c>
      <c r="G29" s="3">
        <v>0.19600000000000001</v>
      </c>
      <c r="H29" s="3">
        <v>0.21329999999999999</v>
      </c>
      <c r="I29" s="3">
        <v>0.2382</v>
      </c>
      <c r="J29" s="3">
        <v>0.35949999999999999</v>
      </c>
      <c r="K29" s="3">
        <v>0.44309999999999999</v>
      </c>
      <c r="L29" s="3">
        <v>0.51839999999999997</v>
      </c>
      <c r="M29" s="3">
        <v>0.64249999999999996</v>
      </c>
      <c r="N29" s="3">
        <v>0.74590000000000001</v>
      </c>
      <c r="O29" s="3">
        <v>0.91439999999999999</v>
      </c>
      <c r="P29" s="3">
        <v>1.0389999999999999</v>
      </c>
      <c r="Q29" s="3">
        <v>1.1479999999999999</v>
      </c>
      <c r="R29" s="3">
        <v>1.4470000000000001</v>
      </c>
      <c r="S29" s="3">
        <v>1.726</v>
      </c>
      <c r="T29" s="3">
        <v>2.7250000000000001</v>
      </c>
      <c r="U29" s="3">
        <v>3.0310000000000001</v>
      </c>
      <c r="V29" s="3">
        <v>3.4780000000000002</v>
      </c>
      <c r="W29" s="3">
        <v>4.4219999999999997</v>
      </c>
      <c r="X29" s="3">
        <v>4.68</v>
      </c>
      <c r="Y29" s="3">
        <v>11.09</v>
      </c>
      <c r="Z29" s="3">
        <v>11.91</v>
      </c>
      <c r="AA29" s="3">
        <v>12.61</v>
      </c>
      <c r="AB29" s="3">
        <v>17.39</v>
      </c>
      <c r="AC29" s="3">
        <v>19.02</v>
      </c>
      <c r="AD29" s="3">
        <v>24.1</v>
      </c>
      <c r="AE29" s="3">
        <v>25.29</v>
      </c>
      <c r="AF29" s="3">
        <v>6.335</v>
      </c>
      <c r="AG29" s="3">
        <v>9.1120000000000001</v>
      </c>
      <c r="AH29" s="3">
        <v>9.9220000000000006</v>
      </c>
      <c r="AI29" s="3">
        <v>13.49</v>
      </c>
      <c r="AJ29" s="3">
        <v>17.66</v>
      </c>
      <c r="AK29" s="3">
        <v>18.809999999999999</v>
      </c>
      <c r="AL29" s="3">
        <v>0.2311</v>
      </c>
      <c r="AM29" s="3">
        <v>0.25019999999999998</v>
      </c>
      <c r="AN29" s="3">
        <v>0.56830000000000003</v>
      </c>
      <c r="AO29" s="3">
        <f t="shared" si="0"/>
        <v>16.608628830600001</v>
      </c>
      <c r="AP29" s="3">
        <f t="shared" si="1"/>
        <v>3.4092120570000004</v>
      </c>
      <c r="AQ29" s="3">
        <f t="shared" si="2"/>
        <v>0.54772636815920406</v>
      </c>
    </row>
    <row r="30" spans="2:43">
      <c r="B30" s="4">
        <v>0.05</v>
      </c>
      <c r="C30" s="3">
        <v>0.33550000000000002</v>
      </c>
      <c r="D30" s="3">
        <v>0.1467</v>
      </c>
      <c r="E30" s="3">
        <v>0.152</v>
      </c>
      <c r="F30" s="3">
        <v>0.16120000000000001</v>
      </c>
      <c r="G30" s="3">
        <v>0.1794</v>
      </c>
      <c r="H30" s="3">
        <v>0.18770000000000001</v>
      </c>
      <c r="I30" s="3">
        <v>0.19969999999999999</v>
      </c>
      <c r="J30" s="3">
        <v>0.2555</v>
      </c>
      <c r="K30" s="3">
        <v>0.29930000000000001</v>
      </c>
      <c r="L30" s="3">
        <v>0.3347</v>
      </c>
      <c r="M30" s="3">
        <v>0.39929999999999999</v>
      </c>
      <c r="N30" s="3">
        <v>0.44890000000000002</v>
      </c>
      <c r="O30" s="3">
        <v>0.53580000000000005</v>
      </c>
      <c r="P30" s="3">
        <v>0.59589999999999999</v>
      </c>
      <c r="Q30" s="3">
        <v>0.64700000000000002</v>
      </c>
      <c r="R30" s="3">
        <v>0.80420000000000003</v>
      </c>
      <c r="S30" s="3">
        <v>0.94830000000000003</v>
      </c>
      <c r="T30" s="3">
        <v>1.462</v>
      </c>
      <c r="U30" s="3">
        <v>1.621</v>
      </c>
      <c r="V30" s="3">
        <v>1.8540000000000001</v>
      </c>
      <c r="W30" s="3">
        <v>2.3540000000000001</v>
      </c>
      <c r="X30" s="3">
        <v>2.4900000000000002</v>
      </c>
      <c r="Y30" s="3">
        <v>5.9660000000000002</v>
      </c>
      <c r="Z30" s="3">
        <v>6.4260000000000002</v>
      </c>
      <c r="AA30" s="3">
        <v>6.8120000000000003</v>
      </c>
      <c r="AB30" s="3">
        <v>9.5039999999999996</v>
      </c>
      <c r="AC30" s="3">
        <v>10.41</v>
      </c>
      <c r="AD30" s="3">
        <v>13.46</v>
      </c>
      <c r="AE30" s="3">
        <v>14.13</v>
      </c>
      <c r="AF30" s="3">
        <v>3.45</v>
      </c>
      <c r="AG30" s="3">
        <v>4.9779999999999998</v>
      </c>
      <c r="AH30" s="3">
        <v>5.4260000000000002</v>
      </c>
      <c r="AI30" s="3">
        <v>7.4260000000000002</v>
      </c>
      <c r="AJ30" s="3">
        <v>9.8160000000000007</v>
      </c>
      <c r="AK30" s="3">
        <v>10.48</v>
      </c>
      <c r="AL30" s="3">
        <v>0.19639999999999999</v>
      </c>
      <c r="AM30" s="3">
        <v>0.21490000000000001</v>
      </c>
      <c r="AN30" s="3">
        <v>0.3649</v>
      </c>
      <c r="AO30" s="3">
        <f t="shared" si="0"/>
        <v>9.2614452001000007</v>
      </c>
      <c r="AP30" s="3">
        <f t="shared" si="1"/>
        <v>1.8191629469999999</v>
      </c>
      <c r="AQ30" s="3">
        <f t="shared" si="2"/>
        <v>0.35519850746268661</v>
      </c>
    </row>
    <row r="31" spans="2:43">
      <c r="B31" s="4">
        <v>0.06</v>
      </c>
      <c r="C31" s="3">
        <v>0.32600000000000001</v>
      </c>
      <c r="D31" s="3">
        <v>0.14230000000000001</v>
      </c>
      <c r="E31" s="3">
        <v>0.1469</v>
      </c>
      <c r="F31" s="3">
        <v>0.15459999999999999</v>
      </c>
      <c r="G31" s="3">
        <v>0.16980000000000001</v>
      </c>
      <c r="H31" s="3">
        <v>0.17430000000000001</v>
      </c>
      <c r="I31" s="3">
        <v>0.18110000000000001</v>
      </c>
      <c r="J31" s="3">
        <v>0.20910000000000001</v>
      </c>
      <c r="K31" s="3">
        <v>0.23569999999999999</v>
      </c>
      <c r="L31" s="3">
        <v>0.25390000000000001</v>
      </c>
      <c r="M31" s="3">
        <v>0.29270000000000002</v>
      </c>
      <c r="N31" s="3">
        <v>0.31879999999999997</v>
      </c>
      <c r="O31" s="3">
        <v>0.37009999999999998</v>
      </c>
      <c r="P31" s="3">
        <v>0.40189999999999998</v>
      </c>
      <c r="Q31" s="3">
        <v>0.42730000000000001</v>
      </c>
      <c r="R31" s="3">
        <v>0.52200000000000002</v>
      </c>
      <c r="S31" s="3">
        <v>0.60670000000000002</v>
      </c>
      <c r="T31" s="3">
        <v>0.89980000000000004</v>
      </c>
      <c r="U31" s="3">
        <v>0.99219999999999997</v>
      </c>
      <c r="V31" s="3">
        <v>1.131</v>
      </c>
      <c r="W31" s="3">
        <v>1.425</v>
      </c>
      <c r="X31" s="3">
        <v>1.504</v>
      </c>
      <c r="Y31" s="3">
        <v>3.5920000000000001</v>
      </c>
      <c r="Z31" s="3">
        <v>3.8740000000000001</v>
      </c>
      <c r="AA31" s="3">
        <v>4.1100000000000003</v>
      </c>
      <c r="AB31" s="3">
        <v>5.774</v>
      </c>
      <c r="AC31" s="3">
        <v>6.3550000000000004</v>
      </c>
      <c r="AD31" s="3">
        <v>8.2639999999999993</v>
      </c>
      <c r="AE31" s="3">
        <v>8.7059999999999995</v>
      </c>
      <c r="AF31" s="3">
        <v>11.44</v>
      </c>
      <c r="AG31" s="3">
        <v>3.048</v>
      </c>
      <c r="AH31" s="3">
        <v>3.3239999999999998</v>
      </c>
      <c r="AI31" s="3">
        <v>4.5629999999999997</v>
      </c>
      <c r="AJ31" s="3">
        <v>6.0659999999999998</v>
      </c>
      <c r="AK31" s="3">
        <v>6.4889999999999999</v>
      </c>
      <c r="AL31" s="3">
        <v>0.17910000000000001</v>
      </c>
      <c r="AM31" s="3">
        <v>0.1973</v>
      </c>
      <c r="AN31" s="3">
        <v>0.27460000000000001</v>
      </c>
      <c r="AO31" s="3">
        <f t="shared" si="0"/>
        <v>5.7413056892999998</v>
      </c>
      <c r="AP31" s="3">
        <f t="shared" si="1"/>
        <v>1.1104586890000001</v>
      </c>
      <c r="AQ31" s="3">
        <f t="shared" si="2"/>
        <v>0.26960049751243786</v>
      </c>
    </row>
    <row r="32" spans="2:43">
      <c r="B32" s="4">
        <v>0.08</v>
      </c>
      <c r="C32" s="3">
        <v>0.30909999999999999</v>
      </c>
      <c r="D32" s="3">
        <v>0.1348</v>
      </c>
      <c r="E32" s="3">
        <v>0.13869999999999999</v>
      </c>
      <c r="F32" s="3">
        <v>0.14499999999999999</v>
      </c>
      <c r="G32" s="3">
        <v>0.1578</v>
      </c>
      <c r="H32" s="3">
        <v>0.15959999999999999</v>
      </c>
      <c r="I32" s="3">
        <v>0.16220000000000001</v>
      </c>
      <c r="J32" s="3">
        <v>0.16930000000000001</v>
      </c>
      <c r="K32" s="3">
        <v>0.1827</v>
      </c>
      <c r="L32" s="3">
        <v>0.188</v>
      </c>
      <c r="M32" s="3">
        <v>0.20649999999999999</v>
      </c>
      <c r="N32" s="3">
        <v>0.21460000000000001</v>
      </c>
      <c r="O32" s="3">
        <v>0.23810000000000001</v>
      </c>
      <c r="P32" s="3">
        <v>0.24759999999999999</v>
      </c>
      <c r="Q32" s="3">
        <v>0.25309999999999999</v>
      </c>
      <c r="R32" s="3">
        <v>0.29809999999999998</v>
      </c>
      <c r="S32" s="3">
        <v>0.33550000000000002</v>
      </c>
      <c r="T32" s="3">
        <v>0.45229999999999998</v>
      </c>
      <c r="U32" s="3">
        <v>0.49030000000000001</v>
      </c>
      <c r="V32" s="3">
        <v>0.55100000000000005</v>
      </c>
      <c r="W32" s="3">
        <v>0.67859999999999998</v>
      </c>
      <c r="X32" s="3">
        <v>0.7097</v>
      </c>
      <c r="Y32" s="3">
        <v>1.631</v>
      </c>
      <c r="Z32" s="3">
        <v>1.7589999999999999</v>
      </c>
      <c r="AA32" s="3">
        <v>1.8640000000000001</v>
      </c>
      <c r="AB32" s="3">
        <v>2.63</v>
      </c>
      <c r="AC32" s="3">
        <v>2.9009999999999998</v>
      </c>
      <c r="AD32" s="3">
        <v>3.8130000000000002</v>
      </c>
      <c r="AE32" s="3">
        <v>4.0220000000000002</v>
      </c>
      <c r="AF32" s="3">
        <v>5.3849999999999998</v>
      </c>
      <c r="AG32" s="3">
        <v>7.1189999999999998</v>
      </c>
      <c r="AH32" s="3">
        <v>7.5679999999999996</v>
      </c>
      <c r="AI32" s="3">
        <v>2.1349999999999998</v>
      </c>
      <c r="AJ32" s="3">
        <v>2.851</v>
      </c>
      <c r="AK32" s="3">
        <v>3.0569999999999999</v>
      </c>
      <c r="AL32" s="3">
        <v>0.16139999999999999</v>
      </c>
      <c r="AM32" s="3">
        <v>0.17860000000000001</v>
      </c>
      <c r="AN32" s="3">
        <v>0.2001</v>
      </c>
      <c r="AO32" s="3">
        <f t="shared" si="0"/>
        <v>2.7138706716000001</v>
      </c>
      <c r="AP32" s="3">
        <f t="shared" si="1"/>
        <v>0.54249972300000004</v>
      </c>
      <c r="AQ32" s="3">
        <f t="shared" si="2"/>
        <v>0.19870945273631843</v>
      </c>
    </row>
    <row r="33" spans="2:43">
      <c r="B33" s="4">
        <v>0.1</v>
      </c>
      <c r="C33" s="3">
        <v>0.2944</v>
      </c>
      <c r="D33" s="3">
        <v>0.1283</v>
      </c>
      <c r="E33" s="3">
        <v>0.13189999999999999</v>
      </c>
      <c r="F33" s="3">
        <v>0.13769999999999999</v>
      </c>
      <c r="G33" s="3">
        <v>0.14929999999999999</v>
      </c>
      <c r="H33" s="3">
        <v>0.15010000000000001</v>
      </c>
      <c r="I33" s="3">
        <v>0.15140000000000001</v>
      </c>
      <c r="J33" s="3">
        <v>0.15179999999999999</v>
      </c>
      <c r="K33" s="3">
        <v>0.1605</v>
      </c>
      <c r="L33" s="3">
        <v>0.16139999999999999</v>
      </c>
      <c r="M33" s="3">
        <v>0.1729</v>
      </c>
      <c r="N33" s="3">
        <v>0.1749</v>
      </c>
      <c r="O33" s="3">
        <v>0.18859999999999999</v>
      </c>
      <c r="P33" s="3">
        <v>0.19059999999999999</v>
      </c>
      <c r="Q33" s="3">
        <v>0.1893</v>
      </c>
      <c r="R33" s="3">
        <v>0.21679999999999999</v>
      </c>
      <c r="S33" s="3">
        <v>0.2374</v>
      </c>
      <c r="T33" s="3">
        <v>0.29170000000000001</v>
      </c>
      <c r="U33" s="3">
        <v>0.31019999999999998</v>
      </c>
      <c r="V33" s="3">
        <v>0.34250000000000003</v>
      </c>
      <c r="W33" s="3">
        <v>0.40970000000000001</v>
      </c>
      <c r="X33" s="3">
        <v>0.42320000000000002</v>
      </c>
      <c r="Y33" s="3">
        <v>0.90610000000000002</v>
      </c>
      <c r="Z33" s="3">
        <v>0.97309999999999997</v>
      </c>
      <c r="AA33" s="3">
        <v>1.0309999999999999</v>
      </c>
      <c r="AB33" s="3">
        <v>1.444</v>
      </c>
      <c r="AC33" s="3">
        <v>1.5920000000000001</v>
      </c>
      <c r="AD33" s="3">
        <v>2.0950000000000002</v>
      </c>
      <c r="AE33" s="3">
        <v>2.2109999999999999</v>
      </c>
      <c r="AF33" s="3">
        <v>2.9820000000000002</v>
      </c>
      <c r="AG33" s="3">
        <v>3.9969999999999999</v>
      </c>
      <c r="AH33" s="3">
        <v>4.2729999999999997</v>
      </c>
      <c r="AI33" s="3">
        <v>5.3550000000000004</v>
      </c>
      <c r="AJ33" s="3">
        <v>1.6060000000000001</v>
      </c>
      <c r="AK33" s="3">
        <v>1.722</v>
      </c>
      <c r="AL33" s="3">
        <v>0.15090000000000001</v>
      </c>
      <c r="AM33" s="3">
        <v>0.16739999999999999</v>
      </c>
      <c r="AN33" s="3">
        <v>0.17019999999999999</v>
      </c>
      <c r="AO33" s="3">
        <f t="shared" si="0"/>
        <v>1.5358320702000001</v>
      </c>
      <c r="AP33" s="3">
        <f t="shared" si="1"/>
        <v>0.33830981200000004</v>
      </c>
      <c r="AQ33" s="3">
        <f t="shared" si="2"/>
        <v>0.17001890547263682</v>
      </c>
    </row>
    <row r="34" spans="2:43">
      <c r="B34" s="4">
        <v>0.15</v>
      </c>
      <c r="C34" s="3">
        <v>0.26500000000000001</v>
      </c>
      <c r="D34" s="3">
        <v>0.11550000000000001</v>
      </c>
      <c r="E34" s="3">
        <v>0.1186</v>
      </c>
      <c r="F34" s="3">
        <v>0.1237</v>
      </c>
      <c r="G34" s="3">
        <v>0.1338</v>
      </c>
      <c r="H34" s="3">
        <v>0.13400000000000001</v>
      </c>
      <c r="I34" s="3">
        <v>0.13439999999999999</v>
      </c>
      <c r="J34" s="3">
        <v>0.1305</v>
      </c>
      <c r="K34" s="3">
        <v>0.13569999999999999</v>
      </c>
      <c r="L34" s="3">
        <v>0.13370000000000001</v>
      </c>
      <c r="M34" s="3">
        <v>0.1399</v>
      </c>
      <c r="N34" s="3">
        <v>0.13789999999999999</v>
      </c>
      <c r="O34" s="3">
        <v>0.1444</v>
      </c>
      <c r="P34" s="3">
        <v>0.1414</v>
      </c>
      <c r="Q34" s="3">
        <v>0.13589999999999999</v>
      </c>
      <c r="R34" s="3">
        <v>0.15010000000000001</v>
      </c>
      <c r="S34" s="3">
        <v>0.1583</v>
      </c>
      <c r="T34" s="3">
        <v>0.16739999999999999</v>
      </c>
      <c r="U34" s="3">
        <v>0.17150000000000001</v>
      </c>
      <c r="V34" s="3">
        <v>0.18290000000000001</v>
      </c>
      <c r="W34" s="3">
        <v>0.2049</v>
      </c>
      <c r="X34" s="3">
        <v>0.20530000000000001</v>
      </c>
      <c r="Y34" s="3">
        <v>0.35089999999999999</v>
      </c>
      <c r="Z34" s="3">
        <v>0.37280000000000002</v>
      </c>
      <c r="AA34" s="3">
        <v>0.39019999999999999</v>
      </c>
      <c r="AB34" s="3">
        <v>0.52129999999999999</v>
      </c>
      <c r="AC34" s="3">
        <v>0.56899999999999995</v>
      </c>
      <c r="AD34" s="3">
        <v>0.73519999999999996</v>
      </c>
      <c r="AE34" s="3">
        <v>0.77470000000000006</v>
      </c>
      <c r="AF34" s="3">
        <v>1.04</v>
      </c>
      <c r="AG34" s="3">
        <v>1.4019999999999999</v>
      </c>
      <c r="AH34" s="3">
        <v>1.502</v>
      </c>
      <c r="AI34" s="3">
        <v>1.921</v>
      </c>
      <c r="AJ34" s="3">
        <v>2.3620000000000001</v>
      </c>
      <c r="AK34" s="3">
        <v>2.4769999999999999</v>
      </c>
      <c r="AL34" s="3">
        <v>0.1341</v>
      </c>
      <c r="AM34" s="3">
        <v>0.14899999999999999</v>
      </c>
      <c r="AN34" s="3">
        <v>0.13969999999999999</v>
      </c>
      <c r="AO34" s="3">
        <f t="shared" si="0"/>
        <v>2.1993245941999997</v>
      </c>
      <c r="AP34" s="3">
        <f t="shared" si="1"/>
        <v>0.18180433900000004</v>
      </c>
      <c r="AQ34" s="3">
        <f t="shared" si="2"/>
        <v>0.14030149253731342</v>
      </c>
    </row>
    <row r="35" spans="2:43">
      <c r="B35" s="4">
        <v>0.2</v>
      </c>
      <c r="C35" s="3">
        <v>0.2429</v>
      </c>
      <c r="D35" s="3">
        <v>0.10580000000000001</v>
      </c>
      <c r="E35" s="3">
        <v>0.1086</v>
      </c>
      <c r="F35" s="3">
        <v>0.1132</v>
      </c>
      <c r="G35" s="3">
        <v>0.12230000000000001</v>
      </c>
      <c r="H35" s="3">
        <v>0.1225</v>
      </c>
      <c r="I35" s="3">
        <v>0.1227</v>
      </c>
      <c r="J35" s="3">
        <v>0.1181</v>
      </c>
      <c r="K35" s="3">
        <v>0.12239999999999999</v>
      </c>
      <c r="L35" s="3">
        <v>0.11990000000000001</v>
      </c>
      <c r="M35" s="3">
        <v>0.12470000000000001</v>
      </c>
      <c r="N35" s="3">
        <v>0.12189999999999999</v>
      </c>
      <c r="O35" s="3">
        <v>0.12670000000000001</v>
      </c>
      <c r="P35" s="3">
        <v>0.12280000000000001</v>
      </c>
      <c r="Q35" s="3">
        <v>0.1166</v>
      </c>
      <c r="R35" s="3">
        <v>0.1273</v>
      </c>
      <c r="S35" s="3">
        <v>0.13239999999999999</v>
      </c>
      <c r="T35" s="3">
        <v>0.13120000000000001</v>
      </c>
      <c r="U35" s="3">
        <v>0.1321</v>
      </c>
      <c r="V35" s="3">
        <v>0.13830000000000001</v>
      </c>
      <c r="W35" s="3">
        <v>0.14899999999999999</v>
      </c>
      <c r="X35" s="3">
        <v>0.14660000000000001</v>
      </c>
      <c r="Y35" s="3">
        <v>0.20749999999999999</v>
      </c>
      <c r="Z35" s="3">
        <v>0.21740000000000001</v>
      </c>
      <c r="AA35" s="3">
        <v>0.22459999999999999</v>
      </c>
      <c r="AB35" s="3">
        <v>0.28179999999999999</v>
      </c>
      <c r="AC35" s="3">
        <v>0.30259999999999998</v>
      </c>
      <c r="AD35" s="3">
        <v>0.37680000000000002</v>
      </c>
      <c r="AE35" s="3">
        <v>0.3952</v>
      </c>
      <c r="AF35" s="3">
        <v>0.5181</v>
      </c>
      <c r="AG35" s="3">
        <v>0.68989999999999996</v>
      </c>
      <c r="AH35" s="3">
        <v>0.73829999999999996</v>
      </c>
      <c r="AI35" s="3">
        <v>0.94320000000000004</v>
      </c>
      <c r="AJ35" s="3">
        <v>1.169</v>
      </c>
      <c r="AK35" s="3">
        <v>1.23</v>
      </c>
      <c r="AL35" s="3">
        <v>0.1225</v>
      </c>
      <c r="AM35" s="3">
        <v>0.1361</v>
      </c>
      <c r="AN35" s="3">
        <v>0.1249</v>
      </c>
      <c r="AO35" s="3">
        <f t="shared" si="0"/>
        <v>1.0987484090999999</v>
      </c>
      <c r="AP35" s="3">
        <f t="shared" si="1"/>
        <v>0.13788447100000001</v>
      </c>
      <c r="AQ35" s="3">
        <f t="shared" si="2"/>
        <v>0.12562437810945276</v>
      </c>
    </row>
    <row r="36" spans="2:43">
      <c r="B36" s="4">
        <v>0.3</v>
      </c>
      <c r="C36" s="3">
        <v>0.2112</v>
      </c>
      <c r="D36" s="3">
        <v>9.1969999999999996E-2</v>
      </c>
      <c r="E36" s="3">
        <v>9.4490000000000005E-2</v>
      </c>
      <c r="F36" s="3">
        <v>9.8449999999999996E-2</v>
      </c>
      <c r="G36" s="3">
        <v>0.10630000000000001</v>
      </c>
      <c r="H36" s="3">
        <v>0.10639999999999999</v>
      </c>
      <c r="I36" s="3">
        <v>0.1066</v>
      </c>
      <c r="J36" s="3">
        <v>0.1021</v>
      </c>
      <c r="K36" s="3">
        <v>0.1055</v>
      </c>
      <c r="L36" s="3">
        <v>0.1031</v>
      </c>
      <c r="M36" s="3">
        <v>0.1069</v>
      </c>
      <c r="N36" s="3">
        <v>0.1041</v>
      </c>
      <c r="O36" s="3">
        <v>0.1075</v>
      </c>
      <c r="P36" s="3">
        <v>0.1037</v>
      </c>
      <c r="Q36" s="3">
        <v>9.7729999999999997E-2</v>
      </c>
      <c r="R36" s="3">
        <v>0.10589999999999999</v>
      </c>
      <c r="S36" s="3">
        <v>0.10920000000000001</v>
      </c>
      <c r="T36" s="3">
        <v>0.1037</v>
      </c>
      <c r="U36" s="3">
        <v>0.10299999999999999</v>
      </c>
      <c r="V36" s="3">
        <v>0.10639999999999999</v>
      </c>
      <c r="W36" s="3">
        <v>0.1113</v>
      </c>
      <c r="X36" s="3">
        <v>0.1076</v>
      </c>
      <c r="Y36" s="3">
        <v>0.1244</v>
      </c>
      <c r="Z36" s="3">
        <v>0.12790000000000001</v>
      </c>
      <c r="AA36" s="3">
        <v>0.1298</v>
      </c>
      <c r="AB36" s="3">
        <v>0.14710000000000001</v>
      </c>
      <c r="AC36" s="3">
        <v>0.1532</v>
      </c>
      <c r="AD36" s="3">
        <v>0.17630000000000001</v>
      </c>
      <c r="AE36" s="3">
        <v>0.18290000000000001</v>
      </c>
      <c r="AF36" s="3">
        <v>0.22470000000000001</v>
      </c>
      <c r="AG36" s="3">
        <v>0.28499999999999998</v>
      </c>
      <c r="AH36" s="3">
        <v>0.30230000000000001</v>
      </c>
      <c r="AI36" s="3">
        <v>0.37719999999999998</v>
      </c>
      <c r="AJ36" s="3">
        <v>0.46329999999999999</v>
      </c>
      <c r="AK36" s="3">
        <v>0.48730000000000001</v>
      </c>
      <c r="AL36" s="3">
        <v>0.10630000000000001</v>
      </c>
      <c r="AM36" s="3">
        <v>0.1183</v>
      </c>
      <c r="AN36" s="3">
        <v>0.1072</v>
      </c>
      <c r="AO36" s="3">
        <f t="shared" si="0"/>
        <v>0.4421744869</v>
      </c>
      <c r="AP36" s="3">
        <f t="shared" si="1"/>
        <v>0.106346185</v>
      </c>
      <c r="AQ36" s="3">
        <f t="shared" si="2"/>
        <v>0.10791791044776121</v>
      </c>
    </row>
    <row r="37" spans="2:43">
      <c r="B37" s="4">
        <v>0.4</v>
      </c>
      <c r="C37" s="3">
        <v>0.18920000000000001</v>
      </c>
      <c r="D37" s="3">
        <v>8.2419999999999993E-2</v>
      </c>
      <c r="E37" s="3">
        <v>8.4659999999999999E-2</v>
      </c>
      <c r="F37" s="3">
        <v>8.8190000000000004E-2</v>
      </c>
      <c r="G37" s="3">
        <v>9.5269999999999994E-2</v>
      </c>
      <c r="H37" s="3">
        <v>9.5350000000000004E-2</v>
      </c>
      <c r="I37" s="3">
        <v>9.5380000000000006E-2</v>
      </c>
      <c r="J37" s="3">
        <v>9.1359999999999997E-2</v>
      </c>
      <c r="K37" s="3">
        <v>9.4339999999999993E-2</v>
      </c>
      <c r="L37" s="3">
        <v>9.2130000000000004E-2</v>
      </c>
      <c r="M37" s="3">
        <v>9.5420000000000005E-2</v>
      </c>
      <c r="N37" s="3">
        <v>9.2789999999999997E-2</v>
      </c>
      <c r="O37" s="3">
        <v>9.5740000000000006E-2</v>
      </c>
      <c r="P37" s="3">
        <v>9.214E-2</v>
      </c>
      <c r="Q37" s="3">
        <v>8.6720000000000005E-2</v>
      </c>
      <c r="R37" s="3">
        <v>9.3729999999999994E-2</v>
      </c>
      <c r="S37" s="3">
        <v>9.6479999999999996E-2</v>
      </c>
      <c r="T37" s="3">
        <v>9.0399999999999994E-2</v>
      </c>
      <c r="U37" s="3">
        <v>8.9499999999999996E-2</v>
      </c>
      <c r="V37" s="3">
        <v>9.1999999999999998E-2</v>
      </c>
      <c r="W37" s="3">
        <v>9.529E-2</v>
      </c>
      <c r="X37" s="3">
        <v>9.1700000000000004E-2</v>
      </c>
      <c r="Y37" s="3">
        <v>9.7640000000000005E-2</v>
      </c>
      <c r="Z37" s="3">
        <v>9.9540000000000003E-2</v>
      </c>
      <c r="AA37" s="3">
        <v>0.10009999999999999</v>
      </c>
      <c r="AB37" s="3">
        <v>0.1071</v>
      </c>
      <c r="AC37" s="3">
        <v>0.1095</v>
      </c>
      <c r="AD37" s="3">
        <v>0.1192</v>
      </c>
      <c r="AE37" s="3">
        <v>0.1225</v>
      </c>
      <c r="AF37" s="3">
        <v>0.1424</v>
      </c>
      <c r="AG37" s="3">
        <v>0.1716</v>
      </c>
      <c r="AH37" s="3">
        <v>0.18010000000000001</v>
      </c>
      <c r="AI37" s="3">
        <v>0.2172</v>
      </c>
      <c r="AJ37" s="3">
        <v>0.26100000000000001</v>
      </c>
      <c r="AK37" s="3">
        <v>0.27350000000000002</v>
      </c>
      <c r="AL37" s="3">
        <v>9.5250000000000001E-2</v>
      </c>
      <c r="AM37" s="3">
        <v>0.10589999999999999</v>
      </c>
      <c r="AN37" s="3">
        <v>9.572E-2</v>
      </c>
      <c r="AO37" s="3">
        <f t="shared" si="0"/>
        <v>0.25238690204000003</v>
      </c>
      <c r="AP37" s="3">
        <f t="shared" si="1"/>
        <v>9.2019253199999998E-2</v>
      </c>
      <c r="AQ37" s="3">
        <f t="shared" si="2"/>
        <v>9.6378407960199003E-2</v>
      </c>
    </row>
    <row r="38" spans="2:43">
      <c r="B38" s="4">
        <v>0.5</v>
      </c>
      <c r="C38" s="3">
        <v>0.17280000000000001</v>
      </c>
      <c r="D38" s="3">
        <v>7.5259999999999994E-2</v>
      </c>
      <c r="E38" s="3">
        <v>7.732E-2</v>
      </c>
      <c r="F38" s="3">
        <v>8.0549999999999997E-2</v>
      </c>
      <c r="G38" s="3">
        <v>8.6999999999999994E-2</v>
      </c>
      <c r="H38" s="3">
        <v>8.7029999999999996E-2</v>
      </c>
      <c r="I38" s="3">
        <v>8.7080000000000005E-2</v>
      </c>
      <c r="J38" s="3">
        <v>8.3390000000000006E-2</v>
      </c>
      <c r="K38" s="3">
        <v>8.6080000000000004E-2</v>
      </c>
      <c r="L38" s="3">
        <v>8.4029999999999994E-2</v>
      </c>
      <c r="M38" s="3">
        <v>8.6980000000000002E-2</v>
      </c>
      <c r="N38" s="3">
        <v>8.4580000000000002E-2</v>
      </c>
      <c r="O38" s="3">
        <v>8.7220000000000006E-2</v>
      </c>
      <c r="P38" s="3">
        <v>8.3879999999999996E-2</v>
      </c>
      <c r="Q38" s="3">
        <v>7.8899999999999998E-2</v>
      </c>
      <c r="R38" s="3">
        <v>8.5199999999999998E-2</v>
      </c>
      <c r="S38" s="3">
        <v>8.7609999999999993E-2</v>
      </c>
      <c r="T38" s="3">
        <v>8.1680000000000003E-2</v>
      </c>
      <c r="U38" s="3">
        <v>8.0729999999999996E-2</v>
      </c>
      <c r="V38" s="3">
        <v>8.2820000000000005E-2</v>
      </c>
      <c r="W38" s="3">
        <v>8.5449999999999998E-2</v>
      </c>
      <c r="X38" s="3">
        <v>8.2040000000000002E-2</v>
      </c>
      <c r="Y38" s="3">
        <v>8.4199999999999997E-2</v>
      </c>
      <c r="Z38" s="3">
        <v>8.5459999999999994E-2</v>
      </c>
      <c r="AA38" s="3">
        <v>8.5529999999999995E-2</v>
      </c>
      <c r="AB38" s="3">
        <v>8.8779999999999998E-2</v>
      </c>
      <c r="AC38" s="3">
        <v>8.9760000000000006E-2</v>
      </c>
      <c r="AD38" s="3">
        <v>9.4460000000000002E-2</v>
      </c>
      <c r="AE38" s="3">
        <v>9.6540000000000001E-2</v>
      </c>
      <c r="AF38" s="3">
        <v>0.10780000000000001</v>
      </c>
      <c r="AG38" s="3">
        <v>0.12470000000000001</v>
      </c>
      <c r="AH38" s="3">
        <v>0.12970000000000001</v>
      </c>
      <c r="AI38" s="3">
        <v>0.15140000000000001</v>
      </c>
      <c r="AJ38" s="3">
        <v>0.17780000000000001</v>
      </c>
      <c r="AK38" s="3">
        <v>0.18540000000000001</v>
      </c>
      <c r="AL38" s="3">
        <v>8.6940000000000003E-2</v>
      </c>
      <c r="AM38" s="3">
        <v>9.6670000000000006E-2</v>
      </c>
      <c r="AN38" s="3">
        <v>8.7279999999999996E-2</v>
      </c>
      <c r="AO38" s="3">
        <f t="shared" si="0"/>
        <v>0.17374583544</v>
      </c>
      <c r="AP38" s="3">
        <f t="shared" si="1"/>
        <v>8.286882000000001E-2</v>
      </c>
      <c r="AQ38" s="3">
        <f t="shared" si="2"/>
        <v>8.7887313432835831E-2</v>
      </c>
    </row>
    <row r="39" spans="2:43">
      <c r="B39" s="4">
        <v>0.6</v>
      </c>
      <c r="C39" s="3">
        <v>0.1598</v>
      </c>
      <c r="D39" s="3">
        <v>6.9629999999999997E-2</v>
      </c>
      <c r="E39" s="3">
        <v>7.1499999999999994E-2</v>
      </c>
      <c r="F39" s="3">
        <v>7.4480000000000005E-2</v>
      </c>
      <c r="G39" s="3">
        <v>8.047E-2</v>
      </c>
      <c r="H39" s="3">
        <v>8.0490000000000006E-2</v>
      </c>
      <c r="I39" s="3">
        <v>8.0560000000000007E-2</v>
      </c>
      <c r="J39" s="3">
        <v>7.7109999999999998E-2</v>
      </c>
      <c r="K39" s="3">
        <v>7.9600000000000004E-2</v>
      </c>
      <c r="L39" s="3">
        <v>7.7689999999999995E-2</v>
      </c>
      <c r="M39" s="3">
        <v>8.0409999999999995E-2</v>
      </c>
      <c r="N39" s="3">
        <v>7.8149999999999997E-2</v>
      </c>
      <c r="O39" s="3">
        <v>8.0589999999999995E-2</v>
      </c>
      <c r="P39" s="3">
        <v>7.7469999999999997E-2</v>
      </c>
      <c r="Q39" s="3">
        <v>7.2859999999999994E-2</v>
      </c>
      <c r="R39" s="3">
        <v>7.8640000000000002E-2</v>
      </c>
      <c r="S39" s="3">
        <v>8.0829999999999999E-2</v>
      </c>
      <c r="T39" s="3">
        <v>7.5179999999999997E-2</v>
      </c>
      <c r="U39" s="3">
        <v>7.424E-2</v>
      </c>
      <c r="V39" s="3">
        <v>7.6109999999999997E-2</v>
      </c>
      <c r="W39" s="3">
        <v>7.8350000000000003E-2</v>
      </c>
      <c r="X39" s="3">
        <v>7.5130000000000002E-2</v>
      </c>
      <c r="Y39" s="3">
        <v>7.5600000000000001E-2</v>
      </c>
      <c r="Z39" s="3">
        <v>7.6550000000000007E-2</v>
      </c>
      <c r="AA39" s="3">
        <v>7.6380000000000003E-2</v>
      </c>
      <c r="AB39" s="3">
        <v>7.7990000000000004E-2</v>
      </c>
      <c r="AC39" s="3">
        <v>7.8310000000000005E-2</v>
      </c>
      <c r="AD39" s="3">
        <v>8.0750000000000002E-2</v>
      </c>
      <c r="AE39" s="3">
        <v>8.2229999999999998E-2</v>
      </c>
      <c r="AF39" s="3">
        <v>8.9410000000000003E-2</v>
      </c>
      <c r="AG39" s="3">
        <v>0.1004</v>
      </c>
      <c r="AH39" s="3">
        <v>0.1036</v>
      </c>
      <c r="AI39" s="3">
        <v>0.1178</v>
      </c>
      <c r="AJ39" s="3">
        <v>0.13519999999999999</v>
      </c>
      <c r="AK39" s="3">
        <v>0.14030000000000001</v>
      </c>
      <c r="AL39" s="3">
        <v>8.0409999999999995E-2</v>
      </c>
      <c r="AM39" s="3">
        <v>8.9429999999999996E-2</v>
      </c>
      <c r="AN39" s="3">
        <v>8.0699999999999994E-2</v>
      </c>
      <c r="AO39" s="3">
        <f t="shared" si="0"/>
        <v>0.13321883858</v>
      </c>
      <c r="AP39" s="3">
        <f t="shared" si="1"/>
        <v>7.6162656299999992E-2</v>
      </c>
      <c r="AQ39" s="3">
        <f t="shared" si="2"/>
        <v>8.1264626865671652E-2</v>
      </c>
    </row>
    <row r="40" spans="2:43">
      <c r="B40" s="4">
        <v>0.8</v>
      </c>
      <c r="C40" s="3">
        <v>0.1404</v>
      </c>
      <c r="D40" s="3">
        <v>6.1159999999999999E-2</v>
      </c>
      <c r="E40" s="3">
        <v>6.2799999999999995E-2</v>
      </c>
      <c r="F40" s="3">
        <v>6.5460000000000004E-2</v>
      </c>
      <c r="G40" s="3">
        <v>7.0699999999999999E-2</v>
      </c>
      <c r="H40" s="3">
        <v>7.0730000000000001E-2</v>
      </c>
      <c r="I40" s="3">
        <v>7.077E-2</v>
      </c>
      <c r="J40" s="3">
        <v>6.7739999999999995E-2</v>
      </c>
      <c r="K40" s="3">
        <v>6.9900000000000004E-2</v>
      </c>
      <c r="L40" s="3">
        <v>6.8210000000000007E-2</v>
      </c>
      <c r="M40" s="3">
        <v>7.0580000000000004E-2</v>
      </c>
      <c r="N40" s="3">
        <v>6.8589999999999998E-2</v>
      </c>
      <c r="O40" s="3">
        <v>7.0709999999999995E-2</v>
      </c>
      <c r="P40" s="3">
        <v>6.7960000000000007E-2</v>
      </c>
      <c r="Q40" s="3">
        <v>6.3890000000000002E-2</v>
      </c>
      <c r="R40" s="3">
        <v>6.8940000000000001E-2</v>
      </c>
      <c r="S40" s="3">
        <v>7.0830000000000004E-2</v>
      </c>
      <c r="T40" s="3">
        <v>6.5720000000000001E-2</v>
      </c>
      <c r="U40" s="3">
        <v>6.4869999999999997E-2</v>
      </c>
      <c r="V40" s="3">
        <v>6.6439999999999999E-2</v>
      </c>
      <c r="W40" s="3">
        <v>6.8269999999999997E-2</v>
      </c>
      <c r="X40" s="3">
        <v>6.54E-2</v>
      </c>
      <c r="Y40" s="3">
        <v>6.4589999999999995E-2</v>
      </c>
      <c r="Z40" s="3">
        <v>6.5240000000000006E-2</v>
      </c>
      <c r="AA40" s="3">
        <v>6.497E-2</v>
      </c>
      <c r="AB40" s="3">
        <v>6.5180000000000002E-2</v>
      </c>
      <c r="AC40" s="3">
        <v>6.5030000000000004E-2</v>
      </c>
      <c r="AD40" s="3">
        <v>6.5530000000000005E-2</v>
      </c>
      <c r="AE40" s="3">
        <v>6.6430000000000003E-2</v>
      </c>
      <c r="AF40" s="3">
        <v>7.0050000000000001E-2</v>
      </c>
      <c r="AG40" s="3">
        <v>7.5689999999999993E-2</v>
      </c>
      <c r="AH40" s="3">
        <v>7.7380000000000004E-2</v>
      </c>
      <c r="AI40" s="3">
        <v>8.4720000000000004E-2</v>
      </c>
      <c r="AJ40" s="3">
        <v>9.3850000000000003E-2</v>
      </c>
      <c r="AK40" s="3">
        <v>9.6619999999999998E-2</v>
      </c>
      <c r="AL40" s="3">
        <v>7.0650000000000004E-2</v>
      </c>
      <c r="AM40" s="3">
        <v>7.8560000000000005E-2</v>
      </c>
      <c r="AN40" s="3">
        <v>7.0849999999999996E-2</v>
      </c>
      <c r="AO40" s="3">
        <f t="shared" si="0"/>
        <v>9.3555921949999996E-2</v>
      </c>
      <c r="AP40" s="3">
        <f t="shared" si="1"/>
        <v>6.6493638399999999E-2</v>
      </c>
      <c r="AQ40" s="3">
        <f t="shared" si="2"/>
        <v>7.1348656716417908E-2</v>
      </c>
    </row>
    <row r="41" spans="2:43">
      <c r="B41" s="4">
        <v>1</v>
      </c>
      <c r="C41" s="3">
        <v>0.12620000000000001</v>
      </c>
      <c r="D41" s="3">
        <v>5.4969999999999998E-2</v>
      </c>
      <c r="E41" s="3">
        <v>5.645E-2</v>
      </c>
      <c r="F41" s="3">
        <v>5.883E-2</v>
      </c>
      <c r="G41" s="3">
        <v>6.3519999999999993E-2</v>
      </c>
      <c r="H41" s="3">
        <v>6.3549999999999995E-2</v>
      </c>
      <c r="I41" s="3">
        <v>6.3619999999999996E-2</v>
      </c>
      <c r="J41" s="3">
        <v>6.087E-2</v>
      </c>
      <c r="K41" s="3">
        <v>6.2829999999999997E-2</v>
      </c>
      <c r="L41" s="3">
        <v>6.132E-2</v>
      </c>
      <c r="M41" s="3">
        <v>6.3439999999999996E-2</v>
      </c>
      <c r="N41" s="3">
        <v>6.164E-2</v>
      </c>
      <c r="O41" s="3">
        <v>6.3530000000000003E-2</v>
      </c>
      <c r="P41" s="3">
        <v>6.1069999999999999E-2</v>
      </c>
      <c r="Q41" s="3">
        <v>5.74E-2</v>
      </c>
      <c r="R41" s="3">
        <v>6.1920000000000003E-2</v>
      </c>
      <c r="S41" s="3">
        <v>6.361E-2</v>
      </c>
      <c r="T41" s="3">
        <v>5.8970000000000002E-2</v>
      </c>
      <c r="U41" s="3">
        <v>5.8169999999999999E-2</v>
      </c>
      <c r="V41" s="3">
        <v>5.9569999999999998E-2</v>
      </c>
      <c r="W41" s="3">
        <v>6.1159999999999999E-2</v>
      </c>
      <c r="X41" s="3">
        <v>5.8560000000000001E-2</v>
      </c>
      <c r="Y41" s="3">
        <v>5.7360000000000001E-2</v>
      </c>
      <c r="Z41" s="3">
        <v>5.7880000000000001E-2</v>
      </c>
      <c r="AA41" s="3">
        <v>5.7570000000000003E-2</v>
      </c>
      <c r="AB41" s="3">
        <v>5.7290000000000001E-2</v>
      </c>
      <c r="AC41" s="3">
        <v>5.6959999999999997E-2</v>
      </c>
      <c r="AD41" s="3">
        <v>5.6759999999999998E-2</v>
      </c>
      <c r="AE41" s="3">
        <v>5.7439999999999998E-2</v>
      </c>
      <c r="AF41" s="3">
        <v>5.9580000000000001E-2</v>
      </c>
      <c r="AG41" s="3">
        <v>6.3E-2</v>
      </c>
      <c r="AH41" s="3">
        <v>6.4030000000000004E-2</v>
      </c>
      <c r="AI41" s="3">
        <v>6.8440000000000001E-2</v>
      </c>
      <c r="AJ41" s="3">
        <v>7.3980000000000004E-2</v>
      </c>
      <c r="AK41" s="3">
        <v>7.5689999999999993E-2</v>
      </c>
      <c r="AL41" s="3">
        <v>6.3490000000000005E-2</v>
      </c>
      <c r="AM41" s="3">
        <v>7.0620000000000002E-2</v>
      </c>
      <c r="AN41" s="3">
        <v>6.368E-2</v>
      </c>
      <c r="AO41" s="3">
        <f t="shared" si="0"/>
        <v>7.4259306689999985E-2</v>
      </c>
      <c r="AP41" s="3">
        <f t="shared" si="1"/>
        <v>5.9622608299999991E-2</v>
      </c>
      <c r="AQ41" s="3">
        <f t="shared" si="2"/>
        <v>6.4128855721393041E-2</v>
      </c>
    </row>
    <row r="42" spans="2:43">
      <c r="B42" s="4">
        <v>1.5</v>
      </c>
      <c r="C42" s="3">
        <v>0.1026</v>
      </c>
      <c r="D42" s="3">
        <v>4.4690000000000001E-2</v>
      </c>
      <c r="E42" s="3">
        <v>4.5900000000000003E-2</v>
      </c>
      <c r="F42" s="3">
        <v>4.7849999999999997E-2</v>
      </c>
      <c r="G42" s="3">
        <v>5.1670000000000001E-2</v>
      </c>
      <c r="H42" s="3">
        <v>5.1729999999999998E-2</v>
      </c>
      <c r="I42" s="3">
        <v>5.178E-2</v>
      </c>
      <c r="J42" s="3">
        <v>4.9579999999999999E-2</v>
      </c>
      <c r="K42" s="3">
        <v>5.1180000000000003E-2</v>
      </c>
      <c r="L42" s="3">
        <v>4.9950000000000001E-2</v>
      </c>
      <c r="M42" s="3">
        <v>5.1709999999999999E-2</v>
      </c>
      <c r="N42" s="3">
        <v>5.0270000000000002E-2</v>
      </c>
      <c r="O42" s="3">
        <v>5.1810000000000002E-2</v>
      </c>
      <c r="P42" s="3">
        <v>4.981E-2</v>
      </c>
      <c r="Q42" s="3">
        <v>4.6820000000000001E-2</v>
      </c>
      <c r="R42" s="3">
        <v>5.0529999999999999E-2</v>
      </c>
      <c r="S42" s="3">
        <v>5.1909999999999998E-2</v>
      </c>
      <c r="T42" s="3">
        <v>4.8140000000000002E-2</v>
      </c>
      <c r="U42" s="3">
        <v>4.7489999999999997E-2</v>
      </c>
      <c r="V42" s="3">
        <v>4.8619999999999997E-2</v>
      </c>
      <c r="W42" s="3">
        <v>4.9910000000000003E-2</v>
      </c>
      <c r="X42" s="3">
        <v>4.7800000000000002E-2</v>
      </c>
      <c r="Y42" s="3">
        <v>4.6629999999999998E-2</v>
      </c>
      <c r="Z42" s="3">
        <v>4.7030000000000002E-2</v>
      </c>
      <c r="AA42" s="3">
        <v>4.6730000000000001E-2</v>
      </c>
      <c r="AB42" s="3">
        <v>4.6249999999999999E-2</v>
      </c>
      <c r="AC42" s="3">
        <v>4.5879999999999997E-2</v>
      </c>
      <c r="AD42" s="3">
        <v>4.5319999999999999E-2</v>
      </c>
      <c r="AE42" s="3">
        <v>4.5780000000000001E-2</v>
      </c>
      <c r="AF42" s="3">
        <v>4.6820000000000001E-2</v>
      </c>
      <c r="AG42" s="3">
        <v>4.8480000000000002E-2</v>
      </c>
      <c r="AH42" s="3">
        <v>4.9020000000000001E-2</v>
      </c>
      <c r="AI42" s="3">
        <v>5.1020000000000003E-2</v>
      </c>
      <c r="AJ42" s="3">
        <v>5.3530000000000001E-2</v>
      </c>
      <c r="AK42" s="3">
        <v>5.4359999999999999E-2</v>
      </c>
      <c r="AL42" s="3">
        <v>5.1679999999999997E-2</v>
      </c>
      <c r="AM42" s="3">
        <v>5.747E-2</v>
      </c>
      <c r="AN42" s="3">
        <v>5.1869999999999999E-2</v>
      </c>
      <c r="AO42" s="3">
        <f t="shared" si="0"/>
        <v>5.405418486E-2</v>
      </c>
      <c r="AP42" s="3">
        <f t="shared" si="1"/>
        <v>4.8663751700000001E-2</v>
      </c>
      <c r="AQ42" s="3">
        <f t="shared" si="2"/>
        <v>5.2232189054726368E-2</v>
      </c>
    </row>
    <row r="43" spans="2:43">
      <c r="B43" s="4">
        <v>2</v>
      </c>
      <c r="C43" s="3">
        <v>8.7580000000000005E-2</v>
      </c>
      <c r="D43" s="3">
        <v>3.8240000000000003E-2</v>
      </c>
      <c r="E43" s="3">
        <v>3.9309999999999998E-2</v>
      </c>
      <c r="F43" s="3">
        <v>4.1020000000000001E-2</v>
      </c>
      <c r="G43" s="3">
        <v>4.4350000000000001E-2</v>
      </c>
      <c r="H43" s="3">
        <v>4.444E-2</v>
      </c>
      <c r="I43" s="3">
        <v>4.4499999999999998E-2</v>
      </c>
      <c r="J43" s="3">
        <v>4.274E-2</v>
      </c>
      <c r="K43" s="3">
        <v>4.4150000000000002E-2</v>
      </c>
      <c r="L43" s="3">
        <v>4.3159999999999997E-2</v>
      </c>
      <c r="M43" s="3">
        <v>4.4690000000000001E-2</v>
      </c>
      <c r="N43" s="3">
        <v>4.3479999999999998E-2</v>
      </c>
      <c r="O43" s="3">
        <v>4.487E-2</v>
      </c>
      <c r="P43" s="3">
        <v>4.317E-2</v>
      </c>
      <c r="Q43" s="3">
        <v>4.0620000000000003E-2</v>
      </c>
      <c r="R43" s="3">
        <v>4.3880000000000002E-2</v>
      </c>
      <c r="S43" s="3">
        <v>4.512E-2</v>
      </c>
      <c r="T43" s="3">
        <v>4.2000000000000003E-2</v>
      </c>
      <c r="U43" s="3">
        <v>4.1480000000000003E-2</v>
      </c>
      <c r="V43" s="3">
        <v>4.2500000000000003E-2</v>
      </c>
      <c r="W43" s="3">
        <v>4.3700000000000003E-2</v>
      </c>
      <c r="X43" s="3">
        <v>4.1880000000000001E-2</v>
      </c>
      <c r="Y43" s="3">
        <v>4.1230000000000003E-2</v>
      </c>
      <c r="Z43" s="3">
        <v>4.1599999999999998E-2</v>
      </c>
      <c r="AA43" s="3">
        <v>4.138E-2</v>
      </c>
      <c r="AB43" s="3">
        <v>4.1090000000000002E-2</v>
      </c>
      <c r="AC43" s="3">
        <v>4.0809999999999999E-2</v>
      </c>
      <c r="AD43" s="3">
        <v>4.0410000000000001E-2</v>
      </c>
      <c r="AE43" s="3">
        <v>4.0840000000000001E-2</v>
      </c>
      <c r="AF43" s="3">
        <v>4.1829999999999999E-2</v>
      </c>
      <c r="AG43" s="3">
        <v>4.3310000000000001E-2</v>
      </c>
      <c r="AH43" s="3">
        <v>4.3729999999999998E-2</v>
      </c>
      <c r="AI43" s="3">
        <v>4.5359999999999998E-2</v>
      </c>
      <c r="AJ43" s="3">
        <v>4.7260000000000003E-2</v>
      </c>
      <c r="AK43" s="3">
        <v>4.7890000000000002E-2</v>
      </c>
      <c r="AL43" s="3">
        <v>4.4400000000000002E-2</v>
      </c>
      <c r="AM43" s="3">
        <v>4.9320000000000003E-2</v>
      </c>
      <c r="AN43" s="3">
        <v>4.4720000000000003E-2</v>
      </c>
      <c r="AO43" s="3">
        <f t="shared" si="0"/>
        <v>4.7488173129999998E-2</v>
      </c>
      <c r="AP43" s="3">
        <f t="shared" si="1"/>
        <v>4.2527033399999997E-2</v>
      </c>
      <c r="AQ43" s="3">
        <f t="shared" si="2"/>
        <v>4.5017512437810957E-2</v>
      </c>
    </row>
    <row r="44" spans="2:43">
      <c r="B44" s="4">
        <v>3</v>
      </c>
      <c r="C44" s="3">
        <v>6.9099999999999995E-2</v>
      </c>
      <c r="D44" s="3">
        <v>3.0370000000000001E-2</v>
      </c>
      <c r="E44" s="3">
        <v>3.1320000000000001E-2</v>
      </c>
      <c r="F44" s="3">
        <v>3.2770000000000001E-2</v>
      </c>
      <c r="G44" s="3">
        <v>3.5549999999999998E-2</v>
      </c>
      <c r="H44" s="3">
        <v>3.5709999999999999E-2</v>
      </c>
      <c r="I44" s="3">
        <v>3.5889999999999998E-2</v>
      </c>
      <c r="J44" s="3">
        <v>3.4779999999999998E-2</v>
      </c>
      <c r="K44" s="3">
        <v>3.6040000000000003E-2</v>
      </c>
      <c r="L44" s="3">
        <v>3.533E-2</v>
      </c>
      <c r="M44" s="3">
        <v>3.6700000000000003E-2</v>
      </c>
      <c r="N44" s="3">
        <v>3.5799999999999998E-2</v>
      </c>
      <c r="O44" s="3">
        <v>3.7060000000000003E-2</v>
      </c>
      <c r="P44" s="3">
        <v>3.5770000000000003E-2</v>
      </c>
      <c r="Q44" s="3">
        <v>3.3750000000000002E-2</v>
      </c>
      <c r="R44" s="3">
        <v>3.6569999999999998E-2</v>
      </c>
      <c r="S44" s="3">
        <v>3.771E-2</v>
      </c>
      <c r="T44" s="3">
        <v>3.5490000000000001E-2</v>
      </c>
      <c r="U44" s="3">
        <v>3.5139999999999998E-2</v>
      </c>
      <c r="V44" s="3">
        <v>3.6110000000000003E-2</v>
      </c>
      <c r="W44" s="3">
        <v>3.7339999999999998E-2</v>
      </c>
      <c r="X44" s="3">
        <v>3.5880000000000002E-2</v>
      </c>
      <c r="Y44" s="3">
        <v>3.6299999999999999E-2</v>
      </c>
      <c r="Z44" s="3">
        <v>3.6720000000000003E-2</v>
      </c>
      <c r="AA44" s="3">
        <v>3.6609999999999997E-2</v>
      </c>
      <c r="AB44" s="3">
        <v>3.6810000000000002E-2</v>
      </c>
      <c r="AC44" s="3">
        <v>3.6700000000000003E-2</v>
      </c>
      <c r="AD44" s="3">
        <v>3.6720000000000003E-2</v>
      </c>
      <c r="AE44" s="3">
        <v>3.7170000000000002E-2</v>
      </c>
      <c r="AF44" s="3">
        <v>3.841E-2</v>
      </c>
      <c r="AG44" s="3">
        <v>4.002E-2</v>
      </c>
      <c r="AH44" s="3">
        <v>4.0460000000000003E-2</v>
      </c>
      <c r="AI44" s="3">
        <v>4.199E-2</v>
      </c>
      <c r="AJ44" s="3">
        <v>4.3549999999999998E-2</v>
      </c>
      <c r="AK44" s="3">
        <v>4.403E-2</v>
      </c>
      <c r="AL44" s="3">
        <v>3.5729999999999998E-2</v>
      </c>
      <c r="AM44" s="3">
        <v>3.9609999999999999E-2</v>
      </c>
      <c r="AN44" s="3">
        <v>3.6459999999999999E-2</v>
      </c>
      <c r="AO44" s="3">
        <f t="shared" si="0"/>
        <v>4.3065141379999998E-2</v>
      </c>
      <c r="AP44" s="3">
        <f t="shared" si="1"/>
        <v>3.6108798300000002E-2</v>
      </c>
      <c r="AQ44" s="3">
        <f t="shared" si="2"/>
        <v>3.666373134328358E-2</v>
      </c>
    </row>
    <row r="45" spans="2:43">
      <c r="B45" s="4">
        <v>4</v>
      </c>
      <c r="C45" s="3">
        <v>5.7930000000000002E-2</v>
      </c>
      <c r="D45" s="3">
        <v>2.5659999999999999E-2</v>
      </c>
      <c r="E45" s="3">
        <v>2.6579999999999999E-2</v>
      </c>
      <c r="F45" s="3">
        <v>2.793E-2</v>
      </c>
      <c r="G45" s="3">
        <v>3.04E-2</v>
      </c>
      <c r="H45" s="3">
        <v>3.066E-2</v>
      </c>
      <c r="I45" s="3">
        <v>3.0929999999999999E-2</v>
      </c>
      <c r="J45" s="3">
        <v>3.031E-2</v>
      </c>
      <c r="K45" s="3">
        <v>3.1530000000000002E-2</v>
      </c>
      <c r="L45" s="3">
        <v>3.1009999999999999E-2</v>
      </c>
      <c r="M45" s="3">
        <v>3.2329999999999998E-2</v>
      </c>
      <c r="N45" s="3">
        <v>3.1649999999999998E-2</v>
      </c>
      <c r="O45" s="3">
        <v>3.2870000000000003E-2</v>
      </c>
      <c r="P45" s="3">
        <v>3.1820000000000001E-2</v>
      </c>
      <c r="Q45" s="3">
        <v>3.0130000000000001E-2</v>
      </c>
      <c r="R45" s="3">
        <v>3.2739999999999998E-2</v>
      </c>
      <c r="S45" s="3">
        <v>3.3860000000000001E-2</v>
      </c>
      <c r="T45" s="3">
        <v>3.227E-2</v>
      </c>
      <c r="U45" s="3">
        <v>3.2039999999999999E-2</v>
      </c>
      <c r="V45" s="3">
        <v>3.3029999999999997E-2</v>
      </c>
      <c r="W45" s="3">
        <v>3.4349999999999999E-2</v>
      </c>
      <c r="X45" s="3">
        <v>3.3090000000000001E-2</v>
      </c>
      <c r="Y45" s="3">
        <v>3.4410000000000003E-2</v>
      </c>
      <c r="Z45" s="3">
        <v>3.4880000000000001E-2</v>
      </c>
      <c r="AA45" s="3">
        <v>3.4849999999999999E-2</v>
      </c>
      <c r="AB45" s="3">
        <v>3.5470000000000002E-2</v>
      </c>
      <c r="AC45" s="3">
        <v>3.5499999999999997E-2</v>
      </c>
      <c r="AD45" s="3">
        <v>3.585E-2</v>
      </c>
      <c r="AE45" s="3">
        <v>3.6330000000000001E-2</v>
      </c>
      <c r="AF45" s="3">
        <v>3.7859999999999998E-2</v>
      </c>
      <c r="AG45" s="3">
        <v>3.9710000000000002E-2</v>
      </c>
      <c r="AH45" s="3">
        <v>4.0189999999999997E-2</v>
      </c>
      <c r="AI45" s="3">
        <v>4.1750000000000002E-2</v>
      </c>
      <c r="AJ45" s="3">
        <v>4.3220000000000001E-2</v>
      </c>
      <c r="AK45" s="3">
        <v>4.3650000000000001E-2</v>
      </c>
      <c r="AL45" s="3">
        <v>3.0720000000000001E-2</v>
      </c>
      <c r="AM45" s="3">
        <v>3.3950000000000001E-2</v>
      </c>
      <c r="AN45" s="3">
        <v>3.1820000000000001E-2</v>
      </c>
      <c r="AO45" s="3">
        <f t="shared" si="0"/>
        <v>4.214226024E-2</v>
      </c>
      <c r="AP45" s="3">
        <f t="shared" si="1"/>
        <v>3.3003794399999994E-2</v>
      </c>
      <c r="AQ45" s="3">
        <f t="shared" si="2"/>
        <v>3.1957761194029856E-2</v>
      </c>
    </row>
    <row r="46" spans="2:43">
      <c r="B46" s="4">
        <v>5</v>
      </c>
      <c r="C46" s="3">
        <v>5.0360000000000002E-2</v>
      </c>
      <c r="D46" s="3">
        <v>2.2519999999999998E-2</v>
      </c>
      <c r="E46" s="3">
        <v>2.342E-2</v>
      </c>
      <c r="F46" s="3">
        <v>2.4709999999999999E-2</v>
      </c>
      <c r="G46" s="3">
        <v>2.7009999999999999E-2</v>
      </c>
      <c r="H46" s="3">
        <v>2.7359999999999999E-2</v>
      </c>
      <c r="I46" s="3">
        <v>2.7699999999999999E-2</v>
      </c>
      <c r="J46" s="3">
        <v>2.7470000000000001E-2</v>
      </c>
      <c r="K46" s="3">
        <v>2.8660000000000001E-2</v>
      </c>
      <c r="L46" s="3">
        <v>2.8289999999999999E-2</v>
      </c>
      <c r="M46" s="3">
        <v>2.9600000000000001E-2</v>
      </c>
      <c r="N46" s="3">
        <v>2.9080000000000002E-2</v>
      </c>
      <c r="O46" s="3">
        <v>3.031E-2</v>
      </c>
      <c r="P46" s="3">
        <v>2.9440000000000001E-2</v>
      </c>
      <c r="Q46" s="3">
        <v>2.7969999999999998E-2</v>
      </c>
      <c r="R46" s="3">
        <v>3.0470000000000001E-2</v>
      </c>
      <c r="S46" s="3">
        <v>3.1629999999999998E-2</v>
      </c>
      <c r="T46" s="3">
        <v>3.0499999999999999E-2</v>
      </c>
      <c r="U46" s="3">
        <v>3.0380000000000001E-2</v>
      </c>
      <c r="V46" s="3">
        <v>3.1390000000000001E-2</v>
      </c>
      <c r="W46" s="3">
        <v>3.2809999999999999E-2</v>
      </c>
      <c r="X46" s="3">
        <v>3.1690000000000003E-2</v>
      </c>
      <c r="Y46" s="3">
        <v>3.3759999999999998E-2</v>
      </c>
      <c r="Z46" s="3">
        <v>3.4270000000000002E-2</v>
      </c>
      <c r="AA46" s="3">
        <v>3.4299999999999997E-2</v>
      </c>
      <c r="AB46" s="3">
        <v>3.5270000000000003E-2</v>
      </c>
      <c r="AC46" s="3">
        <v>3.5389999999999998E-2</v>
      </c>
      <c r="AD46" s="3">
        <v>3.6020000000000003E-2</v>
      </c>
      <c r="AE46" s="3">
        <v>3.653E-2</v>
      </c>
      <c r="AF46" s="3">
        <v>3.832E-2</v>
      </c>
      <c r="AG46" s="3">
        <v>4.0390000000000002E-2</v>
      </c>
      <c r="AH46" s="3">
        <v>4.0890000000000003E-2</v>
      </c>
      <c r="AI46" s="3">
        <v>4.2569999999999997E-2</v>
      </c>
      <c r="AJ46" s="3">
        <v>4.403E-2</v>
      </c>
      <c r="AK46" s="3">
        <v>4.4450000000000003E-2</v>
      </c>
      <c r="AL46" s="3">
        <v>2.7449999999999999E-2</v>
      </c>
      <c r="AM46" s="3">
        <v>3.024E-2</v>
      </c>
      <c r="AN46" s="3">
        <v>2.8879999999999999E-2</v>
      </c>
      <c r="AO46" s="3">
        <f t="shared" si="0"/>
        <v>4.2464572249999999E-2</v>
      </c>
      <c r="AP46" s="3">
        <f t="shared" si="1"/>
        <v>3.1342813599999998E-2</v>
      </c>
      <c r="AQ46" s="3">
        <f t="shared" si="2"/>
        <v>2.8967960199004977E-2</v>
      </c>
    </row>
    <row r="47" spans="2:43">
      <c r="B47" s="4">
        <v>6</v>
      </c>
      <c r="C47" s="3">
        <v>4.4859999999999997E-2</v>
      </c>
      <c r="D47" s="3">
        <v>2.0250000000000001E-2</v>
      </c>
      <c r="E47" s="3">
        <v>2.1160000000000002E-2</v>
      </c>
      <c r="F47" s="3">
        <v>2.2419999999999999E-2</v>
      </c>
      <c r="G47" s="3">
        <v>2.4629999999999999E-2</v>
      </c>
      <c r="H47" s="3">
        <v>2.5049999999999999E-2</v>
      </c>
      <c r="I47" s="3">
        <v>2.546E-2</v>
      </c>
      <c r="J47" s="3">
        <v>2.5530000000000001E-2</v>
      </c>
      <c r="K47" s="3">
        <v>2.6749999999999999E-2</v>
      </c>
      <c r="L47" s="3">
        <v>2.649E-2</v>
      </c>
      <c r="M47" s="3">
        <v>2.7810000000000001E-2</v>
      </c>
      <c r="N47" s="3">
        <v>2.741E-2</v>
      </c>
      <c r="O47" s="3">
        <v>2.8660000000000001E-2</v>
      </c>
      <c r="P47" s="3">
        <v>2.792E-2</v>
      </c>
      <c r="Q47" s="3">
        <v>2.6599999999999999E-2</v>
      </c>
      <c r="R47" s="3">
        <v>2.9080000000000002E-2</v>
      </c>
      <c r="S47" s="3">
        <v>3.0269999999999998E-2</v>
      </c>
      <c r="T47" s="3">
        <v>2.9499999999999998E-2</v>
      </c>
      <c r="U47" s="3">
        <v>2.945E-2</v>
      </c>
      <c r="V47" s="3">
        <v>3.0499999999999999E-2</v>
      </c>
      <c r="W47" s="3">
        <v>3.202E-2</v>
      </c>
      <c r="X47" s="3">
        <v>3.1019999999999999E-2</v>
      </c>
      <c r="Y47" s="3">
        <v>3.3669999999999999E-2</v>
      </c>
      <c r="Z47" s="3">
        <v>3.424E-2</v>
      </c>
      <c r="AA47" s="3">
        <v>3.4329999999999999E-2</v>
      </c>
      <c r="AB47" s="3">
        <v>3.5549999999999998E-2</v>
      </c>
      <c r="AC47" s="3">
        <v>3.576E-2</v>
      </c>
      <c r="AD47" s="3">
        <v>3.6609999999999997E-2</v>
      </c>
      <c r="AE47" s="3">
        <v>3.7170000000000002E-2</v>
      </c>
      <c r="AF47" s="3">
        <v>3.9190000000000003E-2</v>
      </c>
      <c r="AG47" s="3">
        <v>4.1450000000000001E-2</v>
      </c>
      <c r="AH47" s="3">
        <v>4.199E-2</v>
      </c>
      <c r="AI47" s="3">
        <v>4.3790000000000003E-2</v>
      </c>
      <c r="AJ47" s="3">
        <v>4.5280000000000001E-2</v>
      </c>
      <c r="AK47" s="3">
        <v>4.5690000000000001E-2</v>
      </c>
      <c r="AL47" s="3">
        <v>2.5159999999999998E-2</v>
      </c>
      <c r="AM47" s="3">
        <v>2.7629999999999998E-2</v>
      </c>
      <c r="AN47" s="3">
        <v>2.6890000000000001E-2</v>
      </c>
      <c r="AO47" s="3">
        <f t="shared" si="0"/>
        <v>4.3292077410000004E-2</v>
      </c>
      <c r="AP47" s="3">
        <f t="shared" si="1"/>
        <v>3.0436487799999998E-2</v>
      </c>
      <c r="AQ47" s="3">
        <f t="shared" si="2"/>
        <v>2.6937860696517418E-2</v>
      </c>
    </row>
    <row r="48" spans="2:43">
      <c r="B48" s="4">
        <v>8</v>
      </c>
      <c r="C48" s="3">
        <v>3.7350000000000001E-2</v>
      </c>
      <c r="D48" s="3">
        <v>1.721E-2</v>
      </c>
      <c r="E48" s="3">
        <v>1.814E-2</v>
      </c>
      <c r="F48" s="3">
        <v>1.9400000000000001E-2</v>
      </c>
      <c r="G48" s="3">
        <v>2.1479999999999999E-2</v>
      </c>
      <c r="H48" s="3">
        <v>2.2030000000000001E-2</v>
      </c>
      <c r="I48" s="3">
        <v>2.2579999999999999E-2</v>
      </c>
      <c r="J48" s="3">
        <v>2.3140000000000001E-2</v>
      </c>
      <c r="K48" s="3">
        <v>2.4389999999999998E-2</v>
      </c>
      <c r="L48" s="3">
        <v>2.4320000000000001E-2</v>
      </c>
      <c r="M48" s="3">
        <v>2.5680000000000001E-2</v>
      </c>
      <c r="N48" s="3">
        <v>2.547E-2</v>
      </c>
      <c r="O48" s="3">
        <v>2.6769999999999999E-2</v>
      </c>
      <c r="P48" s="3">
        <v>2.623E-2</v>
      </c>
      <c r="Q48" s="3">
        <v>2.512E-2</v>
      </c>
      <c r="R48" s="3">
        <v>2.7609999999999999E-2</v>
      </c>
      <c r="S48" s="3">
        <v>2.887E-2</v>
      </c>
      <c r="T48" s="3">
        <v>2.8639999999999999E-2</v>
      </c>
      <c r="U48" s="3">
        <v>2.87E-2</v>
      </c>
      <c r="V48" s="3">
        <v>2.9850000000000002E-2</v>
      </c>
      <c r="W48" s="3">
        <v>3.1579999999999997E-2</v>
      </c>
      <c r="X48" s="3">
        <v>3.0679999999999999E-2</v>
      </c>
      <c r="Y48" s="3">
        <v>3.4349999999999999E-2</v>
      </c>
      <c r="Z48" s="3">
        <v>3.5020000000000003E-2</v>
      </c>
      <c r="AA48" s="3">
        <v>3.517E-2</v>
      </c>
      <c r="AB48" s="3">
        <v>3.6850000000000001E-2</v>
      </c>
      <c r="AC48" s="3">
        <v>3.7170000000000002E-2</v>
      </c>
      <c r="AD48" s="3">
        <v>3.8379999999999997E-2</v>
      </c>
      <c r="AE48" s="3">
        <v>3.9E-2</v>
      </c>
      <c r="AF48" s="3">
        <v>4.1399999999999999E-2</v>
      </c>
      <c r="AG48" s="3">
        <v>4.4019999999999997E-2</v>
      </c>
      <c r="AH48" s="3">
        <v>4.4639999999999999E-2</v>
      </c>
      <c r="AI48" s="3">
        <v>4.6670000000000003E-2</v>
      </c>
      <c r="AJ48" s="3">
        <v>4.827E-2</v>
      </c>
      <c r="AK48" s="3">
        <v>4.8689999999999997E-2</v>
      </c>
      <c r="AL48" s="3">
        <v>2.2200000000000001E-2</v>
      </c>
      <c r="AM48" s="3">
        <v>2.4230000000000002E-2</v>
      </c>
      <c r="AN48" s="3">
        <v>2.444E-2</v>
      </c>
      <c r="AO48" s="3">
        <f t="shared" si="0"/>
        <v>4.5595103370000001E-2</v>
      </c>
      <c r="AP48" s="3">
        <f t="shared" si="1"/>
        <v>2.9758323600000001E-2</v>
      </c>
      <c r="AQ48" s="3">
        <f t="shared" si="2"/>
        <v>2.4426417910447761E-2</v>
      </c>
    </row>
    <row r="49" spans="2:44">
      <c r="B49" s="4">
        <v>10</v>
      </c>
      <c r="C49" s="3">
        <v>3.2439999999999997E-2</v>
      </c>
      <c r="D49" s="3">
        <v>1.525E-2</v>
      </c>
      <c r="E49" s="3">
        <v>1.6230000000000001E-2</v>
      </c>
      <c r="F49" s="3">
        <v>1.7500000000000002E-2</v>
      </c>
      <c r="G49" s="3">
        <v>1.9539999999999998E-2</v>
      </c>
      <c r="H49" s="3">
        <v>2.019E-2</v>
      </c>
      <c r="I49" s="3">
        <v>2.0840000000000001E-2</v>
      </c>
      <c r="J49" s="3">
        <v>2.1760000000000002E-2</v>
      </c>
      <c r="K49" s="3">
        <v>2.308E-2</v>
      </c>
      <c r="L49" s="3">
        <v>2.3130000000000001E-2</v>
      </c>
      <c r="M49" s="3">
        <v>2.4570000000000002E-2</v>
      </c>
      <c r="N49" s="3">
        <v>2.4469999999999999E-2</v>
      </c>
      <c r="O49" s="3">
        <v>2.5850000000000001E-2</v>
      </c>
      <c r="P49" s="3">
        <v>2.5430000000000001E-2</v>
      </c>
      <c r="Q49" s="3">
        <v>2.4459999999999999E-2</v>
      </c>
      <c r="R49" s="3">
        <v>2.699E-2</v>
      </c>
      <c r="S49" s="3">
        <v>2.8340000000000001E-2</v>
      </c>
      <c r="T49" s="3">
        <v>2.8500000000000001E-2</v>
      </c>
      <c r="U49" s="3">
        <v>2.8660000000000001E-2</v>
      </c>
      <c r="V49" s="3">
        <v>2.989E-2</v>
      </c>
      <c r="W49" s="3">
        <v>3.1800000000000002E-2</v>
      </c>
      <c r="X49" s="3">
        <v>3.099E-2</v>
      </c>
      <c r="Y49" s="3">
        <v>3.5490000000000001E-2</v>
      </c>
      <c r="Z49" s="3">
        <v>3.6229999999999998E-2</v>
      </c>
      <c r="AA49" s="3">
        <v>3.6450000000000003E-2</v>
      </c>
      <c r="AB49" s="3">
        <v>3.848E-2</v>
      </c>
      <c r="AC49" s="3">
        <v>3.891E-2</v>
      </c>
      <c r="AD49" s="3">
        <v>4.0370000000000003E-2</v>
      </c>
      <c r="AE49" s="3">
        <v>4.1079999999999998E-2</v>
      </c>
      <c r="AF49" s="3">
        <v>4.3779999999999999E-2</v>
      </c>
      <c r="AG49" s="3">
        <v>4.6710000000000002E-2</v>
      </c>
      <c r="AH49" s="3">
        <v>4.7410000000000001E-2</v>
      </c>
      <c r="AI49" s="3">
        <v>4.965E-2</v>
      </c>
      <c r="AJ49" s="3">
        <v>5.142E-2</v>
      </c>
      <c r="AK49" s="3">
        <v>5.1869999999999999E-2</v>
      </c>
      <c r="AL49" s="3">
        <v>2.0400000000000001E-2</v>
      </c>
      <c r="AM49" s="3">
        <v>2.214E-2</v>
      </c>
      <c r="AN49" s="3">
        <v>2.3060000000000001E-2</v>
      </c>
      <c r="AO49" s="3">
        <f t="shared" si="0"/>
        <v>4.819192101E-2</v>
      </c>
      <c r="AP49" s="3">
        <f t="shared" si="1"/>
        <v>2.97748938E-2</v>
      </c>
      <c r="AQ49" s="3">
        <f t="shared" si="2"/>
        <v>2.3000497512437813E-2</v>
      </c>
    </row>
    <row r="50" spans="2:44">
      <c r="B50" s="4">
        <v>15</v>
      </c>
      <c r="C50" s="3">
        <v>2.53E-2</v>
      </c>
      <c r="D50" s="3">
        <v>1.248E-2</v>
      </c>
      <c r="E50" s="3">
        <v>1.3559999999999999E-2</v>
      </c>
      <c r="F50" s="3">
        <v>1.491E-2</v>
      </c>
      <c r="G50" s="3">
        <v>1.6930000000000001E-2</v>
      </c>
      <c r="H50" s="3">
        <v>1.7780000000000001E-2</v>
      </c>
      <c r="I50" s="3">
        <v>1.8610000000000002E-2</v>
      </c>
      <c r="J50" s="3">
        <v>2.018E-2</v>
      </c>
      <c r="K50" s="3">
        <v>2.163E-2</v>
      </c>
      <c r="L50" s="3">
        <v>2.1909999999999999E-2</v>
      </c>
      <c r="M50" s="3">
        <v>2.3470000000000001E-2</v>
      </c>
      <c r="N50" s="3">
        <v>2.3599999999999999E-2</v>
      </c>
      <c r="O50" s="3">
        <v>2.512E-2</v>
      </c>
      <c r="P50" s="3">
        <v>2.4910000000000002E-2</v>
      </c>
      <c r="Q50" s="3">
        <v>2.4140000000000002E-2</v>
      </c>
      <c r="R50" s="3">
        <v>2.682E-2</v>
      </c>
      <c r="S50" s="3">
        <v>2.8330000000000001E-2</v>
      </c>
      <c r="T50" s="3">
        <v>2.9159999999999998E-2</v>
      </c>
      <c r="U50" s="3">
        <v>2.947E-2</v>
      </c>
      <c r="V50" s="3">
        <v>3.0880000000000001E-2</v>
      </c>
      <c r="W50" s="3">
        <v>3.3160000000000002E-2</v>
      </c>
      <c r="X50" s="3">
        <v>3.243E-2</v>
      </c>
      <c r="Y50" s="3">
        <v>3.8510000000000003E-2</v>
      </c>
      <c r="Z50" s="3">
        <v>3.9399999999999998E-2</v>
      </c>
      <c r="AA50" s="3">
        <v>3.9739999999999998E-2</v>
      </c>
      <c r="AB50" s="3">
        <v>4.249E-2</v>
      </c>
      <c r="AC50" s="3">
        <v>4.3119999999999999E-2</v>
      </c>
      <c r="AD50" s="3">
        <v>4.514E-2</v>
      </c>
      <c r="AE50" s="3">
        <v>4.5990000000000003E-2</v>
      </c>
      <c r="AF50" s="3">
        <v>4.9390000000000003E-2</v>
      </c>
      <c r="AG50" s="3">
        <v>5.296E-2</v>
      </c>
      <c r="AH50" s="3">
        <v>5.3800000000000001E-2</v>
      </c>
      <c r="AI50" s="3">
        <v>5.6529999999999997E-2</v>
      </c>
      <c r="AJ50" s="3">
        <v>5.8659999999999997E-2</v>
      </c>
      <c r="AK50" s="3">
        <v>5.9209999999999999E-2</v>
      </c>
      <c r="AL50" s="3">
        <v>1.805E-2</v>
      </c>
      <c r="AM50" s="3">
        <v>1.9359999999999999E-2</v>
      </c>
      <c r="AN50" s="3">
        <v>2.1479999999999999E-2</v>
      </c>
      <c r="AO50" s="3">
        <f t="shared" si="0"/>
        <v>5.43975602E-2</v>
      </c>
      <c r="AP50" s="3">
        <f t="shared" si="1"/>
        <v>3.0725727899999999E-2</v>
      </c>
      <c r="AQ50" s="3">
        <f t="shared" si="2"/>
        <v>2.1342885572139304E-2</v>
      </c>
    </row>
    <row r="51" spans="2:44">
      <c r="B51" s="4">
        <v>20</v>
      </c>
      <c r="C51" s="3">
        <v>2.145E-2</v>
      </c>
      <c r="D51" s="3">
        <v>1.1050000000000001E-2</v>
      </c>
      <c r="E51" s="3">
        <v>1.223E-2</v>
      </c>
      <c r="F51" s="3">
        <v>1.3650000000000001E-2</v>
      </c>
      <c r="G51" s="3">
        <v>1.5709999999999998E-2</v>
      </c>
      <c r="H51" s="3">
        <v>1.669E-2</v>
      </c>
      <c r="I51" s="3">
        <v>1.7659999999999999E-2</v>
      </c>
      <c r="J51" s="3">
        <v>1.966E-2</v>
      </c>
      <c r="K51" s="3">
        <v>2.1229999999999999E-2</v>
      </c>
      <c r="L51" s="3">
        <v>2.164E-2</v>
      </c>
      <c r="M51" s="3">
        <v>2.334E-2</v>
      </c>
      <c r="N51" s="3">
        <v>2.359E-2</v>
      </c>
      <c r="O51" s="3">
        <v>2.5250000000000002E-2</v>
      </c>
      <c r="P51" s="3">
        <v>2.5159999999999998E-2</v>
      </c>
      <c r="Q51" s="3">
        <v>2.4490000000000001E-2</v>
      </c>
      <c r="R51" s="3">
        <v>2.733E-2</v>
      </c>
      <c r="S51" s="3">
        <v>2.8989999999999998E-2</v>
      </c>
      <c r="T51" s="3">
        <v>3.022E-2</v>
      </c>
      <c r="U51" s="3">
        <v>3.0640000000000001E-2</v>
      </c>
      <c r="V51" s="3">
        <v>3.2199999999999999E-2</v>
      </c>
      <c r="W51" s="3">
        <v>3.4720000000000001E-2</v>
      </c>
      <c r="X51" s="3">
        <v>3.4040000000000001E-2</v>
      </c>
      <c r="Y51" s="3">
        <v>4.1180000000000001E-2</v>
      </c>
      <c r="Z51" s="3">
        <v>4.2200000000000001E-2</v>
      </c>
      <c r="AA51" s="3">
        <v>4.2610000000000002E-2</v>
      </c>
      <c r="AB51" s="3">
        <v>4.5839999999999999E-2</v>
      </c>
      <c r="AC51" s="3">
        <v>4.6589999999999999E-2</v>
      </c>
      <c r="AD51" s="3">
        <v>4.8980000000000003E-2</v>
      </c>
      <c r="AE51" s="3">
        <v>4.9919999999999999E-2</v>
      </c>
      <c r="AF51" s="3">
        <v>5.3809999999999997E-2</v>
      </c>
      <c r="AG51" s="3">
        <v>5.7919999999999999E-2</v>
      </c>
      <c r="AH51" s="3">
        <v>5.8889999999999998E-2</v>
      </c>
      <c r="AI51" s="3">
        <v>6.2019999999999999E-2</v>
      </c>
      <c r="AJ51" s="3">
        <v>6.4430000000000001E-2</v>
      </c>
      <c r="AK51" s="3">
        <v>6.5070000000000003E-2</v>
      </c>
      <c r="AL51" s="3">
        <v>1.702E-2</v>
      </c>
      <c r="AM51" s="3">
        <v>1.8079999999999999E-2</v>
      </c>
      <c r="AN51" s="3">
        <v>2.1010000000000001E-2</v>
      </c>
      <c r="AO51" s="3">
        <f t="shared" si="0"/>
        <v>5.9450350470000003E-2</v>
      </c>
      <c r="AP51" s="3">
        <f t="shared" si="1"/>
        <v>3.2010725699999999E-2</v>
      </c>
      <c r="AQ51" s="3">
        <f t="shared" si="2"/>
        <v>2.0820497512437811E-2</v>
      </c>
    </row>
    <row r="52" spans="2:44">
      <c r="B52" s="4">
        <v>30</v>
      </c>
      <c r="C52" s="3">
        <v>1.7409999999999998E-2</v>
      </c>
      <c r="D52" s="3">
        <v>9.6539999999999994E-3</v>
      </c>
      <c r="E52" s="3">
        <v>1.0970000000000001E-2</v>
      </c>
      <c r="F52" s="3">
        <v>1.252E-2</v>
      </c>
      <c r="G52" s="3">
        <v>1.468E-2</v>
      </c>
      <c r="H52" s="3">
        <v>1.584E-2</v>
      </c>
      <c r="I52" s="3">
        <v>1.702E-2</v>
      </c>
      <c r="J52" s="3">
        <v>1.958E-2</v>
      </c>
      <c r="K52" s="3">
        <v>2.1340000000000001E-2</v>
      </c>
      <c r="L52" s="3">
        <v>2.1919999999999999E-2</v>
      </c>
      <c r="M52" s="3">
        <v>2.3810000000000001E-2</v>
      </c>
      <c r="N52" s="3">
        <v>2.4219999999999998E-2</v>
      </c>
      <c r="O52" s="3">
        <v>2.6089999999999999E-2</v>
      </c>
      <c r="P52" s="3">
        <v>2.614E-2</v>
      </c>
      <c r="Q52" s="3">
        <v>2.5579999999999999E-2</v>
      </c>
      <c r="R52" s="3">
        <v>2.8660000000000001E-2</v>
      </c>
      <c r="S52" s="3">
        <v>3.0550000000000001E-2</v>
      </c>
      <c r="T52" s="3">
        <v>3.2320000000000002E-2</v>
      </c>
      <c r="U52" s="3">
        <v>3.2870000000000003E-2</v>
      </c>
      <c r="V52" s="3">
        <v>3.465E-2</v>
      </c>
      <c r="W52" s="3">
        <v>3.755E-2</v>
      </c>
      <c r="X52" s="3">
        <v>3.6900000000000002E-2</v>
      </c>
      <c r="Y52" s="3">
        <v>4.5530000000000001E-2</v>
      </c>
      <c r="Z52" s="3">
        <v>4.6719999999999998E-2</v>
      </c>
      <c r="AA52" s="3">
        <v>4.7210000000000002E-2</v>
      </c>
      <c r="AB52" s="3">
        <v>5.108E-2</v>
      </c>
      <c r="AC52" s="3">
        <v>5.1999999999999998E-2</v>
      </c>
      <c r="AD52" s="3">
        <v>5.4859999999999999E-2</v>
      </c>
      <c r="AE52" s="3">
        <v>5.5960000000000003E-2</v>
      </c>
      <c r="AF52" s="3">
        <v>6.0539999999999997E-2</v>
      </c>
      <c r="AG52" s="3">
        <v>6.5379999999999994E-2</v>
      </c>
      <c r="AH52" s="3">
        <v>6.6500000000000004E-2</v>
      </c>
      <c r="AI52" s="3">
        <v>7.0190000000000002E-2</v>
      </c>
      <c r="AJ52" s="3">
        <v>7.3120000000000004E-2</v>
      </c>
      <c r="AK52" s="3">
        <v>7.3870000000000005E-2</v>
      </c>
      <c r="AL52" s="3">
        <v>1.6240000000000001E-2</v>
      </c>
      <c r="AM52" s="3">
        <v>1.7059999999999999E-2</v>
      </c>
      <c r="AN52" s="3">
        <v>2.1010000000000001E-2</v>
      </c>
      <c r="AO52" s="3">
        <f t="shared" si="0"/>
        <v>6.7131398950000004E-2</v>
      </c>
      <c r="AP52" s="3">
        <f t="shared" si="1"/>
        <v>3.4418968100000003E-2</v>
      </c>
      <c r="AQ52" s="3">
        <f t="shared" si="2"/>
        <v>2.0754527363184082E-2</v>
      </c>
    </row>
    <row r="53" spans="2:44">
      <c r="B53" s="4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</row>
    <row r="54" spans="2:44">
      <c r="B54" s="4"/>
    </row>
    <row r="55" spans="2:44">
      <c r="B55" t="s">
        <v>1876</v>
      </c>
    </row>
    <row r="57" spans="2:44">
      <c r="B57" t="str">
        <f>B24</f>
        <v>E(MeV)</v>
      </c>
      <c r="C57" t="str">
        <f t="shared" ref="C57:AK57" si="3">C24</f>
        <v>1H</v>
      </c>
      <c r="D57" t="str">
        <f t="shared" si="3"/>
        <v>3Li</v>
      </c>
      <c r="E57" t="str">
        <f t="shared" si="3"/>
        <v>4Be</v>
      </c>
      <c r="F57" t="str">
        <f t="shared" si="3"/>
        <v>5B</v>
      </c>
      <c r="G57" t="str">
        <f t="shared" si="3"/>
        <v>6C</v>
      </c>
      <c r="H57" t="str">
        <f t="shared" si="3"/>
        <v>7N</v>
      </c>
      <c r="I57" t="str">
        <f t="shared" si="3"/>
        <v>8O</v>
      </c>
      <c r="J57" t="str">
        <f t="shared" si="3"/>
        <v>11Na</v>
      </c>
      <c r="K57" t="str">
        <f t="shared" si="3"/>
        <v>12Mg</v>
      </c>
      <c r="L57" t="str">
        <f t="shared" si="3"/>
        <v>13Al</v>
      </c>
      <c r="M57" t="str">
        <f t="shared" si="3"/>
        <v>14Si</v>
      </c>
      <c r="N57" t="str">
        <f t="shared" si="3"/>
        <v>15p</v>
      </c>
      <c r="O57" t="str">
        <f t="shared" si="3"/>
        <v>16s</v>
      </c>
      <c r="P57" t="str">
        <f t="shared" si="3"/>
        <v>17cl</v>
      </c>
      <c r="Q57" t="str">
        <f t="shared" si="3"/>
        <v>18Ar</v>
      </c>
      <c r="R57" t="str">
        <f t="shared" si="3"/>
        <v>19K</v>
      </c>
      <c r="S57" t="str">
        <f t="shared" si="3"/>
        <v>20Ca</v>
      </c>
      <c r="T57" t="str">
        <f t="shared" si="3"/>
        <v>24Cr</v>
      </c>
      <c r="U57" t="str">
        <f t="shared" si="3"/>
        <v>25Mn</v>
      </c>
      <c r="V57" t="str">
        <f t="shared" si="3"/>
        <v>26Fe</v>
      </c>
      <c r="W57" t="str">
        <f t="shared" si="3"/>
        <v>28Ni</v>
      </c>
      <c r="X57" t="str">
        <f t="shared" si="3"/>
        <v>29Cu</v>
      </c>
      <c r="Y57" t="str">
        <f t="shared" si="3"/>
        <v>40zr</v>
      </c>
      <c r="Z57" t="str">
        <f t="shared" si="3"/>
        <v>41Nb</v>
      </c>
      <c r="AA57" t="str">
        <f t="shared" si="3"/>
        <v>42Mo</v>
      </c>
      <c r="AB57" t="str">
        <f t="shared" si="3"/>
        <v>48Cd</v>
      </c>
      <c r="AC57" t="str">
        <f t="shared" si="3"/>
        <v>50Sn</v>
      </c>
      <c r="AD57" t="str">
        <f t="shared" si="3"/>
        <v>56Ba</v>
      </c>
      <c r="AE57" t="str">
        <f t="shared" si="3"/>
        <v>57La</v>
      </c>
      <c r="AF57" t="str">
        <f t="shared" si="3"/>
        <v>64Gd</v>
      </c>
      <c r="AG57" t="str">
        <f t="shared" si="3"/>
        <v>72Hf</v>
      </c>
      <c r="AH57" t="str">
        <f t="shared" si="3"/>
        <v>74w</v>
      </c>
      <c r="AI57" t="str">
        <f t="shared" si="3"/>
        <v>82Pb</v>
      </c>
      <c r="AJ57" t="str">
        <f t="shared" si="3"/>
        <v>90Th</v>
      </c>
      <c r="AK57" t="str">
        <f t="shared" si="3"/>
        <v>92U</v>
      </c>
    </row>
    <row r="58" spans="2:44">
      <c r="B58" s="4">
        <f>B25-'DLC mass atten coeff'!A1019</f>
        <v>0</v>
      </c>
      <c r="C58" s="4">
        <f>C25-'DLC mass atten coeff'!B1019</f>
        <v>0</v>
      </c>
      <c r="D58" s="4">
        <f>D25-'DLC mass atten coeff'!D1019</f>
        <v>0</v>
      </c>
      <c r="E58" s="4">
        <f>E25-'DLC mass atten coeff'!E1019</f>
        <v>0</v>
      </c>
      <c r="F58" s="4">
        <f>F25-'DLC mass atten coeff'!F1019</f>
        <v>0</v>
      </c>
      <c r="G58" s="4">
        <f>G25-'DLC mass atten coeff'!G1019</f>
        <v>0</v>
      </c>
      <c r="H58" s="4">
        <f>H25-'DLC mass atten coeff'!H1019</f>
        <v>0</v>
      </c>
      <c r="I58" s="4">
        <f>I25-'DLC mass atten coeff'!I1019</f>
        <v>0</v>
      </c>
      <c r="J58" s="4">
        <f>J25-'DLC mass atten coeff'!L1019</f>
        <v>0</v>
      </c>
      <c r="K58" s="4">
        <f>K25-'DLC mass atten coeff'!M1019</f>
        <v>0</v>
      </c>
      <c r="L58" s="4">
        <f>L25-'DLC mass atten coeff'!N1019</f>
        <v>0</v>
      </c>
      <c r="M58" s="4">
        <f>M25-'DLC mass atten coeff'!O1019</f>
        <v>0</v>
      </c>
      <c r="N58" s="4">
        <f>N25-'DLC mass atten coeff'!P1019</f>
        <v>0</v>
      </c>
      <c r="O58" s="4">
        <f>O25-'DLC mass atten coeff'!Q1019</f>
        <v>0</v>
      </c>
      <c r="P58" s="4">
        <f>P25-'DLC mass atten coeff'!R1019</f>
        <v>0</v>
      </c>
      <c r="Q58" s="4">
        <f>Q25-'DLC mass atten coeff'!S1019</f>
        <v>0</v>
      </c>
      <c r="R58" s="4">
        <f>R25-'DLC mass atten coeff'!T1019</f>
        <v>0</v>
      </c>
      <c r="S58" s="4">
        <f>S25-'DLC mass atten coeff'!U1019</f>
        <v>0</v>
      </c>
      <c r="T58" s="4">
        <f>T25-'DLC mass atten coeff'!Y1019</f>
        <v>0</v>
      </c>
      <c r="U58" s="4">
        <f>U25-'DLC mass atten coeff'!Z1019</f>
        <v>0</v>
      </c>
      <c r="V58" s="4">
        <f>V25-'DLC mass atten coeff'!AA1019</f>
        <v>0</v>
      </c>
      <c r="W58" s="4">
        <f>W25-'DLC mass atten coeff'!AC1019</f>
        <v>0</v>
      </c>
      <c r="X58" s="4">
        <f>X25-'DLC mass atten coeff'!AD1019</f>
        <v>0</v>
      </c>
      <c r="Y58" s="4">
        <f>Y25-'DLC mass atten coeff'!AO1019</f>
        <v>0</v>
      </c>
      <c r="Z58" s="4">
        <f>Z25-'DLC mass atten coeff'!AP1019</f>
        <v>0</v>
      </c>
      <c r="AA58" s="4">
        <f>AA25-'DLC mass atten coeff'!AQ1019</f>
        <v>0</v>
      </c>
      <c r="AB58" s="4">
        <f>AB25-'DLC mass atten coeff'!AW1019</f>
        <v>0</v>
      </c>
      <c r="AC58" s="4">
        <f>AC25-'DLC mass atten coeff'!AY1019</f>
        <v>0</v>
      </c>
      <c r="AD58" s="4">
        <f>AD25-'DLC mass atten coeff'!BE1019</f>
        <v>0</v>
      </c>
      <c r="AE58" s="4">
        <f>AE25-'DLC mass atten coeff'!BF1019</f>
        <v>0</v>
      </c>
      <c r="AF58" s="4">
        <f>AF25-'DLC mass atten coeff'!BM1019</f>
        <v>0</v>
      </c>
      <c r="AG58" s="4">
        <f>AG25-'DLC mass atten coeff'!BU1019</f>
        <v>0</v>
      </c>
      <c r="AH58" s="4">
        <f>AH25-'DLC mass atten coeff'!BW1019</f>
        <v>0</v>
      </c>
      <c r="AI58" s="4">
        <f>AI25-'DLC mass atten coeff'!CE1019</f>
        <v>0</v>
      </c>
      <c r="AJ58" s="4">
        <f>AJ25-'DLC mass atten coeff'!CM1019</f>
        <v>0</v>
      </c>
      <c r="AK58" s="4">
        <f>AK25-'DLC mass atten coeff'!CO1019</f>
        <v>0</v>
      </c>
      <c r="AL58" s="4"/>
      <c r="AM58" s="4"/>
      <c r="AN58" s="4"/>
      <c r="AO58" s="4"/>
      <c r="AP58" s="4"/>
      <c r="AQ58" s="4"/>
      <c r="AR58" s="4"/>
    </row>
    <row r="59" spans="2:44">
      <c r="B59" s="4">
        <f>B26-'DLC mass atten coeff'!A1020</f>
        <v>0</v>
      </c>
      <c r="C59" s="4">
        <f>C26-'DLC mass atten coeff'!B1020</f>
        <v>0</v>
      </c>
      <c r="D59" s="4">
        <f>D26-'DLC mass atten coeff'!D1020</f>
        <v>0</v>
      </c>
      <c r="E59" s="4">
        <f>E26-'DLC mass atten coeff'!E1020</f>
        <v>0</v>
      </c>
      <c r="F59" s="4">
        <f>F26-'DLC mass atten coeff'!F1020</f>
        <v>0</v>
      </c>
      <c r="G59" s="4">
        <f>G26-'DLC mass atten coeff'!G1020</f>
        <v>0</v>
      </c>
      <c r="H59" s="4">
        <f>H26-'DLC mass atten coeff'!H1020</f>
        <v>0</v>
      </c>
      <c r="I59" s="4">
        <f>I26-'DLC mass atten coeff'!I1020</f>
        <v>0</v>
      </c>
      <c r="J59" s="4">
        <f>J26-'DLC mass atten coeff'!L1020</f>
        <v>0</v>
      </c>
      <c r="K59" s="4">
        <f>K26-'DLC mass atten coeff'!M1020</f>
        <v>0</v>
      </c>
      <c r="L59" s="4">
        <f>L26-'DLC mass atten coeff'!N1020</f>
        <v>0</v>
      </c>
      <c r="M59" s="4">
        <f>M26-'DLC mass atten coeff'!O1020</f>
        <v>0</v>
      </c>
      <c r="N59" s="4">
        <f>N26-'DLC mass atten coeff'!P1020</f>
        <v>0</v>
      </c>
      <c r="O59" s="4">
        <f>O26-'DLC mass atten coeff'!Q1020</f>
        <v>0</v>
      </c>
      <c r="P59" s="4">
        <f>P26-'DLC mass atten coeff'!R1020</f>
        <v>0</v>
      </c>
      <c r="Q59" s="4">
        <f>Q26-'DLC mass atten coeff'!S1020</f>
        <v>0</v>
      </c>
      <c r="R59" s="4">
        <f>R26-'DLC mass atten coeff'!T1020</f>
        <v>0</v>
      </c>
      <c r="S59" s="4">
        <f>S26-'DLC mass atten coeff'!U1020</f>
        <v>0</v>
      </c>
      <c r="T59" s="4">
        <f>T26-'DLC mass atten coeff'!Y1020</f>
        <v>0</v>
      </c>
      <c r="U59" s="4">
        <f>U26-'DLC mass atten coeff'!Z1020</f>
        <v>0</v>
      </c>
      <c r="V59" s="4">
        <f>V26-'DLC mass atten coeff'!AA1020</f>
        <v>0</v>
      </c>
      <c r="W59" s="4">
        <f>W26-'DLC mass atten coeff'!AC1020</f>
        <v>0</v>
      </c>
      <c r="X59" s="4">
        <f>X26-'DLC mass atten coeff'!AD1020</f>
        <v>0</v>
      </c>
      <c r="Y59" s="4">
        <f>Y26-'DLC mass atten coeff'!AO1020</f>
        <v>0</v>
      </c>
      <c r="Z59" s="4">
        <f>Z26-'DLC mass atten coeff'!AP1020</f>
        <v>0</v>
      </c>
      <c r="AA59" s="4">
        <f>AA26-'DLC mass atten coeff'!AQ1020</f>
        <v>0</v>
      </c>
      <c r="AB59" s="4">
        <f>AB26-'DLC mass atten coeff'!AW1020</f>
        <v>0</v>
      </c>
      <c r="AC59" s="4">
        <f>AC26-'DLC mass atten coeff'!AY1020</f>
        <v>0</v>
      </c>
      <c r="AD59" s="4">
        <f>AD26-'DLC mass atten coeff'!BE1020</f>
        <v>0</v>
      </c>
      <c r="AE59" s="4">
        <f>AE26-'DLC mass atten coeff'!BF1020</f>
        <v>0</v>
      </c>
      <c r="AF59" s="4">
        <f>AF26-'DLC mass atten coeff'!BM1020</f>
        <v>0</v>
      </c>
      <c r="AG59" s="4">
        <f>AG26-'DLC mass atten coeff'!BU1020</f>
        <v>0</v>
      </c>
      <c r="AH59" s="4">
        <f>AH26-'DLC mass atten coeff'!BW1020</f>
        <v>0</v>
      </c>
      <c r="AI59" s="4">
        <f>AI26-'DLC mass atten coeff'!CE1020</f>
        <v>0</v>
      </c>
      <c r="AJ59" s="4">
        <f>AJ26-'DLC mass atten coeff'!CM1020</f>
        <v>0</v>
      </c>
      <c r="AK59" s="4">
        <f>AK26-'DLC mass atten coeff'!CO1020</f>
        <v>0</v>
      </c>
      <c r="AL59" s="4"/>
      <c r="AM59" s="4"/>
      <c r="AN59" s="4"/>
      <c r="AO59" s="4"/>
      <c r="AP59" s="4"/>
      <c r="AQ59" s="4"/>
      <c r="AR59" s="4"/>
    </row>
    <row r="60" spans="2:44">
      <c r="B60" s="4">
        <f>B27-'DLC mass atten coeff'!A1021</f>
        <v>0</v>
      </c>
      <c r="C60" s="4">
        <f>C27-'DLC mass atten coeff'!B1021</f>
        <v>0</v>
      </c>
      <c r="D60" s="4">
        <f>D27-'DLC mass atten coeff'!D1021</f>
        <v>0</v>
      </c>
      <c r="E60" s="4">
        <f>E27-'DLC mass atten coeff'!E1021</f>
        <v>0</v>
      </c>
      <c r="F60" s="4">
        <f>F27-'DLC mass atten coeff'!F1021</f>
        <v>0</v>
      </c>
      <c r="G60" s="4">
        <f>G27-'DLC mass atten coeff'!G1021</f>
        <v>0</v>
      </c>
      <c r="H60" s="4">
        <f>H27-'DLC mass atten coeff'!H1021</f>
        <v>0</v>
      </c>
      <c r="I60" s="4">
        <f>I27-'DLC mass atten coeff'!I1021</f>
        <v>0</v>
      </c>
      <c r="J60" s="4">
        <f>J27-'DLC mass atten coeff'!L1021</f>
        <v>0</v>
      </c>
      <c r="K60" s="4">
        <f>K27-'DLC mass atten coeff'!M1021</f>
        <v>0</v>
      </c>
      <c r="L60" s="4">
        <f>L27-'DLC mass atten coeff'!N1021</f>
        <v>0</v>
      </c>
      <c r="M60" s="4">
        <f>M27-'DLC mass atten coeff'!O1021</f>
        <v>0</v>
      </c>
      <c r="N60" s="4">
        <f>N27-'DLC mass atten coeff'!P1021</f>
        <v>0</v>
      </c>
      <c r="O60" s="4">
        <f>O27-'DLC mass atten coeff'!Q1021</f>
        <v>0</v>
      </c>
      <c r="P60" s="4">
        <f>P27-'DLC mass atten coeff'!R1021</f>
        <v>0</v>
      </c>
      <c r="Q60" s="4">
        <f>Q27-'DLC mass atten coeff'!S1021</f>
        <v>0</v>
      </c>
      <c r="R60" s="4">
        <f>R27-'DLC mass atten coeff'!T1021</f>
        <v>0</v>
      </c>
      <c r="S60" s="4">
        <f>S27-'DLC mass atten coeff'!U1021</f>
        <v>0</v>
      </c>
      <c r="T60" s="4">
        <f>T27-'DLC mass atten coeff'!Y1021</f>
        <v>0</v>
      </c>
      <c r="U60" s="4">
        <f>U27-'DLC mass atten coeff'!Z1021</f>
        <v>0</v>
      </c>
      <c r="V60" s="4">
        <f>V27-'DLC mass atten coeff'!AA1021</f>
        <v>0</v>
      </c>
      <c r="W60" s="4">
        <f>W27-'DLC mass atten coeff'!AC1021</f>
        <v>0</v>
      </c>
      <c r="X60" s="4">
        <f>X27-'DLC mass atten coeff'!AD1021</f>
        <v>0</v>
      </c>
      <c r="Y60" s="4">
        <f>Y27-'DLC mass atten coeff'!AO1021</f>
        <v>0</v>
      </c>
      <c r="Z60" s="4">
        <f>Z27-'DLC mass atten coeff'!AP1021</f>
        <v>0</v>
      </c>
      <c r="AA60" s="4">
        <f>AA27-'DLC mass atten coeff'!AQ1021</f>
        <v>0</v>
      </c>
      <c r="AB60" s="4">
        <f>AB27-'DLC mass atten coeff'!AW1021</f>
        <v>0</v>
      </c>
      <c r="AC60" s="4">
        <f>AC27-'DLC mass atten coeff'!AY1021</f>
        <v>0</v>
      </c>
      <c r="AD60" s="4">
        <f>AD27-'DLC mass atten coeff'!BE1021</f>
        <v>0</v>
      </c>
      <c r="AE60" s="4">
        <f>AE27-'DLC mass atten coeff'!BF1021</f>
        <v>0</v>
      </c>
      <c r="AF60" s="4">
        <f>AF27-'DLC mass atten coeff'!BM1021</f>
        <v>0</v>
      </c>
      <c r="AG60" s="4">
        <f>AG27-'DLC mass atten coeff'!BU1021</f>
        <v>0</v>
      </c>
      <c r="AH60" s="4">
        <f>AH27-'DLC mass atten coeff'!BW1021</f>
        <v>0</v>
      </c>
      <c r="AI60" s="4">
        <f>AI27-'DLC mass atten coeff'!CE1021</f>
        <v>0</v>
      </c>
      <c r="AJ60" s="4">
        <f>AJ27-'DLC mass atten coeff'!CM1021</f>
        <v>0</v>
      </c>
      <c r="AK60" s="4">
        <f>AK27-'DLC mass atten coeff'!CO1021</f>
        <v>0</v>
      </c>
      <c r="AL60" s="4"/>
      <c r="AM60" s="4"/>
      <c r="AN60" s="4"/>
      <c r="AO60" s="4"/>
      <c r="AP60" s="4"/>
      <c r="AQ60" s="4"/>
      <c r="AR60" s="4"/>
    </row>
    <row r="61" spans="2:44">
      <c r="B61" s="4">
        <f>B28-'DLC mass atten coeff'!A1022</f>
        <v>0</v>
      </c>
      <c r="C61" s="4">
        <f>C28-'DLC mass atten coeff'!B1022</f>
        <v>0</v>
      </c>
      <c r="D61" s="4">
        <f>D28-'DLC mass atten coeff'!D1022</f>
        <v>0</v>
      </c>
      <c r="E61" s="4">
        <f>E28-'DLC mass atten coeff'!E1022</f>
        <v>0</v>
      </c>
      <c r="F61" s="4">
        <f>F28-'DLC mass atten coeff'!F1022</f>
        <v>0</v>
      </c>
      <c r="G61" s="4">
        <f>G28-'DLC mass atten coeff'!G1022</f>
        <v>0</v>
      </c>
      <c r="H61" s="4">
        <f>H28-'DLC mass atten coeff'!H1022</f>
        <v>0</v>
      </c>
      <c r="I61" s="4">
        <f>I28-'DLC mass atten coeff'!I1022</f>
        <v>0</v>
      </c>
      <c r="J61" s="4">
        <f>J28-'DLC mass atten coeff'!L1022</f>
        <v>0</v>
      </c>
      <c r="K61" s="4">
        <f>K28-'DLC mass atten coeff'!M1022</f>
        <v>0</v>
      </c>
      <c r="L61" s="4">
        <f>L28-'DLC mass atten coeff'!N1022</f>
        <v>0</v>
      </c>
      <c r="M61" s="4">
        <f>M28-'DLC mass atten coeff'!O1022</f>
        <v>0</v>
      </c>
      <c r="N61" s="4">
        <f>N28-'DLC mass atten coeff'!P1022</f>
        <v>0</v>
      </c>
      <c r="O61" s="4">
        <f>O28-'DLC mass atten coeff'!Q1022</f>
        <v>0</v>
      </c>
      <c r="P61" s="4">
        <f>P28-'DLC mass atten coeff'!R1022</f>
        <v>0</v>
      </c>
      <c r="Q61" s="4">
        <f>Q28-'DLC mass atten coeff'!S1022</f>
        <v>0</v>
      </c>
      <c r="R61" s="4">
        <f>R28-'DLC mass atten coeff'!T1022</f>
        <v>0</v>
      </c>
      <c r="S61" s="4">
        <f>S28-'DLC mass atten coeff'!U1022</f>
        <v>0</v>
      </c>
      <c r="T61" s="4">
        <f>T28-'DLC mass atten coeff'!Y1022</f>
        <v>0</v>
      </c>
      <c r="U61" s="4">
        <f>U28-'DLC mass atten coeff'!Z1022</f>
        <v>0</v>
      </c>
      <c r="V61" s="4">
        <f>V28-'DLC mass atten coeff'!AA1022</f>
        <v>0</v>
      </c>
      <c r="W61" s="4">
        <f>W28-'DLC mass atten coeff'!AC1022</f>
        <v>0</v>
      </c>
      <c r="X61" s="4">
        <f>X28-'DLC mass atten coeff'!AD1022</f>
        <v>0</v>
      </c>
      <c r="Y61" s="4">
        <f>Y28-'DLC mass atten coeff'!AO1022</f>
        <v>0</v>
      </c>
      <c r="Z61" s="4">
        <f>Z28-'DLC mass atten coeff'!AP1022</f>
        <v>0</v>
      </c>
      <c r="AA61" s="4">
        <f>AA28-'DLC mass atten coeff'!AQ1022</f>
        <v>0</v>
      </c>
      <c r="AB61" s="4">
        <f>AB28-'DLC mass atten coeff'!AW1022</f>
        <v>0</v>
      </c>
      <c r="AC61" s="4">
        <f>AC28-'DLC mass atten coeff'!AY1022</f>
        <v>0</v>
      </c>
      <c r="AD61" s="4">
        <f>AD28-'DLC mass atten coeff'!BE1022</f>
        <v>0</v>
      </c>
      <c r="AE61" s="4">
        <f>AE28-'DLC mass atten coeff'!BF1022</f>
        <v>0</v>
      </c>
      <c r="AF61" s="4">
        <f>AF28-'DLC mass atten coeff'!BM1022</f>
        <v>0</v>
      </c>
      <c r="AG61" s="4">
        <f>AG28-'DLC mass atten coeff'!BU1022</f>
        <v>0</v>
      </c>
      <c r="AH61" s="4">
        <f>AH28-'DLC mass atten coeff'!BW1022</f>
        <v>0</v>
      </c>
      <c r="AI61" s="4">
        <f>AI28-'DLC mass atten coeff'!CE1022</f>
        <v>0</v>
      </c>
      <c r="AJ61" s="4">
        <f>AJ28-'DLC mass atten coeff'!CM1022</f>
        <v>0</v>
      </c>
      <c r="AK61" s="4">
        <f>AK28-'DLC mass atten coeff'!CO1022</f>
        <v>0</v>
      </c>
      <c r="AL61" s="4"/>
      <c r="AM61" s="4"/>
      <c r="AN61" s="4"/>
      <c r="AO61" s="4"/>
      <c r="AP61" s="4"/>
      <c r="AQ61" s="4"/>
      <c r="AR61" s="4"/>
    </row>
    <row r="62" spans="2:44">
      <c r="B62" s="4">
        <f>B29-'DLC mass atten coeff'!A1023</f>
        <v>0</v>
      </c>
      <c r="C62" s="4">
        <f>C29-'DLC mass atten coeff'!B1023</f>
        <v>0</v>
      </c>
      <c r="D62" s="4">
        <f>D29-'DLC mass atten coeff'!D1023</f>
        <v>0</v>
      </c>
      <c r="E62" s="4">
        <f>E29-'DLC mass atten coeff'!E1023</f>
        <v>0</v>
      </c>
      <c r="F62" s="4">
        <f>F29-'DLC mass atten coeff'!F1023</f>
        <v>0</v>
      </c>
      <c r="G62" s="4">
        <f>G29-'DLC mass atten coeff'!G1023</f>
        <v>0</v>
      </c>
      <c r="H62" s="4">
        <f>H29-'DLC mass atten coeff'!H1023</f>
        <v>0</v>
      </c>
      <c r="I62" s="4">
        <f>I29-'DLC mass atten coeff'!I1023</f>
        <v>0</v>
      </c>
      <c r="J62" s="4">
        <f>J29-'DLC mass atten coeff'!L1023</f>
        <v>0</v>
      </c>
      <c r="K62" s="4">
        <f>K29-'DLC mass atten coeff'!M1023</f>
        <v>0</v>
      </c>
      <c r="L62" s="4">
        <f>L29-'DLC mass atten coeff'!N1023</f>
        <v>0</v>
      </c>
      <c r="M62" s="4">
        <f>M29-'DLC mass atten coeff'!O1023</f>
        <v>0</v>
      </c>
      <c r="N62" s="4">
        <f>N29-'DLC mass atten coeff'!P1023</f>
        <v>0</v>
      </c>
      <c r="O62" s="4">
        <f>O29-'DLC mass atten coeff'!Q1023</f>
        <v>0</v>
      </c>
      <c r="P62" s="4">
        <f>P29-'DLC mass atten coeff'!R1023</f>
        <v>0</v>
      </c>
      <c r="Q62" s="4">
        <f>Q29-'DLC mass atten coeff'!S1023</f>
        <v>0</v>
      </c>
      <c r="R62" s="4">
        <f>R29-'DLC mass atten coeff'!T1023</f>
        <v>0</v>
      </c>
      <c r="S62" s="4">
        <f>S29-'DLC mass atten coeff'!U1023</f>
        <v>0</v>
      </c>
      <c r="T62" s="4">
        <f>T29-'DLC mass atten coeff'!Y1023</f>
        <v>0</v>
      </c>
      <c r="U62" s="4">
        <f>U29-'DLC mass atten coeff'!Z1023</f>
        <v>0</v>
      </c>
      <c r="V62" s="4">
        <f>V29-'DLC mass atten coeff'!AA1023</f>
        <v>0</v>
      </c>
      <c r="W62" s="4">
        <f>W29-'DLC mass atten coeff'!AC1023</f>
        <v>0</v>
      </c>
      <c r="X62" s="4">
        <f>X29-'DLC mass atten coeff'!AD1023</f>
        <v>0</v>
      </c>
      <c r="Y62" s="4">
        <f>Y29-'DLC mass atten coeff'!AO1023</f>
        <v>0</v>
      </c>
      <c r="Z62" s="4">
        <f>Z29-'DLC mass atten coeff'!AP1023</f>
        <v>0</v>
      </c>
      <c r="AA62" s="4">
        <f>AA29-'DLC mass atten coeff'!AQ1023</f>
        <v>0</v>
      </c>
      <c r="AB62" s="4">
        <f>AB29-'DLC mass atten coeff'!AW1023</f>
        <v>0</v>
      </c>
      <c r="AC62" s="4">
        <f>AC29-'DLC mass atten coeff'!AY1023</f>
        <v>0</v>
      </c>
      <c r="AD62" s="4">
        <f>AD29-'DLC mass atten coeff'!BE1023</f>
        <v>0</v>
      </c>
      <c r="AE62" s="4">
        <f>AE29-'DLC mass atten coeff'!BF1023</f>
        <v>0</v>
      </c>
      <c r="AF62" s="4">
        <f>AF29-'DLC mass atten coeff'!BM1023</f>
        <v>0</v>
      </c>
      <c r="AG62" s="4">
        <f>AG29-'DLC mass atten coeff'!BU1023</f>
        <v>0</v>
      </c>
      <c r="AH62" s="4">
        <f>AH29-'DLC mass atten coeff'!BW1023</f>
        <v>0</v>
      </c>
      <c r="AI62" s="4">
        <f>AI29-'DLC mass atten coeff'!CE1023</f>
        <v>0</v>
      </c>
      <c r="AJ62" s="4">
        <f>AJ29-'DLC mass atten coeff'!CM1023</f>
        <v>0</v>
      </c>
      <c r="AK62" s="4">
        <f>AK29-'DLC mass atten coeff'!CO1023</f>
        <v>0</v>
      </c>
      <c r="AL62" s="4"/>
      <c r="AM62" s="4"/>
      <c r="AN62" s="4"/>
      <c r="AO62" s="4"/>
      <c r="AP62" s="4"/>
      <c r="AQ62" s="4"/>
      <c r="AR62" s="4"/>
    </row>
    <row r="63" spans="2:44">
      <c r="B63" s="4">
        <f>B30-'DLC mass atten coeff'!A1024</f>
        <v>0</v>
      </c>
      <c r="C63" s="4">
        <f>C30-'DLC mass atten coeff'!B1024</f>
        <v>0</v>
      </c>
      <c r="D63" s="4">
        <f>D30-'DLC mass atten coeff'!D1024</f>
        <v>0</v>
      </c>
      <c r="E63" s="4">
        <f>E30-'DLC mass atten coeff'!E1024</f>
        <v>0</v>
      </c>
      <c r="F63" s="4">
        <f>F30-'DLC mass atten coeff'!F1024</f>
        <v>0</v>
      </c>
      <c r="G63" s="4">
        <f>G30-'DLC mass atten coeff'!G1024</f>
        <v>0</v>
      </c>
      <c r="H63" s="4">
        <f>H30-'DLC mass atten coeff'!H1024</f>
        <v>0</v>
      </c>
      <c r="I63" s="4">
        <f>I30-'DLC mass atten coeff'!I1024</f>
        <v>0</v>
      </c>
      <c r="J63" s="4">
        <f>J30-'DLC mass atten coeff'!L1024</f>
        <v>0</v>
      </c>
      <c r="K63" s="4">
        <f>K30-'DLC mass atten coeff'!M1024</f>
        <v>0</v>
      </c>
      <c r="L63" s="4">
        <f>L30-'DLC mass atten coeff'!N1024</f>
        <v>0</v>
      </c>
      <c r="M63" s="4">
        <f>M30-'DLC mass atten coeff'!O1024</f>
        <v>0</v>
      </c>
      <c r="N63" s="4">
        <f>N30-'DLC mass atten coeff'!P1024</f>
        <v>0</v>
      </c>
      <c r="O63" s="4">
        <f>O30-'DLC mass atten coeff'!Q1024</f>
        <v>0</v>
      </c>
      <c r="P63" s="4">
        <f>P30-'DLC mass atten coeff'!R1024</f>
        <v>0</v>
      </c>
      <c r="Q63" s="4">
        <f>Q30-'DLC mass atten coeff'!S1024</f>
        <v>0</v>
      </c>
      <c r="R63" s="4">
        <f>R30-'DLC mass atten coeff'!T1024</f>
        <v>0</v>
      </c>
      <c r="S63" s="4">
        <f>S30-'DLC mass atten coeff'!U1024</f>
        <v>0</v>
      </c>
      <c r="T63" s="4">
        <f>T30-'DLC mass atten coeff'!Y1024</f>
        <v>0</v>
      </c>
      <c r="U63" s="4">
        <f>U30-'DLC mass atten coeff'!Z1024</f>
        <v>0</v>
      </c>
      <c r="V63" s="4">
        <f>V30-'DLC mass atten coeff'!AA1024</f>
        <v>0</v>
      </c>
      <c r="W63" s="4">
        <f>W30-'DLC mass atten coeff'!AC1024</f>
        <v>0</v>
      </c>
      <c r="X63" s="4">
        <f>X30-'DLC mass atten coeff'!AD1024</f>
        <v>0</v>
      </c>
      <c r="Y63" s="4">
        <f>Y30-'DLC mass atten coeff'!AO1024</f>
        <v>0</v>
      </c>
      <c r="Z63" s="4">
        <f>Z30-'DLC mass atten coeff'!AP1024</f>
        <v>0</v>
      </c>
      <c r="AA63" s="4">
        <f>AA30-'DLC mass atten coeff'!AQ1024</f>
        <v>0</v>
      </c>
      <c r="AB63" s="4">
        <f>AB30-'DLC mass atten coeff'!AW1024</f>
        <v>0</v>
      </c>
      <c r="AC63" s="4">
        <f>AC30-'DLC mass atten coeff'!AY1024</f>
        <v>0</v>
      </c>
      <c r="AD63" s="4">
        <f>AD30-'DLC mass atten coeff'!BE1024</f>
        <v>0</v>
      </c>
      <c r="AE63" s="4">
        <f>AE30-'DLC mass atten coeff'!BF1024</f>
        <v>0</v>
      </c>
      <c r="AF63" s="4">
        <f>AF30-'DLC mass atten coeff'!BM1024</f>
        <v>0</v>
      </c>
      <c r="AG63" s="4">
        <f>AG30-'DLC mass atten coeff'!BU1024</f>
        <v>0</v>
      </c>
      <c r="AH63" s="4">
        <f>AH30-'DLC mass atten coeff'!BW1024</f>
        <v>0</v>
      </c>
      <c r="AI63" s="4">
        <f>AI30-'DLC mass atten coeff'!CE1024</f>
        <v>0</v>
      </c>
      <c r="AJ63" s="4">
        <f>AJ30-'DLC mass atten coeff'!CM1024</f>
        <v>0</v>
      </c>
      <c r="AK63" s="4">
        <f>AK30-'DLC mass atten coeff'!CO1024</f>
        <v>0</v>
      </c>
      <c r="AL63" s="4"/>
      <c r="AM63" s="4"/>
      <c r="AN63" s="4"/>
      <c r="AO63" s="4"/>
      <c r="AP63" s="4"/>
      <c r="AQ63" s="4"/>
      <c r="AR63" s="4"/>
    </row>
    <row r="64" spans="2:44">
      <c r="B64" s="4">
        <f>B31-'DLC mass atten coeff'!A1025</f>
        <v>0</v>
      </c>
      <c r="C64" s="4">
        <f>C31-'DLC mass atten coeff'!B1025</f>
        <v>0</v>
      </c>
      <c r="D64" s="4">
        <f>D31-'DLC mass atten coeff'!D1025</f>
        <v>0</v>
      </c>
      <c r="E64" s="4">
        <f>E31-'DLC mass atten coeff'!E1025</f>
        <v>0</v>
      </c>
      <c r="F64" s="4">
        <f>F31-'DLC mass atten coeff'!F1025</f>
        <v>0</v>
      </c>
      <c r="G64" s="4">
        <f>G31-'DLC mass atten coeff'!G1025</f>
        <v>0</v>
      </c>
      <c r="H64" s="4">
        <f>H31-'DLC mass atten coeff'!H1025</f>
        <v>0</v>
      </c>
      <c r="I64" s="4">
        <f>I31-'DLC mass atten coeff'!I1025</f>
        <v>0</v>
      </c>
      <c r="J64" s="4">
        <f>J31-'DLC mass atten coeff'!L1025</f>
        <v>0</v>
      </c>
      <c r="K64" s="4">
        <f>K31-'DLC mass atten coeff'!M1025</f>
        <v>0</v>
      </c>
      <c r="L64" s="4">
        <f>L31-'DLC mass atten coeff'!N1025</f>
        <v>0</v>
      </c>
      <c r="M64" s="4">
        <f>M31-'DLC mass atten coeff'!O1025</f>
        <v>0</v>
      </c>
      <c r="N64" s="4">
        <f>N31-'DLC mass atten coeff'!P1025</f>
        <v>0</v>
      </c>
      <c r="O64" s="4">
        <f>O31-'DLC mass atten coeff'!Q1025</f>
        <v>0</v>
      </c>
      <c r="P64" s="4">
        <f>P31-'DLC mass atten coeff'!R1025</f>
        <v>0</v>
      </c>
      <c r="Q64" s="4">
        <f>Q31-'DLC mass atten coeff'!S1025</f>
        <v>0</v>
      </c>
      <c r="R64" s="4">
        <f>R31-'DLC mass atten coeff'!T1025</f>
        <v>0</v>
      </c>
      <c r="S64" s="4">
        <f>S31-'DLC mass atten coeff'!U1025</f>
        <v>0</v>
      </c>
      <c r="T64" s="4">
        <f>T31-'DLC mass atten coeff'!Y1025</f>
        <v>0</v>
      </c>
      <c r="U64" s="4">
        <f>U31-'DLC mass atten coeff'!Z1025</f>
        <v>0</v>
      </c>
      <c r="V64" s="4">
        <f>V31-'DLC mass atten coeff'!AA1025</f>
        <v>0</v>
      </c>
      <c r="W64" s="4">
        <f>W31-'DLC mass atten coeff'!AC1025</f>
        <v>0</v>
      </c>
      <c r="X64" s="4">
        <f>X31-'DLC mass atten coeff'!AD1025</f>
        <v>0</v>
      </c>
      <c r="Y64" s="4">
        <f>Y31-'DLC mass atten coeff'!AO1025</f>
        <v>0</v>
      </c>
      <c r="Z64" s="4">
        <f>Z31-'DLC mass atten coeff'!AP1025</f>
        <v>0</v>
      </c>
      <c r="AA64" s="4">
        <f>AA31-'DLC mass atten coeff'!AQ1025</f>
        <v>0</v>
      </c>
      <c r="AB64" s="4">
        <f>AB31-'DLC mass atten coeff'!AW1025</f>
        <v>0</v>
      </c>
      <c r="AC64" s="4">
        <f>AC31-'DLC mass atten coeff'!AY1025</f>
        <v>0</v>
      </c>
      <c r="AD64" s="4">
        <f>AD31-'DLC mass atten coeff'!BE1025</f>
        <v>0</v>
      </c>
      <c r="AE64" s="4">
        <f>AE31-'DLC mass atten coeff'!BF1025</f>
        <v>0</v>
      </c>
      <c r="AF64" s="4">
        <f>AF31-'DLC mass atten coeff'!BM1025</f>
        <v>0</v>
      </c>
      <c r="AG64" s="4">
        <f>AG31-'DLC mass atten coeff'!BU1025</f>
        <v>0</v>
      </c>
      <c r="AH64" s="4">
        <f>AH31-'DLC mass atten coeff'!BW1025</f>
        <v>0</v>
      </c>
      <c r="AI64" s="4">
        <f>AI31-'DLC mass atten coeff'!CE1025</f>
        <v>0</v>
      </c>
      <c r="AJ64" s="4">
        <f>AJ31-'DLC mass atten coeff'!CM1025</f>
        <v>0</v>
      </c>
      <c r="AK64" s="4">
        <f>AK31-'DLC mass atten coeff'!CO1025</f>
        <v>0</v>
      </c>
      <c r="AL64" s="4"/>
      <c r="AM64" s="4"/>
      <c r="AN64" s="4"/>
      <c r="AO64" s="4"/>
      <c r="AP64" s="4"/>
      <c r="AQ64" s="4"/>
      <c r="AR64" s="4"/>
    </row>
    <row r="65" spans="2:44">
      <c r="B65" s="4">
        <f>B32-'DLC mass atten coeff'!A1026</f>
        <v>0</v>
      </c>
      <c r="C65" s="4">
        <f>C32-'DLC mass atten coeff'!B1026</f>
        <v>0</v>
      </c>
      <c r="D65" s="4">
        <f>D32-'DLC mass atten coeff'!D1026</f>
        <v>0</v>
      </c>
      <c r="E65" s="4">
        <f>E32-'DLC mass atten coeff'!E1026</f>
        <v>0</v>
      </c>
      <c r="F65" s="4">
        <f>F32-'DLC mass atten coeff'!F1026</f>
        <v>0</v>
      </c>
      <c r="G65" s="4">
        <f>G32-'DLC mass atten coeff'!G1026</f>
        <v>0</v>
      </c>
      <c r="H65" s="4">
        <f>H32-'DLC mass atten coeff'!H1026</f>
        <v>0</v>
      </c>
      <c r="I65" s="4">
        <f>I32-'DLC mass atten coeff'!I1026</f>
        <v>0</v>
      </c>
      <c r="J65" s="4">
        <f>J32-'DLC mass atten coeff'!L1026</f>
        <v>0</v>
      </c>
      <c r="K65" s="4">
        <f>K32-'DLC mass atten coeff'!M1026</f>
        <v>0</v>
      </c>
      <c r="L65" s="4">
        <f>L32-'DLC mass atten coeff'!N1026</f>
        <v>0</v>
      </c>
      <c r="M65" s="4">
        <f>M32-'DLC mass atten coeff'!O1026</f>
        <v>0</v>
      </c>
      <c r="N65" s="4">
        <f>N32-'DLC mass atten coeff'!P1026</f>
        <v>0</v>
      </c>
      <c r="O65" s="4">
        <f>O32-'DLC mass atten coeff'!Q1026</f>
        <v>0</v>
      </c>
      <c r="P65" s="4">
        <f>P32-'DLC mass atten coeff'!R1026</f>
        <v>0</v>
      </c>
      <c r="Q65" s="4">
        <f>Q32-'DLC mass atten coeff'!S1026</f>
        <v>0</v>
      </c>
      <c r="R65" s="4">
        <f>R32-'DLC mass atten coeff'!T1026</f>
        <v>0</v>
      </c>
      <c r="S65" s="4">
        <f>S32-'DLC mass atten coeff'!U1026</f>
        <v>0</v>
      </c>
      <c r="T65" s="4">
        <f>T32-'DLC mass atten coeff'!Y1026</f>
        <v>0</v>
      </c>
      <c r="U65" s="4">
        <f>U32-'DLC mass atten coeff'!Z1026</f>
        <v>0</v>
      </c>
      <c r="V65" s="4">
        <f>V32-'DLC mass atten coeff'!AA1026</f>
        <v>0</v>
      </c>
      <c r="W65" s="4">
        <f>W32-'DLC mass atten coeff'!AC1026</f>
        <v>0</v>
      </c>
      <c r="X65" s="4">
        <f>X32-'DLC mass atten coeff'!AD1026</f>
        <v>0</v>
      </c>
      <c r="Y65" s="4">
        <f>Y32-'DLC mass atten coeff'!AO1026</f>
        <v>0</v>
      </c>
      <c r="Z65" s="4">
        <f>Z32-'DLC mass atten coeff'!AP1026</f>
        <v>0</v>
      </c>
      <c r="AA65" s="4">
        <f>AA32-'DLC mass atten coeff'!AQ1026</f>
        <v>0</v>
      </c>
      <c r="AB65" s="4">
        <f>AB32-'DLC mass atten coeff'!AW1026</f>
        <v>0</v>
      </c>
      <c r="AC65" s="4">
        <f>AC32-'DLC mass atten coeff'!AY1026</f>
        <v>0</v>
      </c>
      <c r="AD65" s="4">
        <f>AD32-'DLC mass atten coeff'!BE1026</f>
        <v>0</v>
      </c>
      <c r="AE65" s="4">
        <f>AE32-'DLC mass atten coeff'!BF1026</f>
        <v>0</v>
      </c>
      <c r="AF65" s="4">
        <f>AF32-'DLC mass atten coeff'!BM1026</f>
        <v>0</v>
      </c>
      <c r="AG65" s="4">
        <f>AG32-'DLC mass atten coeff'!BU1026</f>
        <v>0</v>
      </c>
      <c r="AH65" s="4">
        <f>AH32-'DLC mass atten coeff'!BW1026</f>
        <v>0</v>
      </c>
      <c r="AI65" s="4">
        <f>AI32-'DLC mass atten coeff'!CE1026</f>
        <v>0</v>
      </c>
      <c r="AJ65" s="4">
        <f>AJ32-'DLC mass atten coeff'!CM1026</f>
        <v>0</v>
      </c>
      <c r="AK65" s="4">
        <f>AK32-'DLC mass atten coeff'!CO1026</f>
        <v>0</v>
      </c>
      <c r="AL65" s="4"/>
      <c r="AM65" s="4"/>
      <c r="AN65" s="4"/>
      <c r="AO65" s="4"/>
      <c r="AP65" s="4"/>
      <c r="AQ65" s="4"/>
      <c r="AR65" s="4"/>
    </row>
    <row r="66" spans="2:44">
      <c r="B66" s="4">
        <f>B33-'DLC mass atten coeff'!A1027</f>
        <v>0</v>
      </c>
      <c r="C66" s="4">
        <f>C33-'DLC mass atten coeff'!B1027</f>
        <v>0</v>
      </c>
      <c r="D66" s="4">
        <f>D33-'DLC mass atten coeff'!D1027</f>
        <v>0</v>
      </c>
      <c r="E66" s="4">
        <f>E33-'DLC mass atten coeff'!E1027</f>
        <v>0</v>
      </c>
      <c r="F66" s="4">
        <f>F33-'DLC mass atten coeff'!F1027</f>
        <v>0</v>
      </c>
      <c r="G66" s="4">
        <f>G33-'DLC mass atten coeff'!G1027</f>
        <v>0</v>
      </c>
      <c r="H66" s="4">
        <f>H33-'DLC mass atten coeff'!H1027</f>
        <v>0</v>
      </c>
      <c r="I66" s="4">
        <f>I33-'DLC mass atten coeff'!I1027</f>
        <v>0</v>
      </c>
      <c r="J66" s="4">
        <f>J33-'DLC mass atten coeff'!L1027</f>
        <v>0</v>
      </c>
      <c r="K66" s="4">
        <f>K33-'DLC mass atten coeff'!M1027</f>
        <v>0</v>
      </c>
      <c r="L66" s="4">
        <f>L33-'DLC mass atten coeff'!N1027</f>
        <v>0</v>
      </c>
      <c r="M66" s="4">
        <f>M33-'DLC mass atten coeff'!O1027</f>
        <v>0</v>
      </c>
      <c r="N66" s="4">
        <f>N33-'DLC mass atten coeff'!P1027</f>
        <v>0</v>
      </c>
      <c r="O66" s="4">
        <f>O33-'DLC mass atten coeff'!Q1027</f>
        <v>0</v>
      </c>
      <c r="P66" s="4">
        <f>P33-'DLC mass atten coeff'!R1027</f>
        <v>0</v>
      </c>
      <c r="Q66" s="4">
        <f>Q33-'DLC mass atten coeff'!S1027</f>
        <v>0</v>
      </c>
      <c r="R66" s="4">
        <f>R33-'DLC mass atten coeff'!T1027</f>
        <v>0</v>
      </c>
      <c r="S66" s="4">
        <f>S33-'DLC mass atten coeff'!U1027</f>
        <v>0</v>
      </c>
      <c r="T66" s="4">
        <f>T33-'DLC mass atten coeff'!Y1027</f>
        <v>0</v>
      </c>
      <c r="U66" s="4">
        <f>U33-'DLC mass atten coeff'!Z1027</f>
        <v>0</v>
      </c>
      <c r="V66" s="4">
        <f>V33-'DLC mass atten coeff'!AA1027</f>
        <v>0</v>
      </c>
      <c r="W66" s="4">
        <f>W33-'DLC mass atten coeff'!AC1027</f>
        <v>0</v>
      </c>
      <c r="X66" s="4">
        <f>X33-'DLC mass atten coeff'!AD1027</f>
        <v>0</v>
      </c>
      <c r="Y66" s="4">
        <f>Y33-'DLC mass atten coeff'!AO1027</f>
        <v>0</v>
      </c>
      <c r="Z66" s="4">
        <f>Z33-'DLC mass atten coeff'!AP1027</f>
        <v>0</v>
      </c>
      <c r="AA66" s="4">
        <f>AA33-'DLC mass atten coeff'!AQ1027</f>
        <v>0</v>
      </c>
      <c r="AB66" s="4">
        <f>AB33-'DLC mass atten coeff'!AW1027</f>
        <v>0</v>
      </c>
      <c r="AC66" s="4">
        <f>AC33-'DLC mass atten coeff'!AY1027</f>
        <v>0</v>
      </c>
      <c r="AD66" s="4">
        <f>AD33-'DLC mass atten coeff'!BE1027</f>
        <v>0</v>
      </c>
      <c r="AE66" s="4">
        <f>AE33-'DLC mass atten coeff'!BF1027</f>
        <v>0</v>
      </c>
      <c r="AF66" s="4">
        <f>AF33-'DLC mass atten coeff'!BM1027</f>
        <v>0</v>
      </c>
      <c r="AG66" s="4">
        <f>AG33-'DLC mass atten coeff'!BU1027</f>
        <v>0</v>
      </c>
      <c r="AH66" s="4">
        <f>AH33-'DLC mass atten coeff'!BW1027</f>
        <v>0</v>
      </c>
      <c r="AI66" s="4">
        <f>AI33-'DLC mass atten coeff'!CE1027</f>
        <v>0</v>
      </c>
      <c r="AJ66" s="4">
        <f>AJ33-'DLC mass atten coeff'!CM1027</f>
        <v>0</v>
      </c>
      <c r="AK66" s="4">
        <f>AK33-'DLC mass atten coeff'!CO1027</f>
        <v>0</v>
      </c>
      <c r="AL66" s="4"/>
      <c r="AM66" s="4"/>
      <c r="AN66" s="4"/>
      <c r="AO66" s="4"/>
      <c r="AP66" s="4"/>
      <c r="AQ66" s="4"/>
      <c r="AR66" s="4"/>
    </row>
    <row r="67" spans="2:44">
      <c r="B67" s="4">
        <f>B34-'DLC mass atten coeff'!A1028</f>
        <v>0</v>
      </c>
      <c r="C67" s="4">
        <f>C34-'DLC mass atten coeff'!B1028</f>
        <v>0</v>
      </c>
      <c r="D67" s="4">
        <f>D34-'DLC mass atten coeff'!D1028</f>
        <v>0</v>
      </c>
      <c r="E67" s="4">
        <f>E34-'DLC mass atten coeff'!E1028</f>
        <v>0</v>
      </c>
      <c r="F67" s="4">
        <f>F34-'DLC mass atten coeff'!F1028</f>
        <v>0</v>
      </c>
      <c r="G67" s="4">
        <f>G34-'DLC mass atten coeff'!G1028</f>
        <v>0</v>
      </c>
      <c r="H67" s="4">
        <f>H34-'DLC mass atten coeff'!H1028</f>
        <v>0</v>
      </c>
      <c r="I67" s="4">
        <f>I34-'DLC mass atten coeff'!I1028</f>
        <v>0</v>
      </c>
      <c r="J67" s="4">
        <f>J34-'DLC mass atten coeff'!L1028</f>
        <v>0</v>
      </c>
      <c r="K67" s="4">
        <f>K34-'DLC mass atten coeff'!M1028</f>
        <v>0</v>
      </c>
      <c r="L67" s="4">
        <f>L34-'DLC mass atten coeff'!N1028</f>
        <v>0</v>
      </c>
      <c r="M67" s="4">
        <f>M34-'DLC mass atten coeff'!O1028</f>
        <v>0</v>
      </c>
      <c r="N67" s="4">
        <f>N34-'DLC mass atten coeff'!P1028</f>
        <v>0</v>
      </c>
      <c r="O67" s="4">
        <f>O34-'DLC mass atten coeff'!Q1028</f>
        <v>0</v>
      </c>
      <c r="P67" s="4">
        <f>P34-'DLC mass atten coeff'!R1028</f>
        <v>0</v>
      </c>
      <c r="Q67" s="4">
        <f>Q34-'DLC mass atten coeff'!S1028</f>
        <v>0</v>
      </c>
      <c r="R67" s="4">
        <f>R34-'DLC mass atten coeff'!T1028</f>
        <v>0</v>
      </c>
      <c r="S67" s="4">
        <f>S34-'DLC mass atten coeff'!U1028</f>
        <v>0</v>
      </c>
      <c r="T67" s="4">
        <f>T34-'DLC mass atten coeff'!Y1028</f>
        <v>0</v>
      </c>
      <c r="U67" s="4">
        <f>U34-'DLC mass atten coeff'!Z1028</f>
        <v>0</v>
      </c>
      <c r="V67" s="4">
        <f>V34-'DLC mass atten coeff'!AA1028</f>
        <v>0</v>
      </c>
      <c r="W67" s="4">
        <f>W34-'DLC mass atten coeff'!AC1028</f>
        <v>0</v>
      </c>
      <c r="X67" s="4">
        <f>X34-'DLC mass atten coeff'!AD1028</f>
        <v>0</v>
      </c>
      <c r="Y67" s="4">
        <f>Y34-'DLC mass atten coeff'!AO1028</f>
        <v>0</v>
      </c>
      <c r="Z67" s="4">
        <f>Z34-'DLC mass atten coeff'!AP1028</f>
        <v>0</v>
      </c>
      <c r="AA67" s="4">
        <f>AA34-'DLC mass atten coeff'!AQ1028</f>
        <v>0</v>
      </c>
      <c r="AB67" s="4">
        <f>AB34-'DLC mass atten coeff'!AW1028</f>
        <v>0</v>
      </c>
      <c r="AC67" s="4">
        <f>AC34-'DLC mass atten coeff'!AY1028</f>
        <v>0</v>
      </c>
      <c r="AD67" s="4">
        <f>AD34-'DLC mass atten coeff'!BE1028</f>
        <v>0</v>
      </c>
      <c r="AE67" s="4">
        <f>AE34-'DLC mass atten coeff'!BF1028</f>
        <v>0</v>
      </c>
      <c r="AF67" s="4">
        <f>AF34-'DLC mass atten coeff'!BM1028</f>
        <v>0</v>
      </c>
      <c r="AG67" s="4">
        <f>AG34-'DLC mass atten coeff'!BU1028</f>
        <v>0</v>
      </c>
      <c r="AH67" s="4">
        <f>AH34-'DLC mass atten coeff'!BW1028</f>
        <v>0</v>
      </c>
      <c r="AI67" s="4">
        <f>AI34-'DLC mass atten coeff'!CE1028</f>
        <v>0</v>
      </c>
      <c r="AJ67" s="4">
        <f>AJ34-'DLC mass atten coeff'!CM1028</f>
        <v>0</v>
      </c>
      <c r="AK67" s="4">
        <f>AK34-'DLC mass atten coeff'!CO1028</f>
        <v>0</v>
      </c>
      <c r="AL67" s="4"/>
      <c r="AM67" s="4"/>
      <c r="AN67" s="4"/>
      <c r="AO67" s="4"/>
      <c r="AP67" s="4"/>
      <c r="AQ67" s="4"/>
      <c r="AR67" s="4"/>
    </row>
    <row r="68" spans="2:44">
      <c r="B68" s="4">
        <f>B35-'DLC mass atten coeff'!A1029</f>
        <v>0</v>
      </c>
      <c r="C68" s="4">
        <f>C35-'DLC mass atten coeff'!B1029</f>
        <v>0</v>
      </c>
      <c r="D68" s="4">
        <f>D35-'DLC mass atten coeff'!D1029</f>
        <v>0</v>
      </c>
      <c r="E68" s="4">
        <f>E35-'DLC mass atten coeff'!E1029</f>
        <v>0</v>
      </c>
      <c r="F68" s="4">
        <f>F35-'DLC mass atten coeff'!F1029</f>
        <v>0</v>
      </c>
      <c r="G68" s="4">
        <f>G35-'DLC mass atten coeff'!G1029</f>
        <v>0</v>
      </c>
      <c r="H68" s="4">
        <f>H35-'DLC mass atten coeff'!H1029</f>
        <v>0</v>
      </c>
      <c r="I68" s="4">
        <f>I35-'DLC mass atten coeff'!I1029</f>
        <v>0</v>
      </c>
      <c r="J68" s="4">
        <f>J35-'DLC mass atten coeff'!L1029</f>
        <v>0</v>
      </c>
      <c r="K68" s="4">
        <f>K35-'DLC mass atten coeff'!M1029</f>
        <v>0</v>
      </c>
      <c r="L68" s="4">
        <f>L35-'DLC mass atten coeff'!N1029</f>
        <v>0</v>
      </c>
      <c r="M68" s="4">
        <f>M35-'DLC mass atten coeff'!O1029</f>
        <v>0</v>
      </c>
      <c r="N68" s="4">
        <f>N35-'DLC mass atten coeff'!P1029</f>
        <v>0</v>
      </c>
      <c r="O68" s="4">
        <f>O35-'DLC mass atten coeff'!Q1029</f>
        <v>0</v>
      </c>
      <c r="P68" s="4">
        <f>P35-'DLC mass atten coeff'!R1029</f>
        <v>0</v>
      </c>
      <c r="Q68" s="4">
        <f>Q35-'DLC mass atten coeff'!S1029</f>
        <v>0</v>
      </c>
      <c r="R68" s="4">
        <f>R35-'DLC mass atten coeff'!T1029</f>
        <v>0</v>
      </c>
      <c r="S68" s="4">
        <f>S35-'DLC mass atten coeff'!U1029</f>
        <v>0</v>
      </c>
      <c r="T68" s="4">
        <f>T35-'DLC mass atten coeff'!Y1029</f>
        <v>0</v>
      </c>
      <c r="U68" s="4">
        <f>U35-'DLC mass atten coeff'!Z1029</f>
        <v>0</v>
      </c>
      <c r="V68" s="4">
        <f>V35-'DLC mass atten coeff'!AA1029</f>
        <v>0</v>
      </c>
      <c r="W68" s="4">
        <f>W35-'DLC mass atten coeff'!AC1029</f>
        <v>0</v>
      </c>
      <c r="X68" s="4">
        <f>X35-'DLC mass atten coeff'!AD1029</f>
        <v>0</v>
      </c>
      <c r="Y68" s="4">
        <f>Y35-'DLC mass atten coeff'!AO1029</f>
        <v>0</v>
      </c>
      <c r="Z68" s="4">
        <f>Z35-'DLC mass atten coeff'!AP1029</f>
        <v>0</v>
      </c>
      <c r="AA68" s="4">
        <f>AA35-'DLC mass atten coeff'!AQ1029</f>
        <v>0</v>
      </c>
      <c r="AB68" s="4">
        <f>AB35-'DLC mass atten coeff'!AW1029</f>
        <v>0</v>
      </c>
      <c r="AC68" s="4">
        <f>AC35-'DLC mass atten coeff'!AY1029</f>
        <v>0</v>
      </c>
      <c r="AD68" s="4">
        <f>AD35-'DLC mass atten coeff'!BE1029</f>
        <v>0</v>
      </c>
      <c r="AE68" s="4">
        <f>AE35-'DLC mass atten coeff'!BF1029</f>
        <v>0</v>
      </c>
      <c r="AF68" s="4">
        <f>AF35-'DLC mass atten coeff'!BM1029</f>
        <v>0</v>
      </c>
      <c r="AG68" s="4">
        <f>AG35-'DLC mass atten coeff'!BU1029</f>
        <v>0</v>
      </c>
      <c r="AH68" s="4">
        <f>AH35-'DLC mass atten coeff'!BW1029</f>
        <v>0</v>
      </c>
      <c r="AI68" s="4">
        <f>AI35-'DLC mass atten coeff'!CE1029</f>
        <v>0</v>
      </c>
      <c r="AJ68" s="4">
        <f>AJ35-'DLC mass atten coeff'!CM1029</f>
        <v>0</v>
      </c>
      <c r="AK68" s="4">
        <f>AK35-'DLC mass atten coeff'!CO1029</f>
        <v>0</v>
      </c>
      <c r="AL68" s="4"/>
      <c r="AM68" s="4"/>
      <c r="AN68" s="4"/>
      <c r="AO68" s="4"/>
      <c r="AP68" s="4"/>
      <c r="AQ68" s="4"/>
      <c r="AR68" s="4"/>
    </row>
    <row r="69" spans="2:44">
      <c r="B69" s="4">
        <f>B36-'DLC mass atten coeff'!A1030</f>
        <v>0</v>
      </c>
      <c r="C69" s="4">
        <f>C36-'DLC mass atten coeff'!B1030</f>
        <v>0</v>
      </c>
      <c r="D69" s="4">
        <f>D36-'DLC mass atten coeff'!D1030</f>
        <v>0</v>
      </c>
      <c r="E69" s="4">
        <f>E36-'DLC mass atten coeff'!E1030</f>
        <v>0</v>
      </c>
      <c r="F69" s="4">
        <f>F36-'DLC mass atten coeff'!F1030</f>
        <v>0</v>
      </c>
      <c r="G69" s="4">
        <f>G36-'DLC mass atten coeff'!G1030</f>
        <v>0</v>
      </c>
      <c r="H69" s="4">
        <f>H36-'DLC mass atten coeff'!H1030</f>
        <v>0</v>
      </c>
      <c r="I69" s="4">
        <f>I36-'DLC mass atten coeff'!I1030</f>
        <v>0</v>
      </c>
      <c r="J69" s="4">
        <f>J36-'DLC mass atten coeff'!L1030</f>
        <v>0</v>
      </c>
      <c r="K69" s="4">
        <f>K36-'DLC mass atten coeff'!M1030</f>
        <v>0</v>
      </c>
      <c r="L69" s="4">
        <f>L36-'DLC mass atten coeff'!N1030</f>
        <v>0</v>
      </c>
      <c r="M69" s="4">
        <f>M36-'DLC mass atten coeff'!O1030</f>
        <v>0</v>
      </c>
      <c r="N69" s="4">
        <f>N36-'DLC mass atten coeff'!P1030</f>
        <v>0</v>
      </c>
      <c r="O69" s="4">
        <f>O36-'DLC mass atten coeff'!Q1030</f>
        <v>0</v>
      </c>
      <c r="P69" s="4">
        <f>P36-'DLC mass atten coeff'!R1030</f>
        <v>0</v>
      </c>
      <c r="Q69" s="4">
        <f>Q36-'DLC mass atten coeff'!S1030</f>
        <v>0</v>
      </c>
      <c r="R69" s="4">
        <f>R36-'DLC mass atten coeff'!T1030</f>
        <v>0</v>
      </c>
      <c r="S69" s="4">
        <f>S36-'DLC mass atten coeff'!U1030</f>
        <v>0</v>
      </c>
      <c r="T69" s="4">
        <f>T36-'DLC mass atten coeff'!Y1030</f>
        <v>0</v>
      </c>
      <c r="U69" s="4">
        <f>U36-'DLC mass atten coeff'!Z1030</f>
        <v>0</v>
      </c>
      <c r="V69" s="4">
        <f>V36-'DLC mass atten coeff'!AA1030</f>
        <v>0</v>
      </c>
      <c r="W69" s="4">
        <f>W36-'DLC mass atten coeff'!AC1030</f>
        <v>0</v>
      </c>
      <c r="X69" s="4">
        <f>X36-'DLC mass atten coeff'!AD1030</f>
        <v>0</v>
      </c>
      <c r="Y69" s="4">
        <f>Y36-'DLC mass atten coeff'!AO1030</f>
        <v>0</v>
      </c>
      <c r="Z69" s="4">
        <f>Z36-'DLC mass atten coeff'!AP1030</f>
        <v>0</v>
      </c>
      <c r="AA69" s="4">
        <f>AA36-'DLC mass atten coeff'!AQ1030</f>
        <v>0</v>
      </c>
      <c r="AB69" s="4">
        <f>AB36-'DLC mass atten coeff'!AW1030</f>
        <v>0</v>
      </c>
      <c r="AC69" s="4">
        <f>AC36-'DLC mass atten coeff'!AY1030</f>
        <v>0</v>
      </c>
      <c r="AD69" s="4">
        <f>AD36-'DLC mass atten coeff'!BE1030</f>
        <v>0</v>
      </c>
      <c r="AE69" s="4">
        <f>AE36-'DLC mass atten coeff'!BF1030</f>
        <v>0</v>
      </c>
      <c r="AF69" s="4">
        <f>AF36-'DLC mass atten coeff'!BM1030</f>
        <v>0</v>
      </c>
      <c r="AG69" s="4">
        <f>AG36-'DLC mass atten coeff'!BU1030</f>
        <v>0</v>
      </c>
      <c r="AH69" s="4">
        <f>AH36-'DLC mass atten coeff'!BW1030</f>
        <v>0</v>
      </c>
      <c r="AI69" s="4">
        <f>AI36-'DLC mass atten coeff'!CE1030</f>
        <v>0</v>
      </c>
      <c r="AJ69" s="4">
        <f>AJ36-'DLC mass atten coeff'!CM1030</f>
        <v>0</v>
      </c>
      <c r="AK69" s="4">
        <f>AK36-'DLC mass atten coeff'!CO1030</f>
        <v>0</v>
      </c>
      <c r="AL69" s="4"/>
      <c r="AM69" s="4"/>
      <c r="AN69" s="4"/>
      <c r="AO69" s="4"/>
      <c r="AP69" s="4"/>
      <c r="AQ69" s="4"/>
      <c r="AR69" s="4"/>
    </row>
    <row r="70" spans="2:44">
      <c r="B70" s="4">
        <f>B37-'DLC mass atten coeff'!A1031</f>
        <v>0</v>
      </c>
      <c r="C70" s="4">
        <f>C37-'DLC mass atten coeff'!B1031</f>
        <v>0</v>
      </c>
      <c r="D70" s="4">
        <f>D37-'DLC mass atten coeff'!D1031</f>
        <v>0</v>
      </c>
      <c r="E70" s="4">
        <f>E37-'DLC mass atten coeff'!E1031</f>
        <v>0</v>
      </c>
      <c r="F70" s="4">
        <f>F37-'DLC mass atten coeff'!F1031</f>
        <v>0</v>
      </c>
      <c r="G70" s="4">
        <f>G37-'DLC mass atten coeff'!G1031</f>
        <v>0</v>
      </c>
      <c r="H70" s="4">
        <f>H37-'DLC mass atten coeff'!H1031</f>
        <v>0</v>
      </c>
      <c r="I70" s="4">
        <f>I37-'DLC mass atten coeff'!I1031</f>
        <v>0</v>
      </c>
      <c r="J70" s="4">
        <f>J37-'DLC mass atten coeff'!L1031</f>
        <v>0</v>
      </c>
      <c r="K70" s="4">
        <f>K37-'DLC mass atten coeff'!M1031</f>
        <v>0</v>
      </c>
      <c r="L70" s="4">
        <f>L37-'DLC mass atten coeff'!N1031</f>
        <v>0</v>
      </c>
      <c r="M70" s="4">
        <f>M37-'DLC mass atten coeff'!O1031</f>
        <v>0</v>
      </c>
      <c r="N70" s="4">
        <f>N37-'DLC mass atten coeff'!P1031</f>
        <v>0</v>
      </c>
      <c r="O70" s="4">
        <f>O37-'DLC mass atten coeff'!Q1031</f>
        <v>0</v>
      </c>
      <c r="P70" s="4">
        <f>P37-'DLC mass atten coeff'!R1031</f>
        <v>0</v>
      </c>
      <c r="Q70" s="4">
        <f>Q37-'DLC mass atten coeff'!S1031</f>
        <v>0</v>
      </c>
      <c r="R70" s="4">
        <f>R37-'DLC mass atten coeff'!T1031</f>
        <v>0</v>
      </c>
      <c r="S70" s="4">
        <f>S37-'DLC mass atten coeff'!U1031</f>
        <v>0</v>
      </c>
      <c r="T70" s="4">
        <f>T37-'DLC mass atten coeff'!Y1031</f>
        <v>0</v>
      </c>
      <c r="U70" s="4">
        <f>U37-'DLC mass atten coeff'!Z1031</f>
        <v>0</v>
      </c>
      <c r="V70" s="4">
        <f>V37-'DLC mass atten coeff'!AA1031</f>
        <v>0</v>
      </c>
      <c r="W70" s="4">
        <f>W37-'DLC mass atten coeff'!AC1031</f>
        <v>0</v>
      </c>
      <c r="X70" s="4">
        <f>X37-'DLC mass atten coeff'!AD1031</f>
        <v>0</v>
      </c>
      <c r="Y70" s="4">
        <f>Y37-'DLC mass atten coeff'!AO1031</f>
        <v>0</v>
      </c>
      <c r="Z70" s="4">
        <f>Z37-'DLC mass atten coeff'!AP1031</f>
        <v>0</v>
      </c>
      <c r="AA70" s="4">
        <f>AA37-'DLC mass atten coeff'!AQ1031</f>
        <v>0</v>
      </c>
      <c r="AB70" s="4">
        <f>AB37-'DLC mass atten coeff'!AW1031</f>
        <v>0</v>
      </c>
      <c r="AC70" s="4">
        <f>AC37-'DLC mass atten coeff'!AY1031</f>
        <v>0</v>
      </c>
      <c r="AD70" s="4">
        <f>AD37-'DLC mass atten coeff'!BE1031</f>
        <v>0</v>
      </c>
      <c r="AE70" s="4">
        <f>AE37-'DLC mass atten coeff'!BF1031</f>
        <v>0</v>
      </c>
      <c r="AF70" s="4">
        <f>AF37-'DLC mass atten coeff'!BM1031</f>
        <v>0</v>
      </c>
      <c r="AG70" s="4">
        <f>AG37-'DLC mass atten coeff'!BU1031</f>
        <v>0</v>
      </c>
      <c r="AH70" s="4">
        <f>AH37-'DLC mass atten coeff'!BW1031</f>
        <v>0</v>
      </c>
      <c r="AI70" s="4">
        <f>AI37-'DLC mass atten coeff'!CE1031</f>
        <v>0</v>
      </c>
      <c r="AJ70" s="4">
        <f>AJ37-'DLC mass atten coeff'!CM1031</f>
        <v>0</v>
      </c>
      <c r="AK70" s="4">
        <f>AK37-'DLC mass atten coeff'!CO1031</f>
        <v>0</v>
      </c>
      <c r="AL70" s="4"/>
      <c r="AM70" s="4"/>
      <c r="AN70" s="4"/>
      <c r="AO70" s="4"/>
      <c r="AP70" s="4"/>
      <c r="AQ70" s="4"/>
      <c r="AR70" s="4"/>
    </row>
    <row r="71" spans="2:44">
      <c r="B71" s="4">
        <f>B38-'DLC mass atten coeff'!A1032</f>
        <v>0</v>
      </c>
      <c r="C71" s="4">
        <f>C38-'DLC mass atten coeff'!B1032</f>
        <v>0</v>
      </c>
      <c r="D71" s="4">
        <f>D38-'DLC mass atten coeff'!D1032</f>
        <v>0</v>
      </c>
      <c r="E71" s="4">
        <f>E38-'DLC mass atten coeff'!E1032</f>
        <v>0</v>
      </c>
      <c r="F71" s="4">
        <f>F38-'DLC mass atten coeff'!F1032</f>
        <v>0</v>
      </c>
      <c r="G71" s="4">
        <f>G38-'DLC mass atten coeff'!G1032</f>
        <v>0</v>
      </c>
      <c r="H71" s="4">
        <f>H38-'DLC mass atten coeff'!H1032</f>
        <v>0</v>
      </c>
      <c r="I71" s="4">
        <f>I38-'DLC mass atten coeff'!I1032</f>
        <v>0</v>
      </c>
      <c r="J71" s="4">
        <f>J38-'DLC mass atten coeff'!L1032</f>
        <v>0</v>
      </c>
      <c r="K71" s="4">
        <f>K38-'DLC mass atten coeff'!M1032</f>
        <v>0</v>
      </c>
      <c r="L71" s="4">
        <f>L38-'DLC mass atten coeff'!N1032</f>
        <v>0</v>
      </c>
      <c r="M71" s="4">
        <f>M38-'DLC mass atten coeff'!O1032</f>
        <v>0</v>
      </c>
      <c r="N71" s="4">
        <f>N38-'DLC mass atten coeff'!P1032</f>
        <v>0</v>
      </c>
      <c r="O71" s="4">
        <f>O38-'DLC mass atten coeff'!Q1032</f>
        <v>0</v>
      </c>
      <c r="P71" s="4">
        <f>P38-'DLC mass atten coeff'!R1032</f>
        <v>0</v>
      </c>
      <c r="Q71" s="4">
        <f>Q38-'DLC mass atten coeff'!S1032</f>
        <v>0</v>
      </c>
      <c r="R71" s="4">
        <f>R38-'DLC mass atten coeff'!T1032</f>
        <v>0</v>
      </c>
      <c r="S71" s="4">
        <f>S38-'DLC mass atten coeff'!U1032</f>
        <v>0</v>
      </c>
      <c r="T71" s="4">
        <f>T38-'DLC mass atten coeff'!Y1032</f>
        <v>0</v>
      </c>
      <c r="U71" s="4">
        <f>U38-'DLC mass atten coeff'!Z1032</f>
        <v>0</v>
      </c>
      <c r="V71" s="4">
        <f>V38-'DLC mass atten coeff'!AA1032</f>
        <v>0</v>
      </c>
      <c r="W71" s="4">
        <f>W38-'DLC mass atten coeff'!AC1032</f>
        <v>0</v>
      </c>
      <c r="X71" s="4">
        <f>X38-'DLC mass atten coeff'!AD1032</f>
        <v>0</v>
      </c>
      <c r="Y71" s="4">
        <f>Y38-'DLC mass atten coeff'!AO1032</f>
        <v>0</v>
      </c>
      <c r="Z71" s="4">
        <f>Z38-'DLC mass atten coeff'!AP1032</f>
        <v>0</v>
      </c>
      <c r="AA71" s="4">
        <f>AA38-'DLC mass atten coeff'!AQ1032</f>
        <v>0</v>
      </c>
      <c r="AB71" s="4">
        <f>AB38-'DLC mass atten coeff'!AW1032</f>
        <v>0</v>
      </c>
      <c r="AC71" s="4">
        <f>AC38-'DLC mass atten coeff'!AY1032</f>
        <v>0</v>
      </c>
      <c r="AD71" s="4">
        <f>AD38-'DLC mass atten coeff'!BE1032</f>
        <v>0</v>
      </c>
      <c r="AE71" s="4">
        <f>AE38-'DLC mass atten coeff'!BF1032</f>
        <v>0</v>
      </c>
      <c r="AF71" s="4">
        <f>AF38-'DLC mass atten coeff'!BM1032</f>
        <v>0</v>
      </c>
      <c r="AG71" s="4">
        <f>AG38-'DLC mass atten coeff'!BU1032</f>
        <v>0</v>
      </c>
      <c r="AH71" s="4">
        <f>AH38-'DLC mass atten coeff'!BW1032</f>
        <v>0</v>
      </c>
      <c r="AI71" s="4">
        <f>AI38-'DLC mass atten coeff'!CE1032</f>
        <v>0</v>
      </c>
      <c r="AJ71" s="4">
        <f>AJ38-'DLC mass atten coeff'!CM1032</f>
        <v>0</v>
      </c>
      <c r="AK71" s="4">
        <f>AK38-'DLC mass atten coeff'!CO1032</f>
        <v>0</v>
      </c>
      <c r="AL71" s="4"/>
      <c r="AM71" s="4"/>
      <c r="AN71" s="4"/>
      <c r="AO71" s="4"/>
      <c r="AP71" s="4"/>
      <c r="AQ71" s="4"/>
      <c r="AR71" s="4"/>
    </row>
    <row r="72" spans="2:44">
      <c r="B72" s="4">
        <f>B39-'DLC mass atten coeff'!A1033</f>
        <v>0</v>
      </c>
      <c r="C72" s="4">
        <f>C39-'DLC mass atten coeff'!B1033</f>
        <v>0</v>
      </c>
      <c r="D72" s="4">
        <f>D39-'DLC mass atten coeff'!D1033</f>
        <v>0</v>
      </c>
      <c r="E72" s="4">
        <f>E39-'DLC mass atten coeff'!E1033</f>
        <v>0</v>
      </c>
      <c r="F72" s="4">
        <f>F39-'DLC mass atten coeff'!F1033</f>
        <v>0</v>
      </c>
      <c r="G72" s="4">
        <f>G39-'DLC mass atten coeff'!G1033</f>
        <v>0</v>
      </c>
      <c r="H72" s="4">
        <f>H39-'DLC mass atten coeff'!H1033</f>
        <v>0</v>
      </c>
      <c r="I72" s="4">
        <f>I39-'DLC mass atten coeff'!I1033</f>
        <v>0</v>
      </c>
      <c r="J72" s="4">
        <f>J39-'DLC mass atten coeff'!L1033</f>
        <v>0</v>
      </c>
      <c r="K72" s="4">
        <f>K39-'DLC mass atten coeff'!M1033</f>
        <v>0</v>
      </c>
      <c r="L72" s="4">
        <f>L39-'DLC mass atten coeff'!N1033</f>
        <v>0</v>
      </c>
      <c r="M72" s="4">
        <f>M39-'DLC mass atten coeff'!O1033</f>
        <v>0</v>
      </c>
      <c r="N72" s="4">
        <f>N39-'DLC mass atten coeff'!P1033</f>
        <v>0</v>
      </c>
      <c r="O72" s="4">
        <f>O39-'DLC mass atten coeff'!Q1033</f>
        <v>0</v>
      </c>
      <c r="P72" s="4">
        <f>P39-'DLC mass atten coeff'!R1033</f>
        <v>0</v>
      </c>
      <c r="Q72" s="4">
        <f>Q39-'DLC mass atten coeff'!S1033</f>
        <v>0</v>
      </c>
      <c r="R72" s="4">
        <f>R39-'DLC mass atten coeff'!T1033</f>
        <v>0</v>
      </c>
      <c r="S72" s="4">
        <f>S39-'DLC mass atten coeff'!U1033</f>
        <v>0</v>
      </c>
      <c r="T72" s="4">
        <f>T39-'DLC mass atten coeff'!Y1033</f>
        <v>0</v>
      </c>
      <c r="U72" s="4">
        <f>U39-'DLC mass atten coeff'!Z1033</f>
        <v>0</v>
      </c>
      <c r="V72" s="4">
        <f>V39-'DLC mass atten coeff'!AA1033</f>
        <v>0</v>
      </c>
      <c r="W72" s="4">
        <f>W39-'DLC mass atten coeff'!AC1033</f>
        <v>0</v>
      </c>
      <c r="X72" s="4">
        <f>X39-'DLC mass atten coeff'!AD1033</f>
        <v>0</v>
      </c>
      <c r="Y72" s="4">
        <f>Y39-'DLC mass atten coeff'!AO1033</f>
        <v>0</v>
      </c>
      <c r="Z72" s="4">
        <f>Z39-'DLC mass atten coeff'!AP1033</f>
        <v>0</v>
      </c>
      <c r="AA72" s="4">
        <f>AA39-'DLC mass atten coeff'!AQ1033</f>
        <v>0</v>
      </c>
      <c r="AB72" s="4">
        <f>AB39-'DLC mass atten coeff'!AW1033</f>
        <v>0</v>
      </c>
      <c r="AC72" s="4">
        <f>AC39-'DLC mass atten coeff'!AY1033</f>
        <v>0</v>
      </c>
      <c r="AD72" s="4">
        <f>AD39-'DLC mass atten coeff'!BE1033</f>
        <v>0</v>
      </c>
      <c r="AE72" s="4">
        <f>AE39-'DLC mass atten coeff'!BF1033</f>
        <v>0</v>
      </c>
      <c r="AF72" s="4">
        <f>AF39-'DLC mass atten coeff'!BM1033</f>
        <v>0</v>
      </c>
      <c r="AG72" s="4">
        <f>AG39-'DLC mass atten coeff'!BU1033</f>
        <v>0</v>
      </c>
      <c r="AH72" s="4">
        <f>AH39-'DLC mass atten coeff'!BW1033</f>
        <v>0</v>
      </c>
      <c r="AI72" s="4">
        <f>AI39-'DLC mass atten coeff'!CE1033</f>
        <v>0</v>
      </c>
      <c r="AJ72" s="4">
        <f>AJ39-'DLC mass atten coeff'!CM1033</f>
        <v>0</v>
      </c>
      <c r="AK72" s="4">
        <f>AK39-'DLC mass atten coeff'!CO1033</f>
        <v>0</v>
      </c>
      <c r="AL72" s="4"/>
      <c r="AM72" s="4"/>
      <c r="AN72" s="4"/>
      <c r="AO72" s="4"/>
      <c r="AP72" s="4"/>
      <c r="AQ72" s="4"/>
      <c r="AR72" s="4"/>
    </row>
    <row r="73" spans="2:44">
      <c r="B73" s="4">
        <f>B40-'DLC mass atten coeff'!A1034</f>
        <v>0</v>
      </c>
      <c r="C73" s="4">
        <f>C40-'DLC mass atten coeff'!B1034</f>
        <v>0</v>
      </c>
      <c r="D73" s="4">
        <f>D40-'DLC mass atten coeff'!D1034</f>
        <v>0</v>
      </c>
      <c r="E73" s="4">
        <f>E40-'DLC mass atten coeff'!E1034</f>
        <v>0</v>
      </c>
      <c r="F73" s="4">
        <f>F40-'DLC mass atten coeff'!F1034</f>
        <v>0</v>
      </c>
      <c r="G73" s="4">
        <f>G40-'DLC mass atten coeff'!G1034</f>
        <v>0</v>
      </c>
      <c r="H73" s="4">
        <f>H40-'DLC mass atten coeff'!H1034</f>
        <v>0</v>
      </c>
      <c r="I73" s="4">
        <f>I40-'DLC mass atten coeff'!I1034</f>
        <v>0</v>
      </c>
      <c r="J73" s="4">
        <f>J40-'DLC mass atten coeff'!L1034</f>
        <v>0</v>
      </c>
      <c r="K73" s="4">
        <f>K40-'DLC mass atten coeff'!M1034</f>
        <v>0</v>
      </c>
      <c r="L73" s="4">
        <f>L40-'DLC mass atten coeff'!N1034</f>
        <v>0</v>
      </c>
      <c r="M73" s="4">
        <f>M40-'DLC mass atten coeff'!O1034</f>
        <v>0</v>
      </c>
      <c r="N73" s="4">
        <f>N40-'DLC mass atten coeff'!P1034</f>
        <v>0</v>
      </c>
      <c r="O73" s="4">
        <f>O40-'DLC mass atten coeff'!Q1034</f>
        <v>0</v>
      </c>
      <c r="P73" s="4">
        <f>P40-'DLC mass atten coeff'!R1034</f>
        <v>0</v>
      </c>
      <c r="Q73" s="4">
        <f>Q40-'DLC mass atten coeff'!S1034</f>
        <v>0</v>
      </c>
      <c r="R73" s="4">
        <f>R40-'DLC mass atten coeff'!T1034</f>
        <v>0</v>
      </c>
      <c r="S73" s="4">
        <f>S40-'DLC mass atten coeff'!U1034</f>
        <v>0</v>
      </c>
      <c r="T73" s="4">
        <f>T40-'DLC mass atten coeff'!Y1034</f>
        <v>0</v>
      </c>
      <c r="U73" s="4">
        <f>U40-'DLC mass atten coeff'!Z1034</f>
        <v>0</v>
      </c>
      <c r="V73" s="4">
        <f>V40-'DLC mass atten coeff'!AA1034</f>
        <v>0</v>
      </c>
      <c r="W73" s="4">
        <f>W40-'DLC mass atten coeff'!AC1034</f>
        <v>0</v>
      </c>
      <c r="X73" s="4">
        <f>X40-'DLC mass atten coeff'!AD1034</f>
        <v>0</v>
      </c>
      <c r="Y73" s="4">
        <f>Y40-'DLC mass atten coeff'!AO1034</f>
        <v>0</v>
      </c>
      <c r="Z73" s="4">
        <f>Z40-'DLC mass atten coeff'!AP1034</f>
        <v>0</v>
      </c>
      <c r="AA73" s="4">
        <f>AA40-'DLC mass atten coeff'!AQ1034</f>
        <v>0</v>
      </c>
      <c r="AB73" s="4">
        <f>AB40-'DLC mass atten coeff'!AW1034</f>
        <v>0</v>
      </c>
      <c r="AC73" s="4">
        <f>AC40-'DLC mass atten coeff'!AY1034</f>
        <v>0</v>
      </c>
      <c r="AD73" s="4">
        <f>AD40-'DLC mass atten coeff'!BE1034</f>
        <v>0</v>
      </c>
      <c r="AE73" s="4">
        <f>AE40-'DLC mass atten coeff'!BF1034</f>
        <v>0</v>
      </c>
      <c r="AF73" s="4">
        <f>AF40-'DLC mass atten coeff'!BM1034</f>
        <v>0</v>
      </c>
      <c r="AG73" s="4">
        <f>AG40-'DLC mass atten coeff'!BU1034</f>
        <v>0</v>
      </c>
      <c r="AH73" s="4">
        <f>AH40-'DLC mass atten coeff'!BW1034</f>
        <v>0</v>
      </c>
      <c r="AI73" s="4">
        <f>AI40-'DLC mass atten coeff'!CE1034</f>
        <v>0</v>
      </c>
      <c r="AJ73" s="4">
        <f>AJ40-'DLC mass atten coeff'!CM1034</f>
        <v>0</v>
      </c>
      <c r="AK73" s="4">
        <f>AK40-'DLC mass atten coeff'!CO1034</f>
        <v>0</v>
      </c>
      <c r="AL73" s="4"/>
      <c r="AM73" s="4"/>
      <c r="AN73" s="4"/>
      <c r="AO73" s="4"/>
      <c r="AP73" s="4"/>
      <c r="AQ73" s="4"/>
      <c r="AR73" s="4"/>
    </row>
    <row r="74" spans="2:44">
      <c r="B74" s="4">
        <f>B41-'DLC mass atten coeff'!A1035</f>
        <v>0</v>
      </c>
      <c r="C74" s="4">
        <f>C41-'DLC mass atten coeff'!B1035</f>
        <v>0</v>
      </c>
      <c r="D74" s="4">
        <f>D41-'DLC mass atten coeff'!D1035</f>
        <v>0</v>
      </c>
      <c r="E74" s="4">
        <f>E41-'DLC mass atten coeff'!E1035</f>
        <v>0</v>
      </c>
      <c r="F74" s="4">
        <f>F41-'DLC mass atten coeff'!F1035</f>
        <v>0</v>
      </c>
      <c r="G74" s="4">
        <f>G41-'DLC mass atten coeff'!G1035</f>
        <v>0</v>
      </c>
      <c r="H74" s="4">
        <f>H41-'DLC mass atten coeff'!H1035</f>
        <v>0</v>
      </c>
      <c r="I74" s="4">
        <f>I41-'DLC mass atten coeff'!I1035</f>
        <v>0</v>
      </c>
      <c r="J74" s="4">
        <f>J41-'DLC mass atten coeff'!L1035</f>
        <v>0</v>
      </c>
      <c r="K74" s="4">
        <f>K41-'DLC mass atten coeff'!M1035</f>
        <v>0</v>
      </c>
      <c r="L74" s="4">
        <f>L41-'DLC mass atten coeff'!N1035</f>
        <v>0</v>
      </c>
      <c r="M74" s="4">
        <f>M41-'DLC mass atten coeff'!O1035</f>
        <v>0</v>
      </c>
      <c r="N74" s="4">
        <f>N41-'DLC mass atten coeff'!P1035</f>
        <v>0</v>
      </c>
      <c r="O74" s="4">
        <f>O41-'DLC mass atten coeff'!Q1035</f>
        <v>0</v>
      </c>
      <c r="P74" s="4">
        <f>P41-'DLC mass atten coeff'!R1035</f>
        <v>0</v>
      </c>
      <c r="Q74" s="4">
        <f>Q41-'DLC mass atten coeff'!S1035</f>
        <v>0</v>
      </c>
      <c r="R74" s="4">
        <f>R41-'DLC mass atten coeff'!T1035</f>
        <v>0</v>
      </c>
      <c r="S74" s="4">
        <f>S41-'DLC mass atten coeff'!U1035</f>
        <v>0</v>
      </c>
      <c r="T74" s="4">
        <f>T41-'DLC mass atten coeff'!Y1035</f>
        <v>0</v>
      </c>
      <c r="U74" s="4">
        <f>U41-'DLC mass atten coeff'!Z1035</f>
        <v>0</v>
      </c>
      <c r="V74" s="4">
        <f>V41-'DLC mass atten coeff'!AA1035</f>
        <v>0</v>
      </c>
      <c r="W74" s="4">
        <f>W41-'DLC mass atten coeff'!AC1035</f>
        <v>0</v>
      </c>
      <c r="X74" s="4">
        <f>X41-'DLC mass atten coeff'!AD1035</f>
        <v>0</v>
      </c>
      <c r="Y74" s="4">
        <f>Y41-'DLC mass atten coeff'!AO1035</f>
        <v>0</v>
      </c>
      <c r="Z74" s="4">
        <f>Z41-'DLC mass atten coeff'!AP1035</f>
        <v>0</v>
      </c>
      <c r="AA74" s="4">
        <f>AA41-'DLC mass atten coeff'!AQ1035</f>
        <v>0</v>
      </c>
      <c r="AB74" s="4">
        <f>AB41-'DLC mass atten coeff'!AW1035</f>
        <v>0</v>
      </c>
      <c r="AC74" s="4">
        <f>AC41-'DLC mass atten coeff'!AY1035</f>
        <v>0</v>
      </c>
      <c r="AD74" s="4">
        <f>AD41-'DLC mass atten coeff'!BE1035</f>
        <v>0</v>
      </c>
      <c r="AE74" s="4">
        <f>AE41-'DLC mass atten coeff'!BF1035</f>
        <v>0</v>
      </c>
      <c r="AF74" s="4">
        <f>AF41-'DLC mass atten coeff'!BM1035</f>
        <v>0</v>
      </c>
      <c r="AG74" s="4">
        <f>AG41-'DLC mass atten coeff'!BU1035</f>
        <v>0</v>
      </c>
      <c r="AH74" s="4">
        <f>AH41-'DLC mass atten coeff'!BW1035</f>
        <v>0</v>
      </c>
      <c r="AI74" s="4">
        <f>AI41-'DLC mass atten coeff'!CE1035</f>
        <v>0</v>
      </c>
      <c r="AJ74" s="4">
        <f>AJ41-'DLC mass atten coeff'!CM1035</f>
        <v>0</v>
      </c>
      <c r="AK74" s="4">
        <f>AK41-'DLC mass atten coeff'!CO1035</f>
        <v>0</v>
      </c>
      <c r="AL74" s="4"/>
      <c r="AM74" s="4"/>
      <c r="AN74" s="4"/>
      <c r="AO74" s="4"/>
      <c r="AP74" s="4"/>
      <c r="AQ74" s="4"/>
      <c r="AR74" s="4"/>
    </row>
    <row r="75" spans="2:44">
      <c r="B75" s="4">
        <f>B42-'DLC mass atten coeff'!A1036</f>
        <v>0</v>
      </c>
      <c r="C75" s="4">
        <f>C42-'DLC mass atten coeff'!B1036</f>
        <v>0</v>
      </c>
      <c r="D75" s="4">
        <f>D42-'DLC mass atten coeff'!D1036</f>
        <v>0</v>
      </c>
      <c r="E75" s="4">
        <f>E42-'DLC mass atten coeff'!E1036</f>
        <v>0</v>
      </c>
      <c r="F75" s="4">
        <f>F42-'DLC mass atten coeff'!F1036</f>
        <v>0</v>
      </c>
      <c r="G75" s="4">
        <f>G42-'DLC mass atten coeff'!G1036</f>
        <v>0</v>
      </c>
      <c r="H75" s="4">
        <f>H42-'DLC mass atten coeff'!H1036</f>
        <v>0</v>
      </c>
      <c r="I75" s="4">
        <f>I42-'DLC mass atten coeff'!I1036</f>
        <v>0</v>
      </c>
      <c r="J75" s="4">
        <f>J42-'DLC mass atten coeff'!L1036</f>
        <v>0</v>
      </c>
      <c r="K75" s="4">
        <f>K42-'DLC mass atten coeff'!M1036</f>
        <v>0</v>
      </c>
      <c r="L75" s="4">
        <f>L42-'DLC mass atten coeff'!N1036</f>
        <v>0</v>
      </c>
      <c r="M75" s="4">
        <f>M42-'DLC mass atten coeff'!O1036</f>
        <v>0</v>
      </c>
      <c r="N75" s="4">
        <f>N42-'DLC mass atten coeff'!P1036</f>
        <v>0</v>
      </c>
      <c r="O75" s="4">
        <f>O42-'DLC mass atten coeff'!Q1036</f>
        <v>0</v>
      </c>
      <c r="P75" s="4">
        <f>P42-'DLC mass atten coeff'!R1036</f>
        <v>0</v>
      </c>
      <c r="Q75" s="4">
        <f>Q42-'DLC mass atten coeff'!S1036</f>
        <v>0</v>
      </c>
      <c r="R75" s="4">
        <f>R42-'DLC mass atten coeff'!T1036</f>
        <v>0</v>
      </c>
      <c r="S75" s="4">
        <f>S42-'DLC mass atten coeff'!U1036</f>
        <v>0</v>
      </c>
      <c r="T75" s="4">
        <f>T42-'DLC mass atten coeff'!Y1036</f>
        <v>0</v>
      </c>
      <c r="U75" s="4">
        <f>U42-'DLC mass atten coeff'!Z1036</f>
        <v>0</v>
      </c>
      <c r="V75" s="4">
        <f>V42-'DLC mass atten coeff'!AA1036</f>
        <v>0</v>
      </c>
      <c r="W75" s="4">
        <f>W42-'DLC mass atten coeff'!AC1036</f>
        <v>0</v>
      </c>
      <c r="X75" s="4">
        <f>X42-'DLC mass atten coeff'!AD1036</f>
        <v>0</v>
      </c>
      <c r="Y75" s="4">
        <f>Y42-'DLC mass atten coeff'!AO1036</f>
        <v>0</v>
      </c>
      <c r="Z75" s="4">
        <f>Z42-'DLC mass atten coeff'!AP1036</f>
        <v>0</v>
      </c>
      <c r="AA75" s="4">
        <f>AA42-'DLC mass atten coeff'!AQ1036</f>
        <v>0</v>
      </c>
      <c r="AB75" s="4">
        <f>AB42-'DLC mass atten coeff'!AW1036</f>
        <v>0</v>
      </c>
      <c r="AC75" s="4">
        <f>AC42-'DLC mass atten coeff'!AY1036</f>
        <v>0</v>
      </c>
      <c r="AD75" s="4">
        <f>AD42-'DLC mass atten coeff'!BE1036</f>
        <v>0</v>
      </c>
      <c r="AE75" s="4">
        <f>AE42-'DLC mass atten coeff'!BF1036</f>
        <v>0</v>
      </c>
      <c r="AF75" s="4">
        <f>AF42-'DLC mass atten coeff'!BM1036</f>
        <v>0</v>
      </c>
      <c r="AG75" s="4">
        <f>AG42-'DLC mass atten coeff'!BU1036</f>
        <v>0</v>
      </c>
      <c r="AH75" s="4">
        <f>AH42-'DLC mass atten coeff'!BW1036</f>
        <v>0</v>
      </c>
      <c r="AI75" s="4">
        <f>AI42-'DLC mass atten coeff'!CE1036</f>
        <v>0</v>
      </c>
      <c r="AJ75" s="4">
        <f>AJ42-'DLC mass atten coeff'!CM1036</f>
        <v>0</v>
      </c>
      <c r="AK75" s="4">
        <f>AK42-'DLC mass atten coeff'!CO1036</f>
        <v>0</v>
      </c>
      <c r="AL75" s="4"/>
      <c r="AM75" s="4"/>
      <c r="AN75" s="4"/>
      <c r="AO75" s="4"/>
      <c r="AP75" s="4"/>
      <c r="AQ75" s="4"/>
      <c r="AR75" s="4"/>
    </row>
    <row r="76" spans="2:44">
      <c r="B76" s="4">
        <f>B43-'DLC mass atten coeff'!A1037</f>
        <v>0</v>
      </c>
      <c r="C76" s="4">
        <f>C43-'DLC mass atten coeff'!B1037</f>
        <v>0</v>
      </c>
      <c r="D76" s="4">
        <f>D43-'DLC mass atten coeff'!D1037</f>
        <v>0</v>
      </c>
      <c r="E76" s="4">
        <f>E43-'DLC mass atten coeff'!E1037</f>
        <v>0</v>
      </c>
      <c r="F76" s="4">
        <f>F43-'DLC mass atten coeff'!F1037</f>
        <v>0</v>
      </c>
      <c r="G76" s="4">
        <f>G43-'DLC mass atten coeff'!G1037</f>
        <v>0</v>
      </c>
      <c r="H76" s="4">
        <f>H43-'DLC mass atten coeff'!H1037</f>
        <v>0</v>
      </c>
      <c r="I76" s="4">
        <f>I43-'DLC mass atten coeff'!I1037</f>
        <v>0</v>
      </c>
      <c r="J76" s="4">
        <f>J43-'DLC mass atten coeff'!L1037</f>
        <v>0</v>
      </c>
      <c r="K76" s="4">
        <f>K43-'DLC mass atten coeff'!M1037</f>
        <v>0</v>
      </c>
      <c r="L76" s="4">
        <f>L43-'DLC mass atten coeff'!N1037</f>
        <v>0</v>
      </c>
      <c r="M76" s="4">
        <f>M43-'DLC mass atten coeff'!O1037</f>
        <v>0</v>
      </c>
      <c r="N76" s="4">
        <f>N43-'DLC mass atten coeff'!P1037</f>
        <v>0</v>
      </c>
      <c r="O76" s="4">
        <f>O43-'DLC mass atten coeff'!Q1037</f>
        <v>0</v>
      </c>
      <c r="P76" s="4">
        <f>P43-'DLC mass atten coeff'!R1037</f>
        <v>0</v>
      </c>
      <c r="Q76" s="4">
        <f>Q43-'DLC mass atten coeff'!S1037</f>
        <v>0</v>
      </c>
      <c r="R76" s="4">
        <f>R43-'DLC mass atten coeff'!T1037</f>
        <v>0</v>
      </c>
      <c r="S76" s="4">
        <f>S43-'DLC mass atten coeff'!U1037</f>
        <v>0</v>
      </c>
      <c r="T76" s="4">
        <f>T43-'DLC mass atten coeff'!Y1037</f>
        <v>0</v>
      </c>
      <c r="U76" s="4">
        <f>U43-'DLC mass atten coeff'!Z1037</f>
        <v>0</v>
      </c>
      <c r="V76" s="4">
        <f>V43-'DLC mass atten coeff'!AA1037</f>
        <v>0</v>
      </c>
      <c r="W76" s="4">
        <f>W43-'DLC mass atten coeff'!AC1037</f>
        <v>0</v>
      </c>
      <c r="X76" s="4">
        <f>X43-'DLC mass atten coeff'!AD1037</f>
        <v>0</v>
      </c>
      <c r="Y76" s="4">
        <f>Y43-'DLC mass atten coeff'!AO1037</f>
        <v>0</v>
      </c>
      <c r="Z76" s="4">
        <f>Z43-'DLC mass atten coeff'!AP1037</f>
        <v>0</v>
      </c>
      <c r="AA76" s="4">
        <f>AA43-'DLC mass atten coeff'!AQ1037</f>
        <v>0</v>
      </c>
      <c r="AB76" s="4">
        <f>AB43-'DLC mass atten coeff'!AW1037</f>
        <v>0</v>
      </c>
      <c r="AC76" s="4">
        <f>AC43-'DLC mass atten coeff'!AY1037</f>
        <v>0</v>
      </c>
      <c r="AD76" s="4">
        <f>AD43-'DLC mass atten coeff'!BE1037</f>
        <v>0</v>
      </c>
      <c r="AE76" s="4">
        <f>AE43-'DLC mass atten coeff'!BF1037</f>
        <v>0</v>
      </c>
      <c r="AF76" s="4">
        <f>AF43-'DLC mass atten coeff'!BM1037</f>
        <v>0</v>
      </c>
      <c r="AG76" s="4">
        <f>AG43-'DLC mass atten coeff'!BU1037</f>
        <v>0</v>
      </c>
      <c r="AH76" s="4">
        <f>AH43-'DLC mass atten coeff'!BW1037</f>
        <v>0</v>
      </c>
      <c r="AI76" s="4">
        <f>AI43-'DLC mass atten coeff'!CE1037</f>
        <v>0</v>
      </c>
      <c r="AJ76" s="4">
        <f>AJ43-'DLC mass atten coeff'!CM1037</f>
        <v>0</v>
      </c>
      <c r="AK76" s="4">
        <f>AK43-'DLC mass atten coeff'!CO1037</f>
        <v>0</v>
      </c>
      <c r="AL76" s="4"/>
      <c r="AM76" s="4"/>
      <c r="AN76" s="4"/>
      <c r="AO76" s="4"/>
      <c r="AP76" s="4"/>
      <c r="AQ76" s="4"/>
      <c r="AR76" s="4"/>
    </row>
    <row r="77" spans="2:44">
      <c r="B77" s="4">
        <f>B44-'DLC mass atten coeff'!A1038</f>
        <v>0</v>
      </c>
      <c r="C77" s="4">
        <f>C44-'DLC mass atten coeff'!B1038</f>
        <v>0</v>
      </c>
      <c r="D77" s="4">
        <f>D44-'DLC mass atten coeff'!D1038</f>
        <v>0</v>
      </c>
      <c r="E77" s="4">
        <f>E44-'DLC mass atten coeff'!E1038</f>
        <v>0</v>
      </c>
      <c r="F77" s="4">
        <f>F44-'DLC mass atten coeff'!F1038</f>
        <v>0</v>
      </c>
      <c r="G77" s="4">
        <f>G44-'DLC mass atten coeff'!G1038</f>
        <v>0</v>
      </c>
      <c r="H77" s="4">
        <f>H44-'DLC mass atten coeff'!H1038</f>
        <v>0</v>
      </c>
      <c r="I77" s="4">
        <f>I44-'DLC mass atten coeff'!I1038</f>
        <v>0</v>
      </c>
      <c r="J77" s="4">
        <f>J44-'DLC mass atten coeff'!L1038</f>
        <v>0</v>
      </c>
      <c r="K77" s="4">
        <f>K44-'DLC mass atten coeff'!M1038</f>
        <v>0</v>
      </c>
      <c r="L77" s="4">
        <f>L44-'DLC mass atten coeff'!N1038</f>
        <v>0</v>
      </c>
      <c r="M77" s="4">
        <f>M44-'DLC mass atten coeff'!O1038</f>
        <v>0</v>
      </c>
      <c r="N77" s="4">
        <f>N44-'DLC mass atten coeff'!P1038</f>
        <v>0</v>
      </c>
      <c r="O77" s="4">
        <f>O44-'DLC mass atten coeff'!Q1038</f>
        <v>0</v>
      </c>
      <c r="P77" s="4">
        <f>P44-'DLC mass atten coeff'!R1038</f>
        <v>0</v>
      </c>
      <c r="Q77" s="4">
        <f>Q44-'DLC mass atten coeff'!S1038</f>
        <v>0</v>
      </c>
      <c r="R77" s="4">
        <f>R44-'DLC mass atten coeff'!T1038</f>
        <v>0</v>
      </c>
      <c r="S77" s="4">
        <f>S44-'DLC mass atten coeff'!U1038</f>
        <v>0</v>
      </c>
      <c r="T77" s="4">
        <f>T44-'DLC mass atten coeff'!Y1038</f>
        <v>0</v>
      </c>
      <c r="U77" s="4">
        <f>U44-'DLC mass atten coeff'!Z1038</f>
        <v>0</v>
      </c>
      <c r="V77" s="4">
        <f>V44-'DLC mass atten coeff'!AA1038</f>
        <v>0</v>
      </c>
      <c r="W77" s="4">
        <f>W44-'DLC mass atten coeff'!AC1038</f>
        <v>0</v>
      </c>
      <c r="X77" s="4">
        <f>X44-'DLC mass atten coeff'!AD1038</f>
        <v>0</v>
      </c>
      <c r="Y77" s="4">
        <f>Y44-'DLC mass atten coeff'!AO1038</f>
        <v>0</v>
      </c>
      <c r="Z77" s="4">
        <f>Z44-'DLC mass atten coeff'!AP1038</f>
        <v>0</v>
      </c>
      <c r="AA77" s="4">
        <f>AA44-'DLC mass atten coeff'!AQ1038</f>
        <v>0</v>
      </c>
      <c r="AB77" s="4">
        <f>AB44-'DLC mass atten coeff'!AW1038</f>
        <v>0</v>
      </c>
      <c r="AC77" s="4">
        <f>AC44-'DLC mass atten coeff'!AY1038</f>
        <v>0</v>
      </c>
      <c r="AD77" s="4">
        <f>AD44-'DLC mass atten coeff'!BE1038</f>
        <v>0</v>
      </c>
      <c r="AE77" s="4">
        <f>AE44-'DLC mass atten coeff'!BF1038</f>
        <v>0</v>
      </c>
      <c r="AF77" s="4">
        <f>AF44-'DLC mass atten coeff'!BM1038</f>
        <v>0</v>
      </c>
      <c r="AG77" s="4">
        <f>AG44-'DLC mass atten coeff'!BU1038</f>
        <v>0</v>
      </c>
      <c r="AH77" s="4">
        <f>AH44-'DLC mass atten coeff'!BW1038</f>
        <v>0</v>
      </c>
      <c r="AI77" s="4">
        <f>AI44-'DLC mass atten coeff'!CE1038</f>
        <v>0</v>
      </c>
      <c r="AJ77" s="4">
        <f>AJ44-'DLC mass atten coeff'!CM1038</f>
        <v>0</v>
      </c>
      <c r="AK77" s="4">
        <f>AK44-'DLC mass atten coeff'!CO1038</f>
        <v>0</v>
      </c>
      <c r="AL77" s="4"/>
      <c r="AM77" s="4"/>
      <c r="AN77" s="4"/>
      <c r="AO77" s="4"/>
      <c r="AP77" s="4"/>
      <c r="AQ77" s="4"/>
      <c r="AR77" s="4"/>
    </row>
    <row r="78" spans="2:44">
      <c r="B78" s="4">
        <f>B45-'DLC mass atten coeff'!A1039</f>
        <v>0</v>
      </c>
      <c r="C78" s="4">
        <f>C45-'DLC mass atten coeff'!B1039</f>
        <v>0</v>
      </c>
      <c r="D78" s="4">
        <f>D45-'DLC mass atten coeff'!D1039</f>
        <v>0</v>
      </c>
      <c r="E78" s="4">
        <f>E45-'DLC mass atten coeff'!E1039</f>
        <v>0</v>
      </c>
      <c r="F78" s="4">
        <f>F45-'DLC mass atten coeff'!F1039</f>
        <v>0</v>
      </c>
      <c r="G78" s="4">
        <f>G45-'DLC mass atten coeff'!G1039</f>
        <v>0</v>
      </c>
      <c r="H78" s="4">
        <f>H45-'DLC mass atten coeff'!H1039</f>
        <v>0</v>
      </c>
      <c r="I78" s="4">
        <f>I45-'DLC mass atten coeff'!I1039</f>
        <v>0</v>
      </c>
      <c r="J78" s="4">
        <f>J45-'DLC mass atten coeff'!L1039</f>
        <v>0</v>
      </c>
      <c r="K78" s="4">
        <f>K45-'DLC mass atten coeff'!M1039</f>
        <v>0</v>
      </c>
      <c r="L78" s="4">
        <f>L45-'DLC mass atten coeff'!N1039</f>
        <v>0</v>
      </c>
      <c r="M78" s="4">
        <f>M45-'DLC mass atten coeff'!O1039</f>
        <v>0</v>
      </c>
      <c r="N78" s="4">
        <f>N45-'DLC mass atten coeff'!P1039</f>
        <v>0</v>
      </c>
      <c r="O78" s="4">
        <f>O45-'DLC mass atten coeff'!Q1039</f>
        <v>0</v>
      </c>
      <c r="P78" s="4">
        <f>P45-'DLC mass atten coeff'!R1039</f>
        <v>0</v>
      </c>
      <c r="Q78" s="4">
        <f>Q45-'DLC mass atten coeff'!S1039</f>
        <v>0</v>
      </c>
      <c r="R78" s="4">
        <f>R45-'DLC mass atten coeff'!T1039</f>
        <v>0</v>
      </c>
      <c r="S78" s="4">
        <f>S45-'DLC mass atten coeff'!U1039</f>
        <v>0</v>
      </c>
      <c r="T78" s="4">
        <f>T45-'DLC mass atten coeff'!Y1039</f>
        <v>0</v>
      </c>
      <c r="U78" s="4">
        <f>U45-'DLC mass atten coeff'!Z1039</f>
        <v>0</v>
      </c>
      <c r="V78" s="4">
        <f>V45-'DLC mass atten coeff'!AA1039</f>
        <v>0</v>
      </c>
      <c r="W78" s="4">
        <f>W45-'DLC mass atten coeff'!AC1039</f>
        <v>0</v>
      </c>
      <c r="X78" s="4">
        <f>X45-'DLC mass atten coeff'!AD1039</f>
        <v>0</v>
      </c>
      <c r="Y78" s="4">
        <f>Y45-'DLC mass atten coeff'!AO1039</f>
        <v>0</v>
      </c>
      <c r="Z78" s="4">
        <f>Z45-'DLC mass atten coeff'!AP1039</f>
        <v>0</v>
      </c>
      <c r="AA78" s="4">
        <f>AA45-'DLC mass atten coeff'!AQ1039</f>
        <v>0</v>
      </c>
      <c r="AB78" s="4">
        <f>AB45-'DLC mass atten coeff'!AW1039</f>
        <v>0</v>
      </c>
      <c r="AC78" s="4">
        <f>AC45-'DLC mass atten coeff'!AY1039</f>
        <v>0</v>
      </c>
      <c r="AD78" s="4">
        <f>AD45-'DLC mass atten coeff'!BE1039</f>
        <v>0</v>
      </c>
      <c r="AE78" s="4">
        <f>AE45-'DLC mass atten coeff'!BF1039</f>
        <v>0</v>
      </c>
      <c r="AF78" s="4">
        <f>AF45-'DLC mass atten coeff'!BM1039</f>
        <v>0</v>
      </c>
      <c r="AG78" s="4">
        <f>AG45-'DLC mass atten coeff'!BU1039</f>
        <v>0</v>
      </c>
      <c r="AH78" s="4">
        <f>AH45-'DLC mass atten coeff'!BW1039</f>
        <v>0</v>
      </c>
      <c r="AI78" s="4">
        <f>AI45-'DLC mass atten coeff'!CE1039</f>
        <v>0</v>
      </c>
      <c r="AJ78" s="4">
        <f>AJ45-'DLC mass atten coeff'!CM1039</f>
        <v>0</v>
      </c>
      <c r="AK78" s="4">
        <f>AK45-'DLC mass atten coeff'!CO1039</f>
        <v>0</v>
      </c>
      <c r="AL78" s="4"/>
      <c r="AM78" s="4"/>
      <c r="AN78" s="4"/>
      <c r="AO78" s="4"/>
      <c r="AP78" s="4"/>
      <c r="AQ78" s="4"/>
      <c r="AR78" s="4"/>
    </row>
    <row r="79" spans="2:44">
      <c r="B79" s="4">
        <f>B46-'DLC mass atten coeff'!A1040</f>
        <v>0</v>
      </c>
      <c r="C79" s="4">
        <f>C46-'DLC mass atten coeff'!B1040</f>
        <v>0</v>
      </c>
      <c r="D79" s="4">
        <f>D46-'DLC mass atten coeff'!D1040</f>
        <v>0</v>
      </c>
      <c r="E79" s="4">
        <f>E46-'DLC mass atten coeff'!E1040</f>
        <v>0</v>
      </c>
      <c r="F79" s="4">
        <f>F46-'DLC mass atten coeff'!F1040</f>
        <v>0</v>
      </c>
      <c r="G79" s="4">
        <f>G46-'DLC mass atten coeff'!G1040</f>
        <v>0</v>
      </c>
      <c r="H79" s="4">
        <f>H46-'DLC mass atten coeff'!H1040</f>
        <v>0</v>
      </c>
      <c r="I79" s="4">
        <f>I46-'DLC mass atten coeff'!I1040</f>
        <v>0</v>
      </c>
      <c r="J79" s="4">
        <f>J46-'DLC mass atten coeff'!L1040</f>
        <v>0</v>
      </c>
      <c r="K79" s="4">
        <f>K46-'DLC mass atten coeff'!M1040</f>
        <v>0</v>
      </c>
      <c r="L79" s="4">
        <f>L46-'DLC mass atten coeff'!N1040</f>
        <v>0</v>
      </c>
      <c r="M79" s="4">
        <f>M46-'DLC mass atten coeff'!O1040</f>
        <v>0</v>
      </c>
      <c r="N79" s="4">
        <f>N46-'DLC mass atten coeff'!P1040</f>
        <v>0</v>
      </c>
      <c r="O79" s="4">
        <f>O46-'DLC mass atten coeff'!Q1040</f>
        <v>0</v>
      </c>
      <c r="P79" s="4">
        <f>P46-'DLC mass atten coeff'!R1040</f>
        <v>0</v>
      </c>
      <c r="Q79" s="4">
        <f>Q46-'DLC mass atten coeff'!S1040</f>
        <v>0</v>
      </c>
      <c r="R79" s="4">
        <f>R46-'DLC mass atten coeff'!T1040</f>
        <v>0</v>
      </c>
      <c r="S79" s="4">
        <f>S46-'DLC mass atten coeff'!U1040</f>
        <v>0</v>
      </c>
      <c r="T79" s="4">
        <f>T46-'DLC mass atten coeff'!Y1040</f>
        <v>0</v>
      </c>
      <c r="U79" s="4">
        <f>U46-'DLC mass atten coeff'!Z1040</f>
        <v>0</v>
      </c>
      <c r="V79" s="4">
        <f>V46-'DLC mass atten coeff'!AA1040</f>
        <v>0</v>
      </c>
      <c r="W79" s="4">
        <f>W46-'DLC mass atten coeff'!AC1040</f>
        <v>0</v>
      </c>
      <c r="X79" s="4">
        <f>X46-'DLC mass atten coeff'!AD1040</f>
        <v>0</v>
      </c>
      <c r="Y79" s="4">
        <f>Y46-'DLC mass atten coeff'!AO1040</f>
        <v>0</v>
      </c>
      <c r="Z79" s="4">
        <f>Z46-'DLC mass atten coeff'!AP1040</f>
        <v>0</v>
      </c>
      <c r="AA79" s="4">
        <f>AA46-'DLC mass atten coeff'!AQ1040</f>
        <v>0</v>
      </c>
      <c r="AB79" s="4">
        <f>AB46-'DLC mass atten coeff'!AW1040</f>
        <v>0</v>
      </c>
      <c r="AC79" s="4">
        <f>AC46-'DLC mass atten coeff'!AY1040</f>
        <v>0</v>
      </c>
      <c r="AD79" s="4">
        <f>AD46-'DLC mass atten coeff'!BE1040</f>
        <v>0</v>
      </c>
      <c r="AE79" s="4">
        <f>AE46-'DLC mass atten coeff'!BF1040</f>
        <v>0</v>
      </c>
      <c r="AF79" s="4">
        <f>AF46-'DLC mass atten coeff'!BM1040</f>
        <v>0</v>
      </c>
      <c r="AG79" s="4">
        <f>AG46-'DLC mass atten coeff'!BU1040</f>
        <v>0</v>
      </c>
      <c r="AH79" s="4">
        <f>AH46-'DLC mass atten coeff'!BW1040</f>
        <v>0</v>
      </c>
      <c r="AI79" s="4">
        <f>AI46-'DLC mass atten coeff'!CE1040</f>
        <v>0</v>
      </c>
      <c r="AJ79" s="4">
        <f>AJ46-'DLC mass atten coeff'!CM1040</f>
        <v>0</v>
      </c>
      <c r="AK79" s="4">
        <f>AK46-'DLC mass atten coeff'!CO1040</f>
        <v>0</v>
      </c>
      <c r="AL79" s="4"/>
      <c r="AM79" s="4"/>
      <c r="AN79" s="4"/>
      <c r="AO79" s="4"/>
      <c r="AP79" s="4"/>
      <c r="AQ79" s="4"/>
      <c r="AR79" s="4"/>
    </row>
    <row r="80" spans="2:44">
      <c r="B80" s="4">
        <f>B47-'DLC mass atten coeff'!A1041</f>
        <v>0</v>
      </c>
      <c r="C80" s="4">
        <f>C47-'DLC mass atten coeff'!B1041</f>
        <v>0</v>
      </c>
      <c r="D80" s="4">
        <f>D47-'DLC mass atten coeff'!D1041</f>
        <v>0</v>
      </c>
      <c r="E80" s="4">
        <f>E47-'DLC mass atten coeff'!E1041</f>
        <v>0</v>
      </c>
      <c r="F80" s="4">
        <f>F47-'DLC mass atten coeff'!F1041</f>
        <v>0</v>
      </c>
      <c r="G80" s="4">
        <f>G47-'DLC mass atten coeff'!G1041</f>
        <v>0</v>
      </c>
      <c r="H80" s="4">
        <f>H47-'DLC mass atten coeff'!H1041</f>
        <v>0</v>
      </c>
      <c r="I80" s="4">
        <f>I47-'DLC mass atten coeff'!I1041</f>
        <v>0</v>
      </c>
      <c r="J80" s="4">
        <f>J47-'DLC mass atten coeff'!L1041</f>
        <v>0</v>
      </c>
      <c r="K80" s="4">
        <f>K47-'DLC mass atten coeff'!M1041</f>
        <v>0</v>
      </c>
      <c r="L80" s="4">
        <f>L47-'DLC mass atten coeff'!N1041</f>
        <v>0</v>
      </c>
      <c r="M80" s="4">
        <f>M47-'DLC mass atten coeff'!O1041</f>
        <v>0</v>
      </c>
      <c r="N80" s="4">
        <f>N47-'DLC mass atten coeff'!P1041</f>
        <v>0</v>
      </c>
      <c r="O80" s="4">
        <f>O47-'DLC mass atten coeff'!Q1041</f>
        <v>0</v>
      </c>
      <c r="P80" s="4">
        <f>P47-'DLC mass atten coeff'!R1041</f>
        <v>0</v>
      </c>
      <c r="Q80" s="4">
        <f>Q47-'DLC mass atten coeff'!S1041</f>
        <v>0</v>
      </c>
      <c r="R80" s="4">
        <f>R47-'DLC mass atten coeff'!T1041</f>
        <v>0</v>
      </c>
      <c r="S80" s="4">
        <f>S47-'DLC mass atten coeff'!U1041</f>
        <v>0</v>
      </c>
      <c r="T80" s="4">
        <f>T47-'DLC mass atten coeff'!Y1041</f>
        <v>0</v>
      </c>
      <c r="U80" s="4">
        <f>U47-'DLC mass atten coeff'!Z1041</f>
        <v>0</v>
      </c>
      <c r="V80" s="4">
        <f>V47-'DLC mass atten coeff'!AA1041</f>
        <v>0</v>
      </c>
      <c r="W80" s="4">
        <f>W47-'DLC mass atten coeff'!AC1041</f>
        <v>0</v>
      </c>
      <c r="X80" s="4">
        <f>X47-'DLC mass atten coeff'!AD1041</f>
        <v>0</v>
      </c>
      <c r="Y80" s="4">
        <f>Y47-'DLC mass atten coeff'!AO1041</f>
        <v>0</v>
      </c>
      <c r="Z80" s="4">
        <f>Z47-'DLC mass atten coeff'!AP1041</f>
        <v>0</v>
      </c>
      <c r="AA80" s="4">
        <f>AA47-'DLC mass atten coeff'!AQ1041</f>
        <v>0</v>
      </c>
      <c r="AB80" s="4">
        <f>AB47-'DLC mass atten coeff'!AW1041</f>
        <v>0</v>
      </c>
      <c r="AC80" s="4">
        <f>AC47-'DLC mass atten coeff'!AY1041</f>
        <v>0</v>
      </c>
      <c r="AD80" s="4">
        <f>AD47-'DLC mass atten coeff'!BE1041</f>
        <v>0</v>
      </c>
      <c r="AE80" s="4">
        <f>AE47-'DLC mass atten coeff'!BF1041</f>
        <v>0</v>
      </c>
      <c r="AF80" s="4">
        <f>AF47-'DLC mass atten coeff'!BM1041</f>
        <v>0</v>
      </c>
      <c r="AG80" s="4">
        <f>AG47-'DLC mass atten coeff'!BU1041</f>
        <v>0</v>
      </c>
      <c r="AH80" s="4">
        <f>AH47-'DLC mass atten coeff'!BW1041</f>
        <v>0</v>
      </c>
      <c r="AI80" s="4">
        <f>AI47-'DLC mass atten coeff'!CE1041</f>
        <v>0</v>
      </c>
      <c r="AJ80" s="4">
        <f>AJ47-'DLC mass atten coeff'!CM1041</f>
        <v>0</v>
      </c>
      <c r="AK80" s="4">
        <f>AK47-'DLC mass atten coeff'!CO1041</f>
        <v>0</v>
      </c>
      <c r="AL80" s="4"/>
      <c r="AM80" s="4"/>
      <c r="AN80" s="4"/>
      <c r="AO80" s="4"/>
      <c r="AP80" s="4"/>
      <c r="AQ80" s="4"/>
      <c r="AR80" s="4"/>
    </row>
    <row r="81" spans="2:44">
      <c r="B81" s="4">
        <f>B48-'DLC mass atten coeff'!A1042</f>
        <v>0</v>
      </c>
      <c r="C81" s="4">
        <f>C48-'DLC mass atten coeff'!B1042</f>
        <v>0</v>
      </c>
      <c r="D81" s="4">
        <f>D48-'DLC mass atten coeff'!D1042</f>
        <v>0</v>
      </c>
      <c r="E81" s="4">
        <f>E48-'DLC mass atten coeff'!E1042</f>
        <v>0</v>
      </c>
      <c r="F81" s="4">
        <f>F48-'DLC mass atten coeff'!F1042</f>
        <v>0</v>
      </c>
      <c r="G81" s="4">
        <f>G48-'DLC mass atten coeff'!G1042</f>
        <v>0</v>
      </c>
      <c r="H81" s="4">
        <f>H48-'DLC mass atten coeff'!H1042</f>
        <v>0</v>
      </c>
      <c r="I81" s="4">
        <f>I48-'DLC mass atten coeff'!I1042</f>
        <v>0</v>
      </c>
      <c r="J81" s="4">
        <f>J48-'DLC mass atten coeff'!L1042</f>
        <v>0</v>
      </c>
      <c r="K81" s="4">
        <f>K48-'DLC mass atten coeff'!M1042</f>
        <v>0</v>
      </c>
      <c r="L81" s="4">
        <f>L48-'DLC mass atten coeff'!N1042</f>
        <v>0</v>
      </c>
      <c r="M81" s="4">
        <f>M48-'DLC mass atten coeff'!O1042</f>
        <v>0</v>
      </c>
      <c r="N81" s="4">
        <f>N48-'DLC mass atten coeff'!P1042</f>
        <v>0</v>
      </c>
      <c r="O81" s="4">
        <f>O48-'DLC mass atten coeff'!Q1042</f>
        <v>0</v>
      </c>
      <c r="P81" s="4">
        <f>P48-'DLC mass atten coeff'!R1042</f>
        <v>0</v>
      </c>
      <c r="Q81" s="4">
        <f>Q48-'DLC mass atten coeff'!S1042</f>
        <v>0</v>
      </c>
      <c r="R81" s="4">
        <f>R48-'DLC mass atten coeff'!T1042</f>
        <v>0</v>
      </c>
      <c r="S81" s="4">
        <f>S48-'DLC mass atten coeff'!U1042</f>
        <v>0</v>
      </c>
      <c r="T81" s="4">
        <f>T48-'DLC mass atten coeff'!Y1042</f>
        <v>0</v>
      </c>
      <c r="U81" s="4">
        <f>U48-'DLC mass atten coeff'!Z1042</f>
        <v>0</v>
      </c>
      <c r="V81" s="4">
        <f>V48-'DLC mass atten coeff'!AA1042</f>
        <v>0</v>
      </c>
      <c r="W81" s="4">
        <f>W48-'DLC mass atten coeff'!AC1042</f>
        <v>0</v>
      </c>
      <c r="X81" s="4">
        <f>X48-'DLC mass atten coeff'!AD1042</f>
        <v>0</v>
      </c>
      <c r="Y81" s="4">
        <f>Y48-'DLC mass atten coeff'!AO1042</f>
        <v>0</v>
      </c>
      <c r="Z81" s="4">
        <f>Z48-'DLC mass atten coeff'!AP1042</f>
        <v>0</v>
      </c>
      <c r="AA81" s="4">
        <f>AA48-'DLC mass atten coeff'!AQ1042</f>
        <v>0</v>
      </c>
      <c r="AB81" s="4">
        <f>AB48-'DLC mass atten coeff'!AW1042</f>
        <v>0</v>
      </c>
      <c r="AC81" s="4">
        <f>AC48-'DLC mass atten coeff'!AY1042</f>
        <v>0</v>
      </c>
      <c r="AD81" s="4">
        <f>AD48-'DLC mass atten coeff'!BE1042</f>
        <v>0</v>
      </c>
      <c r="AE81" s="4">
        <f>AE48-'DLC mass atten coeff'!BF1042</f>
        <v>0</v>
      </c>
      <c r="AF81" s="4">
        <f>AF48-'DLC mass atten coeff'!BM1042</f>
        <v>0</v>
      </c>
      <c r="AG81" s="4">
        <f>AG48-'DLC mass atten coeff'!BU1042</f>
        <v>0</v>
      </c>
      <c r="AH81" s="4">
        <f>AH48-'DLC mass atten coeff'!BW1042</f>
        <v>0</v>
      </c>
      <c r="AI81" s="4">
        <f>AI48-'DLC mass atten coeff'!CE1042</f>
        <v>0</v>
      </c>
      <c r="AJ81" s="4">
        <f>AJ48-'DLC mass atten coeff'!CM1042</f>
        <v>0</v>
      </c>
      <c r="AK81" s="4">
        <f>AK48-'DLC mass atten coeff'!CO1042</f>
        <v>0</v>
      </c>
      <c r="AL81" s="4"/>
      <c r="AM81" s="4"/>
      <c r="AN81" s="4"/>
      <c r="AO81" s="4"/>
      <c r="AP81" s="4"/>
      <c r="AQ81" s="4"/>
      <c r="AR81" s="4"/>
    </row>
    <row r="82" spans="2:44">
      <c r="B82" s="4">
        <f>B49-'DLC mass atten coeff'!A1043</f>
        <v>0</v>
      </c>
      <c r="C82" s="4">
        <f>C49-'DLC mass atten coeff'!B1043</f>
        <v>0</v>
      </c>
      <c r="D82" s="4">
        <f>D49-'DLC mass atten coeff'!D1043</f>
        <v>0</v>
      </c>
      <c r="E82" s="4">
        <f>E49-'DLC mass atten coeff'!E1043</f>
        <v>0</v>
      </c>
      <c r="F82" s="4">
        <f>F49-'DLC mass atten coeff'!F1043</f>
        <v>0</v>
      </c>
      <c r="G82" s="4">
        <f>G49-'DLC mass atten coeff'!G1043</f>
        <v>0</v>
      </c>
      <c r="H82" s="4">
        <f>H49-'DLC mass atten coeff'!H1043</f>
        <v>0</v>
      </c>
      <c r="I82" s="4">
        <f>I49-'DLC mass atten coeff'!I1043</f>
        <v>0</v>
      </c>
      <c r="J82" s="4">
        <f>J49-'DLC mass atten coeff'!L1043</f>
        <v>0</v>
      </c>
      <c r="K82" s="4">
        <f>K49-'DLC mass atten coeff'!M1043</f>
        <v>0</v>
      </c>
      <c r="L82" s="4">
        <f>L49-'DLC mass atten coeff'!N1043</f>
        <v>0</v>
      </c>
      <c r="M82" s="4">
        <f>M49-'DLC mass atten coeff'!O1043</f>
        <v>0</v>
      </c>
      <c r="N82" s="4">
        <f>N49-'DLC mass atten coeff'!P1043</f>
        <v>0</v>
      </c>
      <c r="O82" s="4">
        <f>O49-'DLC mass atten coeff'!Q1043</f>
        <v>0</v>
      </c>
      <c r="P82" s="4">
        <f>P49-'DLC mass atten coeff'!R1043</f>
        <v>0</v>
      </c>
      <c r="Q82" s="4">
        <f>Q49-'DLC mass atten coeff'!S1043</f>
        <v>0</v>
      </c>
      <c r="R82" s="4">
        <f>R49-'DLC mass atten coeff'!T1043</f>
        <v>0</v>
      </c>
      <c r="S82" s="4">
        <f>S49-'DLC mass atten coeff'!U1043</f>
        <v>0</v>
      </c>
      <c r="T82" s="4">
        <f>T49-'DLC mass atten coeff'!Y1043</f>
        <v>0</v>
      </c>
      <c r="U82" s="4">
        <f>U49-'DLC mass atten coeff'!Z1043</f>
        <v>0</v>
      </c>
      <c r="V82" s="4">
        <f>V49-'DLC mass atten coeff'!AA1043</f>
        <v>0</v>
      </c>
      <c r="W82" s="4">
        <f>W49-'DLC mass atten coeff'!AC1043</f>
        <v>0</v>
      </c>
      <c r="X82" s="4">
        <f>X49-'DLC mass atten coeff'!AD1043</f>
        <v>0</v>
      </c>
      <c r="Y82" s="4">
        <f>Y49-'DLC mass atten coeff'!AO1043</f>
        <v>0</v>
      </c>
      <c r="Z82" s="4">
        <f>Z49-'DLC mass atten coeff'!AP1043</f>
        <v>0</v>
      </c>
      <c r="AA82" s="4">
        <f>AA49-'DLC mass atten coeff'!AQ1043</f>
        <v>0</v>
      </c>
      <c r="AB82" s="4">
        <f>AB49-'DLC mass atten coeff'!AW1043</f>
        <v>0</v>
      </c>
      <c r="AC82" s="4">
        <f>AC49-'DLC mass atten coeff'!AY1043</f>
        <v>0</v>
      </c>
      <c r="AD82" s="4">
        <f>AD49-'DLC mass atten coeff'!BE1043</f>
        <v>0</v>
      </c>
      <c r="AE82" s="4">
        <f>AE49-'DLC mass atten coeff'!BF1043</f>
        <v>0</v>
      </c>
      <c r="AF82" s="4">
        <f>AF49-'DLC mass atten coeff'!BM1043</f>
        <v>0</v>
      </c>
      <c r="AG82" s="4">
        <f>AG49-'DLC mass atten coeff'!BU1043</f>
        <v>0</v>
      </c>
      <c r="AH82" s="4">
        <f>AH49-'DLC mass atten coeff'!BW1043</f>
        <v>0</v>
      </c>
      <c r="AI82" s="4">
        <f>AI49-'DLC mass atten coeff'!CE1043</f>
        <v>0</v>
      </c>
      <c r="AJ82" s="4">
        <f>AJ49-'DLC mass atten coeff'!CM1043</f>
        <v>0</v>
      </c>
      <c r="AK82" s="4">
        <f>AK49-'DLC mass atten coeff'!CO1043</f>
        <v>0</v>
      </c>
      <c r="AL82" s="4"/>
      <c r="AM82" s="4"/>
      <c r="AN82" s="4"/>
      <c r="AO82" s="4"/>
      <c r="AP82" s="4"/>
      <c r="AQ82" s="4"/>
      <c r="AR82" s="4"/>
    </row>
    <row r="83" spans="2:44">
      <c r="B83" s="4">
        <f>B50-'DLC mass atten coeff'!A1044</f>
        <v>0</v>
      </c>
      <c r="C83" s="4">
        <f>C50-'DLC mass atten coeff'!B1044</f>
        <v>0</v>
      </c>
      <c r="D83" s="4">
        <f>D50-'DLC mass atten coeff'!D1044</f>
        <v>0</v>
      </c>
      <c r="E83" s="4">
        <f>E50-'DLC mass atten coeff'!E1044</f>
        <v>0</v>
      </c>
      <c r="F83" s="4">
        <f>F50-'DLC mass atten coeff'!F1044</f>
        <v>0</v>
      </c>
      <c r="G83" s="4">
        <f>G50-'DLC mass atten coeff'!G1044</f>
        <v>0</v>
      </c>
      <c r="H83" s="4">
        <f>H50-'DLC mass atten coeff'!H1044</f>
        <v>0</v>
      </c>
      <c r="I83" s="4">
        <f>I50-'DLC mass atten coeff'!I1044</f>
        <v>0</v>
      </c>
      <c r="J83" s="4">
        <f>J50-'DLC mass atten coeff'!L1044</f>
        <v>0</v>
      </c>
      <c r="K83" s="4">
        <f>K50-'DLC mass atten coeff'!M1044</f>
        <v>0</v>
      </c>
      <c r="L83" s="4">
        <f>L50-'DLC mass atten coeff'!N1044</f>
        <v>0</v>
      </c>
      <c r="M83" s="4">
        <f>M50-'DLC mass atten coeff'!O1044</f>
        <v>0</v>
      </c>
      <c r="N83" s="4">
        <f>N50-'DLC mass atten coeff'!P1044</f>
        <v>0</v>
      </c>
      <c r="O83" s="4">
        <f>O50-'DLC mass atten coeff'!Q1044</f>
        <v>0</v>
      </c>
      <c r="P83" s="4">
        <f>P50-'DLC mass atten coeff'!R1044</f>
        <v>0</v>
      </c>
      <c r="Q83" s="4">
        <f>Q50-'DLC mass atten coeff'!S1044</f>
        <v>0</v>
      </c>
      <c r="R83" s="4">
        <f>R50-'DLC mass atten coeff'!T1044</f>
        <v>0</v>
      </c>
      <c r="S83" s="4">
        <f>S50-'DLC mass atten coeff'!U1044</f>
        <v>0</v>
      </c>
      <c r="T83" s="4">
        <f>T50-'DLC mass atten coeff'!Y1044</f>
        <v>0</v>
      </c>
      <c r="U83" s="4">
        <f>U50-'DLC mass atten coeff'!Z1044</f>
        <v>0</v>
      </c>
      <c r="V83" s="4">
        <f>V50-'DLC mass atten coeff'!AA1044</f>
        <v>0</v>
      </c>
      <c r="W83" s="4">
        <f>W50-'DLC mass atten coeff'!AC1044</f>
        <v>0</v>
      </c>
      <c r="X83" s="4">
        <f>X50-'DLC mass atten coeff'!AD1044</f>
        <v>0</v>
      </c>
      <c r="Y83" s="4">
        <f>Y50-'DLC mass atten coeff'!AO1044</f>
        <v>0</v>
      </c>
      <c r="Z83" s="4">
        <f>Z50-'DLC mass atten coeff'!AP1044</f>
        <v>0</v>
      </c>
      <c r="AA83" s="4">
        <f>AA50-'DLC mass atten coeff'!AQ1044</f>
        <v>0</v>
      </c>
      <c r="AB83" s="4">
        <f>AB50-'DLC mass atten coeff'!AW1044</f>
        <v>0</v>
      </c>
      <c r="AC83" s="4">
        <f>AC50-'DLC mass atten coeff'!AY1044</f>
        <v>0</v>
      </c>
      <c r="AD83" s="4">
        <f>AD50-'DLC mass atten coeff'!BE1044</f>
        <v>0</v>
      </c>
      <c r="AE83" s="4">
        <f>AE50-'DLC mass atten coeff'!BF1044</f>
        <v>0</v>
      </c>
      <c r="AF83" s="4">
        <f>AF50-'DLC mass atten coeff'!BM1044</f>
        <v>0</v>
      </c>
      <c r="AG83" s="4">
        <f>AG50-'DLC mass atten coeff'!BU1044</f>
        <v>0</v>
      </c>
      <c r="AH83" s="4">
        <f>AH50-'DLC mass atten coeff'!BW1044</f>
        <v>0</v>
      </c>
      <c r="AI83" s="4">
        <f>AI50-'DLC mass atten coeff'!CE1044</f>
        <v>0</v>
      </c>
      <c r="AJ83" s="4">
        <f>AJ50-'DLC mass atten coeff'!CM1044</f>
        <v>0</v>
      </c>
      <c r="AK83" s="4">
        <f>AK50-'DLC mass atten coeff'!CO1044</f>
        <v>0</v>
      </c>
      <c r="AL83" s="4"/>
      <c r="AM83" s="4"/>
      <c r="AN83" s="4"/>
      <c r="AO83" s="4"/>
      <c r="AP83" s="4"/>
      <c r="AQ83" s="4"/>
      <c r="AR83" s="4"/>
    </row>
    <row r="84" spans="2:44">
      <c r="B84" s="4">
        <f>B51-'DLC mass atten coeff'!A1045</f>
        <v>0</v>
      </c>
      <c r="C84" s="4">
        <f>C51-'DLC mass atten coeff'!B1045</f>
        <v>0</v>
      </c>
      <c r="D84" s="4">
        <f>D51-'DLC mass atten coeff'!D1045</f>
        <v>0</v>
      </c>
      <c r="E84" s="4">
        <f>E51-'DLC mass atten coeff'!E1045</f>
        <v>0</v>
      </c>
      <c r="F84" s="4">
        <f>F51-'DLC mass atten coeff'!F1045</f>
        <v>0</v>
      </c>
      <c r="G84" s="4">
        <f>G51-'DLC mass atten coeff'!G1045</f>
        <v>0</v>
      </c>
      <c r="H84" s="4">
        <f>H51-'DLC mass atten coeff'!H1045</f>
        <v>0</v>
      </c>
      <c r="I84" s="4">
        <f>I51-'DLC mass atten coeff'!I1045</f>
        <v>0</v>
      </c>
      <c r="J84" s="4">
        <f>J51-'DLC mass atten coeff'!L1045</f>
        <v>0</v>
      </c>
      <c r="K84" s="4">
        <f>K51-'DLC mass atten coeff'!M1045</f>
        <v>0</v>
      </c>
      <c r="L84" s="4">
        <f>L51-'DLC mass atten coeff'!N1045</f>
        <v>0</v>
      </c>
      <c r="M84" s="4">
        <f>M51-'DLC mass atten coeff'!O1045</f>
        <v>0</v>
      </c>
      <c r="N84" s="4">
        <f>N51-'DLC mass atten coeff'!P1045</f>
        <v>0</v>
      </c>
      <c r="O84" s="4">
        <f>O51-'DLC mass atten coeff'!Q1045</f>
        <v>0</v>
      </c>
      <c r="P84" s="4">
        <f>P51-'DLC mass atten coeff'!R1045</f>
        <v>0</v>
      </c>
      <c r="Q84" s="4">
        <f>Q51-'DLC mass atten coeff'!S1045</f>
        <v>0</v>
      </c>
      <c r="R84" s="4">
        <f>R51-'DLC mass atten coeff'!T1045</f>
        <v>0</v>
      </c>
      <c r="S84" s="4">
        <f>S51-'DLC mass atten coeff'!U1045</f>
        <v>0</v>
      </c>
      <c r="T84" s="4">
        <f>T51-'DLC mass atten coeff'!Y1045</f>
        <v>0</v>
      </c>
      <c r="U84" s="4">
        <f>U51-'DLC mass atten coeff'!Z1045</f>
        <v>0</v>
      </c>
      <c r="V84" s="4">
        <f>V51-'DLC mass atten coeff'!AA1045</f>
        <v>0</v>
      </c>
      <c r="W84" s="4">
        <f>W51-'DLC mass atten coeff'!AC1045</f>
        <v>0</v>
      </c>
      <c r="X84" s="4">
        <f>X51-'DLC mass atten coeff'!AD1045</f>
        <v>0</v>
      </c>
      <c r="Y84" s="4">
        <f>Y51-'DLC mass atten coeff'!AO1045</f>
        <v>0</v>
      </c>
      <c r="Z84" s="4">
        <f>Z51-'DLC mass atten coeff'!AP1045</f>
        <v>0</v>
      </c>
      <c r="AA84" s="4">
        <f>AA51-'DLC mass atten coeff'!AQ1045</f>
        <v>0</v>
      </c>
      <c r="AB84" s="4">
        <f>AB51-'DLC mass atten coeff'!AW1045</f>
        <v>0</v>
      </c>
      <c r="AC84" s="4">
        <f>AC51-'DLC mass atten coeff'!AY1045</f>
        <v>0</v>
      </c>
      <c r="AD84" s="4">
        <f>AD51-'DLC mass atten coeff'!BE1045</f>
        <v>0</v>
      </c>
      <c r="AE84" s="4">
        <f>AE51-'DLC mass atten coeff'!BF1045</f>
        <v>0</v>
      </c>
      <c r="AF84" s="4">
        <f>AF51-'DLC mass atten coeff'!BM1045</f>
        <v>0</v>
      </c>
      <c r="AG84" s="4">
        <f>AG51-'DLC mass atten coeff'!BU1045</f>
        <v>0</v>
      </c>
      <c r="AH84" s="4">
        <f>AH51-'DLC mass atten coeff'!BW1045</f>
        <v>0</v>
      </c>
      <c r="AI84" s="4">
        <f>AI51-'DLC mass atten coeff'!CE1045</f>
        <v>0</v>
      </c>
      <c r="AJ84" s="4">
        <f>AJ51-'DLC mass atten coeff'!CM1045</f>
        <v>0</v>
      </c>
      <c r="AK84" s="4">
        <f>AK51-'DLC mass atten coeff'!CO1045</f>
        <v>0</v>
      </c>
      <c r="AL84" s="4"/>
      <c r="AM84" s="4"/>
      <c r="AN84" s="4"/>
      <c r="AO84" s="4"/>
      <c r="AP84" s="4"/>
      <c r="AQ84" s="4"/>
      <c r="AR84" s="4"/>
    </row>
    <row r="85" spans="2:44">
      <c r="B85" s="4">
        <f>B52-'DLC mass atten coeff'!A1046</f>
        <v>0</v>
      </c>
      <c r="C85" s="4">
        <f>C52-'DLC mass atten coeff'!B1046</f>
        <v>0</v>
      </c>
      <c r="D85" s="4">
        <f>D52-'DLC mass atten coeff'!D1046</f>
        <v>0</v>
      </c>
      <c r="E85" s="4">
        <f>E52-'DLC mass atten coeff'!E1046</f>
        <v>0</v>
      </c>
      <c r="F85" s="4">
        <f>F52-'DLC mass atten coeff'!F1046</f>
        <v>0</v>
      </c>
      <c r="G85" s="4">
        <f>G52-'DLC mass atten coeff'!G1046</f>
        <v>0</v>
      </c>
      <c r="H85" s="4">
        <f>H52-'DLC mass atten coeff'!H1046</f>
        <v>0</v>
      </c>
      <c r="I85" s="4">
        <f>I52-'DLC mass atten coeff'!I1046</f>
        <v>0</v>
      </c>
      <c r="J85" s="4">
        <f>J52-'DLC mass atten coeff'!L1046</f>
        <v>0</v>
      </c>
      <c r="K85" s="4">
        <f>K52-'DLC mass atten coeff'!M1046</f>
        <v>0</v>
      </c>
      <c r="L85" s="4">
        <f>L52-'DLC mass atten coeff'!N1046</f>
        <v>0</v>
      </c>
      <c r="M85" s="4">
        <f>M52-'DLC mass atten coeff'!O1046</f>
        <v>0</v>
      </c>
      <c r="N85" s="4">
        <f>N52-'DLC mass atten coeff'!P1046</f>
        <v>0</v>
      </c>
      <c r="O85" s="4">
        <f>O52-'DLC mass atten coeff'!Q1046</f>
        <v>0</v>
      </c>
      <c r="P85" s="4">
        <f>P52-'DLC mass atten coeff'!R1046</f>
        <v>0</v>
      </c>
      <c r="Q85" s="4">
        <f>Q52-'DLC mass atten coeff'!S1046</f>
        <v>0</v>
      </c>
      <c r="R85" s="4">
        <f>R52-'DLC mass atten coeff'!T1046</f>
        <v>0</v>
      </c>
      <c r="S85" s="4">
        <f>S52-'DLC mass atten coeff'!U1046</f>
        <v>0</v>
      </c>
      <c r="T85" s="4">
        <f>T52-'DLC mass atten coeff'!Y1046</f>
        <v>0</v>
      </c>
      <c r="U85" s="4">
        <f>U52-'DLC mass atten coeff'!Z1046</f>
        <v>0</v>
      </c>
      <c r="V85" s="4">
        <f>V52-'DLC mass atten coeff'!AA1046</f>
        <v>0</v>
      </c>
      <c r="W85" s="4">
        <f>W52-'DLC mass atten coeff'!AC1046</f>
        <v>0</v>
      </c>
      <c r="X85" s="4">
        <f>X52-'DLC mass atten coeff'!AD1046</f>
        <v>0</v>
      </c>
      <c r="Y85" s="4">
        <f>Y52-'DLC mass atten coeff'!AO1046</f>
        <v>0</v>
      </c>
      <c r="Z85" s="4">
        <f>Z52-'DLC mass atten coeff'!AP1046</f>
        <v>0</v>
      </c>
      <c r="AA85" s="4">
        <f>AA52-'DLC mass atten coeff'!AQ1046</f>
        <v>0</v>
      </c>
      <c r="AB85" s="4">
        <f>AB52-'DLC mass atten coeff'!AW1046</f>
        <v>0</v>
      </c>
      <c r="AC85" s="4">
        <f>AC52-'DLC mass atten coeff'!AY1046</f>
        <v>0</v>
      </c>
      <c r="AD85" s="4">
        <f>AD52-'DLC mass atten coeff'!BE1046</f>
        <v>0</v>
      </c>
      <c r="AE85" s="4">
        <f>AE52-'DLC mass atten coeff'!BF1046</f>
        <v>0</v>
      </c>
      <c r="AF85" s="4">
        <f>AF52-'DLC mass atten coeff'!BM1046</f>
        <v>0</v>
      </c>
      <c r="AG85" s="4">
        <f>AG52-'DLC mass atten coeff'!BU1046</f>
        <v>0</v>
      </c>
      <c r="AH85" s="4">
        <f>AH52-'DLC mass atten coeff'!BW1046</f>
        <v>0</v>
      </c>
      <c r="AI85" s="4">
        <f>AI52-'DLC mass atten coeff'!CE1046</f>
        <v>0</v>
      </c>
      <c r="AJ85" s="4">
        <f>AJ52-'DLC mass atten coeff'!CM1046</f>
        <v>0</v>
      </c>
      <c r="AK85" s="4">
        <f>AK52-'DLC mass atten coeff'!CO1046</f>
        <v>0</v>
      </c>
      <c r="AL85" s="4"/>
      <c r="AM85" s="4"/>
      <c r="AN85" s="4"/>
      <c r="AO85" s="4"/>
      <c r="AP85" s="4"/>
      <c r="AQ85" s="4"/>
      <c r="AR85" s="4"/>
    </row>
    <row r="86" spans="2:44">
      <c r="B86" s="4"/>
    </row>
    <row r="87" spans="2:44">
      <c r="B87" s="4"/>
    </row>
  </sheetData>
  <conditionalFormatting sqref="B58:AK85">
    <cfRule type="cellIs" dxfId="27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32BF-D04A-F84D-B7C8-CFC8FF7F13DA}">
  <sheetPr codeName="Sheet7"/>
  <dimension ref="A1:CW1060"/>
  <sheetViews>
    <sheetView topLeftCell="CD1015" zoomScale="160" zoomScaleNormal="160" workbookViewId="0">
      <selection activeCell="B1019" sqref="B1019"/>
    </sheetView>
  </sheetViews>
  <sheetFormatPr baseColWidth="10" defaultRowHeight="15"/>
  <cols>
    <col min="9" max="9" width="13.6640625" bestFit="1" customWidth="1"/>
  </cols>
  <sheetData>
    <row r="1" spans="1:37">
      <c r="B1" t="s">
        <v>604</v>
      </c>
    </row>
    <row r="2" spans="1:37">
      <c r="B2" t="s">
        <v>605</v>
      </c>
    </row>
    <row r="3" spans="1:37">
      <c r="B3" t="s">
        <v>606</v>
      </c>
    </row>
    <row r="6" spans="1:37" ht="21">
      <c r="A6" s="9" t="s">
        <v>607</v>
      </c>
    </row>
    <row r="7" spans="1:37">
      <c r="A7" t="s">
        <v>98</v>
      </c>
    </row>
    <row r="8" spans="1:37">
      <c r="A8">
        <v>28</v>
      </c>
    </row>
    <row r="9" spans="1:37">
      <c r="A9" t="s">
        <v>99</v>
      </c>
      <c r="I9" t="s">
        <v>603</v>
      </c>
      <c r="J9" cm="1">
        <f t="array" ref="J9:AK9">VALUE(_xlfn.TEXTSPLIT(TRIM(CONCATENATE(A9,A10,A11,A12))," "))</f>
        <v>0.01</v>
      </c>
      <c r="K9">
        <v>1.4999999999999999E-2</v>
      </c>
      <c r="L9">
        <v>0.02</v>
      </c>
      <c r="M9">
        <v>0.03</v>
      </c>
      <c r="N9">
        <v>0.04</v>
      </c>
      <c r="O9">
        <v>0.05</v>
      </c>
      <c r="P9">
        <v>0.06</v>
      </c>
      <c r="Q9">
        <v>0.08</v>
      </c>
      <c r="R9">
        <v>0.1</v>
      </c>
      <c r="S9">
        <v>0.15</v>
      </c>
      <c r="T9">
        <v>0.2</v>
      </c>
      <c r="U9">
        <v>0.3</v>
      </c>
      <c r="V9">
        <v>0.4</v>
      </c>
      <c r="W9">
        <v>0.5</v>
      </c>
      <c r="X9">
        <v>0.6</v>
      </c>
      <c r="Y9">
        <v>0.8</v>
      </c>
      <c r="Z9">
        <v>1</v>
      </c>
      <c r="AA9">
        <v>1.5</v>
      </c>
      <c r="AB9">
        <v>2</v>
      </c>
      <c r="AC9">
        <v>3</v>
      </c>
      <c r="AD9">
        <v>4</v>
      </c>
      <c r="AE9">
        <v>5</v>
      </c>
      <c r="AF9">
        <v>6</v>
      </c>
      <c r="AG9">
        <v>8</v>
      </c>
      <c r="AH9">
        <v>10</v>
      </c>
      <c r="AI9">
        <v>15</v>
      </c>
      <c r="AJ9">
        <v>20</v>
      </c>
      <c r="AK9">
        <v>30</v>
      </c>
    </row>
    <row r="10" spans="1:37">
      <c r="A10" t="s">
        <v>100</v>
      </c>
    </row>
    <row r="11" spans="1:37">
      <c r="A11" t="s">
        <v>101</v>
      </c>
    </row>
    <row r="12" spans="1:37">
      <c r="A12" t="s">
        <v>102</v>
      </c>
    </row>
    <row r="13" spans="1:37">
      <c r="A13" t="s">
        <v>103</v>
      </c>
    </row>
    <row r="14" spans="1:37">
      <c r="A14" t="s">
        <v>104</v>
      </c>
      <c r="G14">
        <f>VALUE(LEFT(A13,3))</f>
        <v>1</v>
      </c>
      <c r="H14" t="str">
        <f>SUBSTITUTE(LEFT(A13,5)," ","")</f>
        <v>1H</v>
      </c>
      <c r="I14" t="str">
        <f>LOWER(RIGHT(A13,LEN(A13)-6))</f>
        <v>hydrogen</v>
      </c>
      <c r="J14" cm="1">
        <f t="array" ref="J14:AK14">VALUE(_xlfn.TEXTSPLIT(TRIM(CONCATENATE(A14,A15,A16,A17))," "))</f>
        <v>0.38540000000000002</v>
      </c>
      <c r="K14">
        <v>0.37640000000000001</v>
      </c>
      <c r="L14">
        <v>0.3695</v>
      </c>
      <c r="M14">
        <v>0.35699999999999998</v>
      </c>
      <c r="N14">
        <v>0.3458</v>
      </c>
      <c r="O14">
        <v>0.33550000000000002</v>
      </c>
      <c r="P14">
        <v>0.32600000000000001</v>
      </c>
      <c r="Q14">
        <v>0.30909999999999999</v>
      </c>
      <c r="R14">
        <v>0.2944</v>
      </c>
      <c r="S14">
        <v>0.26500000000000001</v>
      </c>
      <c r="T14">
        <v>0.2429</v>
      </c>
      <c r="U14">
        <v>0.2112</v>
      </c>
      <c r="V14">
        <v>0.18920000000000001</v>
      </c>
      <c r="W14">
        <v>0.17280000000000001</v>
      </c>
      <c r="X14">
        <v>0.1598</v>
      </c>
      <c r="Y14">
        <v>0.1404</v>
      </c>
      <c r="Z14">
        <v>0.12620000000000001</v>
      </c>
      <c r="AA14">
        <v>0.1026</v>
      </c>
      <c r="AB14">
        <v>8.7580000000000005E-2</v>
      </c>
      <c r="AC14">
        <v>6.9099999999999995E-2</v>
      </c>
      <c r="AD14">
        <v>5.7930000000000002E-2</v>
      </c>
      <c r="AE14">
        <v>5.0360000000000002E-2</v>
      </c>
      <c r="AF14">
        <v>4.4859999999999997E-2</v>
      </c>
      <c r="AG14">
        <v>3.7350000000000001E-2</v>
      </c>
      <c r="AH14">
        <v>3.2439999999999997E-2</v>
      </c>
      <c r="AI14">
        <v>2.53E-2</v>
      </c>
      <c r="AJ14">
        <v>2.145E-2</v>
      </c>
      <c r="AK14">
        <v>1.7409999999999998E-2</v>
      </c>
    </row>
    <row r="15" spans="1:37">
      <c r="A15" t="s">
        <v>105</v>
      </c>
    </row>
    <row r="16" spans="1:37">
      <c r="A16" t="s">
        <v>106</v>
      </c>
    </row>
    <row r="17" spans="1:37">
      <c r="A17" t="s">
        <v>107</v>
      </c>
    </row>
    <row r="18" spans="1:37">
      <c r="A18" t="s">
        <v>108</v>
      </c>
    </row>
    <row r="19" spans="1:37">
      <c r="A19" t="s">
        <v>109</v>
      </c>
      <c r="G19">
        <f>VALUE(LEFT(A18,3))</f>
        <v>2</v>
      </c>
      <c r="H19" t="str">
        <f>SUBSTITUTE(LEFT(A18,5)," ","")</f>
        <v>2HE</v>
      </c>
      <c r="I19" t="str">
        <f>LOWER(RIGHT(A18,LEN(A18)-6))</f>
        <v>helium</v>
      </c>
      <c r="J19" cm="1">
        <f t="array" ref="J19:AK19">VALUE(_xlfn.TEXTSPLIT(TRIM(CONCATENATE(A19,A20,A21,A22))," "))</f>
        <v>0.222</v>
      </c>
      <c r="K19">
        <v>0.1966</v>
      </c>
      <c r="L19">
        <v>0.18870000000000001</v>
      </c>
      <c r="M19">
        <v>0.1804</v>
      </c>
      <c r="N19">
        <v>0.17430000000000001</v>
      </c>
      <c r="O19">
        <v>0.1691</v>
      </c>
      <c r="P19">
        <v>0.16420000000000001</v>
      </c>
      <c r="Q19">
        <v>0.15579999999999999</v>
      </c>
      <c r="R19">
        <v>0.14829999999999999</v>
      </c>
      <c r="S19">
        <v>0.13339999999999999</v>
      </c>
      <c r="T19">
        <v>0.12230000000000001</v>
      </c>
      <c r="U19">
        <v>0.10630000000000001</v>
      </c>
      <c r="V19">
        <v>9.5299999999999996E-2</v>
      </c>
      <c r="W19">
        <v>8.7010000000000004E-2</v>
      </c>
      <c r="X19">
        <v>8.0490000000000006E-2</v>
      </c>
      <c r="Y19">
        <v>7.0699999999999999E-2</v>
      </c>
      <c r="Z19">
        <v>6.3549999999999995E-2</v>
      </c>
      <c r="AA19">
        <v>5.1670000000000001E-2</v>
      </c>
      <c r="AB19">
        <v>4.4139999999999999E-2</v>
      </c>
      <c r="AC19">
        <v>3.4950000000000002E-2</v>
      </c>
      <c r="AD19">
        <v>2.9409999999999999E-2</v>
      </c>
      <c r="AE19">
        <v>2.5690000000000001E-2</v>
      </c>
      <c r="AF19">
        <v>2.3009999999999999E-2</v>
      </c>
      <c r="AG19">
        <v>1.9349999999999999E-2</v>
      </c>
      <c r="AH19">
        <v>1.6979999999999999E-2</v>
      </c>
      <c r="AI19">
        <v>1.358E-2</v>
      </c>
      <c r="AJ19">
        <v>1.179E-2</v>
      </c>
      <c r="AK19">
        <v>9.972E-3</v>
      </c>
    </row>
    <row r="20" spans="1:37">
      <c r="A20" t="s">
        <v>110</v>
      </c>
    </row>
    <row r="21" spans="1:37">
      <c r="A21" t="s">
        <v>111</v>
      </c>
    </row>
    <row r="22" spans="1:37">
      <c r="A22" t="s">
        <v>112</v>
      </c>
    </row>
    <row r="23" spans="1:37">
      <c r="A23" t="s">
        <v>113</v>
      </c>
    </row>
    <row r="24" spans="1:37">
      <c r="A24" t="s">
        <v>114</v>
      </c>
      <c r="G24">
        <f>VALUE(LEFT(A23,3))</f>
        <v>3</v>
      </c>
      <c r="H24" t="str">
        <f>SUBSTITUTE(LEFT(A23,5)," ","")</f>
        <v>3LI</v>
      </c>
      <c r="I24" t="str">
        <f>LOWER(RIGHT(A23,LEN(A23)-6))</f>
        <v>lithium</v>
      </c>
      <c r="J24" cm="1">
        <f t="array" ref="J24:AK24">VALUE(_xlfn.TEXTSPLIT(TRIM(CONCATENATE(A24,A25,A26,A27))," "))</f>
        <v>0.30270000000000002</v>
      </c>
      <c r="K24">
        <v>0.19850000000000001</v>
      </c>
      <c r="L24">
        <v>0.1741</v>
      </c>
      <c r="M24">
        <v>0.1588</v>
      </c>
      <c r="N24">
        <v>0.15190000000000001</v>
      </c>
      <c r="O24">
        <v>0.1467</v>
      </c>
      <c r="P24">
        <v>0.14230000000000001</v>
      </c>
      <c r="Q24">
        <v>0.1348</v>
      </c>
      <c r="R24">
        <v>0.1283</v>
      </c>
      <c r="S24">
        <v>0.11550000000000001</v>
      </c>
      <c r="T24">
        <v>0.10580000000000001</v>
      </c>
      <c r="U24">
        <v>9.1969999999999996E-2</v>
      </c>
      <c r="V24">
        <v>8.2419999999999993E-2</v>
      </c>
      <c r="W24">
        <v>7.5259999999999994E-2</v>
      </c>
      <c r="X24">
        <v>6.9629999999999997E-2</v>
      </c>
      <c r="Y24">
        <v>6.1159999999999999E-2</v>
      </c>
      <c r="Z24">
        <v>5.4969999999999998E-2</v>
      </c>
      <c r="AA24">
        <v>4.4690000000000001E-2</v>
      </c>
      <c r="AB24">
        <v>3.8240000000000003E-2</v>
      </c>
      <c r="AC24">
        <v>3.0370000000000001E-2</v>
      </c>
      <c r="AD24">
        <v>2.5659999999999999E-2</v>
      </c>
      <c r="AE24">
        <v>2.2519999999999998E-2</v>
      </c>
      <c r="AF24">
        <v>2.0250000000000001E-2</v>
      </c>
      <c r="AG24">
        <v>1.721E-2</v>
      </c>
      <c r="AH24">
        <v>1.525E-2</v>
      </c>
      <c r="AI24">
        <v>1.248E-2</v>
      </c>
      <c r="AJ24">
        <v>1.1050000000000001E-2</v>
      </c>
      <c r="AK24">
        <v>9.6539999999999994E-3</v>
      </c>
    </row>
    <row r="25" spans="1:37">
      <c r="A25" t="s">
        <v>115</v>
      </c>
    </row>
    <row r="26" spans="1:37">
      <c r="A26" t="s">
        <v>116</v>
      </c>
    </row>
    <row r="27" spans="1:37">
      <c r="A27" t="s">
        <v>117</v>
      </c>
    </row>
    <row r="28" spans="1:37">
      <c r="A28" t="s">
        <v>118</v>
      </c>
    </row>
    <row r="29" spans="1:37">
      <c r="A29" t="s">
        <v>119</v>
      </c>
      <c r="G29">
        <f>VALUE(LEFT(A28,3))</f>
        <v>4</v>
      </c>
      <c r="H29" t="str">
        <f>SUBSTITUTE(LEFT(A28,5)," ","")</f>
        <v>4BE</v>
      </c>
      <c r="I29" t="str">
        <f>LOWER(RIGHT(A28,LEN(A28)-6))</f>
        <v>beryllium</v>
      </c>
      <c r="J29" cm="1">
        <f t="array" ref="J29:AK29">VALUE(_xlfn.TEXTSPLIT(TRIM(CONCATENATE(A29,A30,A31,A32))," "))</f>
        <v>0.59409999999999996</v>
      </c>
      <c r="K29">
        <v>0.2782</v>
      </c>
      <c r="L29">
        <v>0.2072</v>
      </c>
      <c r="M29">
        <v>0.17050000000000001</v>
      </c>
      <c r="N29">
        <v>0.1588</v>
      </c>
      <c r="O29">
        <v>0.152</v>
      </c>
      <c r="P29">
        <v>0.1469</v>
      </c>
      <c r="Q29">
        <v>0.13869999999999999</v>
      </c>
      <c r="R29">
        <v>0.13189999999999999</v>
      </c>
      <c r="S29">
        <v>0.1186</v>
      </c>
      <c r="T29">
        <v>0.1086</v>
      </c>
      <c r="U29">
        <v>9.4490000000000005E-2</v>
      </c>
      <c r="V29">
        <v>8.4659999999999999E-2</v>
      </c>
      <c r="W29">
        <v>7.732E-2</v>
      </c>
      <c r="X29">
        <v>7.1499999999999994E-2</v>
      </c>
      <c r="Y29">
        <v>6.2799999999999995E-2</v>
      </c>
      <c r="Z29">
        <v>5.645E-2</v>
      </c>
      <c r="AA29">
        <v>4.5900000000000003E-2</v>
      </c>
      <c r="AB29">
        <v>3.9309999999999998E-2</v>
      </c>
      <c r="AC29">
        <v>3.1320000000000001E-2</v>
      </c>
      <c r="AD29">
        <v>2.6579999999999999E-2</v>
      </c>
      <c r="AE29">
        <v>2.342E-2</v>
      </c>
      <c r="AF29">
        <v>2.1160000000000002E-2</v>
      </c>
      <c r="AG29">
        <v>1.814E-2</v>
      </c>
      <c r="AH29">
        <v>1.6230000000000001E-2</v>
      </c>
      <c r="AI29">
        <v>1.3559999999999999E-2</v>
      </c>
      <c r="AJ29">
        <v>1.223E-2</v>
      </c>
      <c r="AK29">
        <v>1.0970000000000001E-2</v>
      </c>
    </row>
    <row r="30" spans="1:37">
      <c r="A30" t="s">
        <v>120</v>
      </c>
    </row>
    <row r="31" spans="1:37">
      <c r="A31" t="s">
        <v>121</v>
      </c>
    </row>
    <row r="32" spans="1:37">
      <c r="A32" t="s">
        <v>122</v>
      </c>
    </row>
    <row r="33" spans="1:37">
      <c r="A33" t="s">
        <v>123</v>
      </c>
    </row>
    <row r="34" spans="1:37">
      <c r="A34" t="s">
        <v>124</v>
      </c>
      <c r="G34">
        <f>VALUE(LEFT(A33,3))</f>
        <v>5</v>
      </c>
      <c r="H34" t="str">
        <f>SUBSTITUTE(LEFT(A33,5)," ","")</f>
        <v>5B</v>
      </c>
      <c r="I34" t="str">
        <f>LOWER(RIGHT(A33,LEN(A33)-6))</f>
        <v>boron</v>
      </c>
      <c r="J34" cm="1">
        <f t="array" ref="J34:AK34">VALUE(_xlfn.TEXTSPLIT(TRIM(CONCATENATE(A34,A35,A36,A37))," "))</f>
        <v>1.1819999999999999</v>
      </c>
      <c r="K34">
        <v>0.44069999999999998</v>
      </c>
      <c r="L34">
        <v>0.27460000000000001</v>
      </c>
      <c r="M34">
        <v>0.193</v>
      </c>
      <c r="N34">
        <v>0.1714</v>
      </c>
      <c r="O34">
        <v>0.16120000000000001</v>
      </c>
      <c r="P34">
        <v>0.15459999999999999</v>
      </c>
      <c r="Q34">
        <v>0.14499999999999999</v>
      </c>
      <c r="R34">
        <v>0.13769999999999999</v>
      </c>
      <c r="S34">
        <v>0.1237</v>
      </c>
      <c r="T34">
        <v>0.1132</v>
      </c>
      <c r="U34">
        <v>9.8449999999999996E-2</v>
      </c>
      <c r="V34">
        <v>8.8190000000000004E-2</v>
      </c>
      <c r="W34">
        <v>8.0549999999999997E-2</v>
      </c>
      <c r="X34">
        <v>7.4480000000000005E-2</v>
      </c>
      <c r="Y34">
        <v>6.5460000000000004E-2</v>
      </c>
      <c r="Z34">
        <v>5.883E-2</v>
      </c>
      <c r="AA34">
        <v>4.7849999999999997E-2</v>
      </c>
      <c r="AB34">
        <v>4.1020000000000001E-2</v>
      </c>
      <c r="AC34">
        <v>3.2770000000000001E-2</v>
      </c>
      <c r="AD34">
        <v>2.793E-2</v>
      </c>
      <c r="AE34">
        <v>2.4709999999999999E-2</v>
      </c>
      <c r="AF34">
        <v>2.2419999999999999E-2</v>
      </c>
      <c r="AG34">
        <v>1.9400000000000001E-2</v>
      </c>
      <c r="AH34">
        <v>1.7500000000000002E-2</v>
      </c>
      <c r="AI34">
        <v>1.491E-2</v>
      </c>
      <c r="AJ34">
        <v>1.3650000000000001E-2</v>
      </c>
      <c r="AK34">
        <v>1.252E-2</v>
      </c>
    </row>
    <row r="35" spans="1:37">
      <c r="A35" t="s">
        <v>125</v>
      </c>
    </row>
    <row r="36" spans="1:37">
      <c r="A36" t="s">
        <v>126</v>
      </c>
    </row>
    <row r="37" spans="1:37">
      <c r="A37" t="s">
        <v>127</v>
      </c>
    </row>
    <row r="38" spans="1:37">
      <c r="A38" t="s">
        <v>128</v>
      </c>
    </row>
    <row r="39" spans="1:37">
      <c r="A39" t="s">
        <v>129</v>
      </c>
      <c r="G39">
        <f>VALUE(LEFT(A38,3))</f>
        <v>6</v>
      </c>
      <c r="H39" t="str">
        <f>SUBSTITUTE(LEFT(A38,5)," ","")</f>
        <v>6C</v>
      </c>
      <c r="I39" t="str">
        <f>LOWER(RIGHT(A38,LEN(A38)-6))</f>
        <v>carbon</v>
      </c>
      <c r="J39" cm="1">
        <f t="array" ref="J39:AK39">VALUE(_xlfn.TEXTSPLIT(TRIM(CONCATENATE(A39,A40,A41,A42))," "))</f>
        <v>2.2679999999999998</v>
      </c>
      <c r="K39">
        <v>0.74760000000000004</v>
      </c>
      <c r="L39">
        <v>0.40350000000000003</v>
      </c>
      <c r="M39">
        <v>0.23680000000000001</v>
      </c>
      <c r="N39">
        <v>0.19600000000000001</v>
      </c>
      <c r="O39">
        <v>0.1794</v>
      </c>
      <c r="P39">
        <v>0.16980000000000001</v>
      </c>
      <c r="Q39">
        <v>0.1578</v>
      </c>
      <c r="R39">
        <v>0.14929999999999999</v>
      </c>
      <c r="S39">
        <v>0.1338</v>
      </c>
      <c r="T39">
        <v>0.12230000000000001</v>
      </c>
      <c r="U39">
        <v>0.10630000000000001</v>
      </c>
      <c r="V39">
        <v>9.5269999999999994E-2</v>
      </c>
      <c r="W39">
        <v>8.6999999999999994E-2</v>
      </c>
      <c r="X39">
        <v>8.047E-2</v>
      </c>
      <c r="Y39">
        <v>7.0699999999999999E-2</v>
      </c>
      <c r="Z39">
        <v>6.3519999999999993E-2</v>
      </c>
      <c r="AA39">
        <v>5.1670000000000001E-2</v>
      </c>
      <c r="AB39">
        <v>4.4350000000000001E-2</v>
      </c>
      <c r="AC39">
        <v>3.5549999999999998E-2</v>
      </c>
      <c r="AD39">
        <v>3.04E-2</v>
      </c>
      <c r="AE39">
        <v>2.7009999999999999E-2</v>
      </c>
      <c r="AF39">
        <v>2.4629999999999999E-2</v>
      </c>
      <c r="AG39">
        <v>2.1479999999999999E-2</v>
      </c>
      <c r="AH39">
        <v>1.9539999999999998E-2</v>
      </c>
      <c r="AI39">
        <v>1.6930000000000001E-2</v>
      </c>
      <c r="AJ39">
        <v>1.5709999999999998E-2</v>
      </c>
      <c r="AK39">
        <v>1.468E-2</v>
      </c>
    </row>
    <row r="40" spans="1:37">
      <c r="A40" t="s">
        <v>130</v>
      </c>
    </row>
    <row r="41" spans="1:37">
      <c r="A41" t="s">
        <v>131</v>
      </c>
    </row>
    <row r="42" spans="1:37">
      <c r="A42" t="s">
        <v>132</v>
      </c>
    </row>
    <row r="43" spans="1:37">
      <c r="A43" t="s">
        <v>133</v>
      </c>
    </row>
    <row r="44" spans="1:37">
      <c r="A44" t="s">
        <v>134</v>
      </c>
      <c r="G44">
        <f>VALUE(LEFT(A43,3))</f>
        <v>7</v>
      </c>
      <c r="H44" t="str">
        <f>SUBSTITUTE(LEFT(A43,5)," ","")</f>
        <v>7N</v>
      </c>
      <c r="I44" t="str">
        <f>LOWER(RIGHT(A43,LEN(A43)-6))</f>
        <v>nitrogen</v>
      </c>
      <c r="J44" cm="1">
        <f t="array" ref="J44:AK44">VALUE(_xlfn.TEXTSPLIT(TRIM(CONCATENATE(A44,A45,A46,A47))," "))</f>
        <v>3.7360000000000002</v>
      </c>
      <c r="K44">
        <v>1.1559999999999999</v>
      </c>
      <c r="L44">
        <v>0.56669999999999998</v>
      </c>
      <c r="M44">
        <v>0.28070000000000001</v>
      </c>
      <c r="N44">
        <v>0.21329999999999999</v>
      </c>
      <c r="O44">
        <v>0.18770000000000001</v>
      </c>
      <c r="P44">
        <v>0.17430000000000001</v>
      </c>
      <c r="Q44">
        <v>0.15959999999999999</v>
      </c>
      <c r="R44">
        <v>0.15010000000000001</v>
      </c>
      <c r="S44">
        <v>0.13400000000000001</v>
      </c>
      <c r="T44">
        <v>0.1225</v>
      </c>
      <c r="U44">
        <v>0.10639999999999999</v>
      </c>
      <c r="V44">
        <v>9.5350000000000004E-2</v>
      </c>
      <c r="W44">
        <v>8.7029999999999996E-2</v>
      </c>
      <c r="X44">
        <v>8.0490000000000006E-2</v>
      </c>
      <c r="Y44">
        <v>7.0730000000000001E-2</v>
      </c>
      <c r="Z44">
        <v>6.3549999999999995E-2</v>
      </c>
      <c r="AA44">
        <v>5.1729999999999998E-2</v>
      </c>
      <c r="AB44">
        <v>4.444E-2</v>
      </c>
      <c r="AC44">
        <v>3.5709999999999999E-2</v>
      </c>
      <c r="AD44">
        <v>3.066E-2</v>
      </c>
      <c r="AE44">
        <v>2.7359999999999999E-2</v>
      </c>
      <c r="AF44">
        <v>2.5049999999999999E-2</v>
      </c>
      <c r="AG44">
        <v>2.2030000000000001E-2</v>
      </c>
      <c r="AH44">
        <v>2.019E-2</v>
      </c>
      <c r="AI44">
        <v>1.7780000000000001E-2</v>
      </c>
      <c r="AJ44">
        <v>1.669E-2</v>
      </c>
      <c r="AK44">
        <v>1.584E-2</v>
      </c>
    </row>
    <row r="45" spans="1:37">
      <c r="A45" t="s">
        <v>135</v>
      </c>
    </row>
    <row r="46" spans="1:37">
      <c r="A46" t="s">
        <v>136</v>
      </c>
    </row>
    <row r="47" spans="1:37">
      <c r="A47" t="s">
        <v>137</v>
      </c>
    </row>
    <row r="48" spans="1:37">
      <c r="A48" t="s">
        <v>138</v>
      </c>
    </row>
    <row r="49" spans="1:37">
      <c r="A49" t="s">
        <v>139</v>
      </c>
      <c r="G49">
        <f>VALUE(LEFT(A48,3))</f>
        <v>8</v>
      </c>
      <c r="H49" t="str">
        <f>SUBSTITUTE(LEFT(A48,5)," ","")</f>
        <v>8O</v>
      </c>
      <c r="I49" t="str">
        <f>LOWER(RIGHT(A48,LEN(A48)-6))</f>
        <v>oxygen</v>
      </c>
      <c r="J49" cm="1">
        <f t="array" ref="J49:AK49">VALUE(_xlfn.TEXTSPLIT(TRIM(CONCATENATE(A49,A50,A51,A52))," "))</f>
        <v>5.758</v>
      </c>
      <c r="K49">
        <v>1.7310000000000001</v>
      </c>
      <c r="L49">
        <v>0.79849999999999999</v>
      </c>
      <c r="M49">
        <v>0.34399999999999997</v>
      </c>
      <c r="N49">
        <v>0.2382</v>
      </c>
      <c r="O49">
        <v>0.19969999999999999</v>
      </c>
      <c r="P49">
        <v>0.18110000000000001</v>
      </c>
      <c r="Q49">
        <v>0.16220000000000001</v>
      </c>
      <c r="R49">
        <v>0.15140000000000001</v>
      </c>
      <c r="S49">
        <v>0.13439999999999999</v>
      </c>
      <c r="T49">
        <v>0.1227</v>
      </c>
      <c r="U49">
        <v>0.1066</v>
      </c>
      <c r="V49">
        <v>9.5380000000000006E-2</v>
      </c>
      <c r="W49">
        <v>8.7080000000000005E-2</v>
      </c>
      <c r="X49">
        <v>8.0560000000000007E-2</v>
      </c>
      <c r="Y49">
        <v>7.077E-2</v>
      </c>
      <c r="Z49">
        <v>6.3619999999999996E-2</v>
      </c>
      <c r="AA49">
        <v>5.178E-2</v>
      </c>
      <c r="AB49">
        <v>4.4499999999999998E-2</v>
      </c>
      <c r="AC49">
        <v>3.5889999999999998E-2</v>
      </c>
      <c r="AD49">
        <v>3.0929999999999999E-2</v>
      </c>
      <c r="AE49">
        <v>2.7699999999999999E-2</v>
      </c>
      <c r="AF49">
        <v>2.546E-2</v>
      </c>
      <c r="AG49">
        <v>2.2579999999999999E-2</v>
      </c>
      <c r="AH49">
        <v>2.0840000000000001E-2</v>
      </c>
      <c r="AI49">
        <v>1.8610000000000002E-2</v>
      </c>
      <c r="AJ49">
        <v>1.7659999999999999E-2</v>
      </c>
      <c r="AK49">
        <v>1.702E-2</v>
      </c>
    </row>
    <row r="50" spans="1:37">
      <c r="A50" t="s">
        <v>140</v>
      </c>
    </row>
    <row r="51" spans="1:37">
      <c r="A51" t="s">
        <v>141</v>
      </c>
    </row>
    <row r="52" spans="1:37">
      <c r="A52" t="s">
        <v>142</v>
      </c>
    </row>
    <row r="53" spans="1:37">
      <c r="A53" t="s">
        <v>143</v>
      </c>
    </row>
    <row r="54" spans="1:37">
      <c r="A54" t="s">
        <v>144</v>
      </c>
      <c r="G54">
        <f>VALUE(LEFT(A53,3))</f>
        <v>9</v>
      </c>
      <c r="H54" t="str">
        <f>SUBSTITUTE(LEFT(A53,5)," ","")</f>
        <v>9F</v>
      </c>
      <c r="I54" t="str">
        <f>LOWER(RIGHT(A53,LEN(A53)-6))</f>
        <v>fluorine</v>
      </c>
      <c r="J54" cm="1">
        <f t="array" ref="J54:AK54">VALUE(_xlfn.TEXTSPLIT(TRIM(CONCATENATE(A54,A55,A56,A57))," "))</f>
        <v>7.9649999999999999</v>
      </c>
      <c r="K54">
        <v>2.363</v>
      </c>
      <c r="L54">
        <v>1.0509999999999999</v>
      </c>
      <c r="M54">
        <v>0.40739999999999998</v>
      </c>
      <c r="N54">
        <v>0.2581</v>
      </c>
      <c r="O54">
        <v>0.20499999999999999</v>
      </c>
      <c r="P54">
        <v>0.18029999999999999</v>
      </c>
      <c r="Q54">
        <v>0.15709999999999999</v>
      </c>
      <c r="R54">
        <v>0.1452</v>
      </c>
      <c r="S54">
        <v>0.1278</v>
      </c>
      <c r="T54">
        <v>0.1164</v>
      </c>
      <c r="U54">
        <v>0.10100000000000001</v>
      </c>
      <c r="V54">
        <v>9.0389999999999998E-2</v>
      </c>
      <c r="W54">
        <v>8.2540000000000002E-2</v>
      </c>
      <c r="X54">
        <v>7.6319999999999999E-2</v>
      </c>
      <c r="Y54">
        <v>6.7049999999999998E-2</v>
      </c>
      <c r="Z54">
        <v>6.0260000000000001E-2</v>
      </c>
      <c r="AA54">
        <v>4.9050000000000003E-2</v>
      </c>
      <c r="AB54">
        <v>4.2200000000000001E-2</v>
      </c>
      <c r="AC54">
        <v>3.415E-2</v>
      </c>
      <c r="AD54">
        <v>2.9530000000000001E-2</v>
      </c>
      <c r="AE54">
        <v>2.657E-2</v>
      </c>
      <c r="AF54">
        <v>2.4510000000000001E-2</v>
      </c>
      <c r="AG54">
        <v>2.1899999999999999E-2</v>
      </c>
      <c r="AH54">
        <v>2.034E-2</v>
      </c>
      <c r="AI54">
        <v>1.8419999999999999E-2</v>
      </c>
      <c r="AJ54">
        <v>1.7649999999999999E-2</v>
      </c>
      <c r="AK54">
        <v>1.7219999999999999E-2</v>
      </c>
    </row>
    <row r="55" spans="1:37">
      <c r="A55" t="s">
        <v>145</v>
      </c>
    </row>
    <row r="56" spans="1:37">
      <c r="A56" t="s">
        <v>146</v>
      </c>
    </row>
    <row r="57" spans="1:37">
      <c r="A57" t="s">
        <v>147</v>
      </c>
    </row>
    <row r="58" spans="1:37">
      <c r="A58" t="s">
        <v>148</v>
      </c>
    </row>
    <row r="59" spans="1:37">
      <c r="A59" t="s">
        <v>149</v>
      </c>
      <c r="G59">
        <f>VALUE(LEFT(A58,3))</f>
        <v>10</v>
      </c>
      <c r="H59" t="str">
        <f>SUBSTITUTE(LEFT(A58,5)," ","")</f>
        <v>10NE</v>
      </c>
      <c r="I59" t="str">
        <f>LOWER(RIGHT(A58,LEN(A58)-6))</f>
        <v>neon</v>
      </c>
      <c r="J59" cm="1">
        <f t="array" ref="J59:AK59">VALUE(_xlfn.TEXTSPLIT(TRIM(CONCATENATE(A59,A60,A61,A62))," "))</f>
        <v>11.64</v>
      </c>
      <c r="K59">
        <v>3.4409999999999998</v>
      </c>
      <c r="L59">
        <v>1.498</v>
      </c>
      <c r="M59">
        <v>0.53759999999999997</v>
      </c>
      <c r="N59">
        <v>0.31459999999999999</v>
      </c>
      <c r="O59">
        <v>0.23619999999999999</v>
      </c>
      <c r="P59">
        <v>0.20069999999999999</v>
      </c>
      <c r="Q59">
        <v>0.1691</v>
      </c>
      <c r="R59">
        <v>0.1542</v>
      </c>
      <c r="S59">
        <v>0.1343</v>
      </c>
      <c r="T59">
        <v>0.1221</v>
      </c>
      <c r="U59">
        <v>0.1057</v>
      </c>
      <c r="V59">
        <v>9.461E-2</v>
      </c>
      <c r="W59">
        <v>8.6360000000000006E-2</v>
      </c>
      <c r="X59">
        <v>7.9869999999999997E-2</v>
      </c>
      <c r="Y59">
        <v>7.0150000000000004E-2</v>
      </c>
      <c r="Z59">
        <v>6.3030000000000003E-2</v>
      </c>
      <c r="AA59">
        <v>5.135E-2</v>
      </c>
      <c r="AB59">
        <v>4.4229999999999998E-2</v>
      </c>
      <c r="AC59">
        <v>3.5880000000000002E-2</v>
      </c>
      <c r="AD59">
        <v>3.1150000000000001E-2</v>
      </c>
      <c r="AE59">
        <v>2.811E-2</v>
      </c>
      <c r="AF59">
        <v>2.605E-2</v>
      </c>
      <c r="AG59">
        <v>2.3429999999999999E-2</v>
      </c>
      <c r="AH59">
        <v>2.1919999999999999E-2</v>
      </c>
      <c r="AI59">
        <v>2.0080000000000001E-2</v>
      </c>
      <c r="AJ59">
        <v>1.942E-2</v>
      </c>
      <c r="AK59">
        <v>1.915E-2</v>
      </c>
    </row>
    <row r="60" spans="1:37">
      <c r="A60" t="s">
        <v>150</v>
      </c>
    </row>
    <row r="61" spans="1:37">
      <c r="A61" t="s">
        <v>151</v>
      </c>
    </row>
    <row r="62" spans="1:37">
      <c r="A62" t="s">
        <v>152</v>
      </c>
    </row>
    <row r="63" spans="1:37">
      <c r="A63" t="s">
        <v>153</v>
      </c>
    </row>
    <row r="64" spans="1:37">
      <c r="A64" t="s">
        <v>154</v>
      </c>
      <c r="G64">
        <f>VALUE(LEFT(A63,3))</f>
        <v>11</v>
      </c>
      <c r="H64" t="str">
        <f>SUBSTITUTE(LEFT(A63,5)," ","")</f>
        <v>11NA</v>
      </c>
      <c r="I64" t="str">
        <f>LOWER(RIGHT(A63,LEN(A63)-6))</f>
        <v>sodium</v>
      </c>
      <c r="J64" cm="1">
        <f t="array" ref="J64:AK64">VALUE(_xlfn.TEXTSPLIT(TRIM(CONCATENATE(A64,A65,A66,A67))," "))</f>
        <v>15.2</v>
      </c>
      <c r="K64">
        <v>4.4980000000000002</v>
      </c>
      <c r="L64">
        <v>1.9339999999999999</v>
      </c>
      <c r="M64">
        <v>0.65759999999999996</v>
      </c>
      <c r="N64">
        <v>0.35949999999999999</v>
      </c>
      <c r="O64">
        <v>0.2555</v>
      </c>
      <c r="P64">
        <v>0.20910000000000001</v>
      </c>
      <c r="Q64">
        <v>0.16930000000000001</v>
      </c>
      <c r="R64">
        <v>0.15179999999999999</v>
      </c>
      <c r="S64">
        <v>0.1305</v>
      </c>
      <c r="T64">
        <v>0.1181</v>
      </c>
      <c r="U64">
        <v>0.1021</v>
      </c>
      <c r="V64">
        <v>9.1359999999999997E-2</v>
      </c>
      <c r="W64">
        <v>8.3390000000000006E-2</v>
      </c>
      <c r="X64">
        <v>7.7109999999999998E-2</v>
      </c>
      <c r="Y64">
        <v>6.7739999999999995E-2</v>
      </c>
      <c r="Z64">
        <v>6.087E-2</v>
      </c>
      <c r="AA64">
        <v>4.9579999999999999E-2</v>
      </c>
      <c r="AB64">
        <v>4.274E-2</v>
      </c>
      <c r="AC64">
        <v>3.4779999999999998E-2</v>
      </c>
      <c r="AD64">
        <v>3.031E-2</v>
      </c>
      <c r="AE64">
        <v>2.7470000000000001E-2</v>
      </c>
      <c r="AF64">
        <v>2.5530000000000001E-2</v>
      </c>
      <c r="AG64">
        <v>2.3140000000000001E-2</v>
      </c>
      <c r="AH64">
        <v>2.1760000000000002E-2</v>
      </c>
      <c r="AI64">
        <v>2.018E-2</v>
      </c>
      <c r="AJ64">
        <v>1.966E-2</v>
      </c>
      <c r="AK64">
        <v>1.958E-2</v>
      </c>
    </row>
    <row r="65" spans="1:37">
      <c r="A65" t="s">
        <v>155</v>
      </c>
    </row>
    <row r="66" spans="1:37">
      <c r="A66" t="s">
        <v>156</v>
      </c>
    </row>
    <row r="67" spans="1:37">
      <c r="A67" t="s">
        <v>157</v>
      </c>
    </row>
    <row r="68" spans="1:37">
      <c r="A68" t="s">
        <v>158</v>
      </c>
    </row>
    <row r="69" spans="1:37">
      <c r="A69" t="s">
        <v>159</v>
      </c>
      <c r="G69">
        <f>VALUE(LEFT(A68,3))</f>
        <v>12</v>
      </c>
      <c r="H69" t="str">
        <f>SUBSTITUTE(LEFT(A68,5)," ","")</f>
        <v>12MG</v>
      </c>
      <c r="I69" t="str">
        <f>LOWER(RIGHT(A68,LEN(A68)-6))</f>
        <v>magnesium</v>
      </c>
      <c r="J69" cm="1">
        <f t="array" ref="J69:AK69">VALUE(_xlfn.TEXTSPLIT(TRIM(CONCATENATE(A69,A70,A71,A72))," "))</f>
        <v>20.63</v>
      </c>
      <c r="K69">
        <v>6.1239999999999997</v>
      </c>
      <c r="L69">
        <v>2.6160000000000001</v>
      </c>
      <c r="M69">
        <v>0.85619999999999996</v>
      </c>
      <c r="N69">
        <v>0.44309999999999999</v>
      </c>
      <c r="O69">
        <v>0.29930000000000001</v>
      </c>
      <c r="P69">
        <v>0.23569999999999999</v>
      </c>
      <c r="Q69">
        <v>0.1827</v>
      </c>
      <c r="R69">
        <v>0.1605</v>
      </c>
      <c r="S69">
        <v>0.13569999999999999</v>
      </c>
      <c r="T69">
        <v>0.12239999999999999</v>
      </c>
      <c r="U69">
        <v>0.1055</v>
      </c>
      <c r="V69">
        <v>9.4339999999999993E-2</v>
      </c>
      <c r="W69">
        <v>8.6080000000000004E-2</v>
      </c>
      <c r="X69">
        <v>7.9600000000000004E-2</v>
      </c>
      <c r="Y69">
        <v>6.9900000000000004E-2</v>
      </c>
      <c r="Z69">
        <v>6.2829999999999997E-2</v>
      </c>
      <c r="AA69">
        <v>5.1180000000000003E-2</v>
      </c>
      <c r="AB69">
        <v>4.4150000000000002E-2</v>
      </c>
      <c r="AC69">
        <v>3.6040000000000003E-2</v>
      </c>
      <c r="AD69">
        <v>3.1530000000000002E-2</v>
      </c>
      <c r="AE69">
        <v>2.8660000000000001E-2</v>
      </c>
      <c r="AF69">
        <v>2.6749999999999999E-2</v>
      </c>
      <c r="AG69">
        <v>2.4389999999999998E-2</v>
      </c>
      <c r="AH69">
        <v>2.308E-2</v>
      </c>
      <c r="AI69">
        <v>2.163E-2</v>
      </c>
      <c r="AJ69">
        <v>2.1229999999999999E-2</v>
      </c>
      <c r="AK69">
        <v>2.1340000000000001E-2</v>
      </c>
    </row>
    <row r="70" spans="1:37">
      <c r="A70" t="s">
        <v>160</v>
      </c>
    </row>
    <row r="71" spans="1:37">
      <c r="A71" t="s">
        <v>161</v>
      </c>
    </row>
    <row r="72" spans="1:37">
      <c r="A72" t="s">
        <v>162</v>
      </c>
    </row>
    <row r="73" spans="1:37">
      <c r="A73" t="s">
        <v>163</v>
      </c>
    </row>
    <row r="74" spans="1:37">
      <c r="A74" t="s">
        <v>164</v>
      </c>
      <c r="G74">
        <f>VALUE(LEFT(A73,3))</f>
        <v>13</v>
      </c>
      <c r="H74" t="str">
        <f>SUBSTITUTE(LEFT(A73,5)," ","")</f>
        <v>13AL</v>
      </c>
      <c r="I74" t="str">
        <f>LOWER(RIGHT(A73,LEN(A73)-6))</f>
        <v>aluminum</v>
      </c>
      <c r="J74" cm="1">
        <f t="array" ref="J74:AK74">VALUE(_xlfn.TEXTSPLIT(TRIM(CONCATENATE(A74,A75,A76,A77))," "))</f>
        <v>25.75</v>
      </c>
      <c r="K74">
        <v>7.6970000000000001</v>
      </c>
      <c r="L74">
        <v>3.2789999999999999</v>
      </c>
      <c r="M74">
        <v>1.0449999999999999</v>
      </c>
      <c r="N74">
        <v>0.51839999999999997</v>
      </c>
      <c r="O74">
        <v>0.3347</v>
      </c>
      <c r="P74">
        <v>0.25390000000000001</v>
      </c>
      <c r="Q74">
        <v>0.188</v>
      </c>
      <c r="R74">
        <v>0.16139999999999999</v>
      </c>
      <c r="S74">
        <v>0.13370000000000001</v>
      </c>
      <c r="T74">
        <v>0.11990000000000001</v>
      </c>
      <c r="U74">
        <v>0.1031</v>
      </c>
      <c r="V74">
        <v>9.2130000000000004E-2</v>
      </c>
      <c r="W74">
        <v>8.4029999999999994E-2</v>
      </c>
      <c r="X74">
        <v>7.7689999999999995E-2</v>
      </c>
      <c r="Y74">
        <v>6.8210000000000007E-2</v>
      </c>
      <c r="Z74">
        <v>6.132E-2</v>
      </c>
      <c r="AA74">
        <v>4.9950000000000001E-2</v>
      </c>
      <c r="AB74">
        <v>4.3159999999999997E-2</v>
      </c>
      <c r="AC74">
        <v>3.533E-2</v>
      </c>
      <c r="AD74">
        <v>3.1009999999999999E-2</v>
      </c>
      <c r="AE74">
        <v>2.8289999999999999E-2</v>
      </c>
      <c r="AF74">
        <v>2.649E-2</v>
      </c>
      <c r="AG74">
        <v>2.4320000000000001E-2</v>
      </c>
      <c r="AH74">
        <v>2.3130000000000001E-2</v>
      </c>
      <c r="AI74">
        <v>2.1909999999999999E-2</v>
      </c>
      <c r="AJ74">
        <v>2.164E-2</v>
      </c>
      <c r="AK74">
        <v>2.1919999999999999E-2</v>
      </c>
    </row>
    <row r="75" spans="1:37">
      <c r="A75" t="s">
        <v>165</v>
      </c>
    </row>
    <row r="76" spans="1:37">
      <c r="A76" t="s">
        <v>166</v>
      </c>
    </row>
    <row r="77" spans="1:37">
      <c r="A77" t="s">
        <v>167</v>
      </c>
    </row>
    <row r="78" spans="1:37">
      <c r="A78" t="s">
        <v>168</v>
      </c>
    </row>
    <row r="79" spans="1:37">
      <c r="A79" t="s">
        <v>169</v>
      </c>
      <c r="G79">
        <f>VALUE(LEFT(A78,3))</f>
        <v>14</v>
      </c>
      <c r="H79" t="str">
        <f>SUBSTITUTE(LEFT(A78,5)," ","")</f>
        <v>14SI</v>
      </c>
      <c r="I79" t="str">
        <f>LOWER(RIGHT(A78,LEN(A78)-6))</f>
        <v>silicon</v>
      </c>
      <c r="J79" cm="1">
        <f t="array" ref="J79:AK79">VALUE(_xlfn.TEXTSPLIT(TRIM(CONCATENATE(A79,A80,A81,A82))," "))</f>
        <v>33.340000000000003</v>
      </c>
      <c r="K79">
        <v>10.039999999999999</v>
      </c>
      <c r="L79">
        <v>4.2750000000000004</v>
      </c>
      <c r="M79">
        <v>1.34</v>
      </c>
      <c r="N79">
        <v>0.64249999999999996</v>
      </c>
      <c r="O79">
        <v>0.39929999999999999</v>
      </c>
      <c r="P79">
        <v>0.29270000000000002</v>
      </c>
      <c r="Q79">
        <v>0.20649999999999999</v>
      </c>
      <c r="R79">
        <v>0.1729</v>
      </c>
      <c r="S79">
        <v>0.1399</v>
      </c>
      <c r="T79">
        <v>0.12470000000000001</v>
      </c>
      <c r="U79">
        <v>0.1069</v>
      </c>
      <c r="V79">
        <v>9.5420000000000005E-2</v>
      </c>
      <c r="W79">
        <v>8.6980000000000002E-2</v>
      </c>
      <c r="X79">
        <v>8.0409999999999995E-2</v>
      </c>
      <c r="Y79">
        <v>7.0580000000000004E-2</v>
      </c>
      <c r="Z79">
        <v>6.3439999999999996E-2</v>
      </c>
      <c r="AA79">
        <v>5.1709999999999999E-2</v>
      </c>
      <c r="AB79">
        <v>4.4690000000000001E-2</v>
      </c>
      <c r="AC79">
        <v>3.6700000000000003E-2</v>
      </c>
      <c r="AD79">
        <v>3.2329999999999998E-2</v>
      </c>
      <c r="AE79">
        <v>2.9600000000000001E-2</v>
      </c>
      <c r="AF79">
        <v>2.7810000000000001E-2</v>
      </c>
      <c r="AG79">
        <v>2.5680000000000001E-2</v>
      </c>
      <c r="AH79">
        <v>2.4570000000000002E-2</v>
      </c>
      <c r="AI79">
        <v>2.3470000000000001E-2</v>
      </c>
      <c r="AJ79">
        <v>2.334E-2</v>
      </c>
      <c r="AK79">
        <v>2.3810000000000001E-2</v>
      </c>
    </row>
    <row r="80" spans="1:37">
      <c r="A80" t="s">
        <v>170</v>
      </c>
    </row>
    <row r="81" spans="1:37">
      <c r="A81" t="s">
        <v>171</v>
      </c>
    </row>
    <row r="82" spans="1:37">
      <c r="A82" t="s">
        <v>172</v>
      </c>
    </row>
    <row r="83" spans="1:37">
      <c r="A83" t="s">
        <v>173</v>
      </c>
    </row>
    <row r="84" spans="1:37">
      <c r="A84" t="s">
        <v>174</v>
      </c>
      <c r="G84">
        <f>VALUE(LEFT(A83,3))</f>
        <v>15</v>
      </c>
      <c r="H84" t="str">
        <f>SUBSTITUTE(LEFT(A83,5)," ","")</f>
        <v>15P</v>
      </c>
      <c r="I84" t="str">
        <f>LOWER(RIGHT(A83,LEN(A83)-6))</f>
        <v>phosphorus</v>
      </c>
      <c r="J84" cm="1">
        <f t="array" ref="J84:AK84">VALUE(_xlfn.TEXTSPLIT(TRIM(CONCATENATE(A84,A85,A86,A87))," "))</f>
        <v>39.78</v>
      </c>
      <c r="K84">
        <v>12.07</v>
      </c>
      <c r="L84">
        <v>5.1479999999999997</v>
      </c>
      <c r="M84">
        <v>1.5960000000000001</v>
      </c>
      <c r="N84">
        <v>0.74590000000000001</v>
      </c>
      <c r="O84">
        <v>0.44890000000000002</v>
      </c>
      <c r="P84">
        <v>0.31879999999999997</v>
      </c>
      <c r="Q84">
        <v>0.21460000000000001</v>
      </c>
      <c r="R84">
        <v>0.1749</v>
      </c>
      <c r="S84">
        <v>0.13789999999999999</v>
      </c>
      <c r="T84">
        <v>0.12189999999999999</v>
      </c>
      <c r="U84">
        <v>0.1041</v>
      </c>
      <c r="V84">
        <v>9.2789999999999997E-2</v>
      </c>
      <c r="W84">
        <v>8.4580000000000002E-2</v>
      </c>
      <c r="X84">
        <v>7.8149999999999997E-2</v>
      </c>
      <c r="Y84">
        <v>6.8589999999999998E-2</v>
      </c>
      <c r="Z84">
        <v>6.164E-2</v>
      </c>
      <c r="AA84">
        <v>5.0270000000000002E-2</v>
      </c>
      <c r="AB84">
        <v>4.3479999999999998E-2</v>
      </c>
      <c r="AC84">
        <v>3.5799999999999998E-2</v>
      </c>
      <c r="AD84">
        <v>3.1649999999999998E-2</v>
      </c>
      <c r="AE84">
        <v>2.9080000000000002E-2</v>
      </c>
      <c r="AF84">
        <v>2.741E-2</v>
      </c>
      <c r="AG84">
        <v>2.547E-2</v>
      </c>
      <c r="AH84">
        <v>2.4469999999999999E-2</v>
      </c>
      <c r="AI84">
        <v>2.3599999999999999E-2</v>
      </c>
      <c r="AJ84">
        <v>2.359E-2</v>
      </c>
      <c r="AK84">
        <v>2.4219999999999998E-2</v>
      </c>
    </row>
    <row r="85" spans="1:37">
      <c r="A85" t="s">
        <v>175</v>
      </c>
    </row>
    <row r="86" spans="1:37">
      <c r="A86" t="s">
        <v>176</v>
      </c>
    </row>
    <row r="87" spans="1:37">
      <c r="A87" t="s">
        <v>177</v>
      </c>
    </row>
    <row r="88" spans="1:37">
      <c r="A88" t="s">
        <v>178</v>
      </c>
    </row>
    <row r="89" spans="1:37">
      <c r="A89" t="s">
        <v>179</v>
      </c>
      <c r="G89">
        <f>VALUE(LEFT(A88,3))</f>
        <v>16</v>
      </c>
      <c r="H89" t="str">
        <f>SUBSTITUTE(LEFT(A88,5)," ","")</f>
        <v>16S</v>
      </c>
      <c r="I89" t="str">
        <f>LOWER(RIGHT(A88,LEN(A88)-6))</f>
        <v>sulfur</v>
      </c>
      <c r="J89" cm="1">
        <f t="array" ref="J89:AK89">VALUE(_xlfn.TEXTSPLIT(TRIM(CONCATENATE(A89,A90,A91,A92))," "))</f>
        <v>49.5</v>
      </c>
      <c r="K89">
        <v>15.13</v>
      </c>
      <c r="L89">
        <v>6.4749999999999996</v>
      </c>
      <c r="M89">
        <v>1.9930000000000001</v>
      </c>
      <c r="N89">
        <v>0.91439999999999999</v>
      </c>
      <c r="O89">
        <v>0.53580000000000005</v>
      </c>
      <c r="P89">
        <v>0.37009999999999998</v>
      </c>
      <c r="Q89">
        <v>0.23810000000000001</v>
      </c>
      <c r="R89">
        <v>0.18859999999999999</v>
      </c>
      <c r="S89">
        <v>0.1444</v>
      </c>
      <c r="T89">
        <v>0.12670000000000001</v>
      </c>
      <c r="U89">
        <v>0.1075</v>
      </c>
      <c r="V89">
        <v>9.5740000000000006E-2</v>
      </c>
      <c r="W89">
        <v>8.7220000000000006E-2</v>
      </c>
      <c r="X89">
        <v>8.0589999999999995E-2</v>
      </c>
      <c r="Y89">
        <v>7.0709999999999995E-2</v>
      </c>
      <c r="Z89">
        <v>6.3530000000000003E-2</v>
      </c>
      <c r="AA89">
        <v>5.1810000000000002E-2</v>
      </c>
      <c r="AB89">
        <v>4.487E-2</v>
      </c>
      <c r="AC89">
        <v>3.7060000000000003E-2</v>
      </c>
      <c r="AD89">
        <v>3.2870000000000003E-2</v>
      </c>
      <c r="AE89">
        <v>3.031E-2</v>
      </c>
      <c r="AF89">
        <v>2.8660000000000001E-2</v>
      </c>
      <c r="AG89">
        <v>2.6769999999999999E-2</v>
      </c>
      <c r="AH89">
        <v>2.5850000000000001E-2</v>
      </c>
      <c r="AI89">
        <v>2.512E-2</v>
      </c>
      <c r="AJ89">
        <v>2.5250000000000002E-2</v>
      </c>
      <c r="AK89">
        <v>2.6089999999999999E-2</v>
      </c>
    </row>
    <row r="90" spans="1:37">
      <c r="A90" t="s">
        <v>180</v>
      </c>
    </row>
    <row r="91" spans="1:37">
      <c r="A91" t="s">
        <v>181</v>
      </c>
    </row>
    <row r="92" spans="1:37">
      <c r="A92" t="s">
        <v>182</v>
      </c>
    </row>
    <row r="93" spans="1:37">
      <c r="A93" t="s">
        <v>183</v>
      </c>
    </row>
    <row r="94" spans="1:37">
      <c r="A94" t="s">
        <v>184</v>
      </c>
      <c r="G94">
        <f>VALUE(LEFT(A93,3))</f>
        <v>17</v>
      </c>
      <c r="H94" t="str">
        <f>SUBSTITUTE(LEFT(A93,5)," ","")</f>
        <v>17CL</v>
      </c>
      <c r="I94" t="str">
        <f>LOWER(RIGHT(A93,LEN(A93)-6))</f>
        <v>chlorine</v>
      </c>
      <c r="J94" cm="1">
        <f t="array" ref="J94:AK94">VALUE(_xlfn.TEXTSPLIT(TRIM(CONCATENATE(A94,A95,A96,A97))," "))</f>
        <v>56.59</v>
      </c>
      <c r="K94">
        <v>17.45</v>
      </c>
      <c r="L94">
        <v>7.492</v>
      </c>
      <c r="M94">
        <v>2.2989999999999999</v>
      </c>
      <c r="N94">
        <v>1.0389999999999999</v>
      </c>
      <c r="O94">
        <v>0.59589999999999999</v>
      </c>
      <c r="P94">
        <v>0.40189999999999998</v>
      </c>
      <c r="Q94">
        <v>0.24759999999999999</v>
      </c>
      <c r="R94">
        <v>0.19059999999999999</v>
      </c>
      <c r="S94">
        <v>0.1414</v>
      </c>
      <c r="T94">
        <v>0.12280000000000001</v>
      </c>
      <c r="U94">
        <v>0.1037</v>
      </c>
      <c r="V94">
        <v>9.214E-2</v>
      </c>
      <c r="W94">
        <v>8.3879999999999996E-2</v>
      </c>
      <c r="X94">
        <v>7.7469999999999997E-2</v>
      </c>
      <c r="Y94">
        <v>6.7960000000000007E-2</v>
      </c>
      <c r="Z94">
        <v>6.1069999999999999E-2</v>
      </c>
      <c r="AA94">
        <v>4.981E-2</v>
      </c>
      <c r="AB94">
        <v>4.317E-2</v>
      </c>
      <c r="AC94">
        <v>3.5770000000000003E-2</v>
      </c>
      <c r="AD94">
        <v>3.1820000000000001E-2</v>
      </c>
      <c r="AE94">
        <v>2.9440000000000001E-2</v>
      </c>
      <c r="AF94">
        <v>2.792E-2</v>
      </c>
      <c r="AG94">
        <v>2.623E-2</v>
      </c>
      <c r="AH94">
        <v>2.5430000000000001E-2</v>
      </c>
      <c r="AI94">
        <v>2.4910000000000002E-2</v>
      </c>
      <c r="AJ94">
        <v>2.5159999999999998E-2</v>
      </c>
      <c r="AK94">
        <v>2.614E-2</v>
      </c>
    </row>
    <row r="95" spans="1:37">
      <c r="A95" t="s">
        <v>185</v>
      </c>
    </row>
    <row r="96" spans="1:37">
      <c r="A96" t="s">
        <v>186</v>
      </c>
    </row>
    <row r="97" spans="1:37">
      <c r="A97" t="s">
        <v>187</v>
      </c>
    </row>
    <row r="98" spans="1:37">
      <c r="A98" t="s">
        <v>188</v>
      </c>
    </row>
    <row r="99" spans="1:37">
      <c r="A99" t="s">
        <v>189</v>
      </c>
      <c r="G99">
        <f>VALUE(LEFT(A98,3))</f>
        <v>18</v>
      </c>
      <c r="H99" t="str">
        <f>SUBSTITUTE(LEFT(A98,5)," ","")</f>
        <v>18AR</v>
      </c>
      <c r="I99" t="str">
        <f>LOWER(RIGHT(A98,LEN(A98)-6))</f>
        <v>argon</v>
      </c>
      <c r="J99" cm="1">
        <f t="array" ref="J99:AK99">VALUE(_xlfn.TEXTSPLIT(TRIM(CONCATENATE(A99,A100,A101,A102))," "))</f>
        <v>62.49</v>
      </c>
      <c r="K99">
        <v>19.43</v>
      </c>
      <c r="L99">
        <v>8.375</v>
      </c>
      <c r="M99">
        <v>2.5659999999999998</v>
      </c>
      <c r="N99">
        <v>1.1479999999999999</v>
      </c>
      <c r="O99">
        <v>0.64700000000000002</v>
      </c>
      <c r="P99">
        <v>0.42730000000000001</v>
      </c>
      <c r="Q99">
        <v>0.25309999999999999</v>
      </c>
      <c r="R99">
        <v>0.1893</v>
      </c>
      <c r="S99">
        <v>0.13589999999999999</v>
      </c>
      <c r="T99">
        <v>0.1166</v>
      </c>
      <c r="U99">
        <v>9.7729999999999997E-2</v>
      </c>
      <c r="V99">
        <v>8.6720000000000005E-2</v>
      </c>
      <c r="W99">
        <v>7.8899999999999998E-2</v>
      </c>
      <c r="X99">
        <v>7.2859999999999994E-2</v>
      </c>
      <c r="Y99">
        <v>6.3890000000000002E-2</v>
      </c>
      <c r="Z99">
        <v>5.74E-2</v>
      </c>
      <c r="AA99">
        <v>4.6820000000000001E-2</v>
      </c>
      <c r="AB99">
        <v>4.0620000000000003E-2</v>
      </c>
      <c r="AC99">
        <v>3.3750000000000002E-2</v>
      </c>
      <c r="AD99">
        <v>3.0130000000000001E-2</v>
      </c>
      <c r="AE99">
        <v>2.7969999999999998E-2</v>
      </c>
      <c r="AF99">
        <v>2.6599999999999999E-2</v>
      </c>
      <c r="AG99">
        <v>2.512E-2</v>
      </c>
      <c r="AH99">
        <v>2.4459999999999999E-2</v>
      </c>
      <c r="AI99">
        <v>2.4140000000000002E-2</v>
      </c>
      <c r="AJ99">
        <v>2.4490000000000001E-2</v>
      </c>
      <c r="AK99">
        <v>2.5579999999999999E-2</v>
      </c>
    </row>
    <row r="100" spans="1:37">
      <c r="A100" t="s">
        <v>190</v>
      </c>
    </row>
    <row r="101" spans="1:37">
      <c r="A101" t="s">
        <v>191</v>
      </c>
    </row>
    <row r="102" spans="1:37">
      <c r="A102" t="s">
        <v>192</v>
      </c>
    </row>
    <row r="103" spans="1:37">
      <c r="A103" t="s">
        <v>193</v>
      </c>
    </row>
    <row r="104" spans="1:37">
      <c r="A104" t="s">
        <v>194</v>
      </c>
      <c r="G104">
        <f>VALUE(LEFT(A103,3))</f>
        <v>19</v>
      </c>
      <c r="H104" t="str">
        <f>SUBSTITUTE(LEFT(A103,5)," ","")</f>
        <v>19K</v>
      </c>
      <c r="I104" t="str">
        <f>LOWER(RIGHT(A103,LEN(A103)-6))</f>
        <v>potassium</v>
      </c>
      <c r="J104" cm="1">
        <f t="array" ref="J104:AK104">VALUE(_xlfn.TEXTSPLIT(TRIM(CONCATENATE(A104,A105,A106,A107))," "))</f>
        <v>78.319999999999993</v>
      </c>
      <c r="K104">
        <v>24.57</v>
      </c>
      <c r="L104">
        <v>10.63</v>
      </c>
      <c r="M104">
        <v>3.26</v>
      </c>
      <c r="N104">
        <v>1.4470000000000001</v>
      </c>
      <c r="O104">
        <v>0.80420000000000003</v>
      </c>
      <c r="P104">
        <v>0.52200000000000002</v>
      </c>
      <c r="Q104">
        <v>0.29809999999999998</v>
      </c>
      <c r="R104">
        <v>0.21679999999999999</v>
      </c>
      <c r="S104">
        <v>0.15010000000000001</v>
      </c>
      <c r="T104">
        <v>0.1273</v>
      </c>
      <c r="U104">
        <v>0.10589999999999999</v>
      </c>
      <c r="V104">
        <v>9.3729999999999994E-2</v>
      </c>
      <c r="W104">
        <v>8.5199999999999998E-2</v>
      </c>
      <c r="X104">
        <v>7.8640000000000002E-2</v>
      </c>
      <c r="Y104">
        <v>6.8940000000000001E-2</v>
      </c>
      <c r="Z104">
        <v>6.1920000000000003E-2</v>
      </c>
      <c r="AA104">
        <v>5.0529999999999999E-2</v>
      </c>
      <c r="AB104">
        <v>4.3880000000000002E-2</v>
      </c>
      <c r="AC104">
        <v>3.6569999999999998E-2</v>
      </c>
      <c r="AD104">
        <v>3.2739999999999998E-2</v>
      </c>
      <c r="AE104">
        <v>3.0470000000000001E-2</v>
      </c>
      <c r="AF104">
        <v>2.9080000000000002E-2</v>
      </c>
      <c r="AG104">
        <v>2.7609999999999999E-2</v>
      </c>
      <c r="AH104">
        <v>2.699E-2</v>
      </c>
      <c r="AI104">
        <v>2.682E-2</v>
      </c>
      <c r="AJ104">
        <v>2.733E-2</v>
      </c>
      <c r="AK104">
        <v>2.8660000000000001E-2</v>
      </c>
    </row>
    <row r="105" spans="1:37">
      <c r="A105" t="s">
        <v>195</v>
      </c>
    </row>
    <row r="106" spans="1:37">
      <c r="A106" t="s">
        <v>196</v>
      </c>
    </row>
    <row r="107" spans="1:37">
      <c r="A107" t="s">
        <v>197</v>
      </c>
    </row>
    <row r="108" spans="1:37">
      <c r="A108" t="s">
        <v>198</v>
      </c>
    </row>
    <row r="109" spans="1:37">
      <c r="A109" t="s">
        <v>199</v>
      </c>
      <c r="G109">
        <f>VALUE(LEFT(A108,3))</f>
        <v>20</v>
      </c>
      <c r="H109" t="str">
        <f>SUBSTITUTE(LEFT(A108,5)," ","")</f>
        <v>20CA</v>
      </c>
      <c r="I109" t="str">
        <f>LOWER(RIGHT(A108,LEN(A108)-6))</f>
        <v>calcium</v>
      </c>
      <c r="J109" cm="1">
        <f t="array" ref="J109:AK109">VALUE(_xlfn.TEXTSPLIT(TRIM(CONCATENATE(A109,A110,A111,A112))," "))</f>
        <v>92.59</v>
      </c>
      <c r="K109">
        <v>29.29</v>
      </c>
      <c r="L109">
        <v>12.73</v>
      </c>
      <c r="M109">
        <v>3.9089999999999998</v>
      </c>
      <c r="N109">
        <v>1.726</v>
      </c>
      <c r="O109">
        <v>0.94830000000000003</v>
      </c>
      <c r="P109">
        <v>0.60670000000000002</v>
      </c>
      <c r="Q109">
        <v>0.33550000000000002</v>
      </c>
      <c r="R109">
        <v>0.2374</v>
      </c>
      <c r="S109">
        <v>0.1583</v>
      </c>
      <c r="T109">
        <v>0.13239999999999999</v>
      </c>
      <c r="U109">
        <v>0.10920000000000001</v>
      </c>
      <c r="V109">
        <v>9.6479999999999996E-2</v>
      </c>
      <c r="W109">
        <v>8.7609999999999993E-2</v>
      </c>
      <c r="X109">
        <v>8.0829999999999999E-2</v>
      </c>
      <c r="Y109">
        <v>7.0830000000000004E-2</v>
      </c>
      <c r="Z109">
        <v>6.361E-2</v>
      </c>
      <c r="AA109">
        <v>5.1909999999999998E-2</v>
      </c>
      <c r="AB109">
        <v>4.512E-2</v>
      </c>
      <c r="AC109">
        <v>3.771E-2</v>
      </c>
      <c r="AD109">
        <v>3.3860000000000001E-2</v>
      </c>
      <c r="AE109">
        <v>3.1629999999999998E-2</v>
      </c>
      <c r="AF109">
        <v>3.0269999999999998E-2</v>
      </c>
      <c r="AG109">
        <v>2.887E-2</v>
      </c>
      <c r="AH109">
        <v>2.8340000000000001E-2</v>
      </c>
      <c r="AI109">
        <v>2.8330000000000001E-2</v>
      </c>
      <c r="AJ109">
        <v>2.8989999999999998E-2</v>
      </c>
      <c r="AK109">
        <v>3.0550000000000001E-2</v>
      </c>
    </row>
    <row r="110" spans="1:37">
      <c r="A110" t="s">
        <v>200</v>
      </c>
    </row>
    <row r="111" spans="1:37">
      <c r="A111" t="s">
        <v>201</v>
      </c>
    </row>
    <row r="112" spans="1:37">
      <c r="A112" t="s">
        <v>202</v>
      </c>
    </row>
    <row r="113" spans="1:37">
      <c r="A113" t="s">
        <v>203</v>
      </c>
    </row>
    <row r="114" spans="1:37">
      <c r="A114" t="s">
        <v>204</v>
      </c>
      <c r="G114">
        <f>VALUE(LEFT(A113,3))</f>
        <v>21</v>
      </c>
      <c r="H114" t="str">
        <f>SUBSTITUTE(LEFT(A113,5)," ","")</f>
        <v>21SC</v>
      </c>
      <c r="I114" t="str">
        <f>LOWER(RIGHT(A113,LEN(A113)-6))</f>
        <v>scandium</v>
      </c>
      <c r="J114" cm="1">
        <f t="array" ref="J114:AK114">VALUE(_xlfn.TEXTSPLIT(TRIM(CONCATENATE(A114,A115,A116,A117))," "))</f>
        <v>98.72</v>
      </c>
      <c r="K114">
        <v>31.52</v>
      </c>
      <c r="L114">
        <v>13.76</v>
      </c>
      <c r="M114">
        <v>4.2370000000000001</v>
      </c>
      <c r="N114">
        <v>1.8640000000000001</v>
      </c>
      <c r="O114">
        <v>1.0149999999999999</v>
      </c>
      <c r="P114">
        <v>0.64149999999999996</v>
      </c>
      <c r="Q114">
        <v>0.34460000000000002</v>
      </c>
      <c r="R114">
        <v>0.23769999999999999</v>
      </c>
      <c r="S114">
        <v>0.1527</v>
      </c>
      <c r="T114">
        <v>0.12570000000000001</v>
      </c>
      <c r="U114">
        <v>0.1028</v>
      </c>
      <c r="V114">
        <v>9.0550000000000005E-2</v>
      </c>
      <c r="W114">
        <v>8.2150000000000001E-2</v>
      </c>
      <c r="X114">
        <v>7.5740000000000002E-2</v>
      </c>
      <c r="Y114">
        <v>6.6350000000000006E-2</v>
      </c>
      <c r="Z114">
        <v>5.9569999999999998E-2</v>
      </c>
      <c r="AA114">
        <v>4.8619999999999997E-2</v>
      </c>
      <c r="AB114">
        <v>4.231E-2</v>
      </c>
      <c r="AC114">
        <v>3.5450000000000002E-2</v>
      </c>
      <c r="AD114">
        <v>3.193E-2</v>
      </c>
      <c r="AE114">
        <v>2.9919999999999999E-2</v>
      </c>
      <c r="AF114">
        <v>2.8719999999999999E-2</v>
      </c>
      <c r="AG114">
        <v>2.7519999999999999E-2</v>
      </c>
      <c r="AH114">
        <v>2.7109999999999999E-2</v>
      </c>
      <c r="AI114">
        <v>2.7279999999999999E-2</v>
      </c>
      <c r="AJ114">
        <v>2.8000000000000001E-2</v>
      </c>
      <c r="AK114">
        <v>2.963E-2</v>
      </c>
    </row>
    <row r="115" spans="1:37">
      <c r="A115" t="s">
        <v>205</v>
      </c>
    </row>
    <row r="116" spans="1:37">
      <c r="A116" t="s">
        <v>206</v>
      </c>
    </row>
    <row r="117" spans="1:37">
      <c r="A117" t="s">
        <v>207</v>
      </c>
    </row>
    <row r="118" spans="1:37">
      <c r="A118" t="s">
        <v>208</v>
      </c>
    </row>
    <row r="119" spans="1:37">
      <c r="A119" t="s">
        <v>209</v>
      </c>
      <c r="G119">
        <f>VALUE(LEFT(A118,3))</f>
        <v>22</v>
      </c>
      <c r="H119" t="str">
        <f>SUBSTITUTE(LEFT(A118,5)," ","")</f>
        <v>22TI</v>
      </c>
      <c r="I119" t="str">
        <f>LOWER(RIGHT(A118,LEN(A118)-6))</f>
        <v>titanium</v>
      </c>
      <c r="J119" cm="1">
        <f t="array" ref="J119:AK119">VALUE(_xlfn.TEXTSPLIT(TRIM(CONCATENATE(A119,A120,A121,A122))," "))</f>
        <v>109.9</v>
      </c>
      <c r="K119">
        <v>35.35</v>
      </c>
      <c r="L119">
        <v>15.5</v>
      </c>
      <c r="M119">
        <v>4.7889999999999997</v>
      </c>
      <c r="N119">
        <v>2.101</v>
      </c>
      <c r="O119">
        <v>1.137</v>
      </c>
      <c r="P119">
        <v>0.71109999999999995</v>
      </c>
      <c r="Q119">
        <v>0.37259999999999999</v>
      </c>
      <c r="R119">
        <v>0.25080000000000002</v>
      </c>
      <c r="S119">
        <v>0.15509999999999999</v>
      </c>
      <c r="T119">
        <v>0.1258</v>
      </c>
      <c r="U119">
        <v>0.1017</v>
      </c>
      <c r="V119">
        <v>8.9340000000000003E-2</v>
      </c>
      <c r="W119">
        <v>8.0960000000000004E-2</v>
      </c>
      <c r="X119">
        <v>7.46E-2</v>
      </c>
      <c r="Y119">
        <v>6.5310000000000007E-2</v>
      </c>
      <c r="Z119">
        <v>5.8630000000000002E-2</v>
      </c>
      <c r="AA119">
        <v>4.7849999999999997E-2</v>
      </c>
      <c r="AB119">
        <v>4.1680000000000002E-2</v>
      </c>
      <c r="AC119">
        <v>3.5020000000000003E-2</v>
      </c>
      <c r="AD119">
        <v>3.1649999999999998E-2</v>
      </c>
      <c r="AE119">
        <v>2.9739999999999999E-2</v>
      </c>
      <c r="AF119">
        <v>2.862E-2</v>
      </c>
      <c r="AG119">
        <v>2.7529999999999999E-2</v>
      </c>
      <c r="AH119">
        <v>2.7230000000000001E-2</v>
      </c>
      <c r="AI119">
        <v>2.758E-2</v>
      </c>
      <c r="AJ119">
        <v>2.8400000000000002E-2</v>
      </c>
      <c r="AK119">
        <v>3.0169999999999999E-2</v>
      </c>
    </row>
    <row r="120" spans="1:37">
      <c r="A120" t="s">
        <v>210</v>
      </c>
    </row>
    <row r="121" spans="1:37">
      <c r="A121" t="s">
        <v>211</v>
      </c>
    </row>
    <row r="122" spans="1:37">
      <c r="A122" t="s">
        <v>212</v>
      </c>
    </row>
    <row r="123" spans="1:37">
      <c r="A123" t="s">
        <v>213</v>
      </c>
    </row>
    <row r="124" spans="1:37">
      <c r="A124" t="s">
        <v>214</v>
      </c>
      <c r="G124">
        <f>VALUE(LEFT(A123,3))</f>
        <v>23</v>
      </c>
      <c r="H124" t="str">
        <f>SUBSTITUTE(LEFT(A123,5)," ","")</f>
        <v>23V</v>
      </c>
      <c r="I124" t="str">
        <f>LOWER(RIGHT(A123,LEN(A123)-6))</f>
        <v>vanadium</v>
      </c>
      <c r="J124" cm="1">
        <f t="array" ref="J124:AK124">VALUE(_xlfn.TEXTSPLIT(TRIM(CONCATENATE(A124,A125,A126,A127))," "))</f>
        <v>120.9</v>
      </c>
      <c r="K124">
        <v>39.28</v>
      </c>
      <c r="L124">
        <v>17.309999999999999</v>
      </c>
      <c r="M124">
        <v>5.3710000000000004</v>
      </c>
      <c r="N124">
        <v>2.355</v>
      </c>
      <c r="O124">
        <v>1.2669999999999999</v>
      </c>
      <c r="P124">
        <v>0.78549999999999998</v>
      </c>
      <c r="Q124">
        <v>0.40260000000000001</v>
      </c>
      <c r="R124">
        <v>0.26490000000000002</v>
      </c>
      <c r="S124">
        <v>0.15770000000000001</v>
      </c>
      <c r="T124">
        <v>0.1258</v>
      </c>
      <c r="U124">
        <v>0.1007</v>
      </c>
      <c r="V124">
        <v>8.8090000000000002E-2</v>
      </c>
      <c r="W124">
        <v>7.9719999999999999E-2</v>
      </c>
      <c r="X124">
        <v>7.3410000000000003E-2</v>
      </c>
      <c r="Y124">
        <v>6.4229999999999995E-2</v>
      </c>
      <c r="Z124">
        <v>5.7639999999999997E-2</v>
      </c>
      <c r="AA124">
        <v>4.7039999999999998E-2</v>
      </c>
      <c r="AB124">
        <v>4.1020000000000001E-2</v>
      </c>
      <c r="AC124">
        <v>3.456E-2</v>
      </c>
      <c r="AD124">
        <v>3.1329999999999997E-2</v>
      </c>
      <c r="AE124">
        <v>2.9530000000000001E-2</v>
      </c>
      <c r="AF124">
        <v>2.8479999999999998E-2</v>
      </c>
      <c r="AG124">
        <v>2.7539999999999999E-2</v>
      </c>
      <c r="AH124">
        <v>2.733E-2</v>
      </c>
      <c r="AI124">
        <v>2.7820000000000001E-2</v>
      </c>
      <c r="AJ124">
        <v>2.8729999999999999E-2</v>
      </c>
      <c r="AK124">
        <v>3.0640000000000001E-2</v>
      </c>
    </row>
    <row r="125" spans="1:37">
      <c r="A125" t="s">
        <v>215</v>
      </c>
    </row>
    <row r="126" spans="1:37">
      <c r="A126" t="s">
        <v>216</v>
      </c>
    </row>
    <row r="127" spans="1:37">
      <c r="A127" t="s">
        <v>217</v>
      </c>
    </row>
    <row r="128" spans="1:37">
      <c r="A128" t="s">
        <v>218</v>
      </c>
    </row>
    <row r="129" spans="1:37">
      <c r="A129" t="s">
        <v>219</v>
      </c>
      <c r="G129">
        <f>VALUE(LEFT(A128,3))</f>
        <v>24</v>
      </c>
      <c r="H129" t="str">
        <f>SUBSTITUTE(LEFT(A128,5)," ","")</f>
        <v>24CR</v>
      </c>
      <c r="I129" t="str">
        <f>LOWER(RIGHT(A128,LEN(A128)-6))</f>
        <v>chromium</v>
      </c>
      <c r="J129" cm="1">
        <f t="array" ref="J129:AK129">VALUE(_xlfn.TEXTSPLIT(TRIM(CONCATENATE(A129,A130,A131,A132))," "))</f>
        <v>137.69999999999999</v>
      </c>
      <c r="K129">
        <v>45.12</v>
      </c>
      <c r="L129">
        <v>19.98</v>
      </c>
      <c r="M129">
        <v>6.2210000000000001</v>
      </c>
      <c r="N129">
        <v>2.7250000000000001</v>
      </c>
      <c r="O129">
        <v>1.462</v>
      </c>
      <c r="P129">
        <v>0.89980000000000004</v>
      </c>
      <c r="Q129">
        <v>0.45229999999999998</v>
      </c>
      <c r="R129">
        <v>0.29170000000000001</v>
      </c>
      <c r="S129">
        <v>0.16739999999999999</v>
      </c>
      <c r="T129">
        <v>0.13120000000000001</v>
      </c>
      <c r="U129">
        <v>0.1037</v>
      </c>
      <c r="V129">
        <v>9.0399999999999994E-2</v>
      </c>
      <c r="W129">
        <v>8.1680000000000003E-2</v>
      </c>
      <c r="X129">
        <v>7.5179999999999997E-2</v>
      </c>
      <c r="Y129">
        <v>6.5720000000000001E-2</v>
      </c>
      <c r="Z129">
        <v>5.8970000000000002E-2</v>
      </c>
      <c r="AA129">
        <v>4.8140000000000002E-2</v>
      </c>
      <c r="AB129">
        <v>4.2000000000000003E-2</v>
      </c>
      <c r="AC129">
        <v>3.5490000000000001E-2</v>
      </c>
      <c r="AD129">
        <v>3.227E-2</v>
      </c>
      <c r="AE129">
        <v>3.0499999999999999E-2</v>
      </c>
      <c r="AF129">
        <v>2.9499999999999998E-2</v>
      </c>
      <c r="AG129">
        <v>2.8639999999999999E-2</v>
      </c>
      <c r="AH129">
        <v>2.8500000000000001E-2</v>
      </c>
      <c r="AI129">
        <v>2.9159999999999998E-2</v>
      </c>
      <c r="AJ129">
        <v>3.022E-2</v>
      </c>
      <c r="AK129">
        <v>3.2320000000000002E-2</v>
      </c>
    </row>
    <row r="130" spans="1:37">
      <c r="A130" t="s">
        <v>220</v>
      </c>
    </row>
    <row r="131" spans="1:37">
      <c r="A131" t="s">
        <v>221</v>
      </c>
    </row>
    <row r="132" spans="1:37">
      <c r="A132" t="s">
        <v>222</v>
      </c>
    </row>
    <row r="133" spans="1:37">
      <c r="A133" t="s">
        <v>223</v>
      </c>
    </row>
    <row r="134" spans="1:37">
      <c r="A134" t="s">
        <v>224</v>
      </c>
      <c r="G134">
        <f>VALUE(LEFT(A133,3))</f>
        <v>25</v>
      </c>
      <c r="H134" t="str">
        <f>SUBSTITUTE(LEFT(A133,5)," ","")</f>
        <v>25MN</v>
      </c>
      <c r="I134" t="str">
        <f>LOWER(RIGHT(A133,LEN(A133)-6))</f>
        <v>manganese</v>
      </c>
      <c r="J134" cm="1">
        <f t="array" ref="J134:AK134">VALUE(_xlfn.TEXTSPLIT(TRIM(CONCATENATE(A134,A135,A136,A137))," "))</f>
        <v>150.4</v>
      </c>
      <c r="K134">
        <v>49.65</v>
      </c>
      <c r="L134">
        <v>22.11</v>
      </c>
      <c r="M134">
        <v>6.9169999999999998</v>
      </c>
      <c r="N134">
        <v>3.0310000000000001</v>
      </c>
      <c r="O134">
        <v>1.621</v>
      </c>
      <c r="P134">
        <v>0.99219999999999997</v>
      </c>
      <c r="Q134">
        <v>0.49030000000000001</v>
      </c>
      <c r="R134">
        <v>0.31019999999999998</v>
      </c>
      <c r="S134">
        <v>0.17150000000000001</v>
      </c>
      <c r="T134">
        <v>0.1321</v>
      </c>
      <c r="U134">
        <v>0.10299999999999999</v>
      </c>
      <c r="V134">
        <v>8.9499999999999996E-2</v>
      </c>
      <c r="W134">
        <v>8.0729999999999996E-2</v>
      </c>
      <c r="X134">
        <v>7.424E-2</v>
      </c>
      <c r="Y134">
        <v>6.4869999999999997E-2</v>
      </c>
      <c r="Z134">
        <v>5.8169999999999999E-2</v>
      </c>
      <c r="AA134">
        <v>4.7489999999999997E-2</v>
      </c>
      <c r="AB134">
        <v>4.1480000000000003E-2</v>
      </c>
      <c r="AC134">
        <v>3.5139999999999998E-2</v>
      </c>
      <c r="AD134">
        <v>3.2039999999999999E-2</v>
      </c>
      <c r="AE134">
        <v>3.0380000000000001E-2</v>
      </c>
      <c r="AF134">
        <v>2.945E-2</v>
      </c>
      <c r="AG134">
        <v>2.87E-2</v>
      </c>
      <c r="AH134">
        <v>2.8660000000000001E-2</v>
      </c>
      <c r="AI134">
        <v>2.947E-2</v>
      </c>
      <c r="AJ134">
        <v>3.0640000000000001E-2</v>
      </c>
      <c r="AK134">
        <v>3.2870000000000003E-2</v>
      </c>
    </row>
    <row r="135" spans="1:37">
      <c r="A135" t="s">
        <v>225</v>
      </c>
    </row>
    <row r="136" spans="1:37">
      <c r="A136" t="s">
        <v>226</v>
      </c>
    </row>
    <row r="137" spans="1:37">
      <c r="A137" t="s">
        <v>227</v>
      </c>
    </row>
    <row r="138" spans="1:37">
      <c r="A138" t="s">
        <v>228</v>
      </c>
    </row>
    <row r="139" spans="1:37">
      <c r="A139" t="s">
        <v>229</v>
      </c>
      <c r="G139">
        <f>VALUE(LEFT(A138,3))</f>
        <v>26</v>
      </c>
      <c r="H139" t="str">
        <f>SUBSTITUTE(LEFT(A138,5)," ","")</f>
        <v>26</v>
      </c>
      <c r="I139" t="str">
        <f>LOWER(RIGHT(A138,LEN(A138)-6))</f>
        <v>iron</v>
      </c>
      <c r="J139" cm="1">
        <f t="array" ref="J139:AK139">VALUE(_xlfn.TEXTSPLIT(TRIM(CONCATENATE(A139,A140,A141,A142))," "))</f>
        <v>169.6</v>
      </c>
      <c r="K139">
        <v>56.41</v>
      </c>
      <c r="L139">
        <v>25.22</v>
      </c>
      <c r="M139">
        <v>7.93</v>
      </c>
      <c r="N139">
        <v>3.4780000000000002</v>
      </c>
      <c r="O139">
        <v>1.8540000000000001</v>
      </c>
      <c r="P139">
        <v>1.131</v>
      </c>
      <c r="Q139">
        <v>0.55100000000000005</v>
      </c>
      <c r="R139">
        <v>0.34250000000000003</v>
      </c>
      <c r="S139">
        <v>0.18290000000000001</v>
      </c>
      <c r="T139">
        <v>0.13830000000000001</v>
      </c>
      <c r="U139">
        <v>0.10639999999999999</v>
      </c>
      <c r="V139">
        <v>9.1999999999999998E-2</v>
      </c>
      <c r="W139">
        <v>8.2820000000000005E-2</v>
      </c>
      <c r="X139">
        <v>7.6109999999999997E-2</v>
      </c>
      <c r="Y139">
        <v>6.6439999999999999E-2</v>
      </c>
      <c r="Z139">
        <v>5.9569999999999998E-2</v>
      </c>
      <c r="AA139">
        <v>4.8619999999999997E-2</v>
      </c>
      <c r="AB139">
        <v>4.2500000000000003E-2</v>
      </c>
      <c r="AC139">
        <v>3.6110000000000003E-2</v>
      </c>
      <c r="AD139">
        <v>3.3029999999999997E-2</v>
      </c>
      <c r="AE139">
        <v>3.1390000000000001E-2</v>
      </c>
      <c r="AF139">
        <v>3.0499999999999999E-2</v>
      </c>
      <c r="AG139">
        <v>2.9850000000000002E-2</v>
      </c>
      <c r="AH139">
        <v>2.989E-2</v>
      </c>
      <c r="AI139">
        <v>3.0880000000000001E-2</v>
      </c>
      <c r="AJ139">
        <v>3.2199999999999999E-2</v>
      </c>
      <c r="AK139">
        <v>3.465E-2</v>
      </c>
    </row>
    <row r="140" spans="1:37">
      <c r="A140" t="s">
        <v>230</v>
      </c>
    </row>
    <row r="141" spans="1:37">
      <c r="A141" t="s">
        <v>231</v>
      </c>
    </row>
    <row r="142" spans="1:37">
      <c r="A142" t="s">
        <v>232</v>
      </c>
    </row>
    <row r="143" spans="1:37">
      <c r="A143" t="s">
        <v>233</v>
      </c>
    </row>
    <row r="144" spans="1:37">
      <c r="A144" t="s">
        <v>234</v>
      </c>
      <c r="G144">
        <f>VALUE(LEFT(A143,3))</f>
        <v>27</v>
      </c>
      <c r="H144" t="str">
        <f>SUBSTITUTE(LEFT(A143,5)," ","")</f>
        <v>27CO</v>
      </c>
      <c r="I144" t="str">
        <f>LOWER(RIGHT(A143,LEN(A143)-6))</f>
        <v>cobalt</v>
      </c>
      <c r="J144" cm="1">
        <f t="array" ref="J144:AK144">VALUE(_xlfn.TEXTSPLIT(TRIM(CONCATENATE(A144,A145,A146,A147))," "))</f>
        <v>182.9</v>
      </c>
      <c r="K144">
        <v>61.3</v>
      </c>
      <c r="L144">
        <v>27.54</v>
      </c>
      <c r="M144">
        <v>8.7029999999999994</v>
      </c>
      <c r="N144">
        <v>3.8210000000000002</v>
      </c>
      <c r="O144">
        <v>2.036</v>
      </c>
      <c r="P144">
        <v>1.236</v>
      </c>
      <c r="Q144">
        <v>0.5948</v>
      </c>
      <c r="R144">
        <v>0.36399999999999999</v>
      </c>
      <c r="S144">
        <v>0.18809999999999999</v>
      </c>
      <c r="T144">
        <v>0.13950000000000001</v>
      </c>
      <c r="U144">
        <v>0.1057</v>
      </c>
      <c r="V144">
        <v>9.0980000000000005E-2</v>
      </c>
      <c r="W144">
        <v>8.1780000000000005E-2</v>
      </c>
      <c r="X144">
        <v>7.5050000000000006E-2</v>
      </c>
      <c r="Y144">
        <v>6.5460000000000004E-2</v>
      </c>
      <c r="Z144">
        <v>5.867E-2</v>
      </c>
      <c r="AA144">
        <v>4.7890000000000002E-2</v>
      </c>
      <c r="AB144">
        <v>4.1889999999999997E-2</v>
      </c>
      <c r="AC144">
        <v>3.569E-2</v>
      </c>
      <c r="AD144">
        <v>3.2739999999999998E-2</v>
      </c>
      <c r="AE144">
        <v>3.1189999999999999E-2</v>
      </c>
      <c r="AF144">
        <v>3.039E-2</v>
      </c>
      <c r="AG144">
        <v>2.9850000000000002E-2</v>
      </c>
      <c r="AH144">
        <v>2.997E-2</v>
      </c>
      <c r="AI144">
        <v>3.1109999999999999E-2</v>
      </c>
      <c r="AJ144">
        <v>3.252E-2</v>
      </c>
      <c r="AK144">
        <v>3.508E-2</v>
      </c>
    </row>
    <row r="145" spans="1:37">
      <c r="A145" t="s">
        <v>235</v>
      </c>
    </row>
    <row r="146" spans="1:37">
      <c r="A146" t="s">
        <v>236</v>
      </c>
    </row>
    <row r="147" spans="1:37">
      <c r="A147" t="s">
        <v>237</v>
      </c>
    </row>
    <row r="148" spans="1:37">
      <c r="A148" t="s">
        <v>238</v>
      </c>
    </row>
    <row r="149" spans="1:37">
      <c r="A149" t="s">
        <v>239</v>
      </c>
      <c r="G149">
        <f>VALUE(LEFT(A148,3))</f>
        <v>28</v>
      </c>
      <c r="H149" t="str">
        <f>SUBSTITUTE(LEFT(A148,5)," ","")</f>
        <v>28NI</v>
      </c>
      <c r="I149" t="str">
        <f>LOWER(RIGHT(A148,LEN(A148)-6))</f>
        <v>nickel</v>
      </c>
      <c r="J149" cm="1">
        <f t="array" ref="J149:AK149">VALUE(_xlfn.TEXTSPLIT(TRIM(CONCATENATE(A149,A150,A151,A152))," "))</f>
        <v>207.7</v>
      </c>
      <c r="K149">
        <v>70.03</v>
      </c>
      <c r="L149">
        <v>31.67</v>
      </c>
      <c r="M149">
        <v>10.050000000000001</v>
      </c>
      <c r="N149">
        <v>4.4219999999999997</v>
      </c>
      <c r="O149">
        <v>2.3540000000000001</v>
      </c>
      <c r="P149">
        <v>1.425</v>
      </c>
      <c r="Q149">
        <v>0.67859999999999998</v>
      </c>
      <c r="R149">
        <v>0.40970000000000001</v>
      </c>
      <c r="S149">
        <v>0.2049</v>
      </c>
      <c r="T149">
        <v>0.14899999999999999</v>
      </c>
      <c r="U149">
        <v>0.1113</v>
      </c>
      <c r="V149">
        <v>9.529E-2</v>
      </c>
      <c r="W149">
        <v>8.5449999999999998E-2</v>
      </c>
      <c r="X149">
        <v>7.8350000000000003E-2</v>
      </c>
      <c r="Y149">
        <v>6.8269999999999997E-2</v>
      </c>
      <c r="Z149">
        <v>6.1159999999999999E-2</v>
      </c>
      <c r="AA149">
        <v>4.9910000000000003E-2</v>
      </c>
      <c r="AB149">
        <v>4.3700000000000003E-2</v>
      </c>
      <c r="AC149">
        <v>3.7339999999999998E-2</v>
      </c>
      <c r="AD149">
        <v>3.4349999999999999E-2</v>
      </c>
      <c r="AE149">
        <v>3.2809999999999999E-2</v>
      </c>
      <c r="AF149">
        <v>3.202E-2</v>
      </c>
      <c r="AG149">
        <v>3.1579999999999997E-2</v>
      </c>
      <c r="AH149">
        <v>3.1800000000000002E-2</v>
      </c>
      <c r="AI149">
        <v>3.3160000000000002E-2</v>
      </c>
      <c r="AJ149">
        <v>3.4720000000000001E-2</v>
      </c>
      <c r="AK149">
        <v>3.755E-2</v>
      </c>
    </row>
    <row r="150" spans="1:37">
      <c r="A150" t="s">
        <v>240</v>
      </c>
    </row>
    <row r="151" spans="1:37">
      <c r="A151" t="s">
        <v>241</v>
      </c>
    </row>
    <row r="152" spans="1:37">
      <c r="A152" t="s">
        <v>242</v>
      </c>
    </row>
    <row r="153" spans="1:37">
      <c r="A153" t="s">
        <v>243</v>
      </c>
    </row>
    <row r="154" spans="1:37">
      <c r="A154" t="s">
        <v>244</v>
      </c>
      <c r="G154">
        <f>VALUE(LEFT(A153,3))</f>
        <v>29</v>
      </c>
      <c r="H154" t="str">
        <f>SUBSTITUTE(LEFT(A153,5)," ","")</f>
        <v>29CU</v>
      </c>
      <c r="I154" t="str">
        <f>LOWER(RIGHT(A153,LEN(A153)-6))</f>
        <v>copper</v>
      </c>
      <c r="J154" cm="1">
        <f t="array" ref="J154:AK154">VALUE(_xlfn.TEXTSPLIT(TRIM(CONCATENATE(A154,A155,A156,A157))," "))</f>
        <v>214.6</v>
      </c>
      <c r="K154">
        <v>73.25</v>
      </c>
      <c r="L154">
        <v>33.25</v>
      </c>
      <c r="M154">
        <v>10.62</v>
      </c>
      <c r="N154">
        <v>4.68</v>
      </c>
      <c r="O154">
        <v>2.4900000000000002</v>
      </c>
      <c r="P154">
        <v>1.504</v>
      </c>
      <c r="Q154">
        <v>0.7097</v>
      </c>
      <c r="R154">
        <v>0.42320000000000002</v>
      </c>
      <c r="S154">
        <v>0.20530000000000001</v>
      </c>
      <c r="T154">
        <v>0.14660000000000001</v>
      </c>
      <c r="U154">
        <v>0.1076</v>
      </c>
      <c r="V154">
        <v>9.1700000000000004E-2</v>
      </c>
      <c r="W154">
        <v>8.2040000000000002E-2</v>
      </c>
      <c r="X154">
        <v>7.5130000000000002E-2</v>
      </c>
      <c r="Y154">
        <v>6.54E-2</v>
      </c>
      <c r="Z154">
        <v>5.8560000000000001E-2</v>
      </c>
      <c r="AA154">
        <v>4.7800000000000002E-2</v>
      </c>
      <c r="AB154">
        <v>4.1880000000000001E-2</v>
      </c>
      <c r="AC154">
        <v>3.5880000000000002E-2</v>
      </c>
      <c r="AD154">
        <v>3.3090000000000001E-2</v>
      </c>
      <c r="AE154">
        <v>3.1690000000000003E-2</v>
      </c>
      <c r="AF154">
        <v>3.1019999999999999E-2</v>
      </c>
      <c r="AG154">
        <v>3.0679999999999999E-2</v>
      </c>
      <c r="AH154">
        <v>3.099E-2</v>
      </c>
      <c r="AI154">
        <v>3.243E-2</v>
      </c>
      <c r="AJ154">
        <v>3.4040000000000001E-2</v>
      </c>
      <c r="AK154">
        <v>3.6900000000000002E-2</v>
      </c>
    </row>
    <row r="155" spans="1:37">
      <c r="A155" t="s">
        <v>245</v>
      </c>
    </row>
    <row r="156" spans="1:37">
      <c r="A156" t="s">
        <v>246</v>
      </c>
    </row>
    <row r="157" spans="1:37">
      <c r="A157" t="s">
        <v>247</v>
      </c>
    </row>
    <row r="158" spans="1:37">
      <c r="A158" t="s">
        <v>248</v>
      </c>
    </row>
    <row r="159" spans="1:37">
      <c r="A159" t="s">
        <v>249</v>
      </c>
      <c r="G159">
        <f>VALUE(LEFT(A158,3))</f>
        <v>30</v>
      </c>
      <c r="H159" t="str">
        <f>SUBSTITUTE(LEFT(A158,5)," ","")</f>
        <v>30ZN</v>
      </c>
      <c r="I159" t="str">
        <f>LOWER(RIGHT(A158,LEN(A158)-6))</f>
        <v>zinc</v>
      </c>
      <c r="J159" cm="1">
        <f t="array" ref="J159:AK159">VALUE(_xlfn.TEXTSPLIT(TRIM(CONCATENATE(A159,A160,A161,A162))," "))</f>
        <v>231.7</v>
      </c>
      <c r="K159">
        <v>80.319999999999993</v>
      </c>
      <c r="L159">
        <v>36.619999999999997</v>
      </c>
      <c r="M159">
        <v>11.75</v>
      </c>
      <c r="N159">
        <v>5.19</v>
      </c>
      <c r="O159">
        <v>2.7610000000000001</v>
      </c>
      <c r="P159">
        <v>1.6639999999999999</v>
      </c>
      <c r="Q159">
        <v>0.77969999999999995</v>
      </c>
      <c r="R159">
        <v>0.4597</v>
      </c>
      <c r="S159">
        <v>0.21679999999999999</v>
      </c>
      <c r="T159">
        <v>0.15179999999999999</v>
      </c>
      <c r="U159">
        <v>0.1096</v>
      </c>
      <c r="V159">
        <v>9.2799999999999994E-2</v>
      </c>
      <c r="W159">
        <v>8.2830000000000001E-2</v>
      </c>
      <c r="X159">
        <v>7.5759999999999994E-2</v>
      </c>
      <c r="Y159">
        <v>6.5869999999999998E-2</v>
      </c>
      <c r="Z159">
        <v>5.8939999999999999E-2</v>
      </c>
      <c r="AA159">
        <v>4.8099999999999997E-2</v>
      </c>
      <c r="AB159">
        <v>4.2189999999999998E-2</v>
      </c>
      <c r="AC159">
        <v>3.6240000000000001E-2</v>
      </c>
      <c r="AD159">
        <v>3.3509999999999998E-2</v>
      </c>
      <c r="AE159">
        <v>3.2169999999999997E-2</v>
      </c>
      <c r="AF159">
        <v>3.1550000000000002E-2</v>
      </c>
      <c r="AG159">
        <v>3.1329999999999997E-2</v>
      </c>
      <c r="AH159">
        <v>3.1710000000000002E-2</v>
      </c>
      <c r="AI159">
        <v>3.3300000000000003E-2</v>
      </c>
      <c r="AJ159">
        <v>3.5060000000000001E-2</v>
      </c>
      <c r="AK159">
        <v>3.8080000000000003E-2</v>
      </c>
    </row>
    <row r="160" spans="1:37">
      <c r="A160" t="s">
        <v>250</v>
      </c>
    </row>
    <row r="161" spans="1:37">
      <c r="A161" t="s">
        <v>251</v>
      </c>
    </row>
    <row r="162" spans="1:37">
      <c r="A162" t="s">
        <v>252</v>
      </c>
    </row>
    <row r="163" spans="1:37">
      <c r="A163" t="s">
        <v>253</v>
      </c>
    </row>
    <row r="164" spans="1:37">
      <c r="A164" t="s">
        <v>254</v>
      </c>
      <c r="G164">
        <f>VALUE(LEFT(A163,3))</f>
        <v>31</v>
      </c>
      <c r="H164" t="str">
        <f>SUBSTITUTE(LEFT(A163,5)," ","")</f>
        <v>31GA</v>
      </c>
      <c r="I164" t="str">
        <f>LOWER(RIGHT(A163,LEN(A163)-6))</f>
        <v>gallium</v>
      </c>
      <c r="J164" cm="1">
        <f t="array" ref="J164:AK164">VALUE(_xlfn.TEXTSPLIT(TRIM(CONCATENATE(A164,A165,A166,A167))," "))</f>
        <v>32.729999999999997</v>
      </c>
      <c r="K164">
        <v>84.5</v>
      </c>
      <c r="L164">
        <v>38.69</v>
      </c>
      <c r="M164">
        <v>12.49</v>
      </c>
      <c r="N164">
        <v>5.5259999999999998</v>
      </c>
      <c r="O164">
        <v>2.94</v>
      </c>
      <c r="P164">
        <v>1.77</v>
      </c>
      <c r="Q164">
        <v>0.82389999999999997</v>
      </c>
      <c r="R164">
        <v>0.48099999999999998</v>
      </c>
      <c r="S164">
        <v>0.22070000000000001</v>
      </c>
      <c r="T164">
        <v>0.15160000000000001</v>
      </c>
      <c r="U164">
        <v>0.1076</v>
      </c>
      <c r="V164">
        <v>9.0569999999999998E-2</v>
      </c>
      <c r="W164">
        <v>8.0610000000000001E-2</v>
      </c>
      <c r="X164">
        <v>7.3639999999999997E-2</v>
      </c>
      <c r="Y164">
        <v>6.3939999999999997E-2</v>
      </c>
      <c r="Z164">
        <v>5.7189999999999998E-2</v>
      </c>
      <c r="AA164">
        <v>4.666E-2</v>
      </c>
      <c r="AB164">
        <v>4.0960000000000003E-2</v>
      </c>
      <c r="AC164">
        <v>3.5270000000000003E-2</v>
      </c>
      <c r="AD164">
        <v>3.2710000000000003E-2</v>
      </c>
      <c r="AE164">
        <v>3.1489999999999997E-2</v>
      </c>
      <c r="AF164">
        <v>3.092E-2</v>
      </c>
      <c r="AG164">
        <v>3.0800000000000001E-2</v>
      </c>
      <c r="AH164">
        <v>3.125E-2</v>
      </c>
      <c r="AI164">
        <v>3.295E-2</v>
      </c>
      <c r="AJ164">
        <v>3.4759999999999999E-2</v>
      </c>
      <c r="AK164">
        <v>3.7850000000000002E-2</v>
      </c>
    </row>
    <row r="165" spans="1:37">
      <c r="A165" t="s">
        <v>255</v>
      </c>
    </row>
    <row r="166" spans="1:37">
      <c r="A166" t="s">
        <v>256</v>
      </c>
    </row>
    <row r="167" spans="1:37">
      <c r="A167" t="s">
        <v>257</v>
      </c>
    </row>
    <row r="168" spans="1:37">
      <c r="A168" t="s">
        <v>258</v>
      </c>
    </row>
    <row r="169" spans="1:37">
      <c r="A169" t="s">
        <v>259</v>
      </c>
      <c r="G169">
        <f>VALUE(LEFT(A168,3))</f>
        <v>32</v>
      </c>
      <c r="H169" t="str">
        <f>SUBSTITUTE(LEFT(A168,5)," ","")</f>
        <v>32GE</v>
      </c>
      <c r="I169" t="str">
        <f>LOWER(RIGHT(A168,LEN(A168)-6))</f>
        <v>germanium</v>
      </c>
      <c r="J169" cm="1">
        <f t="array" ref="J169:AK169">VALUE(_xlfn.TEXTSPLIT(TRIM(CONCATENATE(A169,A170,A171,A172))," "))</f>
        <v>35.89</v>
      </c>
      <c r="K169">
        <v>90.63</v>
      </c>
      <c r="L169">
        <v>41.61</v>
      </c>
      <c r="M169">
        <v>13.51</v>
      </c>
      <c r="N169">
        <v>5.9980000000000002</v>
      </c>
      <c r="O169">
        <v>3.194</v>
      </c>
      <c r="P169">
        <v>1.92</v>
      </c>
      <c r="Q169">
        <v>0.88900000000000001</v>
      </c>
      <c r="R169">
        <v>0.51439999999999997</v>
      </c>
      <c r="S169">
        <v>0.23019999999999999</v>
      </c>
      <c r="T169">
        <v>0.1552</v>
      </c>
      <c r="U169">
        <v>0.1082</v>
      </c>
      <c r="V169">
        <v>9.0450000000000003E-2</v>
      </c>
      <c r="W169">
        <v>8.0310000000000006E-2</v>
      </c>
      <c r="X169">
        <v>7.3249999999999996E-2</v>
      </c>
      <c r="Y169">
        <v>6.3530000000000003E-2</v>
      </c>
      <c r="Z169">
        <v>5.679E-2</v>
      </c>
      <c r="AA169">
        <v>4.6309999999999997E-2</v>
      </c>
      <c r="AB169">
        <v>4.0689999999999997E-2</v>
      </c>
      <c r="AC169">
        <v>3.5130000000000002E-2</v>
      </c>
      <c r="AD169">
        <v>3.2660000000000002E-2</v>
      </c>
      <c r="AE169">
        <v>3.1519999999999999E-2</v>
      </c>
      <c r="AF169">
        <v>3.1009999999999999E-2</v>
      </c>
      <c r="AG169">
        <v>3.0980000000000001E-2</v>
      </c>
      <c r="AH169">
        <v>3.1510000000000003E-2</v>
      </c>
      <c r="AI169">
        <v>3.3369999999999997E-2</v>
      </c>
      <c r="AJ169">
        <v>3.5249999999999997E-2</v>
      </c>
      <c r="AK169">
        <v>3.8460000000000001E-2</v>
      </c>
    </row>
    <row r="170" spans="1:37">
      <c r="A170" t="s">
        <v>260</v>
      </c>
    </row>
    <row r="171" spans="1:37">
      <c r="A171" t="s">
        <v>261</v>
      </c>
    </row>
    <row r="172" spans="1:37">
      <c r="A172" t="s">
        <v>262</v>
      </c>
    </row>
    <row r="173" spans="1:37">
      <c r="A173" t="s">
        <v>263</v>
      </c>
    </row>
    <row r="174" spans="1:37">
      <c r="A174" t="s">
        <v>264</v>
      </c>
      <c r="G174">
        <f>VALUE(LEFT(A173,3))</f>
        <v>33</v>
      </c>
      <c r="H174" t="str">
        <f>SUBSTITUTE(LEFT(A173,5)," ","")</f>
        <v>33AS</v>
      </c>
      <c r="I174" t="str">
        <f>LOWER(RIGHT(A173,LEN(A173)-6))</f>
        <v>arsenic</v>
      </c>
      <c r="J174" cm="1">
        <f t="array" ref="J174:AK174">VALUE(_xlfn.TEXTSPLIT(TRIM(CONCATENATE(A174,A175,A176,A177))," "))</f>
        <v>39.54</v>
      </c>
      <c r="K174">
        <v>97.6</v>
      </c>
      <c r="L174">
        <v>45</v>
      </c>
      <c r="M174">
        <v>14.7</v>
      </c>
      <c r="N174">
        <v>6.54</v>
      </c>
      <c r="O174">
        <v>3.4849999999999999</v>
      </c>
      <c r="P174">
        <v>2.0939999999999999</v>
      </c>
      <c r="Q174">
        <v>0.96519999999999995</v>
      </c>
      <c r="R174">
        <v>0.55410000000000004</v>
      </c>
      <c r="S174">
        <v>0.24229999999999999</v>
      </c>
      <c r="T174">
        <v>0.16039999999999999</v>
      </c>
      <c r="U174">
        <v>0.10970000000000001</v>
      </c>
      <c r="V174">
        <v>9.1149999999999995E-2</v>
      </c>
      <c r="W174">
        <v>8.0659999999999996E-2</v>
      </c>
      <c r="X174">
        <v>7.3450000000000001E-2</v>
      </c>
      <c r="Y174">
        <v>6.361E-2</v>
      </c>
      <c r="Z174">
        <v>5.6820000000000002E-2</v>
      </c>
      <c r="AA174">
        <v>4.6339999999999999E-2</v>
      </c>
      <c r="AB174">
        <v>4.0750000000000001E-2</v>
      </c>
      <c r="AC174">
        <v>3.5270000000000003E-2</v>
      </c>
      <c r="AD174">
        <v>3.2870000000000003E-2</v>
      </c>
      <c r="AE174">
        <v>3.1800000000000002E-2</v>
      </c>
      <c r="AF174">
        <v>3.134E-2</v>
      </c>
      <c r="AG174">
        <v>3.1399999999999997E-2</v>
      </c>
      <c r="AH174">
        <v>3.202E-2</v>
      </c>
      <c r="AI174">
        <v>3.4009999999999999E-2</v>
      </c>
      <c r="AJ174">
        <v>3.5990000000000001E-2</v>
      </c>
      <c r="AK174">
        <v>3.9359999999999999E-2</v>
      </c>
    </row>
    <row r="175" spans="1:37">
      <c r="A175" t="s">
        <v>265</v>
      </c>
    </row>
    <row r="176" spans="1:37">
      <c r="A176" t="s">
        <v>266</v>
      </c>
    </row>
    <row r="177" spans="1:37">
      <c r="A177" t="s">
        <v>267</v>
      </c>
    </row>
    <row r="178" spans="1:37">
      <c r="A178" t="s">
        <v>268</v>
      </c>
    </row>
    <row r="179" spans="1:37">
      <c r="A179" t="s">
        <v>269</v>
      </c>
      <c r="G179">
        <f>VALUE(LEFT(A178,3))</f>
        <v>34</v>
      </c>
      <c r="H179" t="str">
        <f>SUBSTITUTE(LEFT(A178,5)," ","")</f>
        <v>34SE</v>
      </c>
      <c r="I179" t="str">
        <f>LOWER(RIGHT(A178,LEN(A178)-6))</f>
        <v>selenium</v>
      </c>
      <c r="J179" cm="1">
        <f t="array" ref="J179:AK179">VALUE(_xlfn.TEXTSPLIT(TRIM(CONCATENATE(A179,A180,A181,A182))," "))</f>
        <v>42.49</v>
      </c>
      <c r="K179">
        <v>102.2</v>
      </c>
      <c r="L179">
        <v>47.52</v>
      </c>
      <c r="M179">
        <v>15.6</v>
      </c>
      <c r="N179">
        <v>6.9560000000000004</v>
      </c>
      <c r="O179">
        <v>3.7090000000000001</v>
      </c>
      <c r="P179">
        <v>2.2290000000000001</v>
      </c>
      <c r="Q179">
        <v>1.0229999999999999</v>
      </c>
      <c r="R179">
        <v>0.58350000000000002</v>
      </c>
      <c r="S179">
        <v>0.24959999999999999</v>
      </c>
      <c r="T179">
        <v>0.1623</v>
      </c>
      <c r="U179">
        <v>0.109</v>
      </c>
      <c r="V179">
        <v>8.992E-2</v>
      </c>
      <c r="W179">
        <v>7.9289999999999999E-2</v>
      </c>
      <c r="X179">
        <v>7.2080000000000005E-2</v>
      </c>
      <c r="Y179">
        <v>6.232E-2</v>
      </c>
      <c r="Z179">
        <v>5.5640000000000002E-2</v>
      </c>
      <c r="AA179">
        <v>4.5359999999999998E-2</v>
      </c>
      <c r="AB179">
        <v>3.9910000000000001E-2</v>
      </c>
      <c r="AC179">
        <v>3.4639999999999997E-2</v>
      </c>
      <c r="AD179">
        <v>3.2379999999999999E-2</v>
      </c>
      <c r="AE179">
        <v>3.1370000000000002E-2</v>
      </c>
      <c r="AF179">
        <v>3.099E-2</v>
      </c>
      <c r="AG179">
        <v>3.1130000000000001E-2</v>
      </c>
      <c r="AH179">
        <v>3.1820000000000001E-2</v>
      </c>
      <c r="AI179">
        <v>3.3910000000000003E-2</v>
      </c>
      <c r="AJ179">
        <v>3.5959999999999999E-2</v>
      </c>
      <c r="AK179">
        <v>3.9379999999999998E-2</v>
      </c>
    </row>
    <row r="180" spans="1:37">
      <c r="A180" t="s">
        <v>270</v>
      </c>
    </row>
    <row r="181" spans="1:37">
      <c r="A181" t="s">
        <v>271</v>
      </c>
    </row>
    <row r="182" spans="1:37">
      <c r="A182" t="s">
        <v>272</v>
      </c>
    </row>
    <row r="183" spans="1:37">
      <c r="A183" t="s">
        <v>273</v>
      </c>
    </row>
    <row r="184" spans="1:37">
      <c r="A184" t="s">
        <v>274</v>
      </c>
      <c r="G184">
        <f>VALUE(LEFT(A183,3))</f>
        <v>35</v>
      </c>
      <c r="H184" t="str">
        <f>SUBSTITUTE(LEFT(A183,5)," ","")</f>
        <v>35BR</v>
      </c>
      <c r="I184" t="str">
        <f>LOWER(RIGHT(A183,LEN(A183)-6))</f>
        <v>bromine</v>
      </c>
      <c r="J184" cm="1">
        <f t="array" ref="J184:AK184">VALUE(_xlfn.TEXTSPLIT(TRIM(CONCATENATE(A184,A185,A186,A187))," "))</f>
        <v>47.37</v>
      </c>
      <c r="K184">
        <v>110.9</v>
      </c>
      <c r="L184">
        <v>51.95</v>
      </c>
      <c r="M184">
        <v>17.14</v>
      </c>
      <c r="N184">
        <v>7.657</v>
      </c>
      <c r="O184">
        <v>4.0970000000000004</v>
      </c>
      <c r="P184">
        <v>2.4620000000000002</v>
      </c>
      <c r="Q184">
        <v>1.127</v>
      </c>
      <c r="R184">
        <v>0.63870000000000005</v>
      </c>
      <c r="S184">
        <v>0.26779999999999998</v>
      </c>
      <c r="T184">
        <v>0.1711</v>
      </c>
      <c r="U184">
        <v>0.1128</v>
      </c>
      <c r="V184">
        <v>9.2270000000000005E-2</v>
      </c>
      <c r="W184">
        <v>8.1129999999999994E-2</v>
      </c>
      <c r="X184">
        <v>7.3630000000000001E-2</v>
      </c>
      <c r="Y184">
        <v>6.3549999999999995E-2</v>
      </c>
      <c r="Z184">
        <v>5.6689999999999997E-2</v>
      </c>
      <c r="AA184">
        <v>4.6199999999999998E-2</v>
      </c>
      <c r="AB184">
        <v>4.0689999999999997E-2</v>
      </c>
      <c r="AC184">
        <v>3.5400000000000001E-2</v>
      </c>
      <c r="AD184">
        <v>3.3169999999999998E-2</v>
      </c>
      <c r="AE184">
        <v>3.2210000000000003E-2</v>
      </c>
      <c r="AF184">
        <v>3.1879999999999999E-2</v>
      </c>
      <c r="AG184">
        <v>3.2120000000000003E-2</v>
      </c>
      <c r="AH184">
        <v>3.2890000000000003E-2</v>
      </c>
      <c r="AI184">
        <v>3.517E-2</v>
      </c>
      <c r="AJ184">
        <v>3.7339999999999998E-2</v>
      </c>
      <c r="AK184">
        <v>4.0969999999999999E-2</v>
      </c>
    </row>
    <row r="185" spans="1:37">
      <c r="A185" t="s">
        <v>275</v>
      </c>
    </row>
    <row r="186" spans="1:37">
      <c r="A186" t="s">
        <v>276</v>
      </c>
    </row>
    <row r="187" spans="1:37">
      <c r="A187" t="s">
        <v>277</v>
      </c>
    </row>
    <row r="188" spans="1:37">
      <c r="A188" t="s">
        <v>278</v>
      </c>
    </row>
    <row r="189" spans="1:37">
      <c r="A189" t="s">
        <v>279</v>
      </c>
      <c r="G189">
        <f>VALUE(LEFT(A188,3))</f>
        <v>36</v>
      </c>
      <c r="H189" t="str">
        <f>SUBSTITUTE(LEFT(A188,5)," ","")</f>
        <v>36KR</v>
      </c>
      <c r="I189" t="str">
        <f>LOWER(RIGHT(A188,LEN(A188)-6))</f>
        <v>krypton</v>
      </c>
      <c r="J189" cm="1">
        <f t="array" ref="J189:AK189">VALUE(_xlfn.TEXTSPLIT(TRIM(CONCATENATE(A189,A190,A191,A192))," "))</f>
        <v>50.79</v>
      </c>
      <c r="K189">
        <v>115.7</v>
      </c>
      <c r="L189">
        <v>54.76</v>
      </c>
      <c r="M189">
        <v>18.13</v>
      </c>
      <c r="N189">
        <v>8.1379999999999999</v>
      </c>
      <c r="O189">
        <v>4.3520000000000003</v>
      </c>
      <c r="P189">
        <v>2.6150000000000002</v>
      </c>
      <c r="Q189">
        <v>1.1930000000000001</v>
      </c>
      <c r="R189">
        <v>0.67320000000000002</v>
      </c>
      <c r="S189">
        <v>0.27700000000000002</v>
      </c>
      <c r="T189">
        <v>0.1741</v>
      </c>
      <c r="U189">
        <v>0.11260000000000001</v>
      </c>
      <c r="V189">
        <v>9.1410000000000005E-2</v>
      </c>
      <c r="W189">
        <v>8.0070000000000002E-2</v>
      </c>
      <c r="X189">
        <v>7.2529999999999997E-2</v>
      </c>
      <c r="Y189">
        <v>6.2489999999999997E-2</v>
      </c>
      <c r="Z189">
        <v>5.57E-2</v>
      </c>
      <c r="AA189">
        <v>4.5379999999999997E-2</v>
      </c>
      <c r="AB189">
        <v>0.04</v>
      </c>
      <c r="AC189">
        <v>3.4889999999999997E-2</v>
      </c>
      <c r="AD189">
        <v>3.2759999999999997E-2</v>
      </c>
      <c r="AE189">
        <v>3.1879999999999999E-2</v>
      </c>
      <c r="AF189">
        <v>3.1609999999999999E-2</v>
      </c>
      <c r="AG189">
        <v>3.1940000000000003E-2</v>
      </c>
      <c r="AH189">
        <v>3.2759999999999997E-2</v>
      </c>
      <c r="AI189">
        <v>3.5139999999999998E-2</v>
      </c>
      <c r="AJ189">
        <v>3.737E-2</v>
      </c>
      <c r="AK189">
        <v>4.1079999999999998E-2</v>
      </c>
    </row>
    <row r="190" spans="1:37">
      <c r="A190" t="s">
        <v>280</v>
      </c>
    </row>
    <row r="191" spans="1:37">
      <c r="A191" t="s">
        <v>281</v>
      </c>
    </row>
    <row r="192" spans="1:37">
      <c r="A192" t="s">
        <v>282</v>
      </c>
    </row>
    <row r="193" spans="1:37">
      <c r="A193" t="s">
        <v>283</v>
      </c>
    </row>
    <row r="194" spans="1:37">
      <c r="A194" t="s">
        <v>284</v>
      </c>
      <c r="G194">
        <f>VALUE(LEFT(A193,3))</f>
        <v>37</v>
      </c>
      <c r="H194" t="str">
        <f>SUBSTITUTE(LEFT(A193,5)," ","")</f>
        <v>37RB</v>
      </c>
      <c r="I194" t="str">
        <f>LOWER(RIGHT(A193,LEN(A193)-6))</f>
        <v>rubidium</v>
      </c>
      <c r="J194" cm="1">
        <f t="array" ref="J194:AK194">VALUE(_xlfn.TEXTSPLIT(TRIM(CONCATENATE(A194,A195,A196,A197))," "))</f>
        <v>55.82</v>
      </c>
      <c r="K194">
        <v>17.97</v>
      </c>
      <c r="L194">
        <v>59.05</v>
      </c>
      <c r="M194">
        <v>19.670000000000002</v>
      </c>
      <c r="N194">
        <v>8.8460000000000001</v>
      </c>
      <c r="O194">
        <v>4.7380000000000004</v>
      </c>
      <c r="P194">
        <v>2.8479999999999999</v>
      </c>
      <c r="Q194">
        <v>1.2969999999999999</v>
      </c>
      <c r="R194">
        <v>0.72819999999999996</v>
      </c>
      <c r="S194">
        <v>0.29459999999999997</v>
      </c>
      <c r="T194">
        <v>0.18210000000000001</v>
      </c>
      <c r="U194">
        <v>0.11559999999999999</v>
      </c>
      <c r="V194">
        <v>9.3109999999999998E-2</v>
      </c>
      <c r="W194">
        <v>8.1240000000000007E-2</v>
      </c>
      <c r="X194">
        <v>7.3440000000000005E-2</v>
      </c>
      <c r="Y194">
        <v>6.3159999999999994E-2</v>
      </c>
      <c r="Z194">
        <v>5.6250000000000001E-2</v>
      </c>
      <c r="AA194">
        <v>4.58E-2</v>
      </c>
      <c r="AB194">
        <v>4.0399999999999998E-2</v>
      </c>
      <c r="AC194">
        <v>3.5319999999999997E-2</v>
      </c>
      <c r="AD194">
        <v>3.3250000000000002E-2</v>
      </c>
      <c r="AE194">
        <v>3.2419999999999997E-2</v>
      </c>
      <c r="AF194">
        <v>3.2210000000000003E-2</v>
      </c>
      <c r="AG194">
        <v>3.2620000000000003E-2</v>
      </c>
      <c r="AH194">
        <v>3.3520000000000001E-2</v>
      </c>
      <c r="AI194">
        <v>3.6049999999999999E-2</v>
      </c>
      <c r="AJ194">
        <v>3.841E-2</v>
      </c>
      <c r="AK194">
        <v>4.2290000000000001E-2</v>
      </c>
    </row>
    <row r="195" spans="1:37">
      <c r="A195" t="s">
        <v>285</v>
      </c>
    </row>
    <row r="196" spans="1:37">
      <c r="A196" t="s">
        <v>286</v>
      </c>
    </row>
    <row r="197" spans="1:37">
      <c r="A197" t="s">
        <v>287</v>
      </c>
    </row>
    <row r="198" spans="1:37">
      <c r="A198" t="s">
        <v>288</v>
      </c>
    </row>
    <row r="199" spans="1:37">
      <c r="A199" t="s">
        <v>289</v>
      </c>
      <c r="G199">
        <f>VALUE(LEFT(A198,3))</f>
        <v>38</v>
      </c>
      <c r="H199" t="str">
        <f>SUBSTITUTE(LEFT(A198,5)," ","")</f>
        <v>38SR</v>
      </c>
      <c r="I199" t="str">
        <f>LOWER(RIGHT(A198,LEN(A198)-6))</f>
        <v>strontium</v>
      </c>
      <c r="J199" cm="1">
        <f t="array" ref="J199:AK199">VALUE(_xlfn.TEXTSPLIT(TRIM(CONCATENATE(A199,A200,A201,A202))," "))</f>
        <v>60.82</v>
      </c>
      <c r="K199">
        <v>19.62</v>
      </c>
      <c r="L199">
        <v>63.08</v>
      </c>
      <c r="M199">
        <v>21.12</v>
      </c>
      <c r="N199">
        <v>9.5419999999999998</v>
      </c>
      <c r="O199">
        <v>5.1159999999999997</v>
      </c>
      <c r="P199">
        <v>3.077</v>
      </c>
      <c r="Q199">
        <v>1.4</v>
      </c>
      <c r="R199">
        <v>0.7823</v>
      </c>
      <c r="S199">
        <v>0.3115</v>
      </c>
      <c r="T199">
        <v>0.18970000000000001</v>
      </c>
      <c r="U199">
        <v>0.1181</v>
      </c>
      <c r="V199">
        <v>9.4280000000000003E-2</v>
      </c>
      <c r="W199">
        <v>8.1979999999999997E-2</v>
      </c>
      <c r="X199">
        <v>7.392E-2</v>
      </c>
      <c r="Y199">
        <v>6.3450000000000006E-2</v>
      </c>
      <c r="Z199">
        <v>5.6469999999999999E-2</v>
      </c>
      <c r="AA199">
        <v>4.5960000000000001E-2</v>
      </c>
      <c r="AB199">
        <v>4.0579999999999998E-2</v>
      </c>
      <c r="AC199">
        <v>3.5549999999999998E-2</v>
      </c>
      <c r="AD199">
        <v>3.3550000000000003E-2</v>
      </c>
      <c r="AE199">
        <v>3.2779999999999997E-2</v>
      </c>
      <c r="AF199">
        <v>3.261E-2</v>
      </c>
      <c r="AG199">
        <v>3.3119999999999997E-2</v>
      </c>
      <c r="AH199">
        <v>3.4090000000000002E-2</v>
      </c>
      <c r="AI199">
        <v>3.6790000000000003E-2</v>
      </c>
      <c r="AJ199">
        <v>3.9230000000000001E-2</v>
      </c>
      <c r="AK199">
        <v>4.3249999999999997E-2</v>
      </c>
    </row>
    <row r="200" spans="1:37">
      <c r="A200" t="s">
        <v>290</v>
      </c>
    </row>
    <row r="201" spans="1:37">
      <c r="A201" t="s">
        <v>291</v>
      </c>
    </row>
    <row r="202" spans="1:37">
      <c r="A202" t="s">
        <v>292</v>
      </c>
    </row>
    <row r="203" spans="1:37">
      <c r="A203" t="s">
        <v>293</v>
      </c>
    </row>
    <row r="204" spans="1:37">
      <c r="A204" t="s">
        <v>294</v>
      </c>
      <c r="G204">
        <f>VALUE(LEFT(A203,3))</f>
        <v>39</v>
      </c>
      <c r="H204" t="str">
        <f>SUBSTITUTE(LEFT(A203,5)," ","")</f>
        <v>39Y</v>
      </c>
      <c r="I204" t="str">
        <f>LOWER(RIGHT(A203,LEN(A203)-6))</f>
        <v>yttrium</v>
      </c>
      <c r="J204" cm="1">
        <f t="array" ref="J204:AK204">VALUE(_xlfn.TEXTSPLIT(TRIM(CONCATENATE(A204,A205,A206,A207))," "))</f>
        <v>66.72</v>
      </c>
      <c r="K204">
        <v>21.56</v>
      </c>
      <c r="L204">
        <v>67.73</v>
      </c>
      <c r="M204">
        <v>22.84</v>
      </c>
      <c r="N204">
        <v>10.36</v>
      </c>
      <c r="O204">
        <v>5.5640000000000001</v>
      </c>
      <c r="P204">
        <v>3.3479999999999999</v>
      </c>
      <c r="Q204">
        <v>1.522</v>
      </c>
      <c r="R204">
        <v>0.84740000000000004</v>
      </c>
      <c r="S204">
        <v>0.33260000000000001</v>
      </c>
      <c r="T204">
        <v>0.19939999999999999</v>
      </c>
      <c r="U204">
        <v>0.12180000000000001</v>
      </c>
      <c r="V204">
        <v>9.6549999999999997E-2</v>
      </c>
      <c r="W204">
        <v>8.3559999999999995E-2</v>
      </c>
      <c r="X204">
        <v>7.5179999999999997E-2</v>
      </c>
      <c r="Y204">
        <v>6.4390000000000003E-2</v>
      </c>
      <c r="Z204">
        <v>5.7239999999999999E-2</v>
      </c>
      <c r="AA204">
        <v>4.6559999999999997E-2</v>
      </c>
      <c r="AB204">
        <v>4.1140000000000003E-2</v>
      </c>
      <c r="AC204">
        <v>3.6150000000000002E-2</v>
      </c>
      <c r="AD204">
        <v>3.4180000000000002E-2</v>
      </c>
      <c r="AE204">
        <v>3.347E-2</v>
      </c>
      <c r="AF204">
        <v>3.3340000000000002E-2</v>
      </c>
      <c r="AG204">
        <v>3.3930000000000002E-2</v>
      </c>
      <c r="AH204">
        <v>3.499E-2</v>
      </c>
      <c r="AI204">
        <v>3.7859999999999998E-2</v>
      </c>
      <c r="AJ204">
        <v>4.0439999999999997E-2</v>
      </c>
      <c r="AK204">
        <v>4.4659999999999998E-2</v>
      </c>
    </row>
    <row r="205" spans="1:37">
      <c r="A205" t="s">
        <v>295</v>
      </c>
    </row>
    <row r="206" spans="1:37">
      <c r="A206" t="s">
        <v>296</v>
      </c>
    </row>
    <row r="207" spans="1:37">
      <c r="A207" t="s">
        <v>297</v>
      </c>
    </row>
    <row r="208" spans="1:37">
      <c r="A208" t="s">
        <v>298</v>
      </c>
    </row>
    <row r="209" spans="1:37">
      <c r="A209" t="s">
        <v>299</v>
      </c>
      <c r="G209">
        <f>VALUE(LEFT(A208,3))</f>
        <v>40</v>
      </c>
      <c r="H209" t="str">
        <f>SUBSTITUTE(LEFT(A208,5)," ","")</f>
        <v>40ZR</v>
      </c>
      <c r="I209" t="str">
        <f>LOWER(RIGHT(A208,LEN(A208)-6))</f>
        <v>zirconium</v>
      </c>
      <c r="J209" cm="1">
        <f t="array" ref="J209:AK209">VALUE(_xlfn.TEXTSPLIT(TRIM(CONCATENATE(A209,A210,A211,A212))," "))</f>
        <v>72.12</v>
      </c>
      <c r="K209">
        <v>23.35</v>
      </c>
      <c r="L209">
        <v>71.510000000000005</v>
      </c>
      <c r="M209">
        <v>24.38</v>
      </c>
      <c r="N209">
        <v>11.09</v>
      </c>
      <c r="O209">
        <v>5.9660000000000002</v>
      </c>
      <c r="P209">
        <v>3.5920000000000001</v>
      </c>
      <c r="Q209">
        <v>1.631</v>
      </c>
      <c r="R209">
        <v>0.90610000000000002</v>
      </c>
      <c r="S209">
        <v>0.35089999999999999</v>
      </c>
      <c r="T209">
        <v>0.20749999999999999</v>
      </c>
      <c r="U209">
        <v>0.1244</v>
      </c>
      <c r="V209">
        <v>9.7640000000000005E-2</v>
      </c>
      <c r="W209">
        <v>8.4199999999999997E-2</v>
      </c>
      <c r="X209">
        <v>7.5600000000000001E-2</v>
      </c>
      <c r="Y209">
        <v>6.4589999999999995E-2</v>
      </c>
      <c r="Z209">
        <v>5.7360000000000001E-2</v>
      </c>
      <c r="AA209">
        <v>4.6629999999999998E-2</v>
      </c>
      <c r="AB209">
        <v>4.1230000000000003E-2</v>
      </c>
      <c r="AC209">
        <v>3.6299999999999999E-2</v>
      </c>
      <c r="AD209">
        <v>3.4410000000000003E-2</v>
      </c>
      <c r="AE209">
        <v>3.3759999999999998E-2</v>
      </c>
      <c r="AF209">
        <v>3.3669999999999999E-2</v>
      </c>
      <c r="AG209">
        <v>3.4349999999999999E-2</v>
      </c>
      <c r="AH209">
        <v>3.5490000000000001E-2</v>
      </c>
      <c r="AI209">
        <v>3.8510000000000003E-2</v>
      </c>
      <c r="AJ209">
        <v>4.1180000000000001E-2</v>
      </c>
      <c r="AK209">
        <v>4.5530000000000001E-2</v>
      </c>
    </row>
    <row r="210" spans="1:37">
      <c r="A210" t="s">
        <v>300</v>
      </c>
    </row>
    <row r="211" spans="1:37">
      <c r="A211" t="s">
        <v>301</v>
      </c>
    </row>
    <row r="212" spans="1:37">
      <c r="A212" t="s">
        <v>302</v>
      </c>
    </row>
    <row r="213" spans="1:37">
      <c r="A213" t="s">
        <v>303</v>
      </c>
    </row>
    <row r="214" spans="1:37">
      <c r="A214" t="s">
        <v>304</v>
      </c>
      <c r="G214">
        <f>VALUE(LEFT(A213,3))</f>
        <v>41</v>
      </c>
      <c r="H214" t="str">
        <f>SUBSTITUTE(LEFT(A213,5)," ","")</f>
        <v>41NB</v>
      </c>
      <c r="I214" t="str">
        <f>LOWER(RIGHT(A213,LEN(A213)-6))</f>
        <v>niobium</v>
      </c>
      <c r="J214" cm="1">
        <f t="array" ref="J214:AK214">VALUE(_xlfn.TEXTSPLIT(TRIM(CONCATENATE(A214,A215,A216,A217))," "))</f>
        <v>78.260000000000005</v>
      </c>
      <c r="K214">
        <v>25.39</v>
      </c>
      <c r="L214">
        <v>76.23</v>
      </c>
      <c r="M214">
        <v>26.16</v>
      </c>
      <c r="N214">
        <v>11.91</v>
      </c>
      <c r="O214">
        <v>6.4260000000000002</v>
      </c>
      <c r="P214">
        <v>3.8740000000000001</v>
      </c>
      <c r="Q214">
        <v>1.7589999999999999</v>
      </c>
      <c r="R214">
        <v>0.97309999999999997</v>
      </c>
      <c r="S214">
        <v>0.37280000000000002</v>
      </c>
      <c r="T214">
        <v>0.21740000000000001</v>
      </c>
      <c r="U214">
        <v>0.12790000000000001</v>
      </c>
      <c r="V214">
        <v>9.9540000000000003E-2</v>
      </c>
      <c r="W214">
        <v>8.5459999999999994E-2</v>
      </c>
      <c r="X214">
        <v>7.6550000000000007E-2</v>
      </c>
      <c r="Y214">
        <v>6.5240000000000006E-2</v>
      </c>
      <c r="Z214">
        <v>5.7880000000000001E-2</v>
      </c>
      <c r="AA214">
        <v>4.7030000000000002E-2</v>
      </c>
      <c r="AB214">
        <v>4.1599999999999998E-2</v>
      </c>
      <c r="AC214">
        <v>3.6720000000000003E-2</v>
      </c>
      <c r="AD214">
        <v>3.4880000000000001E-2</v>
      </c>
      <c r="AE214">
        <v>3.4270000000000002E-2</v>
      </c>
      <c r="AF214">
        <v>3.424E-2</v>
      </c>
      <c r="AG214">
        <v>3.5020000000000003E-2</v>
      </c>
      <c r="AH214">
        <v>3.6229999999999998E-2</v>
      </c>
      <c r="AI214">
        <v>3.9399999999999998E-2</v>
      </c>
      <c r="AJ214">
        <v>4.2200000000000001E-2</v>
      </c>
      <c r="AK214">
        <v>4.6719999999999998E-2</v>
      </c>
    </row>
    <row r="215" spans="1:37">
      <c r="A215" t="s">
        <v>305</v>
      </c>
    </row>
    <row r="216" spans="1:37">
      <c r="A216" t="s">
        <v>306</v>
      </c>
    </row>
    <row r="217" spans="1:37">
      <c r="A217" t="s">
        <v>307</v>
      </c>
    </row>
    <row r="218" spans="1:37">
      <c r="A218" t="s">
        <v>308</v>
      </c>
    </row>
    <row r="219" spans="1:37">
      <c r="A219" t="s">
        <v>309</v>
      </c>
      <c r="G219">
        <f>VALUE(LEFT(A218,3))</f>
        <v>42</v>
      </c>
      <c r="H219" t="str">
        <f>SUBSTITUTE(LEFT(A218,5)," ","")</f>
        <v>42MO</v>
      </c>
      <c r="I219" t="str">
        <f>LOWER(RIGHT(A218,LEN(A218)-6))</f>
        <v>molybdenum</v>
      </c>
      <c r="J219" cm="1">
        <f t="array" ref="J219:AK219">VALUE(_xlfn.TEXTSPLIT(TRIM(CONCATENATE(A219,A220,A221,A222))," "))</f>
        <v>83.58</v>
      </c>
      <c r="K219">
        <v>27.16</v>
      </c>
      <c r="L219">
        <v>78.62</v>
      </c>
      <c r="M219">
        <v>27.59</v>
      </c>
      <c r="N219">
        <v>12.61</v>
      </c>
      <c r="O219">
        <v>6.8120000000000003</v>
      </c>
      <c r="P219">
        <v>4.1100000000000003</v>
      </c>
      <c r="Q219">
        <v>1.8640000000000001</v>
      </c>
      <c r="R219">
        <v>1.0309999999999999</v>
      </c>
      <c r="S219">
        <v>0.39019999999999999</v>
      </c>
      <c r="T219">
        <v>0.22459999999999999</v>
      </c>
      <c r="U219">
        <v>0.1298</v>
      </c>
      <c r="V219">
        <v>0.10009999999999999</v>
      </c>
      <c r="W219">
        <v>8.5529999999999995E-2</v>
      </c>
      <c r="X219">
        <v>7.6380000000000003E-2</v>
      </c>
      <c r="Y219">
        <v>6.497E-2</v>
      </c>
      <c r="Z219">
        <v>5.7570000000000003E-2</v>
      </c>
      <c r="AA219">
        <v>4.6730000000000001E-2</v>
      </c>
      <c r="AB219">
        <v>4.138E-2</v>
      </c>
      <c r="AC219">
        <v>3.6609999999999997E-2</v>
      </c>
      <c r="AD219">
        <v>3.4849999999999999E-2</v>
      </c>
      <c r="AE219">
        <v>3.4299999999999997E-2</v>
      </c>
      <c r="AF219">
        <v>3.4329999999999999E-2</v>
      </c>
      <c r="AG219">
        <v>3.517E-2</v>
      </c>
      <c r="AH219">
        <v>3.6450000000000003E-2</v>
      </c>
      <c r="AI219">
        <v>3.9739999999999998E-2</v>
      </c>
      <c r="AJ219">
        <v>4.2610000000000002E-2</v>
      </c>
      <c r="AK219">
        <v>4.7210000000000002E-2</v>
      </c>
    </row>
    <row r="220" spans="1:37">
      <c r="A220" t="s">
        <v>310</v>
      </c>
    </row>
    <row r="221" spans="1:37">
      <c r="A221" t="s">
        <v>311</v>
      </c>
    </row>
    <row r="222" spans="1:37">
      <c r="A222" t="s">
        <v>312</v>
      </c>
    </row>
    <row r="223" spans="1:37">
      <c r="A223" t="s">
        <v>313</v>
      </c>
    </row>
    <row r="224" spans="1:37">
      <c r="A224" t="s">
        <v>314</v>
      </c>
      <c r="G224">
        <f>VALUE(LEFT(A223,3))</f>
        <v>43</v>
      </c>
      <c r="H224" t="str">
        <f>SUBSTITUTE(LEFT(A223,5)," ","")</f>
        <v>43TC</v>
      </c>
      <c r="I224" t="str">
        <f>LOWER(RIGHT(A223,LEN(A223)-6))</f>
        <v>technetium</v>
      </c>
      <c r="J224" cm="1">
        <f t="array" ref="J224:AK224">VALUE(_xlfn.TEXTSPLIT(TRIM(CONCATENATE(A224,A225,A226,A227))," "))</f>
        <v>90.09</v>
      </c>
      <c r="K224">
        <v>29.35</v>
      </c>
      <c r="L224">
        <v>13.14</v>
      </c>
      <c r="M224">
        <v>29.4</v>
      </c>
      <c r="N224">
        <v>13.46</v>
      </c>
      <c r="O224">
        <v>7.2889999999999997</v>
      </c>
      <c r="P224">
        <v>4.4000000000000004</v>
      </c>
      <c r="Q224">
        <v>1.9970000000000001</v>
      </c>
      <c r="R224">
        <v>1.101</v>
      </c>
      <c r="S224">
        <v>0.41289999999999999</v>
      </c>
      <c r="T224">
        <v>0.2349</v>
      </c>
      <c r="U224">
        <v>0.13339999999999999</v>
      </c>
      <c r="V224">
        <v>0.1018</v>
      </c>
      <c r="W224">
        <v>8.6550000000000002E-2</v>
      </c>
      <c r="X224">
        <v>7.7160000000000006E-2</v>
      </c>
      <c r="Y224">
        <v>6.5430000000000002E-2</v>
      </c>
      <c r="Z224">
        <v>5.7919999999999999E-2</v>
      </c>
      <c r="AA224">
        <v>4.6989999999999997E-2</v>
      </c>
      <c r="AB224">
        <v>4.163E-2</v>
      </c>
      <c r="AC224">
        <v>3.6900000000000002E-2</v>
      </c>
      <c r="AD224">
        <v>3.5209999999999998E-2</v>
      </c>
      <c r="AE224">
        <v>3.4729999999999997E-2</v>
      </c>
      <c r="AF224">
        <v>3.4790000000000001E-2</v>
      </c>
      <c r="AG224">
        <v>3.5720000000000002E-2</v>
      </c>
      <c r="AH224">
        <v>3.7069999999999999E-2</v>
      </c>
      <c r="AI224">
        <v>4.0509999999999997E-2</v>
      </c>
      <c r="AJ224">
        <v>4.3490000000000001E-2</v>
      </c>
      <c r="AK224">
        <v>4.8250000000000001E-2</v>
      </c>
    </row>
    <row r="225" spans="1:37">
      <c r="A225" t="s">
        <v>315</v>
      </c>
    </row>
    <row r="226" spans="1:37">
      <c r="A226" t="s">
        <v>316</v>
      </c>
    </row>
    <row r="227" spans="1:37">
      <c r="A227" t="s">
        <v>317</v>
      </c>
    </row>
    <row r="228" spans="1:37">
      <c r="A228" t="s">
        <v>318</v>
      </c>
    </row>
    <row r="229" spans="1:37">
      <c r="A229" t="s">
        <v>319</v>
      </c>
      <c r="G229">
        <f>VALUE(LEFT(A228,3))</f>
        <v>44</v>
      </c>
      <c r="H229" t="str">
        <f>SUBSTITUTE(LEFT(A228,5)," ","")</f>
        <v>44RU</v>
      </c>
      <c r="I229" t="str">
        <f>LOWER(RIGHT(A228,LEN(A228)-6))</f>
        <v>ruthenium</v>
      </c>
      <c r="J229" cm="1">
        <f t="array" ref="J229:AK229">VALUE(_xlfn.TEXTSPLIT(TRIM(CONCATENATE(A229,A230,A231,A232))," "))</f>
        <v>95.73</v>
      </c>
      <c r="K229">
        <v>31.25</v>
      </c>
      <c r="L229">
        <v>14.01</v>
      </c>
      <c r="M229">
        <v>30.86</v>
      </c>
      <c r="N229">
        <v>14.17</v>
      </c>
      <c r="O229">
        <v>7.681</v>
      </c>
      <c r="P229">
        <v>4.6459999999999999</v>
      </c>
      <c r="Q229">
        <v>2.11</v>
      </c>
      <c r="R229">
        <v>1.1619999999999999</v>
      </c>
      <c r="S229">
        <v>0.43159999999999998</v>
      </c>
      <c r="T229">
        <v>0.2427</v>
      </c>
      <c r="U229">
        <v>0.1353</v>
      </c>
      <c r="V229">
        <v>0.1024</v>
      </c>
      <c r="W229">
        <v>8.6639999999999995E-2</v>
      </c>
      <c r="X229">
        <v>7.7039999999999997E-2</v>
      </c>
      <c r="Y229">
        <v>6.5159999999999996E-2</v>
      </c>
      <c r="Z229">
        <v>5.7590000000000002E-2</v>
      </c>
      <c r="AA229">
        <v>4.6670000000000003E-2</v>
      </c>
      <c r="AB229">
        <v>4.1369999999999997E-2</v>
      </c>
      <c r="AC229">
        <v>3.6760000000000001E-2</v>
      </c>
      <c r="AD229">
        <v>3.5159999999999997E-2</v>
      </c>
      <c r="AE229">
        <v>3.4729999999999997E-2</v>
      </c>
      <c r="AF229">
        <v>3.483E-2</v>
      </c>
      <c r="AG229">
        <v>3.585E-2</v>
      </c>
      <c r="AH229">
        <v>3.7249999999999998E-2</v>
      </c>
      <c r="AI229">
        <v>4.079E-2</v>
      </c>
      <c r="AJ229">
        <v>4.3830000000000001E-2</v>
      </c>
      <c r="AK229">
        <v>4.8689999999999997E-2</v>
      </c>
    </row>
    <row r="230" spans="1:37">
      <c r="A230" t="s">
        <v>320</v>
      </c>
    </row>
    <row r="231" spans="1:37">
      <c r="A231" t="s">
        <v>321</v>
      </c>
    </row>
    <row r="232" spans="1:37">
      <c r="A232" t="s">
        <v>322</v>
      </c>
    </row>
    <row r="233" spans="1:37">
      <c r="A233" t="s">
        <v>323</v>
      </c>
    </row>
    <row r="234" spans="1:37">
      <c r="A234" t="s">
        <v>324</v>
      </c>
      <c r="G234">
        <f>VALUE(LEFT(A233,3))</f>
        <v>45</v>
      </c>
      <c r="H234" t="str">
        <f>SUBSTITUTE(LEFT(A233,5)," ","")</f>
        <v>45RH</v>
      </c>
      <c r="I234" t="str">
        <f>LOWER(RIGHT(A233,LEN(A233)-6))</f>
        <v>rhodium</v>
      </c>
      <c r="J234" cm="1">
        <f t="array" ref="J234:AK234">VALUE(_xlfn.TEXTSPLIT(TRIM(CONCATENATE(A234,A235,A236,A237))," "))</f>
        <v>103</v>
      </c>
      <c r="K234">
        <v>33.67</v>
      </c>
      <c r="L234">
        <v>15.12</v>
      </c>
      <c r="M234">
        <v>32.74</v>
      </c>
      <c r="N234">
        <v>15.08</v>
      </c>
      <c r="O234">
        <v>8.1959999999999997</v>
      </c>
      <c r="P234">
        <v>4.9630000000000001</v>
      </c>
      <c r="Q234">
        <v>2.2549999999999999</v>
      </c>
      <c r="R234">
        <v>1.2410000000000001</v>
      </c>
      <c r="S234">
        <v>0.45700000000000002</v>
      </c>
      <c r="T234">
        <v>0.25419999999999998</v>
      </c>
      <c r="U234">
        <v>0.1394</v>
      </c>
      <c r="V234">
        <v>0.1045</v>
      </c>
      <c r="W234">
        <v>8.7929999999999994E-2</v>
      </c>
      <c r="X234">
        <v>7.7969999999999998E-2</v>
      </c>
      <c r="Y234">
        <v>6.5720000000000001E-2</v>
      </c>
      <c r="Z234">
        <v>5.8029999999999998E-2</v>
      </c>
      <c r="AA234">
        <v>4.7E-2</v>
      </c>
      <c r="AB234">
        <v>4.1689999999999998E-2</v>
      </c>
      <c r="AC234">
        <v>3.712E-2</v>
      </c>
      <c r="AD234">
        <v>3.5569999999999997E-2</v>
      </c>
      <c r="AE234">
        <v>3.5200000000000002E-2</v>
      </c>
      <c r="AF234">
        <v>3.5340000000000003E-2</v>
      </c>
      <c r="AG234">
        <v>3.644E-2</v>
      </c>
      <c r="AH234">
        <v>3.7909999999999999E-2</v>
      </c>
      <c r="AI234">
        <v>4.1610000000000001E-2</v>
      </c>
      <c r="AJ234">
        <v>4.4769999999999997E-2</v>
      </c>
      <c r="AK234">
        <v>4.9770000000000002E-2</v>
      </c>
    </row>
    <row r="235" spans="1:37">
      <c r="A235" t="s">
        <v>325</v>
      </c>
    </row>
    <row r="236" spans="1:37">
      <c r="A236" t="s">
        <v>326</v>
      </c>
    </row>
    <row r="237" spans="1:37">
      <c r="A237" t="s">
        <v>327</v>
      </c>
    </row>
    <row r="238" spans="1:37">
      <c r="A238" t="s">
        <v>328</v>
      </c>
    </row>
    <row r="239" spans="1:37">
      <c r="A239" t="s">
        <v>329</v>
      </c>
      <c r="G239">
        <f>VALUE(LEFT(A238,3))</f>
        <v>46</v>
      </c>
      <c r="H239" t="str">
        <f>SUBSTITUTE(LEFT(A238,5)," ","")</f>
        <v>46PD</v>
      </c>
      <c r="I239" t="str">
        <f>LOWER(RIGHT(A238,LEN(A238)-6))</f>
        <v>palladium</v>
      </c>
      <c r="J239" cm="1">
        <f t="array" ref="J239:AK239">VALUE(_xlfn.TEXTSPLIT(TRIM(CONCATENATE(A239,A240,A241,A242))," "))</f>
        <v>108.6</v>
      </c>
      <c r="K239">
        <v>35.619999999999997</v>
      </c>
      <c r="L239">
        <v>16</v>
      </c>
      <c r="M239">
        <v>34.07</v>
      </c>
      <c r="N239">
        <v>15.77</v>
      </c>
      <c r="O239">
        <v>8.59</v>
      </c>
      <c r="P239">
        <v>5.21</v>
      </c>
      <c r="Q239">
        <v>2.3679999999999999</v>
      </c>
      <c r="R239">
        <v>1.302</v>
      </c>
      <c r="S239">
        <v>0.47589999999999999</v>
      </c>
      <c r="T239">
        <v>0.2621</v>
      </c>
      <c r="U239">
        <v>0.14119999999999999</v>
      </c>
      <c r="V239">
        <v>0.10489999999999999</v>
      </c>
      <c r="W239">
        <v>8.7849999999999998E-2</v>
      </c>
      <c r="X239">
        <v>7.7619999999999995E-2</v>
      </c>
      <c r="Y239">
        <v>6.5299999999999997E-2</v>
      </c>
      <c r="Z239">
        <v>5.756E-2</v>
      </c>
      <c r="AA239">
        <v>4.657E-2</v>
      </c>
      <c r="AB239">
        <v>4.1329999999999999E-2</v>
      </c>
      <c r="AC239">
        <v>3.6880000000000003E-2</v>
      </c>
      <c r="AD239">
        <v>3.5400000000000001E-2</v>
      </c>
      <c r="AE239">
        <v>3.5090000000000003E-2</v>
      </c>
      <c r="AF239">
        <v>3.5290000000000002E-2</v>
      </c>
      <c r="AG239">
        <v>3.6450000000000003E-2</v>
      </c>
      <c r="AH239">
        <v>3.7960000000000001E-2</v>
      </c>
      <c r="AI239">
        <v>4.1770000000000002E-2</v>
      </c>
      <c r="AJ239">
        <v>4.4970000000000003E-2</v>
      </c>
      <c r="AK239">
        <v>5.0020000000000002E-2</v>
      </c>
    </row>
    <row r="240" spans="1:37">
      <c r="A240" t="s">
        <v>330</v>
      </c>
    </row>
    <row r="241" spans="1:37">
      <c r="A241" t="s">
        <v>331</v>
      </c>
    </row>
    <row r="242" spans="1:37">
      <c r="A242" t="s">
        <v>332</v>
      </c>
    </row>
    <row r="243" spans="1:37">
      <c r="A243" t="s">
        <v>333</v>
      </c>
    </row>
    <row r="244" spans="1:37">
      <c r="A244" t="s">
        <v>334</v>
      </c>
      <c r="G244">
        <f>VALUE(LEFT(A243,3))</f>
        <v>47</v>
      </c>
      <c r="H244" t="str">
        <f>SUBSTITUTE(LEFT(A243,5)," ","")</f>
        <v>47AG</v>
      </c>
      <c r="I244" t="str">
        <f>LOWER(RIGHT(A243,LEN(A243)-6))</f>
        <v>silver</v>
      </c>
      <c r="J244" cm="1">
        <f t="array" ref="J244:AK244">VALUE(_xlfn.TEXTSPLIT(TRIM(CONCATENATE(A244,A245,A246,A247))," "))</f>
        <v>116.8</v>
      </c>
      <c r="K244">
        <v>38.39</v>
      </c>
      <c r="L244">
        <v>17.27</v>
      </c>
      <c r="M244">
        <v>36.08</v>
      </c>
      <c r="N244">
        <v>16.8</v>
      </c>
      <c r="O244">
        <v>9.173</v>
      </c>
      <c r="P244">
        <v>5.5679999999999996</v>
      </c>
      <c r="Q244">
        <v>2.532</v>
      </c>
      <c r="R244">
        <v>1.391</v>
      </c>
      <c r="S244">
        <v>0.50529999999999997</v>
      </c>
      <c r="T244">
        <v>0.27560000000000001</v>
      </c>
      <c r="U244">
        <v>0.14610000000000001</v>
      </c>
      <c r="V244">
        <v>0.1075</v>
      </c>
      <c r="W244">
        <v>8.9550000000000005E-2</v>
      </c>
      <c r="X244">
        <v>7.8899999999999998E-2</v>
      </c>
      <c r="Y244">
        <v>6.6129999999999994E-2</v>
      </c>
      <c r="Z244">
        <v>5.8229999999999997E-2</v>
      </c>
      <c r="AA244">
        <v>4.7059999999999998E-2</v>
      </c>
      <c r="AB244">
        <v>4.1790000000000001E-2</v>
      </c>
      <c r="AC244">
        <v>3.737E-2</v>
      </c>
      <c r="AD244">
        <v>3.594E-2</v>
      </c>
      <c r="AE244">
        <v>3.5680000000000003E-2</v>
      </c>
      <c r="AF244">
        <v>3.5929999999999997E-2</v>
      </c>
      <c r="AG244">
        <v>3.7170000000000002E-2</v>
      </c>
      <c r="AH244">
        <v>3.8760000000000003E-2</v>
      </c>
      <c r="AI244">
        <v>4.2720000000000001E-2</v>
      </c>
      <c r="AJ244">
        <v>4.6050000000000001E-2</v>
      </c>
      <c r="AK244">
        <v>5.1290000000000002E-2</v>
      </c>
    </row>
    <row r="245" spans="1:37">
      <c r="A245" t="s">
        <v>335</v>
      </c>
    </row>
    <row r="246" spans="1:37">
      <c r="A246" t="s">
        <v>336</v>
      </c>
    </row>
    <row r="247" spans="1:37">
      <c r="A247" t="s">
        <v>337</v>
      </c>
    </row>
    <row r="248" spans="1:37">
      <c r="A248" t="s">
        <v>338</v>
      </c>
    </row>
    <row r="249" spans="1:37">
      <c r="A249" t="s">
        <v>339</v>
      </c>
      <c r="G249">
        <f>VALUE(LEFT(A248,3))</f>
        <v>48</v>
      </c>
      <c r="H249" t="str">
        <f>SUBSTITUTE(LEFT(A248,5)," ","")</f>
        <v>48CD</v>
      </c>
      <c r="I249" t="str">
        <f>LOWER(RIGHT(A248,LEN(A248)-6))</f>
        <v>cadmium</v>
      </c>
      <c r="J249" cm="1">
        <f t="array" ref="J249:AK249">VALUE(_xlfn.TEXTSPLIT(TRIM(CONCATENATE(A249,A250,A251,A252))," "))</f>
        <v>121.9</v>
      </c>
      <c r="K249">
        <v>40.18</v>
      </c>
      <c r="L249">
        <v>18.09</v>
      </c>
      <c r="M249">
        <v>37.04</v>
      </c>
      <c r="N249">
        <v>17.39</v>
      </c>
      <c r="O249">
        <v>9.5039999999999996</v>
      </c>
      <c r="P249">
        <v>5.774</v>
      </c>
      <c r="Q249">
        <v>2.63</v>
      </c>
      <c r="R249">
        <v>1.444</v>
      </c>
      <c r="S249">
        <v>0.52129999999999999</v>
      </c>
      <c r="T249">
        <v>0.28179999999999999</v>
      </c>
      <c r="U249">
        <v>0.14710000000000001</v>
      </c>
      <c r="V249">
        <v>0.1071</v>
      </c>
      <c r="W249">
        <v>8.8779999999999998E-2</v>
      </c>
      <c r="X249">
        <v>7.7990000000000004E-2</v>
      </c>
      <c r="Y249">
        <v>6.5180000000000002E-2</v>
      </c>
      <c r="Z249">
        <v>5.7290000000000001E-2</v>
      </c>
      <c r="AA249">
        <v>4.6249999999999999E-2</v>
      </c>
      <c r="AB249">
        <v>4.1090000000000002E-2</v>
      </c>
      <c r="AC249">
        <v>3.6810000000000002E-2</v>
      </c>
      <c r="AD249">
        <v>3.5470000000000002E-2</v>
      </c>
      <c r="AE249">
        <v>3.5270000000000003E-2</v>
      </c>
      <c r="AF249">
        <v>3.5549999999999998E-2</v>
      </c>
      <c r="AG249">
        <v>3.6850000000000001E-2</v>
      </c>
      <c r="AH249">
        <v>3.848E-2</v>
      </c>
      <c r="AI249">
        <v>4.249E-2</v>
      </c>
      <c r="AJ249">
        <v>4.5839999999999999E-2</v>
      </c>
      <c r="AK249">
        <v>5.108E-2</v>
      </c>
    </row>
    <row r="250" spans="1:37">
      <c r="A250" t="s">
        <v>340</v>
      </c>
    </row>
    <row r="251" spans="1:37">
      <c r="A251" t="s">
        <v>341</v>
      </c>
    </row>
    <row r="252" spans="1:37">
      <c r="A252" t="s">
        <v>342</v>
      </c>
    </row>
    <row r="253" spans="1:37">
      <c r="A253" t="s">
        <v>343</v>
      </c>
    </row>
    <row r="254" spans="1:37">
      <c r="A254" t="s">
        <v>344</v>
      </c>
      <c r="G254">
        <f>VALUE(LEFT(A253,3))</f>
        <v>49</v>
      </c>
      <c r="H254" t="str">
        <f>SUBSTITUTE(LEFT(A253,5)," ","")</f>
        <v>49IN</v>
      </c>
      <c r="I254" t="str">
        <f>LOWER(RIGHT(A253,LEN(A253)-6))</f>
        <v>indium</v>
      </c>
      <c r="J254" cm="1">
        <f t="array" ref="J254:AK254">VALUE(_xlfn.TEXTSPLIT(TRIM(CONCATENATE(A254,A255,A256,A257))," "))</f>
        <v>129.6</v>
      </c>
      <c r="K254">
        <v>42.81</v>
      </c>
      <c r="L254">
        <v>19.3</v>
      </c>
      <c r="M254">
        <v>38.86</v>
      </c>
      <c r="N254">
        <v>18.32</v>
      </c>
      <c r="O254">
        <v>10.02</v>
      </c>
      <c r="P254">
        <v>6.0979999999999999</v>
      </c>
      <c r="Q254">
        <v>2.782</v>
      </c>
      <c r="R254">
        <v>1.526</v>
      </c>
      <c r="S254">
        <v>0.54810000000000003</v>
      </c>
      <c r="T254">
        <v>0.29389999999999999</v>
      </c>
      <c r="U254">
        <v>0.151</v>
      </c>
      <c r="V254">
        <v>0.109</v>
      </c>
      <c r="W254">
        <v>8.9800000000000005E-2</v>
      </c>
      <c r="X254">
        <v>7.8649999999999998E-2</v>
      </c>
      <c r="Y254">
        <v>6.5479999999999997E-2</v>
      </c>
      <c r="Z254">
        <v>5.747E-2</v>
      </c>
      <c r="AA254">
        <v>4.6339999999999999E-2</v>
      </c>
      <c r="AB254">
        <v>4.1200000000000001E-2</v>
      </c>
      <c r="AC254">
        <v>3.6979999999999999E-2</v>
      </c>
      <c r="AD254">
        <v>3.5700000000000003E-2</v>
      </c>
      <c r="AE254">
        <v>3.5540000000000002E-2</v>
      </c>
      <c r="AF254">
        <v>3.5880000000000002E-2</v>
      </c>
      <c r="AG254">
        <v>3.7240000000000002E-2</v>
      </c>
      <c r="AH254">
        <v>3.8929999999999999E-2</v>
      </c>
      <c r="AI254">
        <v>4.3069999999999997E-2</v>
      </c>
      <c r="AJ254">
        <v>4.65E-2</v>
      </c>
      <c r="AK254">
        <v>5.1860000000000003E-2</v>
      </c>
    </row>
    <row r="255" spans="1:37">
      <c r="A255" t="s">
        <v>345</v>
      </c>
    </row>
    <row r="256" spans="1:37">
      <c r="A256" t="s">
        <v>346</v>
      </c>
    </row>
    <row r="257" spans="1:37">
      <c r="A257" t="s">
        <v>347</v>
      </c>
    </row>
    <row r="258" spans="1:37">
      <c r="A258" t="s">
        <v>348</v>
      </c>
    </row>
    <row r="259" spans="1:37">
      <c r="A259" t="s">
        <v>349</v>
      </c>
      <c r="G259">
        <f>VALUE(LEFT(A258,3))</f>
        <v>50</v>
      </c>
      <c r="H259" t="str">
        <f>SUBSTITUTE(LEFT(A258,5)," ","")</f>
        <v>50SN</v>
      </c>
      <c r="I259" t="str">
        <f>LOWER(RIGHT(A258,LEN(A258)-6))</f>
        <v>tin</v>
      </c>
      <c r="J259" cm="1">
        <f t="array" ref="J259:AK259">VALUE(_xlfn.TEXTSPLIT(TRIM(CONCATENATE(A259,A260,A261,A262))," "))</f>
        <v>135.9</v>
      </c>
      <c r="K259">
        <v>44.99</v>
      </c>
      <c r="L259">
        <v>20.3</v>
      </c>
      <c r="M259">
        <v>40.58</v>
      </c>
      <c r="N259">
        <v>19.02</v>
      </c>
      <c r="O259">
        <v>10.41</v>
      </c>
      <c r="P259">
        <v>6.3550000000000004</v>
      </c>
      <c r="Q259">
        <v>2.9009999999999998</v>
      </c>
      <c r="R259">
        <v>1.5920000000000001</v>
      </c>
      <c r="S259">
        <v>0.56899999999999995</v>
      </c>
      <c r="T259">
        <v>0.30259999999999998</v>
      </c>
      <c r="U259">
        <v>0.1532</v>
      </c>
      <c r="V259">
        <v>0.1095</v>
      </c>
      <c r="W259">
        <v>8.9760000000000006E-2</v>
      </c>
      <c r="X259">
        <v>7.8310000000000005E-2</v>
      </c>
      <c r="Y259">
        <v>6.5030000000000004E-2</v>
      </c>
      <c r="Z259">
        <v>5.6959999999999997E-2</v>
      </c>
      <c r="AA259">
        <v>4.5879999999999997E-2</v>
      </c>
      <c r="AB259">
        <v>4.0809999999999999E-2</v>
      </c>
      <c r="AC259">
        <v>3.6700000000000003E-2</v>
      </c>
      <c r="AD259">
        <v>3.5499999999999997E-2</v>
      </c>
      <c r="AE259">
        <v>3.5389999999999998E-2</v>
      </c>
      <c r="AF259">
        <v>3.576E-2</v>
      </c>
      <c r="AG259">
        <v>3.7170000000000002E-2</v>
      </c>
      <c r="AH259">
        <v>3.891E-2</v>
      </c>
      <c r="AI259">
        <v>4.3119999999999999E-2</v>
      </c>
      <c r="AJ259">
        <v>4.6589999999999999E-2</v>
      </c>
      <c r="AK259">
        <v>5.1999999999999998E-2</v>
      </c>
    </row>
    <row r="260" spans="1:37">
      <c r="A260" t="s">
        <v>350</v>
      </c>
    </row>
    <row r="261" spans="1:37">
      <c r="A261" t="s">
        <v>351</v>
      </c>
    </row>
    <row r="262" spans="1:37">
      <c r="A262" t="s">
        <v>352</v>
      </c>
    </row>
    <row r="263" spans="1:37">
      <c r="A263" t="s">
        <v>353</v>
      </c>
    </row>
    <row r="264" spans="1:37">
      <c r="A264" t="s">
        <v>354</v>
      </c>
      <c r="G264">
        <f>VALUE(LEFT(A263,3))</f>
        <v>51</v>
      </c>
      <c r="H264" t="str">
        <f>SUBSTITUTE(LEFT(A263,5)," ","")</f>
        <v>51SB</v>
      </c>
      <c r="I264" t="str">
        <f>LOWER(RIGHT(A263,LEN(A263)-6))</f>
        <v>antimony</v>
      </c>
      <c r="J264" cm="1">
        <f t="array" ref="J264:AK264">VALUE(_xlfn.TEXTSPLIT(TRIM(CONCATENATE(A264,A265,A266,A267))," "))</f>
        <v>143.19999999999999</v>
      </c>
      <c r="K264">
        <v>47.54</v>
      </c>
      <c r="L264">
        <v>21.5</v>
      </c>
      <c r="M264">
        <v>6.9740000000000002</v>
      </c>
      <c r="N264">
        <v>19.850000000000001</v>
      </c>
      <c r="O264">
        <v>10.9</v>
      </c>
      <c r="P264">
        <v>6.6589999999999998</v>
      </c>
      <c r="Q264">
        <v>3.0449999999999999</v>
      </c>
      <c r="R264">
        <v>1.67</v>
      </c>
      <c r="S264">
        <v>0.59460000000000002</v>
      </c>
      <c r="T264">
        <v>0.314</v>
      </c>
      <c r="U264">
        <v>0.15670000000000001</v>
      </c>
      <c r="V264">
        <v>0.1109</v>
      </c>
      <c r="W264">
        <v>9.042E-2</v>
      </c>
      <c r="X264">
        <v>7.8640000000000002E-2</v>
      </c>
      <c r="Y264">
        <v>6.5040000000000001E-2</v>
      </c>
      <c r="Z264">
        <v>5.688E-2</v>
      </c>
      <c r="AA264">
        <v>4.5760000000000002E-2</v>
      </c>
      <c r="AB264">
        <v>4.0719999999999999E-2</v>
      </c>
      <c r="AC264">
        <v>3.669E-2</v>
      </c>
      <c r="AD264">
        <v>3.5549999999999998E-2</v>
      </c>
      <c r="AE264">
        <v>3.5490000000000001E-2</v>
      </c>
      <c r="AF264">
        <v>3.5900000000000001E-2</v>
      </c>
      <c r="AG264">
        <v>3.739E-2</v>
      </c>
      <c r="AH264">
        <v>3.9149999999999997E-2</v>
      </c>
      <c r="AI264">
        <v>4.3459999999999999E-2</v>
      </c>
      <c r="AJ264">
        <v>4.7E-2</v>
      </c>
      <c r="AK264">
        <v>5.2499999999999998E-2</v>
      </c>
    </row>
    <row r="265" spans="1:37">
      <c r="A265" t="s">
        <v>355</v>
      </c>
    </row>
    <row r="266" spans="1:37">
      <c r="A266" t="s">
        <v>356</v>
      </c>
    </row>
    <row r="267" spans="1:37">
      <c r="A267" t="s">
        <v>357</v>
      </c>
    </row>
    <row r="268" spans="1:37">
      <c r="A268" t="s">
        <v>358</v>
      </c>
    </row>
    <row r="269" spans="1:37">
      <c r="A269" t="s">
        <v>359</v>
      </c>
      <c r="G269">
        <f>VALUE(LEFT(A268,3))</f>
        <v>52</v>
      </c>
      <c r="H269" t="str">
        <f>SUBSTITUTE(LEFT(A268,5)," ","")</f>
        <v>52TE</v>
      </c>
      <c r="I269" t="str">
        <f>LOWER(RIGHT(A268,LEN(A268)-6))</f>
        <v>tellurium</v>
      </c>
      <c r="J269" cm="1">
        <f t="array" ref="J269:AK269">VALUE(_xlfn.TEXTSPLIT(TRIM(CONCATENATE(A269,A270,A271,A272))," "))</f>
        <v>147.5</v>
      </c>
      <c r="K269">
        <v>49.1</v>
      </c>
      <c r="L269">
        <v>22.23</v>
      </c>
      <c r="M269">
        <v>7.2210000000000001</v>
      </c>
      <c r="N269">
        <v>20.22</v>
      </c>
      <c r="O269">
        <v>11.15</v>
      </c>
      <c r="P269">
        <v>6.8209999999999997</v>
      </c>
      <c r="Q269">
        <v>3.1230000000000002</v>
      </c>
      <c r="R269">
        <v>1.7130000000000001</v>
      </c>
      <c r="S269">
        <v>0.60750000000000004</v>
      </c>
      <c r="T269">
        <v>0.31859999999999999</v>
      </c>
      <c r="U269">
        <v>0.15679999999999999</v>
      </c>
      <c r="V269">
        <v>0.1099</v>
      </c>
      <c r="W269">
        <v>8.9149999999999993E-2</v>
      </c>
      <c r="X269">
        <v>7.7280000000000001E-2</v>
      </c>
      <c r="Y269">
        <v>6.3689999999999997E-2</v>
      </c>
      <c r="Z269">
        <v>5.5579999999999997E-2</v>
      </c>
      <c r="AA269">
        <v>4.4659999999999998E-2</v>
      </c>
      <c r="AB269">
        <v>3.977E-2</v>
      </c>
      <c r="AC269">
        <v>3.5889999999999998E-2</v>
      </c>
      <c r="AD269">
        <v>3.4819999999999997E-2</v>
      </c>
      <c r="AE269">
        <v>3.4819999999999997E-2</v>
      </c>
      <c r="AF269">
        <v>3.526E-2</v>
      </c>
      <c r="AG269">
        <v>3.6769999999999997E-2</v>
      </c>
      <c r="AH269">
        <v>3.8539999999999998E-2</v>
      </c>
      <c r="AI269">
        <v>4.2860000000000002E-2</v>
      </c>
      <c r="AJ269">
        <v>4.6379999999999998E-2</v>
      </c>
      <c r="AK269">
        <v>5.1839999999999997E-2</v>
      </c>
    </row>
    <row r="270" spans="1:37">
      <c r="A270" t="s">
        <v>360</v>
      </c>
    </row>
    <row r="271" spans="1:37">
      <c r="A271" t="s">
        <v>361</v>
      </c>
    </row>
    <row r="272" spans="1:37">
      <c r="A272" t="s">
        <v>362</v>
      </c>
    </row>
    <row r="273" spans="1:37">
      <c r="A273" t="s">
        <v>363</v>
      </c>
    </row>
    <row r="274" spans="1:37">
      <c r="A274" t="s">
        <v>364</v>
      </c>
      <c r="G274">
        <f>VALUE(LEFT(A273,3))</f>
        <v>53</v>
      </c>
      <c r="H274" t="str">
        <f>SUBSTITUTE(LEFT(A273,5)," ","")</f>
        <v>53I</v>
      </c>
      <c r="I274" t="str">
        <f>LOWER(RIGHT(A273,LEN(A273)-6))</f>
        <v>iodine</v>
      </c>
      <c r="J274" cm="1">
        <f t="array" ref="J274:AK274">VALUE(_xlfn.TEXTSPLIT(TRIM(CONCATENATE(A274,A275,A276,A277))," "))</f>
        <v>159.9</v>
      </c>
      <c r="K274">
        <v>53.36</v>
      </c>
      <c r="L274">
        <v>24.19</v>
      </c>
      <c r="M274">
        <v>7.867</v>
      </c>
      <c r="N274">
        <v>21.65</v>
      </c>
      <c r="O274">
        <v>12.01</v>
      </c>
      <c r="P274">
        <v>7.3479999999999999</v>
      </c>
      <c r="Q274">
        <v>3.37</v>
      </c>
      <c r="R274">
        <v>1.849</v>
      </c>
      <c r="S274">
        <v>0.65349999999999997</v>
      </c>
      <c r="T274">
        <v>0.34060000000000001</v>
      </c>
      <c r="U274">
        <v>0.16539999999999999</v>
      </c>
      <c r="V274">
        <v>0.1149</v>
      </c>
      <c r="W274">
        <v>9.2619999999999994E-2</v>
      </c>
      <c r="X274">
        <v>8.0019999999999994E-2</v>
      </c>
      <c r="Y274">
        <v>6.5680000000000002E-2</v>
      </c>
      <c r="Z274">
        <v>5.722E-2</v>
      </c>
      <c r="AA274">
        <v>4.5920000000000002E-2</v>
      </c>
      <c r="AB274">
        <v>4.0899999999999999E-2</v>
      </c>
      <c r="AC274">
        <v>3.6970000000000003E-2</v>
      </c>
      <c r="AD274">
        <v>3.594E-2</v>
      </c>
      <c r="AE274">
        <v>3.5979999999999998E-2</v>
      </c>
      <c r="AF274">
        <v>3.6470000000000002E-2</v>
      </c>
      <c r="AG274">
        <v>3.8089999999999999E-2</v>
      </c>
      <c r="AH274">
        <v>3.9960000000000002E-2</v>
      </c>
      <c r="AI274">
        <v>4.4510000000000001E-2</v>
      </c>
      <c r="AJ274">
        <v>4.8189999999999997E-2</v>
      </c>
      <c r="AK274">
        <v>5.3929999999999999E-2</v>
      </c>
    </row>
    <row r="275" spans="1:37">
      <c r="A275" t="s">
        <v>365</v>
      </c>
    </row>
    <row r="276" spans="1:37">
      <c r="A276" t="s">
        <v>366</v>
      </c>
    </row>
    <row r="277" spans="1:37">
      <c r="A277" t="s">
        <v>367</v>
      </c>
    </row>
    <row r="278" spans="1:37">
      <c r="A278" t="s">
        <v>368</v>
      </c>
    </row>
    <row r="279" spans="1:37">
      <c r="A279" t="s">
        <v>369</v>
      </c>
      <c r="G279">
        <f>VALUE(LEFT(A278,3))</f>
        <v>54</v>
      </c>
      <c r="H279" t="str">
        <f>SUBSTITUTE(LEFT(A278,5)," ","")</f>
        <v>54XE</v>
      </c>
      <c r="I279" t="str">
        <f>LOWER(RIGHT(A278,LEN(A278)-6))</f>
        <v>xenon</v>
      </c>
      <c r="J279" cm="1">
        <f t="array" ref="J279:AK279">VALUE(_xlfn.TEXTSPLIT(TRIM(CONCATENATE(A279,A280,A281,A282))," "))</f>
        <v>166.3</v>
      </c>
      <c r="K279">
        <v>55.66</v>
      </c>
      <c r="L279">
        <v>25.26</v>
      </c>
      <c r="M279">
        <v>8.2249999999999996</v>
      </c>
      <c r="N279">
        <v>22.25</v>
      </c>
      <c r="O279">
        <v>12.41</v>
      </c>
      <c r="P279">
        <v>7.5890000000000004</v>
      </c>
      <c r="Q279">
        <v>3.4910000000000001</v>
      </c>
      <c r="R279">
        <v>1.915</v>
      </c>
      <c r="S279">
        <v>0.67500000000000004</v>
      </c>
      <c r="T279">
        <v>0.34970000000000001</v>
      </c>
      <c r="U279">
        <v>0.16769999999999999</v>
      </c>
      <c r="V279">
        <v>0.1154</v>
      </c>
      <c r="W279">
        <v>9.2539999999999997E-2</v>
      </c>
      <c r="X279">
        <v>7.961E-2</v>
      </c>
      <c r="Y279">
        <v>6.515E-2</v>
      </c>
      <c r="Z279">
        <v>5.6680000000000001E-2</v>
      </c>
      <c r="AA279">
        <v>4.5370000000000001E-2</v>
      </c>
      <c r="AB279">
        <v>4.0430000000000001E-2</v>
      </c>
      <c r="AC279">
        <v>3.662E-2</v>
      </c>
      <c r="AD279">
        <v>3.5639999999999998E-2</v>
      </c>
      <c r="AE279">
        <v>3.5729999999999998E-2</v>
      </c>
      <c r="AF279">
        <v>3.6249999999999998E-2</v>
      </c>
      <c r="AG279">
        <v>3.7909999999999999E-2</v>
      </c>
      <c r="AH279">
        <v>3.9809999999999998E-2</v>
      </c>
      <c r="AI279">
        <v>4.4409999999999998E-2</v>
      </c>
      <c r="AJ279">
        <v>4.811E-2</v>
      </c>
      <c r="AK279">
        <v>5.3850000000000002E-2</v>
      </c>
    </row>
    <row r="280" spans="1:37">
      <c r="A280" t="s">
        <v>370</v>
      </c>
    </row>
    <row r="281" spans="1:37">
      <c r="A281" t="s">
        <v>371</v>
      </c>
    </row>
    <row r="282" spans="1:37">
      <c r="A282" t="s">
        <v>372</v>
      </c>
    </row>
    <row r="283" spans="1:37">
      <c r="A283" t="s">
        <v>373</v>
      </c>
    </row>
    <row r="284" spans="1:37">
      <c r="A284" t="s">
        <v>374</v>
      </c>
      <c r="G284">
        <f>VALUE(LEFT(A283,3))</f>
        <v>55</v>
      </c>
      <c r="H284" t="str">
        <f>SUBSTITUTE(LEFT(A283,5)," ","")</f>
        <v>55CS</v>
      </c>
      <c r="I284" t="str">
        <f>LOWER(RIGHT(A283,LEN(A283)-6))</f>
        <v>cesium</v>
      </c>
      <c r="J284" cm="1">
        <f t="array" ref="J284:AK284">VALUE(_xlfn.TEXTSPLIT(TRIM(CONCATENATE(A284,A285,A286,A287))," "))</f>
        <v>176.5</v>
      </c>
      <c r="K284">
        <v>59.24</v>
      </c>
      <c r="L284">
        <v>26.93</v>
      </c>
      <c r="M284">
        <v>8.7799999999999994</v>
      </c>
      <c r="N284">
        <v>23.34</v>
      </c>
      <c r="O284">
        <v>13.07</v>
      </c>
      <c r="P284">
        <v>8.0069999999999997</v>
      </c>
      <c r="Q284">
        <v>3.6880000000000002</v>
      </c>
      <c r="R284">
        <v>2.0249999999999999</v>
      </c>
      <c r="S284">
        <v>0.71230000000000004</v>
      </c>
      <c r="T284">
        <v>0.3669</v>
      </c>
      <c r="U284">
        <v>0.17369999999999999</v>
      </c>
      <c r="V284">
        <v>0.11849999999999999</v>
      </c>
      <c r="W284">
        <v>9.443E-2</v>
      </c>
      <c r="X284">
        <v>8.1009999999999999E-2</v>
      </c>
      <c r="Y284">
        <v>6.5989999999999993E-2</v>
      </c>
      <c r="Z284">
        <v>5.731E-2</v>
      </c>
      <c r="AA284">
        <v>4.5830000000000003E-2</v>
      </c>
      <c r="AB284">
        <v>4.0849999999999997E-2</v>
      </c>
      <c r="AC284">
        <v>3.705E-2</v>
      </c>
      <c r="AD284">
        <v>3.6119999999999999E-2</v>
      </c>
      <c r="AE284">
        <v>3.6249999999999998E-2</v>
      </c>
      <c r="AF284">
        <v>3.6810000000000002E-2</v>
      </c>
      <c r="AG284">
        <v>3.8539999999999998E-2</v>
      </c>
      <c r="AH284">
        <v>4.0509999999999997E-2</v>
      </c>
      <c r="AI284">
        <v>4.5249999999999999E-2</v>
      </c>
      <c r="AJ284">
        <v>4.9059999999999999E-2</v>
      </c>
      <c r="AK284">
        <v>5.4940000000000003E-2</v>
      </c>
    </row>
    <row r="285" spans="1:37">
      <c r="A285" t="s">
        <v>375</v>
      </c>
    </row>
    <row r="286" spans="1:37">
      <c r="A286" t="s">
        <v>376</v>
      </c>
    </row>
    <row r="287" spans="1:37">
      <c r="A287" t="s">
        <v>377</v>
      </c>
    </row>
    <row r="288" spans="1:37">
      <c r="A288" t="s">
        <v>378</v>
      </c>
    </row>
    <row r="289" spans="1:37">
      <c r="A289" t="s">
        <v>379</v>
      </c>
      <c r="G289">
        <f>VALUE(LEFT(A288,3))</f>
        <v>56</v>
      </c>
      <c r="H289" t="str">
        <f>SUBSTITUTE(LEFT(A288,5)," ","")</f>
        <v>56BA</v>
      </c>
      <c r="I289" t="str">
        <f>LOWER(RIGHT(A288,LEN(A288)-6))</f>
        <v>barium</v>
      </c>
      <c r="J289" cm="1">
        <f t="array" ref="J289:AK289">VALUE(_xlfn.TEXTSPLIT(TRIM(CONCATENATE(A289,A290,A291,A292))," "))</f>
        <v>183.2</v>
      </c>
      <c r="K289">
        <v>61.64</v>
      </c>
      <c r="L289">
        <v>28.08</v>
      </c>
      <c r="M289">
        <v>9.1669999999999998</v>
      </c>
      <c r="N289">
        <v>24.1</v>
      </c>
      <c r="O289">
        <v>13.46</v>
      </c>
      <c r="P289">
        <v>8.2639999999999993</v>
      </c>
      <c r="Q289">
        <v>3.8130000000000002</v>
      </c>
      <c r="R289">
        <v>2.0950000000000002</v>
      </c>
      <c r="S289">
        <v>0.73519999999999996</v>
      </c>
      <c r="T289">
        <v>0.37680000000000002</v>
      </c>
      <c r="U289">
        <v>0.17630000000000001</v>
      </c>
      <c r="V289">
        <v>0.1192</v>
      </c>
      <c r="W289">
        <v>9.4460000000000002E-2</v>
      </c>
      <c r="X289">
        <v>8.0750000000000002E-2</v>
      </c>
      <c r="Y289">
        <v>6.5530000000000005E-2</v>
      </c>
      <c r="Z289">
        <v>5.6759999999999998E-2</v>
      </c>
      <c r="AA289">
        <v>4.5319999999999999E-2</v>
      </c>
      <c r="AB289">
        <v>4.0410000000000001E-2</v>
      </c>
      <c r="AC289">
        <v>3.6720000000000003E-2</v>
      </c>
      <c r="AD289">
        <v>3.585E-2</v>
      </c>
      <c r="AE289">
        <v>3.6020000000000003E-2</v>
      </c>
      <c r="AF289">
        <v>3.6609999999999997E-2</v>
      </c>
      <c r="AG289">
        <v>3.8379999999999997E-2</v>
      </c>
      <c r="AH289">
        <v>4.0370000000000003E-2</v>
      </c>
      <c r="AI289">
        <v>4.514E-2</v>
      </c>
      <c r="AJ289">
        <v>4.8980000000000003E-2</v>
      </c>
      <c r="AK289">
        <v>5.4859999999999999E-2</v>
      </c>
    </row>
    <row r="290" spans="1:37">
      <c r="A290" t="s">
        <v>380</v>
      </c>
    </row>
    <row r="291" spans="1:37">
      <c r="A291" t="s">
        <v>381</v>
      </c>
    </row>
    <row r="292" spans="1:37">
      <c r="A292" t="s">
        <v>382</v>
      </c>
    </row>
    <row r="293" spans="1:37">
      <c r="A293" t="s">
        <v>383</v>
      </c>
    </row>
    <row r="294" spans="1:37">
      <c r="A294" t="s">
        <v>384</v>
      </c>
      <c r="G294">
        <f>VALUE(LEFT(A293,3))</f>
        <v>57</v>
      </c>
      <c r="H294" t="str">
        <f>SUBSTITUTE(LEFT(A293,5)," ","")</f>
        <v>57LA</v>
      </c>
      <c r="I294" t="str">
        <f>LOWER(RIGHT(A293,LEN(A293)-6))</f>
        <v>lanthanum</v>
      </c>
      <c r="J294" cm="1">
        <f t="array" ref="J294:AK294">VALUE(_xlfn.TEXTSPLIT(TRIM(CONCATENATE(A294,A295,A296,A297))," "))</f>
        <v>193.8</v>
      </c>
      <c r="K294">
        <v>65.45</v>
      </c>
      <c r="L294">
        <v>29.85</v>
      </c>
      <c r="M294">
        <v>9.76</v>
      </c>
      <c r="N294">
        <v>25.29</v>
      </c>
      <c r="O294">
        <v>14.13</v>
      </c>
      <c r="P294">
        <v>8.7059999999999995</v>
      </c>
      <c r="Q294">
        <v>4.0220000000000002</v>
      </c>
      <c r="R294">
        <v>2.2109999999999999</v>
      </c>
      <c r="S294">
        <v>0.77470000000000006</v>
      </c>
      <c r="T294">
        <v>0.3952</v>
      </c>
      <c r="U294">
        <v>0.18290000000000001</v>
      </c>
      <c r="V294">
        <v>0.1225</v>
      </c>
      <c r="W294">
        <v>9.6540000000000001E-2</v>
      </c>
      <c r="X294">
        <v>8.2229999999999998E-2</v>
      </c>
      <c r="Y294">
        <v>6.6430000000000003E-2</v>
      </c>
      <c r="Z294">
        <v>5.7439999999999998E-2</v>
      </c>
      <c r="AA294">
        <v>4.5780000000000001E-2</v>
      </c>
      <c r="AB294">
        <v>4.0840000000000001E-2</v>
      </c>
      <c r="AC294">
        <v>3.7170000000000002E-2</v>
      </c>
      <c r="AD294">
        <v>3.6330000000000001E-2</v>
      </c>
      <c r="AE294">
        <v>3.653E-2</v>
      </c>
      <c r="AF294">
        <v>3.7170000000000002E-2</v>
      </c>
      <c r="AG294">
        <v>3.9E-2</v>
      </c>
      <c r="AH294">
        <v>4.1079999999999998E-2</v>
      </c>
      <c r="AI294">
        <v>4.5990000000000003E-2</v>
      </c>
      <c r="AJ294">
        <v>4.9919999999999999E-2</v>
      </c>
      <c r="AK294">
        <v>5.5960000000000003E-2</v>
      </c>
    </row>
    <row r="295" spans="1:37">
      <c r="A295" t="s">
        <v>385</v>
      </c>
    </row>
    <row r="296" spans="1:37">
      <c r="A296" t="s">
        <v>386</v>
      </c>
    </row>
    <row r="297" spans="1:37">
      <c r="A297" t="s">
        <v>387</v>
      </c>
    </row>
    <row r="298" spans="1:37">
      <c r="A298" t="s">
        <v>388</v>
      </c>
    </row>
    <row r="299" spans="1:37">
      <c r="A299" t="s">
        <v>389</v>
      </c>
      <c r="G299">
        <f>VALUE(LEFT(A298,3))</f>
        <v>58</v>
      </c>
      <c r="H299" t="str">
        <f>SUBSTITUTE(LEFT(A298,5)," ","")</f>
        <v>58CE</v>
      </c>
      <c r="I299" t="str">
        <f>LOWER(RIGHT(A298,LEN(A298)-6))</f>
        <v>cerium</v>
      </c>
      <c r="J299" cm="1">
        <f t="array" ref="J299:AK299">VALUE(_xlfn.TEXTSPLIT(TRIM(CONCATENATE(A299,A300,A301,A302))," "))</f>
        <v>205.2</v>
      </c>
      <c r="K299">
        <v>69.48</v>
      </c>
      <c r="L299">
        <v>31.74</v>
      </c>
      <c r="M299">
        <v>10.4</v>
      </c>
      <c r="N299">
        <v>4.7080000000000002</v>
      </c>
      <c r="O299">
        <v>14.84</v>
      </c>
      <c r="P299">
        <v>9.1829999999999998</v>
      </c>
      <c r="Q299">
        <v>4.2480000000000002</v>
      </c>
      <c r="R299">
        <v>2.3370000000000002</v>
      </c>
      <c r="S299">
        <v>0.8175</v>
      </c>
      <c r="T299">
        <v>0.4153</v>
      </c>
      <c r="U299">
        <v>0.19009999999999999</v>
      </c>
      <c r="V299">
        <v>0.1263</v>
      </c>
      <c r="W299">
        <v>9.894E-2</v>
      </c>
      <c r="X299">
        <v>8.3919999999999995E-2</v>
      </c>
      <c r="Y299">
        <v>6.7559999999999995E-2</v>
      </c>
      <c r="Z299">
        <v>5.8259999999999999E-2</v>
      </c>
      <c r="AA299">
        <v>4.6370000000000001E-2</v>
      </c>
      <c r="AB299">
        <v>4.1369999999999997E-2</v>
      </c>
      <c r="AC299">
        <v>3.7699999999999997E-2</v>
      </c>
      <c r="AD299">
        <v>3.6909999999999998E-2</v>
      </c>
      <c r="AE299">
        <v>3.7150000000000002E-2</v>
      </c>
      <c r="AF299">
        <v>3.7830000000000003E-2</v>
      </c>
      <c r="AG299">
        <v>3.9739999999999998E-2</v>
      </c>
      <c r="AH299">
        <v>4.1880000000000001E-2</v>
      </c>
      <c r="AI299">
        <v>4.6940000000000003E-2</v>
      </c>
      <c r="AJ299">
        <v>5.0999999999999997E-2</v>
      </c>
      <c r="AK299">
        <v>5.722E-2</v>
      </c>
    </row>
    <row r="300" spans="1:37">
      <c r="A300" t="s">
        <v>390</v>
      </c>
    </row>
    <row r="301" spans="1:37">
      <c r="A301" t="s">
        <v>391</v>
      </c>
    </row>
    <row r="302" spans="1:37">
      <c r="A302" t="s">
        <v>392</v>
      </c>
    </row>
    <row r="303" spans="1:37">
      <c r="A303" t="s">
        <v>393</v>
      </c>
    </row>
    <row r="304" spans="1:37">
      <c r="A304" t="s">
        <v>394</v>
      </c>
      <c r="G304">
        <f>VALUE(LEFT(A303,3))</f>
        <v>59</v>
      </c>
      <c r="H304" t="str">
        <f>SUBSTITUTE(LEFT(A303,5)," ","")</f>
        <v>59PR</v>
      </c>
      <c r="I304" t="str">
        <f>LOWER(RIGHT(A303,LEN(A303)-6))</f>
        <v>praseodymium</v>
      </c>
      <c r="J304" cm="1">
        <f t="array" ref="J304:AK304">VALUE(_xlfn.TEXTSPLIT(TRIM(CONCATENATE(A304,A305,A306,A307))," "))</f>
        <v>217.8</v>
      </c>
      <c r="K304">
        <v>73.97</v>
      </c>
      <c r="L304">
        <v>33.83</v>
      </c>
      <c r="M304">
        <v>11.1</v>
      </c>
      <c r="N304">
        <v>5.0309999999999997</v>
      </c>
      <c r="O304">
        <v>15.62</v>
      </c>
      <c r="P304">
        <v>9.7029999999999994</v>
      </c>
      <c r="Q304">
        <v>4.4939999999999998</v>
      </c>
      <c r="R304">
        <v>2.4750000000000001</v>
      </c>
      <c r="S304">
        <v>0.86439999999999995</v>
      </c>
      <c r="T304">
        <v>0.43740000000000001</v>
      </c>
      <c r="U304">
        <v>0.1983</v>
      </c>
      <c r="V304">
        <v>0.13059999999999999</v>
      </c>
      <c r="W304">
        <v>0.1017</v>
      </c>
      <c r="X304">
        <v>8.5970000000000005E-2</v>
      </c>
      <c r="Y304">
        <v>6.8879999999999997E-2</v>
      </c>
      <c r="Z304">
        <v>5.9279999999999999E-2</v>
      </c>
      <c r="AA304">
        <v>4.7079999999999997E-2</v>
      </c>
      <c r="AB304">
        <v>4.2029999999999998E-2</v>
      </c>
      <c r="AC304">
        <v>3.8359999999999998E-2</v>
      </c>
      <c r="AD304">
        <v>3.7589999999999998E-2</v>
      </c>
      <c r="AE304">
        <v>3.789E-2</v>
      </c>
      <c r="AF304">
        <v>3.8609999999999998E-2</v>
      </c>
      <c r="AG304">
        <v>4.0599999999999997E-2</v>
      </c>
      <c r="AH304">
        <v>4.2819999999999997E-2</v>
      </c>
      <c r="AI304">
        <v>4.8039999999999999E-2</v>
      </c>
      <c r="AJ304">
        <v>5.2220000000000003E-2</v>
      </c>
      <c r="AK304">
        <v>5.8630000000000002E-2</v>
      </c>
    </row>
    <row r="305" spans="1:37">
      <c r="A305" t="s">
        <v>395</v>
      </c>
    </row>
    <row r="306" spans="1:37">
      <c r="A306" t="s">
        <v>396</v>
      </c>
    </row>
    <row r="307" spans="1:37">
      <c r="A307" t="s">
        <v>397</v>
      </c>
    </row>
    <row r="308" spans="1:37">
      <c r="A308" t="s">
        <v>398</v>
      </c>
    </row>
    <row r="309" spans="1:37">
      <c r="A309" t="s">
        <v>399</v>
      </c>
      <c r="G309">
        <f>VALUE(LEFT(A308,3))</f>
        <v>60</v>
      </c>
      <c r="H309" t="str">
        <f>SUBSTITUTE(LEFT(A308,5)," ","")</f>
        <v>60ND</v>
      </c>
      <c r="I309" t="str">
        <f>LOWER(RIGHT(A308,LEN(A308)-6))</f>
        <v>neodymium</v>
      </c>
      <c r="J309" cm="1">
        <f t="array" ref="J309:AK309">VALUE(_xlfn.TEXTSPLIT(TRIM(CONCATENATE(A309,A310,A311,A312))," "))</f>
        <v>226.8</v>
      </c>
      <c r="K309">
        <v>77.19</v>
      </c>
      <c r="L309">
        <v>35.380000000000003</v>
      </c>
      <c r="M309">
        <v>11.62</v>
      </c>
      <c r="N309">
        <v>5.2720000000000002</v>
      </c>
      <c r="O309">
        <v>16.12</v>
      </c>
      <c r="P309">
        <v>10.050000000000001</v>
      </c>
      <c r="Q309">
        <v>4.6680000000000001</v>
      </c>
      <c r="R309">
        <v>2.573</v>
      </c>
      <c r="S309">
        <v>0.89729999999999999</v>
      </c>
      <c r="T309">
        <v>0.45240000000000002</v>
      </c>
      <c r="U309">
        <v>0.20300000000000001</v>
      </c>
      <c r="V309">
        <v>0.13270000000000001</v>
      </c>
      <c r="W309">
        <v>0.1028</v>
      </c>
      <c r="X309">
        <v>8.652E-2</v>
      </c>
      <c r="Y309">
        <v>6.9029999999999994E-2</v>
      </c>
      <c r="Z309">
        <v>5.926E-2</v>
      </c>
      <c r="AA309">
        <v>4.6960000000000002E-2</v>
      </c>
      <c r="AB309">
        <v>4.1939999999999998E-2</v>
      </c>
      <c r="AC309">
        <v>3.8339999999999999E-2</v>
      </c>
      <c r="AD309">
        <v>3.7609999999999998E-2</v>
      </c>
      <c r="AE309">
        <v>3.7949999999999998E-2</v>
      </c>
      <c r="AF309">
        <v>3.8699999999999998E-2</v>
      </c>
      <c r="AG309">
        <v>4.0739999999999998E-2</v>
      </c>
      <c r="AH309">
        <v>4.2979999999999997E-2</v>
      </c>
      <c r="AI309">
        <v>4.8280000000000003E-2</v>
      </c>
      <c r="AJ309">
        <v>5.253E-2</v>
      </c>
      <c r="AK309">
        <v>5.8970000000000002E-2</v>
      </c>
    </row>
    <row r="310" spans="1:37">
      <c r="A310" t="s">
        <v>400</v>
      </c>
    </row>
    <row r="311" spans="1:37">
      <c r="A311" t="s">
        <v>401</v>
      </c>
    </row>
    <row r="312" spans="1:37">
      <c r="A312" t="s">
        <v>402</v>
      </c>
    </row>
    <row r="313" spans="1:37">
      <c r="A313" t="s">
        <v>403</v>
      </c>
    </row>
    <row r="314" spans="1:37">
      <c r="A314" t="s">
        <v>404</v>
      </c>
      <c r="G314">
        <f>VALUE(LEFT(A313,3))</f>
        <v>61</v>
      </c>
      <c r="H314" t="str">
        <f>SUBSTITUTE(LEFT(A313,5)," ","")</f>
        <v>61PM</v>
      </c>
      <c r="I314" t="str">
        <f>LOWER(RIGHT(A313,LEN(A313)-6))</f>
        <v>promethium</v>
      </c>
      <c r="J314" cm="1">
        <f t="array" ref="J314:AK314">VALUE(_xlfn.TEXTSPLIT(TRIM(CONCATENATE(A314,A315,A316,A317))," "))</f>
        <v>240.7</v>
      </c>
      <c r="K314">
        <v>81.99</v>
      </c>
      <c r="L314">
        <v>37.65</v>
      </c>
      <c r="M314">
        <v>12.39</v>
      </c>
      <c r="N314">
        <v>5.62</v>
      </c>
      <c r="O314">
        <v>16.96</v>
      </c>
      <c r="P314">
        <v>10.58</v>
      </c>
      <c r="Q314">
        <v>4.9269999999999996</v>
      </c>
      <c r="R314">
        <v>2.72</v>
      </c>
      <c r="S314">
        <v>0.94779999999999998</v>
      </c>
      <c r="T314">
        <v>0.47639999999999999</v>
      </c>
      <c r="U314">
        <v>0.21179999999999999</v>
      </c>
      <c r="V314">
        <v>0.13730000000000001</v>
      </c>
      <c r="W314">
        <v>0.1057</v>
      </c>
      <c r="X314">
        <v>8.8730000000000003E-2</v>
      </c>
      <c r="Y314">
        <v>7.0440000000000003E-2</v>
      </c>
      <c r="Z314">
        <v>6.0339999999999998E-2</v>
      </c>
      <c r="AA314">
        <v>4.777E-2</v>
      </c>
      <c r="AB314">
        <v>4.2639999999999997E-2</v>
      </c>
      <c r="AC314">
        <v>3.9019999999999999E-2</v>
      </c>
      <c r="AD314">
        <v>3.8339999999999999E-2</v>
      </c>
      <c r="AE314">
        <v>3.8710000000000001E-2</v>
      </c>
      <c r="AF314">
        <v>3.95E-2</v>
      </c>
      <c r="AG314">
        <v>4.1619999999999997E-2</v>
      </c>
      <c r="AH314">
        <v>4.3950000000000003E-2</v>
      </c>
      <c r="AI314">
        <v>4.9410000000000003E-2</v>
      </c>
      <c r="AJ314">
        <v>5.3760000000000002E-2</v>
      </c>
      <c r="AK314">
        <v>6.0420000000000001E-2</v>
      </c>
    </row>
    <row r="315" spans="1:37">
      <c r="A315" t="s">
        <v>405</v>
      </c>
    </row>
    <row r="316" spans="1:37">
      <c r="A316" t="s">
        <v>406</v>
      </c>
    </row>
    <row r="317" spans="1:37">
      <c r="A317" t="s">
        <v>407</v>
      </c>
    </row>
    <row r="318" spans="1:37">
      <c r="A318" t="s">
        <v>408</v>
      </c>
    </row>
    <row r="319" spans="1:37">
      <c r="A319" t="s">
        <v>409</v>
      </c>
      <c r="G319">
        <f>VALUE(LEFT(A318,3))</f>
        <v>62</v>
      </c>
      <c r="H319" t="str">
        <f>SUBSTITUTE(LEFT(A318,5)," ","")</f>
        <v>62SM</v>
      </c>
      <c r="I319" t="str">
        <f>LOWER(RIGHT(A318,LEN(A318)-6))</f>
        <v>samarium</v>
      </c>
      <c r="J319" cm="1">
        <f t="array" ref="J319:AK319">VALUE(_xlfn.TEXTSPLIT(TRIM(CONCATENATE(A319,A320,A321,A322))," "))</f>
        <v>246.6</v>
      </c>
      <c r="K319">
        <v>84.18</v>
      </c>
      <c r="L319">
        <v>38.729999999999997</v>
      </c>
      <c r="M319">
        <v>12.77</v>
      </c>
      <c r="N319">
        <v>5.7990000000000004</v>
      </c>
      <c r="O319">
        <v>17.350000000000001</v>
      </c>
      <c r="P319">
        <v>10.78</v>
      </c>
      <c r="Q319">
        <v>5.03</v>
      </c>
      <c r="R319">
        <v>2.78</v>
      </c>
      <c r="S319">
        <v>0.96930000000000005</v>
      </c>
      <c r="T319">
        <v>0.4854</v>
      </c>
      <c r="U319">
        <v>0.214</v>
      </c>
      <c r="V319">
        <v>0.1376</v>
      </c>
      <c r="W319">
        <v>0.10539999999999999</v>
      </c>
      <c r="X319">
        <v>8.8059999999999999E-2</v>
      </c>
      <c r="Y319">
        <v>6.9650000000000004E-2</v>
      </c>
      <c r="Z319">
        <v>5.9490000000000001E-2</v>
      </c>
      <c r="AA319">
        <v>4.7E-2</v>
      </c>
      <c r="AB319">
        <v>4.1959999999999997E-2</v>
      </c>
      <c r="AC319">
        <v>3.8449999999999998E-2</v>
      </c>
      <c r="AD319">
        <v>3.7819999999999999E-2</v>
      </c>
      <c r="AE319">
        <v>3.8219999999999997E-2</v>
      </c>
      <c r="AF319">
        <v>3.9030000000000002E-2</v>
      </c>
      <c r="AG319">
        <v>4.1169999999999998E-2</v>
      </c>
      <c r="AH319">
        <v>4.3490000000000001E-2</v>
      </c>
      <c r="AI319">
        <v>4.895E-2</v>
      </c>
      <c r="AJ319">
        <v>5.3310000000000003E-2</v>
      </c>
      <c r="AK319">
        <v>5.9900000000000002E-2</v>
      </c>
    </row>
    <row r="320" spans="1:37">
      <c r="A320" t="s">
        <v>410</v>
      </c>
    </row>
    <row r="321" spans="1:37">
      <c r="A321" t="s">
        <v>411</v>
      </c>
    </row>
    <row r="322" spans="1:37">
      <c r="A322" t="s">
        <v>412</v>
      </c>
    </row>
    <row r="323" spans="1:37">
      <c r="A323" t="s">
        <v>413</v>
      </c>
    </row>
    <row r="324" spans="1:37">
      <c r="A324" t="s">
        <v>414</v>
      </c>
      <c r="G324">
        <f>VALUE(LEFT(A323,3))</f>
        <v>63</v>
      </c>
      <c r="H324" t="str">
        <f>SUBSTITUTE(LEFT(A323,5)," ","")</f>
        <v>63EU</v>
      </c>
      <c r="I324" t="str">
        <f>LOWER(RIGHT(A323,LEN(A323)-6))</f>
        <v>europium</v>
      </c>
      <c r="J324" cm="1">
        <f t="array" ref="J324:AK324">VALUE(_xlfn.TEXTSPLIT(TRIM(CONCATENATE(A324,A325,A326,A327))," "))</f>
        <v>259.5</v>
      </c>
      <c r="K324">
        <v>88.69</v>
      </c>
      <c r="L324">
        <v>40.85</v>
      </c>
      <c r="M324">
        <v>13.51</v>
      </c>
      <c r="N324">
        <v>6.1360000000000001</v>
      </c>
      <c r="O324">
        <v>18.09</v>
      </c>
      <c r="P324">
        <v>11.25</v>
      </c>
      <c r="Q324">
        <v>5.2690000000000001</v>
      </c>
      <c r="R324">
        <v>2.9140000000000001</v>
      </c>
      <c r="S324">
        <v>1.016</v>
      </c>
      <c r="T324">
        <v>0.50760000000000005</v>
      </c>
      <c r="U324">
        <v>0.22189999999999999</v>
      </c>
      <c r="V324">
        <v>0.1416</v>
      </c>
      <c r="W324">
        <v>0.1079</v>
      </c>
      <c r="X324">
        <v>8.9779999999999999E-2</v>
      </c>
      <c r="Y324">
        <v>7.0650000000000004E-2</v>
      </c>
      <c r="Z324">
        <v>6.0269999999999997E-2</v>
      </c>
      <c r="AA324">
        <v>4.7469999999999998E-2</v>
      </c>
      <c r="AB324">
        <v>4.24E-2</v>
      </c>
      <c r="AC324">
        <v>3.8899999999999997E-2</v>
      </c>
      <c r="AD324">
        <v>3.8289999999999998E-2</v>
      </c>
      <c r="AE324">
        <v>3.8730000000000001E-2</v>
      </c>
      <c r="AF324">
        <v>3.9570000000000001E-2</v>
      </c>
      <c r="AG324">
        <v>4.1779999999999998E-2</v>
      </c>
      <c r="AH324">
        <v>4.4159999999999998E-2</v>
      </c>
      <c r="AI324">
        <v>4.9759999999999999E-2</v>
      </c>
      <c r="AJ324">
        <v>5.4190000000000002E-2</v>
      </c>
      <c r="AK324">
        <v>6.096E-2</v>
      </c>
    </row>
    <row r="325" spans="1:37">
      <c r="A325" t="s">
        <v>415</v>
      </c>
    </row>
    <row r="326" spans="1:37">
      <c r="A326" t="s">
        <v>416</v>
      </c>
    </row>
    <row r="327" spans="1:37">
      <c r="A327" t="s">
        <v>417</v>
      </c>
    </row>
    <row r="328" spans="1:37">
      <c r="A328" t="s">
        <v>418</v>
      </c>
    </row>
    <row r="329" spans="1:37">
      <c r="A329" t="s">
        <v>419</v>
      </c>
      <c r="G329">
        <f>VALUE(LEFT(A328,3))</f>
        <v>64</v>
      </c>
      <c r="H329" t="str">
        <f>SUBSTITUTE(LEFT(A328,5)," ","")</f>
        <v>64GD</v>
      </c>
      <c r="I329" t="str">
        <f>LOWER(RIGHT(A328,LEN(A328)-6))</f>
        <v>gadolinium</v>
      </c>
      <c r="J329" cm="1">
        <f t="array" ref="J329:AK329">VALUE(_xlfn.TEXTSPLIT(TRIM(CONCATENATE(A329,A330,A331,A332))," "))</f>
        <v>265.89999999999998</v>
      </c>
      <c r="K329">
        <v>91.15</v>
      </c>
      <c r="L329">
        <v>42.04</v>
      </c>
      <c r="M329">
        <v>13.93</v>
      </c>
      <c r="N329">
        <v>6.335</v>
      </c>
      <c r="O329">
        <v>3.45</v>
      </c>
      <c r="P329">
        <v>11.44</v>
      </c>
      <c r="Q329">
        <v>5.3849999999999998</v>
      </c>
      <c r="R329">
        <v>2.9820000000000002</v>
      </c>
      <c r="S329">
        <v>1.04</v>
      </c>
      <c r="T329">
        <v>0.5181</v>
      </c>
      <c r="U329">
        <v>0.22470000000000001</v>
      </c>
      <c r="V329">
        <v>0.1424</v>
      </c>
      <c r="W329">
        <v>0.10780000000000001</v>
      </c>
      <c r="X329">
        <v>8.9410000000000003E-2</v>
      </c>
      <c r="Y329">
        <v>7.0050000000000001E-2</v>
      </c>
      <c r="Z329">
        <v>5.9580000000000001E-2</v>
      </c>
      <c r="AA329">
        <v>4.6820000000000001E-2</v>
      </c>
      <c r="AB329">
        <v>4.1829999999999999E-2</v>
      </c>
      <c r="AC329">
        <v>3.841E-2</v>
      </c>
      <c r="AD329">
        <v>3.7859999999999998E-2</v>
      </c>
      <c r="AE329">
        <v>3.832E-2</v>
      </c>
      <c r="AF329">
        <v>3.9190000000000003E-2</v>
      </c>
      <c r="AG329">
        <v>4.1399999999999999E-2</v>
      </c>
      <c r="AH329">
        <v>4.3779999999999999E-2</v>
      </c>
      <c r="AI329">
        <v>4.9390000000000003E-2</v>
      </c>
      <c r="AJ329">
        <v>5.3809999999999997E-2</v>
      </c>
      <c r="AK329">
        <v>6.0539999999999997E-2</v>
      </c>
    </row>
    <row r="330" spans="1:37">
      <c r="A330" t="s">
        <v>420</v>
      </c>
    </row>
    <row r="331" spans="1:37">
      <c r="A331" t="s">
        <v>421</v>
      </c>
    </row>
    <row r="332" spans="1:37">
      <c r="A332" t="s">
        <v>422</v>
      </c>
    </row>
    <row r="333" spans="1:37">
      <c r="A333" t="s">
        <v>423</v>
      </c>
    </row>
    <row r="334" spans="1:37">
      <c r="A334" t="s">
        <v>424</v>
      </c>
      <c r="G334">
        <f>VALUE(LEFT(A333,3))</f>
        <v>65</v>
      </c>
      <c r="H334" t="str">
        <f>SUBSTITUTE(LEFT(A333,5)," ","")</f>
        <v>65TB</v>
      </c>
      <c r="I334" t="str">
        <f>LOWER(RIGHT(A333,LEN(A333)-6))</f>
        <v>terbium</v>
      </c>
      <c r="J334" cm="1">
        <f t="array" ref="J334:AK334">VALUE(_xlfn.TEXTSPLIT(TRIM(CONCATENATE(A334,A335,A336,A337))," "))</f>
        <v>277.89999999999998</v>
      </c>
      <c r="K334">
        <v>95.72</v>
      </c>
      <c r="L334">
        <v>44.25</v>
      </c>
      <c r="M334">
        <v>14.69</v>
      </c>
      <c r="N334">
        <v>6.6829999999999998</v>
      </c>
      <c r="O334">
        <v>3.64</v>
      </c>
      <c r="P334">
        <v>11.91</v>
      </c>
      <c r="Q334">
        <v>5.6289999999999996</v>
      </c>
      <c r="R334">
        <v>3.1219999999999999</v>
      </c>
      <c r="S334">
        <v>1.0880000000000001</v>
      </c>
      <c r="T334">
        <v>0.54079999999999995</v>
      </c>
      <c r="U334">
        <v>0.23280000000000001</v>
      </c>
      <c r="V334">
        <v>0.14649999999999999</v>
      </c>
      <c r="W334">
        <v>0.1104</v>
      </c>
      <c r="X334">
        <v>9.1170000000000001E-2</v>
      </c>
      <c r="Y334">
        <v>7.1069999999999994E-2</v>
      </c>
      <c r="Z334">
        <v>6.0310000000000002E-2</v>
      </c>
      <c r="AA334">
        <v>4.7280000000000003E-2</v>
      </c>
      <c r="AB334">
        <v>4.2250000000000003E-2</v>
      </c>
      <c r="AC334">
        <v>3.884E-2</v>
      </c>
      <c r="AD334">
        <v>3.832E-2</v>
      </c>
      <c r="AE334">
        <v>3.882E-2</v>
      </c>
      <c r="AF334">
        <v>3.9710000000000002E-2</v>
      </c>
      <c r="AG334">
        <v>4.199E-2</v>
      </c>
      <c r="AH334">
        <v>4.4429999999999997E-2</v>
      </c>
      <c r="AI334">
        <v>5.0119999999999998E-2</v>
      </c>
      <c r="AJ334">
        <v>5.466E-2</v>
      </c>
      <c r="AK334">
        <v>6.1519999999999998E-2</v>
      </c>
    </row>
    <row r="335" spans="1:37">
      <c r="A335" t="s">
        <v>425</v>
      </c>
    </row>
    <row r="336" spans="1:37">
      <c r="A336" t="s">
        <v>426</v>
      </c>
    </row>
    <row r="337" spans="1:37">
      <c r="A337" t="s">
        <v>427</v>
      </c>
    </row>
    <row r="338" spans="1:37">
      <c r="A338" t="s">
        <v>428</v>
      </c>
    </row>
    <row r="339" spans="1:37">
      <c r="A339" t="s">
        <v>429</v>
      </c>
      <c r="G339">
        <f>VALUE(LEFT(A338,3))</f>
        <v>66</v>
      </c>
      <c r="H339" t="str">
        <f>SUBSTITUTE(LEFT(A338,5)," ","")</f>
        <v>66DY</v>
      </c>
      <c r="I339" t="str">
        <f>LOWER(RIGHT(A338,LEN(A338)-6))</f>
        <v>dysprosium</v>
      </c>
      <c r="J339" cm="1">
        <f t="array" ref="J339:AK339">VALUE(_xlfn.TEXTSPLIT(TRIM(CONCATENATE(A339,A340,A341,A342))," "))</f>
        <v>286.60000000000002</v>
      </c>
      <c r="K339">
        <v>99.28</v>
      </c>
      <c r="L339">
        <v>46</v>
      </c>
      <c r="M339">
        <v>15.29</v>
      </c>
      <c r="N339">
        <v>6.9649999999999999</v>
      </c>
      <c r="O339">
        <v>3.7949999999999999</v>
      </c>
      <c r="P339">
        <v>12.27</v>
      </c>
      <c r="Q339">
        <v>5.8150000000000004</v>
      </c>
      <c r="R339">
        <v>3.226</v>
      </c>
      <c r="S339">
        <v>1.1240000000000001</v>
      </c>
      <c r="T339">
        <v>0.55779999999999996</v>
      </c>
      <c r="U339">
        <v>0.23849999999999999</v>
      </c>
      <c r="V339">
        <v>0.14899999999999999</v>
      </c>
      <c r="W339">
        <v>0.1116</v>
      </c>
      <c r="X339">
        <v>9.1850000000000001E-2</v>
      </c>
      <c r="Y339">
        <v>7.1309999999999998E-2</v>
      </c>
      <c r="Z339">
        <v>6.0339999999999998E-2</v>
      </c>
      <c r="AA339">
        <v>4.7190000000000003E-2</v>
      </c>
      <c r="AB339">
        <v>4.2169999999999999E-2</v>
      </c>
      <c r="AC339">
        <v>3.8800000000000001E-2</v>
      </c>
      <c r="AD339">
        <v>3.832E-2</v>
      </c>
      <c r="AE339">
        <v>3.884E-2</v>
      </c>
      <c r="AF339">
        <v>3.9759999999999997E-2</v>
      </c>
      <c r="AG339">
        <v>4.2070000000000003E-2</v>
      </c>
      <c r="AH339">
        <v>4.4540000000000003E-2</v>
      </c>
      <c r="AI339">
        <v>5.0290000000000001E-2</v>
      </c>
      <c r="AJ339">
        <v>5.4890000000000001E-2</v>
      </c>
      <c r="AK339">
        <v>6.1780000000000002E-2</v>
      </c>
    </row>
    <row r="340" spans="1:37">
      <c r="A340" t="s">
        <v>430</v>
      </c>
    </row>
    <row r="341" spans="1:37">
      <c r="A341" t="s">
        <v>431</v>
      </c>
    </row>
    <row r="342" spans="1:37">
      <c r="A342" t="s">
        <v>432</v>
      </c>
    </row>
    <row r="343" spans="1:37">
      <c r="A343" t="s">
        <v>433</v>
      </c>
    </row>
    <row r="344" spans="1:37">
      <c r="A344" t="s">
        <v>434</v>
      </c>
      <c r="G344">
        <f>VALUE(LEFT(A343,3))</f>
        <v>67</v>
      </c>
      <c r="H344" t="str">
        <f>SUBSTITUTE(LEFT(A343,5)," ","")</f>
        <v>67HO</v>
      </c>
      <c r="I344" t="str">
        <f>LOWER(RIGHT(A343,LEN(A343)-6))</f>
        <v>holmium</v>
      </c>
      <c r="J344" cm="1">
        <f t="array" ref="J344:AK344">VALUE(_xlfn.TEXTSPLIT(TRIM(CONCATENATE(A344,A345,A346,A347))," "))</f>
        <v>297.5</v>
      </c>
      <c r="K344">
        <v>103.6</v>
      </c>
      <c r="L344">
        <v>48.13</v>
      </c>
      <c r="M344">
        <v>16.03</v>
      </c>
      <c r="N344">
        <v>7.306</v>
      </c>
      <c r="O344">
        <v>3.9820000000000002</v>
      </c>
      <c r="P344">
        <v>12.76</v>
      </c>
      <c r="Q344">
        <v>6.0380000000000003</v>
      </c>
      <c r="R344">
        <v>3.355</v>
      </c>
      <c r="S344">
        <v>1.17</v>
      </c>
      <c r="T344">
        <v>0.57920000000000005</v>
      </c>
      <c r="U344">
        <v>0.246</v>
      </c>
      <c r="V344">
        <v>0.1527</v>
      </c>
      <c r="W344">
        <v>0.1138</v>
      </c>
      <c r="X344">
        <v>9.3280000000000002E-2</v>
      </c>
      <c r="Y344">
        <v>7.2050000000000003E-2</v>
      </c>
      <c r="Z344">
        <v>6.08E-2</v>
      </c>
      <c r="AA344">
        <v>4.7469999999999998E-2</v>
      </c>
      <c r="AB344">
        <v>4.24E-2</v>
      </c>
      <c r="AC344">
        <v>3.9050000000000001E-2</v>
      </c>
      <c r="AD344">
        <v>3.8600000000000002E-2</v>
      </c>
      <c r="AE344">
        <v>3.9149999999999997E-2</v>
      </c>
      <c r="AF344">
        <v>4.0099999999999997E-2</v>
      </c>
      <c r="AG344">
        <v>4.2459999999999998E-2</v>
      </c>
      <c r="AH344">
        <v>4.4979999999999999E-2</v>
      </c>
      <c r="AI344">
        <v>5.0840000000000003E-2</v>
      </c>
      <c r="AJ344">
        <v>5.5469999999999998E-2</v>
      </c>
      <c r="AK344">
        <v>6.25E-2</v>
      </c>
    </row>
    <row r="345" spans="1:37">
      <c r="A345" t="s">
        <v>435</v>
      </c>
    </row>
    <row r="346" spans="1:37">
      <c r="A346" t="s">
        <v>436</v>
      </c>
    </row>
    <row r="347" spans="1:37">
      <c r="A347" t="s">
        <v>437</v>
      </c>
    </row>
    <row r="348" spans="1:37">
      <c r="A348" t="s">
        <v>438</v>
      </c>
    </row>
    <row r="349" spans="1:37">
      <c r="A349" t="s">
        <v>439</v>
      </c>
      <c r="G349">
        <f>VALUE(LEFT(A348,3))</f>
        <v>68</v>
      </c>
      <c r="H349" t="str">
        <f>SUBSTITUTE(LEFT(A348,5)," ","")</f>
        <v>68ER</v>
      </c>
      <c r="I349" t="str">
        <f>LOWER(RIGHT(A348,LEN(A348)-6))</f>
        <v>erbium</v>
      </c>
      <c r="J349" cm="1">
        <f t="array" ref="J349:AK349">VALUE(_xlfn.TEXTSPLIT(TRIM(CONCATENATE(A349,A350,A351,A352))," "))</f>
        <v>309.10000000000002</v>
      </c>
      <c r="K349">
        <v>108.1</v>
      </c>
      <c r="L349">
        <v>50.3</v>
      </c>
      <c r="M349">
        <v>16.79</v>
      </c>
      <c r="N349">
        <v>7.6630000000000003</v>
      </c>
      <c r="O349">
        <v>4.1769999999999996</v>
      </c>
      <c r="P349">
        <v>13.28</v>
      </c>
      <c r="Q349">
        <v>6.2690000000000001</v>
      </c>
      <c r="R349">
        <v>3.4860000000000002</v>
      </c>
      <c r="S349">
        <v>1.2170000000000001</v>
      </c>
      <c r="T349">
        <v>0.60170000000000001</v>
      </c>
      <c r="U349">
        <v>0.254</v>
      </c>
      <c r="V349">
        <v>0.15659999999999999</v>
      </c>
      <c r="W349">
        <v>0.11609999999999999</v>
      </c>
      <c r="X349">
        <v>9.4810000000000005E-2</v>
      </c>
      <c r="Y349">
        <v>7.2910000000000003E-2</v>
      </c>
      <c r="Z349">
        <v>6.1339999999999999E-2</v>
      </c>
      <c r="AA349">
        <v>4.7759999999999997E-2</v>
      </c>
      <c r="AB349">
        <v>4.2659999999999997E-2</v>
      </c>
      <c r="AC349">
        <v>3.9320000000000001E-2</v>
      </c>
      <c r="AD349">
        <v>3.8899999999999997E-2</v>
      </c>
      <c r="AE349">
        <v>3.9489999999999997E-2</v>
      </c>
      <c r="AF349">
        <v>4.0460000000000003E-2</v>
      </c>
      <c r="AG349">
        <v>4.2869999999999998E-2</v>
      </c>
      <c r="AH349">
        <v>4.5429999999999998E-2</v>
      </c>
      <c r="AI349">
        <v>5.1360000000000003E-2</v>
      </c>
      <c r="AJ349">
        <v>5.6090000000000001E-2</v>
      </c>
      <c r="AK349">
        <v>6.3229999999999995E-2</v>
      </c>
    </row>
    <row r="350" spans="1:37">
      <c r="A350" t="s">
        <v>440</v>
      </c>
    </row>
    <row r="351" spans="1:37">
      <c r="A351" t="s">
        <v>441</v>
      </c>
    </row>
    <row r="352" spans="1:37">
      <c r="A352" t="s">
        <v>442</v>
      </c>
    </row>
    <row r="353" spans="1:37">
      <c r="A353" t="s">
        <v>443</v>
      </c>
    </row>
    <row r="354" spans="1:37">
      <c r="A354" t="s">
        <v>444</v>
      </c>
      <c r="G354">
        <f>VALUE(LEFT(A353,3))</f>
        <v>69</v>
      </c>
      <c r="H354" t="str">
        <f>SUBSTITUTE(LEFT(A353,5)," ","")</f>
        <v>69TM</v>
      </c>
      <c r="I354" t="str">
        <f>LOWER(RIGHT(A353,LEN(A353)-6))</f>
        <v>thulium</v>
      </c>
      <c r="J354" cm="1">
        <f t="array" ref="J354:AK354">VALUE(_xlfn.TEXTSPLIT(TRIM(CONCATENATE(A354,A355,A356,A357))," "))</f>
        <v>279.10000000000002</v>
      </c>
      <c r="K354">
        <v>113.2</v>
      </c>
      <c r="L354">
        <v>52.73</v>
      </c>
      <c r="M354">
        <v>17.64</v>
      </c>
      <c r="N354">
        <v>8.0630000000000006</v>
      </c>
      <c r="O354">
        <v>4.3979999999999997</v>
      </c>
      <c r="P354">
        <v>13.74</v>
      </c>
      <c r="Q354">
        <v>6.5259999999999998</v>
      </c>
      <c r="R354">
        <v>3.6339999999999999</v>
      </c>
      <c r="S354">
        <v>1.27</v>
      </c>
      <c r="T354">
        <v>0.62719999999999998</v>
      </c>
      <c r="U354">
        <v>0.2631</v>
      </c>
      <c r="V354">
        <v>0.16120000000000001</v>
      </c>
      <c r="W354">
        <v>0.11890000000000001</v>
      </c>
      <c r="X354">
        <v>9.6769999999999995E-2</v>
      </c>
      <c r="Y354">
        <v>7.4029999999999999E-2</v>
      </c>
      <c r="Z354">
        <v>6.2120000000000002E-2</v>
      </c>
      <c r="AA354">
        <v>4.8239999999999998E-2</v>
      </c>
      <c r="AB354">
        <v>4.3099999999999999E-2</v>
      </c>
      <c r="AC354">
        <v>3.9750000000000001E-2</v>
      </c>
      <c r="AD354">
        <v>3.9359999999999999E-2</v>
      </c>
      <c r="AE354">
        <v>3.9969999999999999E-2</v>
      </c>
      <c r="AF354">
        <v>4.0980000000000003E-2</v>
      </c>
      <c r="AG354">
        <v>4.3450000000000003E-2</v>
      </c>
      <c r="AH354">
        <v>4.6059999999999997E-2</v>
      </c>
      <c r="AI354">
        <v>5.2109999999999997E-2</v>
      </c>
      <c r="AJ354">
        <v>5.6939999999999998E-2</v>
      </c>
      <c r="AK354">
        <v>6.4199999999999993E-2</v>
      </c>
    </row>
    <row r="355" spans="1:37">
      <c r="A355" t="s">
        <v>445</v>
      </c>
    </row>
    <row r="356" spans="1:37">
      <c r="A356" t="s">
        <v>446</v>
      </c>
    </row>
    <row r="357" spans="1:37">
      <c r="A357" t="s">
        <v>447</v>
      </c>
    </row>
    <row r="358" spans="1:37">
      <c r="A358" t="s">
        <v>448</v>
      </c>
    </row>
    <row r="359" spans="1:37">
      <c r="A359" t="s">
        <v>449</v>
      </c>
      <c r="G359">
        <f>VALUE(LEFT(A358,3))</f>
        <v>70</v>
      </c>
      <c r="H359" t="str">
        <f>SUBSTITUTE(LEFT(A358,5)," ","")</f>
        <v>70YB</v>
      </c>
      <c r="I359" t="str">
        <f>LOWER(RIGHT(A358,LEN(A358)-6))</f>
        <v>ytterbium</v>
      </c>
      <c r="J359" cm="1">
        <f t="array" ref="J359:AK359">VALUE(_xlfn.TEXTSPLIT(TRIM(CONCATENATE(A359,A360,A361,A362))," "))</f>
        <v>290.39999999999998</v>
      </c>
      <c r="K359">
        <v>116.7</v>
      </c>
      <c r="L359">
        <v>54.47</v>
      </c>
      <c r="M359">
        <v>18.27</v>
      </c>
      <c r="N359">
        <v>8.3580000000000005</v>
      </c>
      <c r="O359">
        <v>4.5599999999999996</v>
      </c>
      <c r="P359">
        <v>2.7909999999999999</v>
      </c>
      <c r="Q359">
        <v>6.69</v>
      </c>
      <c r="R359">
        <v>3.7320000000000002</v>
      </c>
      <c r="S359">
        <v>1.3069999999999999</v>
      </c>
      <c r="T359">
        <v>0.64429999999999998</v>
      </c>
      <c r="U359">
        <v>0.26879999999999998</v>
      </c>
      <c r="V359">
        <v>0.16370000000000001</v>
      </c>
      <c r="W359">
        <v>0.1201</v>
      </c>
      <c r="X359">
        <v>9.7339999999999996E-2</v>
      </c>
      <c r="Y359">
        <v>7.4160000000000004E-2</v>
      </c>
      <c r="Z359">
        <v>6.2050000000000001E-2</v>
      </c>
      <c r="AA359">
        <v>4.8050000000000002E-2</v>
      </c>
      <c r="AB359">
        <v>4.2939999999999999E-2</v>
      </c>
      <c r="AC359">
        <v>3.9620000000000002E-2</v>
      </c>
      <c r="AD359">
        <v>3.9260000000000003E-2</v>
      </c>
      <c r="AE359">
        <v>3.9890000000000002E-2</v>
      </c>
      <c r="AF359">
        <v>4.0910000000000002E-2</v>
      </c>
      <c r="AG359">
        <v>4.3400000000000001E-2</v>
      </c>
      <c r="AH359">
        <v>4.6030000000000001E-2</v>
      </c>
      <c r="AI359">
        <v>5.2139999999999999E-2</v>
      </c>
      <c r="AJ359">
        <v>5.6959999999999997E-2</v>
      </c>
      <c r="AK359">
        <v>6.4229999999999995E-2</v>
      </c>
    </row>
    <row r="360" spans="1:37">
      <c r="A360" t="s">
        <v>450</v>
      </c>
    </row>
    <row r="361" spans="1:37">
      <c r="A361" t="s">
        <v>451</v>
      </c>
    </row>
    <row r="362" spans="1:37">
      <c r="A362" t="s">
        <v>452</v>
      </c>
    </row>
    <row r="363" spans="1:37">
      <c r="A363" t="s">
        <v>453</v>
      </c>
    </row>
    <row r="364" spans="1:37">
      <c r="A364" t="s">
        <v>454</v>
      </c>
      <c r="G364">
        <f>VALUE(LEFT(A363,3))</f>
        <v>71</v>
      </c>
      <c r="H364" t="str">
        <f>SUBSTITUTE(LEFT(A363,5)," ","")</f>
        <v>71LU</v>
      </c>
      <c r="I364" t="str">
        <f>LOWER(RIGHT(A363,LEN(A363)-6))</f>
        <v>lutetium</v>
      </c>
      <c r="J364" cm="1">
        <f t="array" ref="J364:AK364">VALUE(_xlfn.TEXTSPLIT(TRIM(CONCATENATE(A364,A365,A366,A367))," "))</f>
        <v>217</v>
      </c>
      <c r="K364">
        <v>122.1</v>
      </c>
      <c r="L364">
        <v>56.98</v>
      </c>
      <c r="M364">
        <v>19.149999999999999</v>
      </c>
      <c r="N364">
        <v>8.77</v>
      </c>
      <c r="O364">
        <v>4.7869999999999999</v>
      </c>
      <c r="P364">
        <v>2.931</v>
      </c>
      <c r="Q364">
        <v>6.9349999999999996</v>
      </c>
      <c r="R364">
        <v>3.879</v>
      </c>
      <c r="S364">
        <v>1.361</v>
      </c>
      <c r="T364">
        <v>0.67</v>
      </c>
      <c r="U364">
        <v>0.27810000000000001</v>
      </c>
      <c r="V364">
        <v>0.16830000000000001</v>
      </c>
      <c r="W364">
        <v>0.123</v>
      </c>
      <c r="X364">
        <v>9.9279999999999993E-2</v>
      </c>
      <c r="Y364">
        <v>7.5240000000000001E-2</v>
      </c>
      <c r="Z364">
        <v>6.2820000000000001E-2</v>
      </c>
      <c r="AA364">
        <v>4.8480000000000002E-2</v>
      </c>
      <c r="AB364">
        <v>4.3299999999999998E-2</v>
      </c>
      <c r="AC364">
        <v>4.0009999999999997E-2</v>
      </c>
      <c r="AD364">
        <v>3.9669999999999997E-2</v>
      </c>
      <c r="AE364">
        <v>4.0320000000000002E-2</v>
      </c>
      <c r="AF364">
        <v>4.1360000000000001E-2</v>
      </c>
      <c r="AG364">
        <v>4.3909999999999998E-2</v>
      </c>
      <c r="AH364">
        <v>4.6580000000000003E-2</v>
      </c>
      <c r="AI364">
        <v>5.2780000000000001E-2</v>
      </c>
      <c r="AJ364">
        <v>5.7689999999999998E-2</v>
      </c>
      <c r="AK364">
        <v>6.5100000000000005E-2</v>
      </c>
    </row>
    <row r="365" spans="1:37">
      <c r="A365" t="s">
        <v>455</v>
      </c>
    </row>
    <row r="366" spans="1:37">
      <c r="A366" t="s">
        <v>456</v>
      </c>
    </row>
    <row r="367" spans="1:37">
      <c r="A367" t="s">
        <v>457</v>
      </c>
    </row>
    <row r="368" spans="1:37">
      <c r="A368" t="s">
        <v>458</v>
      </c>
    </row>
    <row r="369" spans="1:37">
      <c r="A369" t="s">
        <v>459</v>
      </c>
      <c r="G369">
        <f>VALUE(LEFT(A368,3))</f>
        <v>72</v>
      </c>
      <c r="H369" t="str">
        <f>SUBSTITUTE(LEFT(A368,5)," ","")</f>
        <v>72HF</v>
      </c>
      <c r="I369" t="str">
        <f>LOWER(RIGHT(A368,LEN(A368)-6))</f>
        <v>hafnium</v>
      </c>
      <c r="J369" cm="1">
        <f t="array" ref="J369:AK369">VALUE(_xlfn.TEXTSPLIT(TRIM(CONCATENATE(A369,A370,A371,A372))," "))</f>
        <v>225.9</v>
      </c>
      <c r="K369">
        <v>126.3</v>
      </c>
      <c r="L369">
        <v>58.99</v>
      </c>
      <c r="M369">
        <v>19.88</v>
      </c>
      <c r="N369">
        <v>9.1120000000000001</v>
      </c>
      <c r="O369">
        <v>4.9779999999999998</v>
      </c>
      <c r="P369">
        <v>3.048</v>
      </c>
      <c r="Q369">
        <v>7.1189999999999998</v>
      </c>
      <c r="R369">
        <v>3.9969999999999999</v>
      </c>
      <c r="S369">
        <v>1.4019999999999999</v>
      </c>
      <c r="T369">
        <v>0.68989999999999996</v>
      </c>
      <c r="U369">
        <v>0.28499999999999998</v>
      </c>
      <c r="V369">
        <v>0.1716</v>
      </c>
      <c r="W369">
        <v>0.12470000000000001</v>
      </c>
      <c r="X369">
        <v>0.1004</v>
      </c>
      <c r="Y369">
        <v>7.5689999999999993E-2</v>
      </c>
      <c r="Z369">
        <v>6.3E-2</v>
      </c>
      <c r="AA369">
        <v>4.8480000000000002E-2</v>
      </c>
      <c r="AB369">
        <v>4.3310000000000001E-2</v>
      </c>
      <c r="AC369">
        <v>4.002E-2</v>
      </c>
      <c r="AD369">
        <v>3.9710000000000002E-2</v>
      </c>
      <c r="AE369">
        <v>4.0390000000000002E-2</v>
      </c>
      <c r="AF369">
        <v>4.1450000000000001E-2</v>
      </c>
      <c r="AG369">
        <v>4.4019999999999997E-2</v>
      </c>
      <c r="AH369">
        <v>4.6710000000000002E-2</v>
      </c>
      <c r="AI369">
        <v>5.296E-2</v>
      </c>
      <c r="AJ369">
        <v>5.7919999999999999E-2</v>
      </c>
      <c r="AK369">
        <v>6.5379999999999994E-2</v>
      </c>
    </row>
    <row r="370" spans="1:37">
      <c r="A370" t="s">
        <v>460</v>
      </c>
    </row>
    <row r="371" spans="1:37">
      <c r="A371" t="s">
        <v>461</v>
      </c>
    </row>
    <row r="372" spans="1:37">
      <c r="A372" t="s">
        <v>462</v>
      </c>
    </row>
    <row r="373" spans="1:37">
      <c r="A373" t="s">
        <v>463</v>
      </c>
    </row>
    <row r="374" spans="1:37">
      <c r="A374" t="s">
        <v>464</v>
      </c>
      <c r="G374">
        <f>VALUE(LEFT(A373,3))</f>
        <v>73</v>
      </c>
      <c r="H374" t="str">
        <f>SUBSTITUTE(LEFT(A373,5)," ","")</f>
        <v>73TA</v>
      </c>
      <c r="I374" t="str">
        <f>LOWER(RIGHT(A373,LEN(A373)-6))</f>
        <v>tantalum</v>
      </c>
      <c r="J374" cm="1">
        <f t="array" ref="J374:AK374">VALUE(_xlfn.TEXTSPLIT(TRIM(CONCATENATE(A374,A375,A376,A377))," "))</f>
        <v>233.6</v>
      </c>
      <c r="K374">
        <v>131.30000000000001</v>
      </c>
      <c r="L374">
        <v>61.42</v>
      </c>
      <c r="M374">
        <v>20.75</v>
      </c>
      <c r="N374">
        <v>9.5180000000000007</v>
      </c>
      <c r="O374">
        <v>5.2050000000000001</v>
      </c>
      <c r="P374">
        <v>3.1880000000000002</v>
      </c>
      <c r="Q374">
        <v>7.351</v>
      </c>
      <c r="R374">
        <v>4.1399999999999997</v>
      </c>
      <c r="S374">
        <v>1.454</v>
      </c>
      <c r="T374">
        <v>0.71479999999999999</v>
      </c>
      <c r="U374">
        <v>0.29380000000000001</v>
      </c>
      <c r="V374">
        <v>0.17599999999999999</v>
      </c>
      <c r="W374">
        <v>0.1273</v>
      </c>
      <c r="X374">
        <v>0.1021</v>
      </c>
      <c r="Y374">
        <v>7.6600000000000001E-2</v>
      </c>
      <c r="Z374">
        <v>6.3579999999999998E-2</v>
      </c>
      <c r="AA374">
        <v>4.8820000000000002E-2</v>
      </c>
      <c r="AB374">
        <v>4.3549999999999998E-2</v>
      </c>
      <c r="AC374">
        <v>4.0280000000000003E-2</v>
      </c>
      <c r="AD374">
        <v>3.9989999999999998E-2</v>
      </c>
      <c r="AE374">
        <v>4.0680000000000001E-2</v>
      </c>
      <c r="AF374">
        <v>4.1770000000000002E-2</v>
      </c>
      <c r="AG374">
        <v>4.4380000000000003E-2</v>
      </c>
      <c r="AH374">
        <v>4.7109999999999999E-2</v>
      </c>
      <c r="AI374">
        <v>5.3449999999999998E-2</v>
      </c>
      <c r="AJ374">
        <v>5.8479999999999997E-2</v>
      </c>
      <c r="AK374">
        <v>6.6019999999999995E-2</v>
      </c>
    </row>
    <row r="375" spans="1:37">
      <c r="A375" t="s">
        <v>465</v>
      </c>
    </row>
    <row r="376" spans="1:37">
      <c r="A376" t="s">
        <v>466</v>
      </c>
    </row>
    <row r="377" spans="1:37">
      <c r="A377" t="s">
        <v>467</v>
      </c>
    </row>
    <row r="378" spans="1:37">
      <c r="A378" t="s">
        <v>468</v>
      </c>
    </row>
    <row r="379" spans="1:37">
      <c r="A379" t="s">
        <v>469</v>
      </c>
      <c r="G379">
        <f>VALUE(LEFT(A378,3))</f>
        <v>74</v>
      </c>
      <c r="H379" t="str">
        <f>SUBSTITUTE(LEFT(A378,5)," ","")</f>
        <v>74W</v>
      </c>
      <c r="I379" t="str">
        <f>LOWER(RIGHT(A378,LEN(A378)-6))</f>
        <v>tungsten</v>
      </c>
      <c r="J379" cm="1">
        <f t="array" ref="J379:AK379">VALUE(_xlfn.TEXTSPLIT(TRIM(CONCATENATE(A379,A380,A381,A382))," "))</f>
        <v>92.56</v>
      </c>
      <c r="K379">
        <v>136.1</v>
      </c>
      <c r="L379">
        <v>63.76</v>
      </c>
      <c r="M379">
        <v>21.58</v>
      </c>
      <c r="N379">
        <v>9.9220000000000006</v>
      </c>
      <c r="O379">
        <v>5.4260000000000002</v>
      </c>
      <c r="P379">
        <v>3.3239999999999998</v>
      </c>
      <c r="Q379">
        <v>7.5679999999999996</v>
      </c>
      <c r="R379">
        <v>4.2729999999999997</v>
      </c>
      <c r="S379">
        <v>1.502</v>
      </c>
      <c r="T379">
        <v>0.73829999999999996</v>
      </c>
      <c r="U379">
        <v>0.30230000000000001</v>
      </c>
      <c r="V379">
        <v>0.18010000000000001</v>
      </c>
      <c r="W379">
        <v>0.12970000000000001</v>
      </c>
      <c r="X379">
        <v>0.1036</v>
      </c>
      <c r="Y379">
        <v>7.7380000000000004E-2</v>
      </c>
      <c r="Z379">
        <v>6.4030000000000004E-2</v>
      </c>
      <c r="AA379">
        <v>4.9020000000000001E-2</v>
      </c>
      <c r="AB379">
        <v>4.3729999999999998E-2</v>
      </c>
      <c r="AC379">
        <v>4.0460000000000003E-2</v>
      </c>
      <c r="AD379">
        <v>4.0189999999999997E-2</v>
      </c>
      <c r="AE379">
        <v>4.0890000000000003E-2</v>
      </c>
      <c r="AF379">
        <v>4.199E-2</v>
      </c>
      <c r="AG379">
        <v>4.4639999999999999E-2</v>
      </c>
      <c r="AH379">
        <v>4.7410000000000001E-2</v>
      </c>
      <c r="AI379">
        <v>5.3800000000000001E-2</v>
      </c>
      <c r="AJ379">
        <v>5.8889999999999998E-2</v>
      </c>
      <c r="AK379">
        <v>6.6500000000000004E-2</v>
      </c>
    </row>
    <row r="380" spans="1:37">
      <c r="A380" t="s">
        <v>470</v>
      </c>
    </row>
    <row r="381" spans="1:37">
      <c r="A381" t="s">
        <v>471</v>
      </c>
    </row>
    <row r="382" spans="1:37">
      <c r="A382" t="s">
        <v>472</v>
      </c>
    </row>
    <row r="383" spans="1:37">
      <c r="A383" t="s">
        <v>473</v>
      </c>
    </row>
    <row r="384" spans="1:37">
      <c r="A384" t="s">
        <v>474</v>
      </c>
      <c r="G384">
        <f>VALUE(LEFT(A383,3))</f>
        <v>75</v>
      </c>
      <c r="H384" t="str">
        <f>SUBSTITUTE(LEFT(A383,5)," ","")</f>
        <v>75RE</v>
      </c>
      <c r="I384" t="str">
        <f>LOWER(RIGHT(A383,LEN(A383)-6))</f>
        <v>rhenium</v>
      </c>
      <c r="J384" cm="1">
        <f t="array" ref="J384:AK384">VALUE(_xlfn.TEXTSPLIT(TRIM(CONCATENATE(A384,A385,A386,A387))," "))</f>
        <v>96.67</v>
      </c>
      <c r="K384">
        <v>141.1</v>
      </c>
      <c r="L384">
        <v>66.349999999999994</v>
      </c>
      <c r="M384">
        <v>22.51</v>
      </c>
      <c r="N384">
        <v>10.36</v>
      </c>
      <c r="O384">
        <v>5.6689999999999996</v>
      </c>
      <c r="P384">
        <v>3.4729999999999999</v>
      </c>
      <c r="Q384">
        <v>7.8230000000000004</v>
      </c>
      <c r="R384">
        <v>4.4180000000000001</v>
      </c>
      <c r="S384">
        <v>1.556</v>
      </c>
      <c r="T384">
        <v>0.76449999999999996</v>
      </c>
      <c r="U384">
        <v>0.31180000000000002</v>
      </c>
      <c r="V384">
        <v>0.18479999999999999</v>
      </c>
      <c r="W384">
        <v>0.1326</v>
      </c>
      <c r="X384">
        <v>0.1055</v>
      </c>
      <c r="Y384">
        <v>7.8399999999999997E-2</v>
      </c>
      <c r="Z384">
        <v>6.4689999999999998E-2</v>
      </c>
      <c r="AA384">
        <v>4.9369999999999997E-2</v>
      </c>
      <c r="AB384">
        <v>4.4049999999999999E-2</v>
      </c>
      <c r="AC384">
        <v>4.0750000000000001E-2</v>
      </c>
      <c r="AD384">
        <v>4.0489999999999998E-2</v>
      </c>
      <c r="AE384">
        <v>4.1230000000000003E-2</v>
      </c>
      <c r="AF384">
        <v>4.2349999999999999E-2</v>
      </c>
      <c r="AG384">
        <v>4.5030000000000001E-2</v>
      </c>
      <c r="AH384">
        <v>4.7840000000000001E-2</v>
      </c>
      <c r="AI384">
        <v>5.432E-2</v>
      </c>
      <c r="AJ384">
        <v>5.9490000000000001E-2</v>
      </c>
      <c r="AK384">
        <v>6.7199999999999996E-2</v>
      </c>
    </row>
    <row r="385" spans="1:37">
      <c r="A385" t="s">
        <v>475</v>
      </c>
    </row>
    <row r="386" spans="1:37">
      <c r="A386" t="s">
        <v>476</v>
      </c>
    </row>
    <row r="387" spans="1:37">
      <c r="A387" t="s">
        <v>477</v>
      </c>
    </row>
    <row r="388" spans="1:37">
      <c r="A388" t="s">
        <v>478</v>
      </c>
    </row>
    <row r="389" spans="1:37">
      <c r="A389" t="s">
        <v>479</v>
      </c>
      <c r="G389">
        <f>VALUE(LEFT(A388,3))</f>
        <v>76</v>
      </c>
      <c r="H389" t="str">
        <f>SUBSTITUTE(LEFT(A388,5)," ","")</f>
        <v>76OS</v>
      </c>
      <c r="I389" t="str">
        <f>LOWER(RIGHT(A388,LEN(A388)-6))</f>
        <v>osmium</v>
      </c>
      <c r="J389" cm="1">
        <f t="array" ref="J389:AK389">VALUE(_xlfn.TEXTSPLIT(TRIM(CONCATENATE(A389,A390,A391,A392))," "))</f>
        <v>100</v>
      </c>
      <c r="K389">
        <v>144.9</v>
      </c>
      <c r="L389">
        <v>68.34</v>
      </c>
      <c r="M389">
        <v>23.25</v>
      </c>
      <c r="N389">
        <v>10.71</v>
      </c>
      <c r="O389">
        <v>5.8689999999999998</v>
      </c>
      <c r="P389">
        <v>3.5979999999999999</v>
      </c>
      <c r="Q389">
        <v>8.0370000000000008</v>
      </c>
      <c r="R389">
        <v>4.5259999999999998</v>
      </c>
      <c r="S389">
        <v>1.597</v>
      </c>
      <c r="T389">
        <v>0.78449999999999998</v>
      </c>
      <c r="U389">
        <v>0.31869999999999998</v>
      </c>
      <c r="V389">
        <v>0.18809999999999999</v>
      </c>
      <c r="W389">
        <v>0.13420000000000001</v>
      </c>
      <c r="X389">
        <v>0.1065</v>
      </c>
      <c r="Y389">
        <v>7.8789999999999999E-2</v>
      </c>
      <c r="Z389">
        <v>6.4810000000000006E-2</v>
      </c>
      <c r="AA389">
        <v>4.9299999999999997E-2</v>
      </c>
      <c r="AB389">
        <v>4.3950000000000003E-2</v>
      </c>
      <c r="AC389">
        <v>4.0689999999999997E-2</v>
      </c>
      <c r="AD389">
        <v>4.0460000000000003E-2</v>
      </c>
      <c r="AE389">
        <v>4.1200000000000001E-2</v>
      </c>
      <c r="AF389">
        <v>4.233E-2</v>
      </c>
      <c r="AG389">
        <v>4.5030000000000001E-2</v>
      </c>
      <c r="AH389">
        <v>4.7849999999999997E-2</v>
      </c>
      <c r="AI389">
        <v>5.4370000000000002E-2</v>
      </c>
      <c r="AJ389">
        <v>5.9520000000000003E-2</v>
      </c>
      <c r="AK389">
        <v>6.7269999999999996E-2</v>
      </c>
    </row>
    <row r="390" spans="1:37">
      <c r="A390" t="s">
        <v>480</v>
      </c>
    </row>
    <row r="391" spans="1:37">
      <c r="A391" t="s">
        <v>481</v>
      </c>
    </row>
    <row r="392" spans="1:37">
      <c r="A392" t="s">
        <v>482</v>
      </c>
    </row>
    <row r="393" spans="1:37">
      <c r="A393" t="s">
        <v>483</v>
      </c>
    </row>
    <row r="394" spans="1:37">
      <c r="A394" t="s">
        <v>484</v>
      </c>
      <c r="G394">
        <f>VALUE(LEFT(A393,3))</f>
        <v>77</v>
      </c>
      <c r="H394" t="str">
        <f>SUBSTITUTE(LEFT(A393,5)," ","")</f>
        <v>77IR</v>
      </c>
      <c r="I394" t="str">
        <f>LOWER(RIGHT(A393,LEN(A393)-6))</f>
        <v>iridium</v>
      </c>
      <c r="J394" cm="1">
        <f t="array" ref="J394:AK394">VALUE(_xlfn.TEXTSPLIT(TRIM(CONCATENATE(A394,A395,A396,A397))," "))</f>
        <v>104.4</v>
      </c>
      <c r="K394">
        <v>150</v>
      </c>
      <c r="L394">
        <v>71.11</v>
      </c>
      <c r="M394">
        <v>24.25</v>
      </c>
      <c r="N394">
        <v>11.19</v>
      </c>
      <c r="O394">
        <v>6.1349999999999998</v>
      </c>
      <c r="P394">
        <v>3.7589999999999999</v>
      </c>
      <c r="Q394">
        <v>8.3260000000000005</v>
      </c>
      <c r="R394">
        <v>4.68</v>
      </c>
      <c r="S394">
        <v>1.6559999999999999</v>
      </c>
      <c r="T394">
        <v>0.81299999999999994</v>
      </c>
      <c r="U394">
        <v>0.32929999999999998</v>
      </c>
      <c r="V394">
        <v>0.19339999999999999</v>
      </c>
      <c r="W394">
        <v>0.1376</v>
      </c>
      <c r="X394">
        <v>0.1087</v>
      </c>
      <c r="Y394">
        <v>8.0009999999999998E-2</v>
      </c>
      <c r="Z394">
        <v>6.5619999999999998E-2</v>
      </c>
      <c r="AA394">
        <v>4.9759999999999999E-2</v>
      </c>
      <c r="AB394">
        <v>4.4359999999999997E-2</v>
      </c>
      <c r="AC394">
        <v>4.1070000000000002E-2</v>
      </c>
      <c r="AD394">
        <v>4.0840000000000001E-2</v>
      </c>
      <c r="AE394">
        <v>4.1599999999999998E-2</v>
      </c>
      <c r="AF394">
        <v>4.2750000000000003E-2</v>
      </c>
      <c r="AG394">
        <v>4.5499999999999999E-2</v>
      </c>
      <c r="AH394">
        <v>4.8379999999999999E-2</v>
      </c>
      <c r="AI394">
        <v>5.4969999999999998E-2</v>
      </c>
      <c r="AJ394">
        <v>6.0199999999999997E-2</v>
      </c>
      <c r="AK394">
        <v>6.8059999999999996E-2</v>
      </c>
    </row>
    <row r="395" spans="1:37">
      <c r="A395" t="s">
        <v>485</v>
      </c>
    </row>
    <row r="396" spans="1:37">
      <c r="A396" t="s">
        <v>486</v>
      </c>
    </row>
    <row r="397" spans="1:37">
      <c r="A397" t="s">
        <v>487</v>
      </c>
    </row>
    <row r="398" spans="1:37">
      <c r="A398" t="s">
        <v>488</v>
      </c>
    </row>
    <row r="399" spans="1:37">
      <c r="A399" t="s">
        <v>489</v>
      </c>
      <c r="G399">
        <f>VALUE(LEFT(A398,3))</f>
        <v>78</v>
      </c>
      <c r="H399" t="str">
        <f>SUBSTITUTE(LEFT(A398,5)," ","")</f>
        <v>78PT</v>
      </c>
      <c r="I399" t="str">
        <f>LOWER(RIGHT(A398,LEN(A398)-6))</f>
        <v>platinum</v>
      </c>
      <c r="J399" cm="1">
        <f t="array" ref="J399:AK399">VALUE(_xlfn.TEXTSPLIT(TRIM(CONCATENATE(A399,A400,A401,A402))," "))</f>
        <v>108.6</v>
      </c>
      <c r="K399">
        <v>154.80000000000001</v>
      </c>
      <c r="L399">
        <v>73.62</v>
      </c>
      <c r="M399">
        <v>25.18</v>
      </c>
      <c r="N399">
        <v>11.64</v>
      </c>
      <c r="O399">
        <v>6.383</v>
      </c>
      <c r="P399">
        <v>3.9159999999999999</v>
      </c>
      <c r="Q399">
        <v>8.4689999999999994</v>
      </c>
      <c r="R399">
        <v>4.8140000000000001</v>
      </c>
      <c r="S399">
        <v>1.7090000000000001</v>
      </c>
      <c r="T399">
        <v>0.8387</v>
      </c>
      <c r="U399">
        <v>0.33860000000000001</v>
      </c>
      <c r="V399">
        <v>0.19800000000000001</v>
      </c>
      <c r="W399">
        <v>0.14019999999999999</v>
      </c>
      <c r="X399">
        <v>0.1105</v>
      </c>
      <c r="Y399">
        <v>8.0949999999999994E-2</v>
      </c>
      <c r="Z399">
        <v>6.6180000000000003E-2</v>
      </c>
      <c r="AA399">
        <v>5.0009999999999999E-2</v>
      </c>
      <c r="AB399">
        <v>4.4589999999999998E-2</v>
      </c>
      <c r="AC399">
        <v>4.1279999999999997E-2</v>
      </c>
      <c r="AD399">
        <v>4.104E-2</v>
      </c>
      <c r="AE399">
        <v>4.181E-2</v>
      </c>
      <c r="AF399">
        <v>4.299E-2</v>
      </c>
      <c r="AG399">
        <v>4.5760000000000002E-2</v>
      </c>
      <c r="AH399">
        <v>4.8649999999999999E-2</v>
      </c>
      <c r="AI399">
        <v>5.5320000000000001E-2</v>
      </c>
      <c r="AJ399">
        <v>6.0600000000000001E-2</v>
      </c>
      <c r="AK399">
        <v>6.8529999999999994E-2</v>
      </c>
    </row>
    <row r="400" spans="1:37">
      <c r="A400" t="s">
        <v>490</v>
      </c>
    </row>
    <row r="401" spans="1:37">
      <c r="A401" t="s">
        <v>491</v>
      </c>
    </row>
    <row r="402" spans="1:37">
      <c r="A402" t="s">
        <v>492</v>
      </c>
    </row>
    <row r="403" spans="1:37">
      <c r="A403" t="s">
        <v>493</v>
      </c>
    </row>
    <row r="404" spans="1:37">
      <c r="A404" t="s">
        <v>494</v>
      </c>
      <c r="G404">
        <f>VALUE(LEFT(A403,3))</f>
        <v>79</v>
      </c>
      <c r="H404" t="str">
        <f>SUBSTITUTE(LEFT(A403,5)," ","")</f>
        <v>79AU</v>
      </c>
      <c r="I404" t="str">
        <f>LOWER(RIGHT(A403,LEN(A403)-6))</f>
        <v>gold</v>
      </c>
      <c r="J404" cm="1">
        <f t="array" ref="J404:AK404">VALUE(_xlfn.TEXTSPLIT(TRIM(CONCATENATE(A404,A405,A406,A407))," "))</f>
        <v>113.4</v>
      </c>
      <c r="K404">
        <v>160.6</v>
      </c>
      <c r="L404">
        <v>76.650000000000006</v>
      </c>
      <c r="M404">
        <v>26.26</v>
      </c>
      <c r="N404">
        <v>12.15</v>
      </c>
      <c r="O404">
        <v>6.673</v>
      </c>
      <c r="P404">
        <v>4.0940000000000003</v>
      </c>
      <c r="Q404">
        <v>1.915</v>
      </c>
      <c r="R404">
        <v>4.9740000000000002</v>
      </c>
      <c r="S404">
        <v>1.77</v>
      </c>
      <c r="T404">
        <v>0.86919999999999997</v>
      </c>
      <c r="U404">
        <v>0.34989999999999999</v>
      </c>
      <c r="V404">
        <v>0.20380000000000001</v>
      </c>
      <c r="W404">
        <v>0.14369999999999999</v>
      </c>
      <c r="X404">
        <v>0.1129</v>
      </c>
      <c r="Y404">
        <v>8.2290000000000002E-2</v>
      </c>
      <c r="Z404">
        <v>6.7119999999999999E-2</v>
      </c>
      <c r="AA404">
        <v>5.0529999999999999E-2</v>
      </c>
      <c r="AB404">
        <v>4.5010000000000001E-2</v>
      </c>
      <c r="AC404">
        <v>4.1680000000000002E-2</v>
      </c>
      <c r="AD404">
        <v>4.1450000000000001E-2</v>
      </c>
      <c r="AE404">
        <v>4.224E-2</v>
      </c>
      <c r="AF404">
        <v>4.3430000000000003E-2</v>
      </c>
      <c r="AG404">
        <v>4.6249999999999999E-2</v>
      </c>
      <c r="AH404">
        <v>4.9189999999999998E-2</v>
      </c>
      <c r="AI404">
        <v>5.5930000000000001E-2</v>
      </c>
      <c r="AJ404">
        <v>6.132E-2</v>
      </c>
      <c r="AK404">
        <v>6.9370000000000001E-2</v>
      </c>
    </row>
    <row r="405" spans="1:37">
      <c r="A405" t="s">
        <v>495</v>
      </c>
    </row>
    <row r="406" spans="1:37">
      <c r="A406" t="s">
        <v>496</v>
      </c>
    </row>
    <row r="407" spans="1:37">
      <c r="A407" t="s">
        <v>497</v>
      </c>
    </row>
    <row r="408" spans="1:37">
      <c r="A408" t="s">
        <v>498</v>
      </c>
    </row>
    <row r="409" spans="1:37">
      <c r="A409" t="s">
        <v>499</v>
      </c>
      <c r="G409">
        <f>VALUE(LEFT(A408,3))</f>
        <v>80</v>
      </c>
      <c r="H409" t="str">
        <f>SUBSTITUTE(LEFT(A408,5)," ","")</f>
        <v>80HG</v>
      </c>
      <c r="I409" t="str">
        <f>LOWER(RIGHT(A408,LEN(A408)-6))</f>
        <v>mercury</v>
      </c>
      <c r="J409" cm="1">
        <f t="array" ref="J409:AK409">VALUE(_xlfn.TEXTSPLIT(TRIM(CONCATENATE(A409,A410,A411,A412))," "))</f>
        <v>117.3</v>
      </c>
      <c r="K409">
        <v>165</v>
      </c>
      <c r="L409">
        <v>79.05</v>
      </c>
      <c r="M409">
        <v>27.13</v>
      </c>
      <c r="N409">
        <v>12.57</v>
      </c>
      <c r="O409">
        <v>6.907</v>
      </c>
      <c r="P409">
        <v>4.2409999999999997</v>
      </c>
      <c r="Q409">
        <v>1.9850000000000001</v>
      </c>
      <c r="R409">
        <v>5.09</v>
      </c>
      <c r="S409">
        <v>1.819</v>
      </c>
      <c r="T409">
        <v>0.89229999999999998</v>
      </c>
      <c r="U409">
        <v>0.35849999999999999</v>
      </c>
      <c r="V409">
        <v>0.2079</v>
      </c>
      <c r="W409">
        <v>0.14610000000000001</v>
      </c>
      <c r="X409">
        <v>0.1143</v>
      </c>
      <c r="Y409">
        <v>8.2989999999999994E-2</v>
      </c>
      <c r="Z409">
        <v>6.7449999999999996E-2</v>
      </c>
      <c r="AA409">
        <v>5.0650000000000001E-2</v>
      </c>
      <c r="AB409">
        <v>4.5080000000000002E-2</v>
      </c>
      <c r="AC409">
        <v>4.1730000000000003E-2</v>
      </c>
      <c r="AD409">
        <v>4.1509999999999998E-2</v>
      </c>
      <c r="AE409">
        <v>4.231E-2</v>
      </c>
      <c r="AF409">
        <v>4.3499999999999997E-2</v>
      </c>
      <c r="AG409">
        <v>4.6350000000000002E-2</v>
      </c>
      <c r="AH409">
        <v>4.9299999999999997E-2</v>
      </c>
      <c r="AI409">
        <v>5.6079999999999998E-2</v>
      </c>
      <c r="AJ409">
        <v>6.1499999999999999E-2</v>
      </c>
      <c r="AK409">
        <v>6.9580000000000003E-2</v>
      </c>
    </row>
    <row r="410" spans="1:37">
      <c r="A410" t="s">
        <v>500</v>
      </c>
    </row>
    <row r="411" spans="1:37">
      <c r="A411" t="s">
        <v>501</v>
      </c>
    </row>
    <row r="412" spans="1:37">
      <c r="A412" t="s">
        <v>502</v>
      </c>
    </row>
    <row r="413" spans="1:37">
      <c r="A413" t="s">
        <v>503</v>
      </c>
    </row>
    <row r="414" spans="1:37">
      <c r="A414" t="s">
        <v>504</v>
      </c>
      <c r="G414">
        <f>VALUE(LEFT(A413,3))</f>
        <v>81</v>
      </c>
      <c r="H414" t="str">
        <f>SUBSTITUTE(LEFT(A413,5)," ","")</f>
        <v>81TL</v>
      </c>
      <c r="I414" t="str">
        <f>LOWER(RIGHT(A413,LEN(A413)-6))</f>
        <v>thallium</v>
      </c>
      <c r="J414" cm="1">
        <f t="array" ref="J414:AK414">VALUE(_xlfn.TEXTSPLIT(TRIM(CONCATENATE(A414,A415,A416,A417))," "))</f>
        <v>121.2</v>
      </c>
      <c r="K414">
        <v>146.5</v>
      </c>
      <c r="L414">
        <v>81.38</v>
      </c>
      <c r="M414">
        <v>27.99</v>
      </c>
      <c r="N414">
        <v>12.99</v>
      </c>
      <c r="O414">
        <v>7.1459999999999999</v>
      </c>
      <c r="P414">
        <v>4.391</v>
      </c>
      <c r="Q414">
        <v>2.0539999999999998</v>
      </c>
      <c r="R414">
        <v>5.2060000000000004</v>
      </c>
      <c r="S414">
        <v>1.865</v>
      </c>
      <c r="T414">
        <v>0.91520000000000001</v>
      </c>
      <c r="U414">
        <v>0.36680000000000001</v>
      </c>
      <c r="V414">
        <v>0.21199999999999999</v>
      </c>
      <c r="W414">
        <v>0.1484</v>
      </c>
      <c r="X414">
        <v>0.1158</v>
      </c>
      <c r="Y414">
        <v>8.3610000000000004E-2</v>
      </c>
      <c r="Z414">
        <v>6.7769999999999997E-2</v>
      </c>
      <c r="AA414">
        <v>5.0700000000000002E-2</v>
      </c>
      <c r="AB414">
        <v>4.512E-2</v>
      </c>
      <c r="AC414">
        <v>4.1759999999999999E-2</v>
      </c>
      <c r="AD414">
        <v>4.1540000000000001E-2</v>
      </c>
      <c r="AE414">
        <v>4.233E-2</v>
      </c>
      <c r="AF414">
        <v>4.3540000000000002E-2</v>
      </c>
      <c r="AG414">
        <v>4.6390000000000001E-2</v>
      </c>
      <c r="AH414">
        <v>4.9360000000000001E-2</v>
      </c>
      <c r="AI414">
        <v>5.6169999999999998E-2</v>
      </c>
      <c r="AJ414">
        <v>6.1580000000000003E-2</v>
      </c>
      <c r="AK414">
        <v>6.9720000000000004E-2</v>
      </c>
    </row>
    <row r="415" spans="1:37">
      <c r="A415" t="s">
        <v>505</v>
      </c>
    </row>
    <row r="416" spans="1:37">
      <c r="A416" t="s">
        <v>506</v>
      </c>
    </row>
    <row r="417" spans="1:37">
      <c r="A417" t="s">
        <v>507</v>
      </c>
    </row>
    <row r="418" spans="1:37">
      <c r="A418" t="s">
        <v>508</v>
      </c>
    </row>
    <row r="419" spans="1:37">
      <c r="A419" t="s">
        <v>509</v>
      </c>
      <c r="G419">
        <f>VALUE(LEFT(A418,3))</f>
        <v>82</v>
      </c>
      <c r="H419" t="str">
        <f>SUBSTITUTE(LEFT(A418,5)," ","")</f>
        <v>82PB</v>
      </c>
      <c r="I419" t="str">
        <f>LOWER(RIGHT(A418,LEN(A418)-6))</f>
        <v>lead</v>
      </c>
      <c r="J419" cm="1">
        <f t="array" ref="J419:AK419">VALUE(_xlfn.TEXTSPLIT(TRIM(CONCATENATE(A419,A420,A421,A422))," "))</f>
        <v>125.7</v>
      </c>
      <c r="K419">
        <v>108.4</v>
      </c>
      <c r="L419">
        <v>84.11</v>
      </c>
      <c r="M419">
        <v>29</v>
      </c>
      <c r="N419">
        <v>13.49</v>
      </c>
      <c r="O419">
        <v>7.4260000000000002</v>
      </c>
      <c r="P419">
        <v>4.5629999999999997</v>
      </c>
      <c r="Q419">
        <v>2.1349999999999998</v>
      </c>
      <c r="R419">
        <v>5.3550000000000004</v>
      </c>
      <c r="S419">
        <v>1.921</v>
      </c>
      <c r="T419">
        <v>0.94320000000000004</v>
      </c>
      <c r="U419">
        <v>0.37719999999999998</v>
      </c>
      <c r="V419">
        <v>0.2172</v>
      </c>
      <c r="W419">
        <v>0.15140000000000001</v>
      </c>
      <c r="X419">
        <v>0.1178</v>
      </c>
      <c r="Y419">
        <v>8.4720000000000004E-2</v>
      </c>
      <c r="Z419">
        <v>6.8440000000000001E-2</v>
      </c>
      <c r="AA419">
        <v>5.1020000000000003E-2</v>
      </c>
      <c r="AB419">
        <v>4.5359999999999998E-2</v>
      </c>
      <c r="AC419">
        <v>4.199E-2</v>
      </c>
      <c r="AD419">
        <v>4.1750000000000002E-2</v>
      </c>
      <c r="AE419">
        <v>4.2569999999999997E-2</v>
      </c>
      <c r="AF419">
        <v>4.3790000000000003E-2</v>
      </c>
      <c r="AG419">
        <v>4.6670000000000003E-2</v>
      </c>
      <c r="AH419">
        <v>4.965E-2</v>
      </c>
      <c r="AI419">
        <v>5.6529999999999997E-2</v>
      </c>
      <c r="AJ419">
        <v>6.2019999999999999E-2</v>
      </c>
      <c r="AK419">
        <v>7.0190000000000002E-2</v>
      </c>
    </row>
    <row r="420" spans="1:37">
      <c r="A420" t="s">
        <v>510</v>
      </c>
    </row>
    <row r="421" spans="1:37">
      <c r="A421" t="s">
        <v>511</v>
      </c>
    </row>
    <row r="422" spans="1:37">
      <c r="A422" t="s">
        <v>512</v>
      </c>
    </row>
    <row r="423" spans="1:37">
      <c r="A423" t="s">
        <v>513</v>
      </c>
    </row>
    <row r="424" spans="1:37">
      <c r="A424" t="s">
        <v>514</v>
      </c>
      <c r="G424">
        <f>VALUE(LEFT(A423,3))</f>
        <v>83</v>
      </c>
      <c r="H424" t="str">
        <f>SUBSTITUTE(LEFT(A423,5)," ","")</f>
        <v>83BI</v>
      </c>
      <c r="I424" t="str">
        <f>LOWER(RIGHT(A423,LEN(A423)-6))</f>
        <v>bismuth</v>
      </c>
      <c r="J424" cm="1">
        <f t="array" ref="J424:AK424">VALUE(_xlfn.TEXTSPLIT(TRIM(CONCATENATE(A424,A425,A426,A427))," "))</f>
        <v>131</v>
      </c>
      <c r="K424">
        <v>112.7</v>
      </c>
      <c r="L424">
        <v>87.2</v>
      </c>
      <c r="M424">
        <v>30.17</v>
      </c>
      <c r="N424">
        <v>14.06</v>
      </c>
      <c r="O424">
        <v>7.7469999999999999</v>
      </c>
      <c r="P424">
        <v>4.7640000000000002</v>
      </c>
      <c r="Q424">
        <v>2.2309999999999999</v>
      </c>
      <c r="R424">
        <v>5.5380000000000003</v>
      </c>
      <c r="S424">
        <v>1.9850000000000001</v>
      </c>
      <c r="T424">
        <v>0.97609999999999997</v>
      </c>
      <c r="U424">
        <v>0.38969999999999999</v>
      </c>
      <c r="V424">
        <v>0.22359999999999999</v>
      </c>
      <c r="W424">
        <v>0.1555</v>
      </c>
      <c r="X424">
        <v>0.1205</v>
      </c>
      <c r="Y424">
        <v>8.6249999999999993E-2</v>
      </c>
      <c r="Z424">
        <v>6.9470000000000004E-2</v>
      </c>
      <c r="AA424">
        <v>5.1610000000000003E-2</v>
      </c>
      <c r="AB424">
        <v>4.5859999999999998E-2</v>
      </c>
      <c r="AC424">
        <v>4.2430000000000002E-2</v>
      </c>
      <c r="AD424">
        <v>4.2200000000000001E-2</v>
      </c>
      <c r="AE424">
        <v>4.301E-2</v>
      </c>
      <c r="AF424">
        <v>4.4249999999999998E-2</v>
      </c>
      <c r="AG424">
        <v>4.7160000000000001E-2</v>
      </c>
      <c r="AH424">
        <v>5.0180000000000002E-2</v>
      </c>
      <c r="AI424">
        <v>5.7160000000000002E-2</v>
      </c>
      <c r="AJ424">
        <v>6.2719999999999998E-2</v>
      </c>
      <c r="AK424">
        <v>7.1029999999999996E-2</v>
      </c>
    </row>
    <row r="425" spans="1:37">
      <c r="A425" t="s">
        <v>515</v>
      </c>
    </row>
    <row r="426" spans="1:37">
      <c r="A426" t="s">
        <v>516</v>
      </c>
    </row>
    <row r="427" spans="1:37">
      <c r="A427" t="s">
        <v>517</v>
      </c>
    </row>
    <row r="428" spans="1:37">
      <c r="A428" t="s">
        <v>518</v>
      </c>
    </row>
    <row r="429" spans="1:37">
      <c r="A429" t="s">
        <v>519</v>
      </c>
      <c r="G429">
        <f>VALUE(LEFT(A428,3))</f>
        <v>84</v>
      </c>
      <c r="H429" t="str">
        <f>SUBSTITUTE(LEFT(A428,5)," ","")</f>
        <v>84PO</v>
      </c>
      <c r="I429" t="str">
        <f>LOWER(RIGHT(A428,LEN(A428)-6))</f>
        <v>polonium</v>
      </c>
      <c r="J429" cm="1">
        <f t="array" ref="J429:AK429">VALUE(_xlfn.TEXTSPLIT(TRIM(CONCATENATE(A429,A430,A431,A432))," "))</f>
        <v>137.6</v>
      </c>
      <c r="K429">
        <v>118.5</v>
      </c>
      <c r="L429">
        <v>91.15</v>
      </c>
      <c r="M429">
        <v>31.64</v>
      </c>
      <c r="N429">
        <v>14.77</v>
      </c>
      <c r="O429">
        <v>8.15</v>
      </c>
      <c r="P429">
        <v>5.0140000000000002</v>
      </c>
      <c r="Q429">
        <v>2.3479999999999999</v>
      </c>
      <c r="R429">
        <v>5.7839999999999998</v>
      </c>
      <c r="S429">
        <v>2.0699999999999998</v>
      </c>
      <c r="T429">
        <v>1.018</v>
      </c>
      <c r="U429">
        <v>0.40570000000000001</v>
      </c>
      <c r="V429">
        <v>0.23219999999999999</v>
      </c>
      <c r="W429">
        <v>0.16089999999999999</v>
      </c>
      <c r="X429">
        <v>0.1244</v>
      </c>
      <c r="Y429">
        <v>8.8580000000000006E-2</v>
      </c>
      <c r="Z429">
        <v>7.1120000000000003E-2</v>
      </c>
      <c r="AA429">
        <v>5.2650000000000002E-2</v>
      </c>
      <c r="AB429">
        <v>4.6730000000000001E-2</v>
      </c>
      <c r="AC429">
        <v>4.3249999999999997E-2</v>
      </c>
      <c r="AD429">
        <v>4.2999999999999997E-2</v>
      </c>
      <c r="AE429">
        <v>4.3830000000000001E-2</v>
      </c>
      <c r="AF429">
        <v>4.5089999999999998E-2</v>
      </c>
      <c r="AG429">
        <v>4.8070000000000002E-2</v>
      </c>
      <c r="AH429">
        <v>5.117E-2</v>
      </c>
      <c r="AI429">
        <v>5.8299999999999998E-2</v>
      </c>
      <c r="AJ429">
        <v>6.3939999999999997E-2</v>
      </c>
      <c r="AK429">
        <v>7.2459999999999997E-2</v>
      </c>
    </row>
    <row r="430" spans="1:37">
      <c r="A430" t="s">
        <v>520</v>
      </c>
    </row>
    <row r="431" spans="1:37">
      <c r="A431" t="s">
        <v>521</v>
      </c>
    </row>
    <row r="432" spans="1:37">
      <c r="A432" t="s">
        <v>522</v>
      </c>
    </row>
    <row r="433" spans="1:37">
      <c r="A433" t="s">
        <v>523</v>
      </c>
    </row>
    <row r="434" spans="1:37">
      <c r="A434" t="s">
        <v>524</v>
      </c>
      <c r="G434">
        <f>VALUE(LEFT(A433,3))</f>
        <v>85</v>
      </c>
      <c r="H434" t="str">
        <f>SUBSTITUTE(LEFT(A433,5)," ","")</f>
        <v>85AT</v>
      </c>
      <c r="I434" t="str">
        <f>LOWER(RIGHT(A433,LEN(A433)-6))</f>
        <v>astatine</v>
      </c>
      <c r="J434" cm="1">
        <f t="array" ref="J434:AK434">VALUE(_xlfn.TEXTSPLIT(TRIM(CONCATENATE(A434,A435,A436,A437))," "))</f>
        <v>143.69999999999999</v>
      </c>
      <c r="K434">
        <v>124.3</v>
      </c>
      <c r="L434">
        <v>94.59</v>
      </c>
      <c r="M434">
        <v>33.01</v>
      </c>
      <c r="N434">
        <v>15.44</v>
      </c>
      <c r="O434">
        <v>8.5250000000000004</v>
      </c>
      <c r="P434">
        <v>5.2489999999999997</v>
      </c>
      <c r="Q434">
        <v>2.46</v>
      </c>
      <c r="R434">
        <v>5.9619999999999997</v>
      </c>
      <c r="S434">
        <v>2.1459999999999999</v>
      </c>
      <c r="T434">
        <v>1.0569999999999999</v>
      </c>
      <c r="U434">
        <v>0.42049999999999998</v>
      </c>
      <c r="V434">
        <v>0.2399</v>
      </c>
      <c r="W434">
        <v>0.1656</v>
      </c>
      <c r="X434">
        <v>0.12770000000000001</v>
      </c>
      <c r="Y434">
        <v>9.0569999999999998E-2</v>
      </c>
      <c r="Z434">
        <v>7.2480000000000003E-2</v>
      </c>
      <c r="AA434">
        <v>5.3449999999999998E-2</v>
      </c>
      <c r="AB434">
        <v>4.743E-2</v>
      </c>
      <c r="AC434">
        <v>4.3860000000000003E-2</v>
      </c>
      <c r="AD434">
        <v>4.3589999999999997E-2</v>
      </c>
      <c r="AE434">
        <v>4.444E-2</v>
      </c>
      <c r="AF434">
        <v>4.5719999999999997E-2</v>
      </c>
      <c r="AG434">
        <v>4.8739999999999999E-2</v>
      </c>
      <c r="AH434">
        <v>5.1880000000000003E-2</v>
      </c>
      <c r="AI434">
        <v>5.9130000000000002E-2</v>
      </c>
      <c r="AJ434">
        <v>6.4890000000000003E-2</v>
      </c>
      <c r="AK434">
        <v>7.3539999999999994E-2</v>
      </c>
    </row>
    <row r="435" spans="1:37">
      <c r="A435" t="s">
        <v>525</v>
      </c>
    </row>
    <row r="436" spans="1:37">
      <c r="A436" t="s">
        <v>526</v>
      </c>
    </row>
    <row r="437" spans="1:37">
      <c r="A437" t="s">
        <v>527</v>
      </c>
    </row>
    <row r="438" spans="1:37">
      <c r="A438" t="s">
        <v>528</v>
      </c>
    </row>
    <row r="439" spans="1:37">
      <c r="A439" t="s">
        <v>529</v>
      </c>
      <c r="G439">
        <f>VALUE(LEFT(A438,3))</f>
        <v>86</v>
      </c>
      <c r="H439" t="str">
        <f>SUBSTITUTE(LEFT(A438,5)," ","")</f>
        <v>86RN</v>
      </c>
      <c r="I439" t="str">
        <f>LOWER(RIGHT(A438,LEN(A438)-6))</f>
        <v>radon</v>
      </c>
      <c r="J439" cm="1">
        <f t="array" ref="J439:AK439">VALUE(_xlfn.TEXTSPLIT(TRIM(CONCATENATE(A439,A440,A441,A442))," "))</f>
        <v>142.69999999999999</v>
      </c>
      <c r="K439">
        <v>122.5</v>
      </c>
      <c r="L439">
        <v>93.27</v>
      </c>
      <c r="M439">
        <v>32.69</v>
      </c>
      <c r="N439">
        <v>15.32</v>
      </c>
      <c r="O439">
        <v>8.4710000000000001</v>
      </c>
      <c r="P439">
        <v>5.2210000000000001</v>
      </c>
      <c r="Q439">
        <v>2.4470000000000001</v>
      </c>
      <c r="R439">
        <v>5.8789999999999996</v>
      </c>
      <c r="S439">
        <v>2.1139999999999999</v>
      </c>
      <c r="T439">
        <v>1.042</v>
      </c>
      <c r="U439">
        <v>0.41389999999999999</v>
      </c>
      <c r="V439">
        <v>0.23549999999999999</v>
      </c>
      <c r="W439">
        <v>0.16220000000000001</v>
      </c>
      <c r="X439">
        <v>0.1246</v>
      </c>
      <c r="Y439">
        <v>8.7989999999999999E-2</v>
      </c>
      <c r="Z439">
        <v>7.0209999999999995E-2</v>
      </c>
      <c r="AA439">
        <v>5.1610000000000003E-2</v>
      </c>
      <c r="AB439">
        <v>4.5749999999999999E-2</v>
      </c>
      <c r="AC439">
        <v>4.2270000000000002E-2</v>
      </c>
      <c r="AD439">
        <v>4.2009999999999999E-2</v>
      </c>
      <c r="AE439">
        <v>4.2810000000000001E-2</v>
      </c>
      <c r="AF439">
        <v>4.4049999999999999E-2</v>
      </c>
      <c r="AG439">
        <v>4.6960000000000002E-2</v>
      </c>
      <c r="AH439">
        <v>0.05</v>
      </c>
      <c r="AI439">
        <v>5.6989999999999999E-2</v>
      </c>
      <c r="AJ439">
        <v>6.2560000000000004E-2</v>
      </c>
      <c r="AK439">
        <v>7.0900000000000005E-2</v>
      </c>
    </row>
    <row r="440" spans="1:37">
      <c r="A440" t="s">
        <v>530</v>
      </c>
    </row>
    <row r="441" spans="1:37">
      <c r="A441" t="s">
        <v>531</v>
      </c>
    </row>
    <row r="442" spans="1:37">
      <c r="A442" t="s">
        <v>532</v>
      </c>
    </row>
    <row r="443" spans="1:37">
      <c r="A443" t="s">
        <v>533</v>
      </c>
    </row>
    <row r="444" spans="1:37">
      <c r="A444" t="s">
        <v>534</v>
      </c>
      <c r="G444">
        <f>VALUE(LEFT(A443,3))</f>
        <v>87</v>
      </c>
      <c r="H444" t="str">
        <f>SUBSTITUTE(LEFT(A443,5)," ","")</f>
        <v>87FR</v>
      </c>
      <c r="I444" t="str">
        <f>LOWER(RIGHT(A443,LEN(A443)-6))</f>
        <v>francium</v>
      </c>
      <c r="J444" cm="1">
        <f t="array" ref="J444:AK444">VALUE(_xlfn.TEXTSPLIT(TRIM(CONCATENATE(A444,A445,A446,A447))," "))</f>
        <v>148.80000000000001</v>
      </c>
      <c r="K444">
        <v>52.31</v>
      </c>
      <c r="L444">
        <v>96.9</v>
      </c>
      <c r="M444">
        <v>34.08</v>
      </c>
      <c r="N444">
        <v>15.99</v>
      </c>
      <c r="O444">
        <v>8.8539999999999992</v>
      </c>
      <c r="P444">
        <v>5.4610000000000003</v>
      </c>
      <c r="Q444">
        <v>2.5609999999999999</v>
      </c>
      <c r="R444">
        <v>1.4419999999999999</v>
      </c>
      <c r="S444">
        <v>2.19</v>
      </c>
      <c r="T444">
        <v>1.08</v>
      </c>
      <c r="U444">
        <v>0.42899999999999999</v>
      </c>
      <c r="V444">
        <v>0.24329999999999999</v>
      </c>
      <c r="W444">
        <v>0.16700000000000001</v>
      </c>
      <c r="X444">
        <v>0.128</v>
      </c>
      <c r="Y444">
        <v>8.9969999999999994E-2</v>
      </c>
      <c r="Z444">
        <v>7.1609999999999993E-2</v>
      </c>
      <c r="AA444">
        <v>5.2420000000000001E-2</v>
      </c>
      <c r="AB444">
        <v>4.641E-2</v>
      </c>
      <c r="AC444">
        <v>4.2860000000000002E-2</v>
      </c>
      <c r="AD444">
        <v>4.2590000000000003E-2</v>
      </c>
      <c r="AE444">
        <v>4.3409999999999997E-2</v>
      </c>
      <c r="AF444">
        <v>4.4659999999999998E-2</v>
      </c>
      <c r="AG444">
        <v>4.7600000000000003E-2</v>
      </c>
      <c r="AH444">
        <v>5.0700000000000002E-2</v>
      </c>
      <c r="AI444">
        <v>5.781E-2</v>
      </c>
      <c r="AJ444">
        <v>6.3460000000000003E-2</v>
      </c>
      <c r="AK444">
        <v>7.1959999999999996E-2</v>
      </c>
    </row>
    <row r="445" spans="1:37">
      <c r="A445" t="s">
        <v>535</v>
      </c>
    </row>
    <row r="446" spans="1:37">
      <c r="A446" t="s">
        <v>536</v>
      </c>
    </row>
    <row r="447" spans="1:37">
      <c r="A447" t="s">
        <v>537</v>
      </c>
    </row>
    <row r="448" spans="1:37">
      <c r="A448" t="s">
        <v>538</v>
      </c>
    </row>
    <row r="449" spans="1:37">
      <c r="A449" t="s">
        <v>539</v>
      </c>
      <c r="G449">
        <f>VALUE(LEFT(A448,3))</f>
        <v>88</v>
      </c>
      <c r="H449" t="str">
        <f>SUBSTITUTE(LEFT(A448,5)," ","")</f>
        <v>88RA</v>
      </c>
      <c r="I449" t="str">
        <f>LOWER(RIGHT(A448,LEN(A448)-6))</f>
        <v>radium</v>
      </c>
      <c r="J449" cm="1">
        <f t="array" ref="J449:AK449">VALUE(_xlfn.TEXTSPLIT(TRIM(CONCATENATE(A449,A450,A451,A452))," "))</f>
        <v>153.69999999999999</v>
      </c>
      <c r="K449">
        <v>54.13</v>
      </c>
      <c r="L449">
        <v>99.83</v>
      </c>
      <c r="M449">
        <v>35.200000000000003</v>
      </c>
      <c r="N449">
        <v>16.54</v>
      </c>
      <c r="O449">
        <v>9.1690000000000005</v>
      </c>
      <c r="P449">
        <v>5.6589999999999998</v>
      </c>
      <c r="Q449">
        <v>2.6560000000000001</v>
      </c>
      <c r="R449">
        <v>1.496</v>
      </c>
      <c r="S449">
        <v>2.2490000000000001</v>
      </c>
      <c r="T449">
        <v>1.109</v>
      </c>
      <c r="U449">
        <v>0.44009999999999999</v>
      </c>
      <c r="V449">
        <v>0.24909999999999999</v>
      </c>
      <c r="W449">
        <v>0.17050000000000001</v>
      </c>
      <c r="X449">
        <v>0.13039999999999999</v>
      </c>
      <c r="Y449">
        <v>9.1230000000000006E-2</v>
      </c>
      <c r="Z449">
        <v>7.2370000000000004E-2</v>
      </c>
      <c r="AA449">
        <v>5.2769999999999997E-2</v>
      </c>
      <c r="AB449">
        <v>4.6690000000000002E-2</v>
      </c>
      <c r="AC449">
        <v>4.3090000000000003E-2</v>
      </c>
      <c r="AD449">
        <v>4.2799999999999998E-2</v>
      </c>
      <c r="AE449">
        <v>4.3619999999999999E-2</v>
      </c>
      <c r="AF449">
        <v>4.487E-2</v>
      </c>
      <c r="AG449">
        <v>4.7840000000000001E-2</v>
      </c>
      <c r="AH449">
        <v>5.0950000000000002E-2</v>
      </c>
      <c r="AI449">
        <v>5.8099999999999999E-2</v>
      </c>
      <c r="AJ449">
        <v>6.3789999999999999E-2</v>
      </c>
      <c r="AK449">
        <v>7.2330000000000005E-2</v>
      </c>
    </row>
    <row r="450" spans="1:37">
      <c r="A450" t="s">
        <v>540</v>
      </c>
    </row>
    <row r="451" spans="1:37">
      <c r="A451" t="s">
        <v>541</v>
      </c>
    </row>
    <row r="452" spans="1:37">
      <c r="A452" t="s">
        <v>542</v>
      </c>
    </row>
    <row r="453" spans="1:37">
      <c r="A453" t="s">
        <v>543</v>
      </c>
    </row>
    <row r="454" spans="1:37">
      <c r="A454" t="s">
        <v>544</v>
      </c>
      <c r="G454">
        <f>VALUE(LEFT(A453,3))</f>
        <v>89</v>
      </c>
      <c r="H454" t="str">
        <f>SUBSTITUTE(LEFT(A453,5)," ","")</f>
        <v>89AC</v>
      </c>
      <c r="I454" t="str">
        <f>LOWER(RIGHT(A453,LEN(A453)-6))</f>
        <v>actinium</v>
      </c>
      <c r="J454" cm="1">
        <f t="array" ref="J454:AK454">VALUE(_xlfn.TEXTSPLIT(TRIM(CONCATENATE(A454,A455,A456,A457))," "))</f>
        <v>160</v>
      </c>
      <c r="K454">
        <v>56.46</v>
      </c>
      <c r="L454">
        <v>103.6</v>
      </c>
      <c r="M454">
        <v>36.64</v>
      </c>
      <c r="N454">
        <v>17.25</v>
      </c>
      <c r="O454">
        <v>9.5709999999999997</v>
      </c>
      <c r="P454">
        <v>5.9109999999999996</v>
      </c>
      <c r="Q454">
        <v>2.778</v>
      </c>
      <c r="R454">
        <v>1.5640000000000001</v>
      </c>
      <c r="S454">
        <v>2.3250000000000002</v>
      </c>
      <c r="T454">
        <v>1.149</v>
      </c>
      <c r="U454">
        <v>0.4556</v>
      </c>
      <c r="V454">
        <v>0.25719999999999998</v>
      </c>
      <c r="W454">
        <v>0.17560000000000001</v>
      </c>
      <c r="X454">
        <v>0.13389999999999999</v>
      </c>
      <c r="Y454">
        <v>9.3310000000000004E-2</v>
      </c>
      <c r="Z454">
        <v>7.3800000000000004E-2</v>
      </c>
      <c r="AA454">
        <v>5.3609999999999998E-2</v>
      </c>
      <c r="AB454">
        <v>4.7399999999999998E-2</v>
      </c>
      <c r="AC454">
        <v>4.369E-2</v>
      </c>
      <c r="AD454">
        <v>4.3380000000000002E-2</v>
      </c>
      <c r="AE454">
        <v>4.4200000000000003E-2</v>
      </c>
      <c r="AF454">
        <v>4.546E-2</v>
      </c>
      <c r="AG454">
        <v>4.8469999999999999E-2</v>
      </c>
      <c r="AH454">
        <v>5.1639999999999998E-2</v>
      </c>
      <c r="AI454">
        <v>5.8900000000000001E-2</v>
      </c>
      <c r="AJ454">
        <v>6.4689999999999998E-2</v>
      </c>
      <c r="AK454">
        <v>7.3389999999999997E-2</v>
      </c>
    </row>
    <row r="455" spans="1:37">
      <c r="A455" t="s">
        <v>545</v>
      </c>
    </row>
    <row r="456" spans="1:37">
      <c r="A456" t="s">
        <v>546</v>
      </c>
    </row>
    <row r="457" spans="1:37">
      <c r="A457" t="s">
        <v>547</v>
      </c>
    </row>
    <row r="458" spans="1:37">
      <c r="A458" t="s">
        <v>548</v>
      </c>
    </row>
    <row r="459" spans="1:37">
      <c r="A459" t="s">
        <v>549</v>
      </c>
      <c r="G459">
        <f>VALUE(LEFT(A458,3))</f>
        <v>90</v>
      </c>
      <c r="H459" t="str">
        <f>SUBSTITUTE(LEFT(A458,5)," ","")</f>
        <v>90TH</v>
      </c>
      <c r="I459" t="str">
        <f>LOWER(RIGHT(A458,LEN(A458)-6))</f>
        <v>thorium</v>
      </c>
      <c r="J459" cm="1">
        <f t="array" ref="J459:AK459">VALUE(_xlfn.TEXTSPLIT(TRIM(CONCATENATE(A459,A460,A461,A462))," "))</f>
        <v>163.6</v>
      </c>
      <c r="K459">
        <v>57.87</v>
      </c>
      <c r="L459">
        <v>91.13</v>
      </c>
      <c r="M459">
        <v>37.43</v>
      </c>
      <c r="N459">
        <v>17.66</v>
      </c>
      <c r="O459">
        <v>9.8160000000000007</v>
      </c>
      <c r="P459">
        <v>6.0659999999999998</v>
      </c>
      <c r="Q459">
        <v>2.851</v>
      </c>
      <c r="R459">
        <v>1.6060000000000001</v>
      </c>
      <c r="S459">
        <v>2.3620000000000001</v>
      </c>
      <c r="T459">
        <v>1.169</v>
      </c>
      <c r="U459">
        <v>0.46329999999999999</v>
      </c>
      <c r="V459">
        <v>0.26100000000000001</v>
      </c>
      <c r="W459">
        <v>0.17780000000000001</v>
      </c>
      <c r="X459">
        <v>0.13519999999999999</v>
      </c>
      <c r="Y459">
        <v>9.3850000000000003E-2</v>
      </c>
      <c r="Z459">
        <v>7.3980000000000004E-2</v>
      </c>
      <c r="AA459">
        <v>5.3530000000000001E-2</v>
      </c>
      <c r="AB459">
        <v>4.7260000000000003E-2</v>
      </c>
      <c r="AC459">
        <v>4.3549999999999998E-2</v>
      </c>
      <c r="AD459">
        <v>4.3220000000000001E-2</v>
      </c>
      <c r="AE459">
        <v>4.403E-2</v>
      </c>
      <c r="AF459">
        <v>4.5280000000000001E-2</v>
      </c>
      <c r="AG459">
        <v>4.827E-2</v>
      </c>
      <c r="AH459">
        <v>5.142E-2</v>
      </c>
      <c r="AI459">
        <v>5.8659999999999997E-2</v>
      </c>
      <c r="AJ459">
        <v>6.4430000000000001E-2</v>
      </c>
      <c r="AK459">
        <v>7.3120000000000004E-2</v>
      </c>
    </row>
    <row r="460" spans="1:37">
      <c r="A460" t="s">
        <v>550</v>
      </c>
    </row>
    <row r="461" spans="1:37">
      <c r="A461" t="s">
        <v>551</v>
      </c>
    </row>
    <row r="462" spans="1:37">
      <c r="A462" t="s">
        <v>552</v>
      </c>
    </row>
    <row r="463" spans="1:37">
      <c r="A463" t="s">
        <v>553</v>
      </c>
    </row>
    <row r="464" spans="1:37">
      <c r="A464" t="s">
        <v>554</v>
      </c>
      <c r="G464">
        <f>VALUE(LEFT(A463,3))</f>
        <v>91</v>
      </c>
      <c r="H464" t="str">
        <f>SUBSTITUTE(LEFT(A463,5)," ","")</f>
        <v>91PA</v>
      </c>
      <c r="I464" t="str">
        <f>LOWER(RIGHT(A463,LEN(A463)-6))</f>
        <v>protactinium</v>
      </c>
      <c r="J464" cm="1">
        <f t="array" ref="J464:AK464">VALUE(_xlfn.TEXTSPLIT(TRIM(CONCATENATE(A464,A465,A466,A467))," "))</f>
        <v>171.5</v>
      </c>
      <c r="K464">
        <v>60.75</v>
      </c>
      <c r="L464">
        <v>67.63</v>
      </c>
      <c r="M464">
        <v>39.24</v>
      </c>
      <c r="N464">
        <v>18.55</v>
      </c>
      <c r="O464">
        <v>10.32</v>
      </c>
      <c r="P464">
        <v>6.3849999999999998</v>
      </c>
      <c r="Q464">
        <v>3.0049999999999999</v>
      </c>
      <c r="R464">
        <v>1.6919999999999999</v>
      </c>
      <c r="S464">
        <v>2.4609999999999999</v>
      </c>
      <c r="T464">
        <v>1.2210000000000001</v>
      </c>
      <c r="U464">
        <v>0.4834</v>
      </c>
      <c r="V464">
        <v>0.27179999999999999</v>
      </c>
      <c r="W464">
        <v>0.1847</v>
      </c>
      <c r="X464">
        <v>0.1401</v>
      </c>
      <c r="Y464">
        <v>9.6839999999999996E-2</v>
      </c>
      <c r="Z464">
        <v>7.6119999999999993E-2</v>
      </c>
      <c r="AA464">
        <v>5.4859999999999999E-2</v>
      </c>
      <c r="AB464">
        <v>4.8399999999999999E-2</v>
      </c>
      <c r="AC464">
        <v>4.4540000000000003E-2</v>
      </c>
      <c r="AD464">
        <v>4.419E-2</v>
      </c>
      <c r="AE464">
        <v>4.5010000000000001E-2</v>
      </c>
      <c r="AF464">
        <v>4.6269999999999999E-2</v>
      </c>
      <c r="AG464">
        <v>4.9329999999999999E-2</v>
      </c>
      <c r="AH464">
        <v>5.2540000000000003E-2</v>
      </c>
      <c r="AI464">
        <v>5.9950000000000003E-2</v>
      </c>
      <c r="AJ464">
        <v>6.5879999999999994E-2</v>
      </c>
      <c r="AK464">
        <v>7.4759999999999993E-2</v>
      </c>
    </row>
    <row r="465" spans="1:37">
      <c r="A465" t="s">
        <v>555</v>
      </c>
    </row>
    <row r="466" spans="1:37">
      <c r="A466" t="s">
        <v>556</v>
      </c>
    </row>
    <row r="467" spans="1:37">
      <c r="A467" t="s">
        <v>557</v>
      </c>
    </row>
    <row r="468" spans="1:37">
      <c r="A468" t="s">
        <v>558</v>
      </c>
    </row>
    <row r="469" spans="1:37">
      <c r="A469" t="s">
        <v>559</v>
      </c>
      <c r="G469">
        <f>VALUE(LEFT(A468,3))</f>
        <v>92</v>
      </c>
      <c r="H469" t="str">
        <f>SUBSTITUTE(LEFT(A468,5)," ","")</f>
        <v>92U</v>
      </c>
      <c r="I469" t="str">
        <f>LOWER(RIGHT(A468,LEN(A468)-6))</f>
        <v>uranium</v>
      </c>
      <c r="J469" cm="1">
        <f t="array" ref="J469:AK469">VALUE(_xlfn.TEXTSPLIT(TRIM(CONCATENATE(A469,A470,A471,A472))," "))</f>
        <v>173.7</v>
      </c>
      <c r="K469">
        <v>61.62</v>
      </c>
      <c r="L469">
        <v>68.45</v>
      </c>
      <c r="M469">
        <v>39.76</v>
      </c>
      <c r="N469">
        <v>18.809999999999999</v>
      </c>
      <c r="O469">
        <v>10.48</v>
      </c>
      <c r="P469">
        <v>6.4889999999999999</v>
      </c>
      <c r="Q469">
        <v>3.0569999999999999</v>
      </c>
      <c r="R469">
        <v>1.722</v>
      </c>
      <c r="S469">
        <v>2.4769999999999999</v>
      </c>
      <c r="T469">
        <v>1.23</v>
      </c>
      <c r="U469">
        <v>0.48730000000000001</v>
      </c>
      <c r="V469">
        <v>0.27350000000000002</v>
      </c>
      <c r="W469">
        <v>0.18540000000000001</v>
      </c>
      <c r="X469">
        <v>0.14030000000000001</v>
      </c>
      <c r="Y469">
        <v>9.6619999999999998E-2</v>
      </c>
      <c r="Z469">
        <v>7.5689999999999993E-2</v>
      </c>
      <c r="AA469">
        <v>5.4359999999999999E-2</v>
      </c>
      <c r="AB469">
        <v>4.7890000000000002E-2</v>
      </c>
      <c r="AC469">
        <v>4.403E-2</v>
      </c>
      <c r="AD469">
        <v>4.3650000000000001E-2</v>
      </c>
      <c r="AE469">
        <v>4.4450000000000003E-2</v>
      </c>
      <c r="AF469">
        <v>4.5690000000000001E-2</v>
      </c>
      <c r="AG469">
        <v>4.8689999999999997E-2</v>
      </c>
      <c r="AH469">
        <v>5.1869999999999999E-2</v>
      </c>
      <c r="AI469">
        <v>5.9209999999999999E-2</v>
      </c>
      <c r="AJ469">
        <v>6.5070000000000003E-2</v>
      </c>
      <c r="AK469">
        <v>7.3870000000000005E-2</v>
      </c>
    </row>
    <row r="470" spans="1:37">
      <c r="A470" t="s">
        <v>560</v>
      </c>
    </row>
    <row r="471" spans="1:37">
      <c r="A471" t="s">
        <v>561</v>
      </c>
    </row>
    <row r="472" spans="1:37">
      <c r="A472" t="s">
        <v>562</v>
      </c>
    </row>
    <row r="473" spans="1:37">
      <c r="A473" t="s">
        <v>563</v>
      </c>
    </row>
    <row r="474" spans="1:37">
      <c r="A474" t="s">
        <v>564</v>
      </c>
      <c r="G474">
        <f>VALUE(LEFT(A473,3))</f>
        <v>93</v>
      </c>
      <c r="H474" t="str">
        <f>SUBSTITUTE(LEFT(A473,5)," ","")</f>
        <v>93NP</v>
      </c>
      <c r="I474" t="str">
        <f>LOWER(RIGHT(A473,LEN(A473)-6))</f>
        <v>neptunium</v>
      </c>
      <c r="J474" cm="1">
        <f t="array" ref="J474:AK474">VALUE(_xlfn.TEXTSPLIT(TRIM(CONCATENATE(A474,A475,A476,A477))," "))</f>
        <v>181.9</v>
      </c>
      <c r="K474">
        <v>64.63</v>
      </c>
      <c r="L474">
        <v>71.760000000000005</v>
      </c>
      <c r="M474">
        <v>41.58</v>
      </c>
      <c r="N474">
        <v>19.72</v>
      </c>
      <c r="O474">
        <v>11.01</v>
      </c>
      <c r="P474">
        <v>6.8230000000000004</v>
      </c>
      <c r="Q474">
        <v>3.2170000000000001</v>
      </c>
      <c r="R474">
        <v>1.8129999999999999</v>
      </c>
      <c r="S474">
        <v>2.5779999999999998</v>
      </c>
      <c r="T474">
        <v>1.2829999999999999</v>
      </c>
      <c r="U474">
        <v>0.50800000000000001</v>
      </c>
      <c r="V474">
        <v>0.28470000000000001</v>
      </c>
      <c r="W474">
        <v>0.1925</v>
      </c>
      <c r="X474">
        <v>0.1454</v>
      </c>
      <c r="Y474">
        <v>9.9699999999999997E-2</v>
      </c>
      <c r="Z474">
        <v>7.7890000000000001E-2</v>
      </c>
      <c r="AA474">
        <v>5.5710000000000003E-2</v>
      </c>
      <c r="AB474">
        <v>4.9020000000000001E-2</v>
      </c>
      <c r="AC474">
        <v>4.5019999999999998E-2</v>
      </c>
      <c r="AD474">
        <v>4.4600000000000001E-2</v>
      </c>
      <c r="AE474">
        <v>4.5400000000000003E-2</v>
      </c>
      <c r="AF474">
        <v>4.6649999999999997E-2</v>
      </c>
      <c r="AG474">
        <v>4.9709999999999997E-2</v>
      </c>
      <c r="AH474">
        <v>5.296E-2</v>
      </c>
      <c r="AI474">
        <v>6.0449999999999997E-2</v>
      </c>
      <c r="AJ474">
        <v>6.6470000000000001E-2</v>
      </c>
      <c r="AK474">
        <v>7.5480000000000005E-2</v>
      </c>
    </row>
    <row r="475" spans="1:37">
      <c r="A475" t="s">
        <v>565</v>
      </c>
    </row>
    <row r="476" spans="1:37">
      <c r="A476" t="s">
        <v>566</v>
      </c>
    </row>
    <row r="477" spans="1:37">
      <c r="A477" t="s">
        <v>567</v>
      </c>
    </row>
    <row r="478" spans="1:37">
      <c r="A478" t="s">
        <v>568</v>
      </c>
    </row>
    <row r="479" spans="1:37">
      <c r="A479" t="s">
        <v>569</v>
      </c>
      <c r="G479">
        <f>VALUE(LEFT(A478,3))</f>
        <v>94</v>
      </c>
      <c r="H479" t="str">
        <f>SUBSTITUTE(LEFT(A478,5)," ","")</f>
        <v>94PU</v>
      </c>
      <c r="I479" t="str">
        <f>LOWER(RIGHT(A478,LEN(A478)-6))</f>
        <v>plutonium</v>
      </c>
      <c r="J479" cm="1">
        <f t="array" ref="J479:AK479">VALUE(_xlfn.TEXTSPLIT(TRIM(CONCATENATE(A479,A480,A481,A482))," "))</f>
        <v>187.9</v>
      </c>
      <c r="K479">
        <v>66.83</v>
      </c>
      <c r="L479">
        <v>74.34</v>
      </c>
      <c r="M479">
        <v>42.92</v>
      </c>
      <c r="N479">
        <v>20.399999999999999</v>
      </c>
      <c r="O479">
        <v>11.4</v>
      </c>
      <c r="P479">
        <v>7.077</v>
      </c>
      <c r="Q479">
        <v>3.3420000000000001</v>
      </c>
      <c r="R479">
        <v>1.883</v>
      </c>
      <c r="S479">
        <v>2.6469999999999998</v>
      </c>
      <c r="T479">
        <v>1.319</v>
      </c>
      <c r="U479">
        <v>0.52249999999999996</v>
      </c>
      <c r="V479">
        <v>0.29249999999999998</v>
      </c>
      <c r="W479">
        <v>0.19739999999999999</v>
      </c>
      <c r="X479">
        <v>0.14879999999999999</v>
      </c>
      <c r="Y479">
        <v>0.1017</v>
      </c>
      <c r="Z479">
        <v>7.9149999999999998E-2</v>
      </c>
      <c r="AA479">
        <v>5.6390000000000003E-2</v>
      </c>
      <c r="AB479">
        <v>4.9549999999999997E-2</v>
      </c>
      <c r="AC479">
        <v>4.546E-2</v>
      </c>
      <c r="AD479">
        <v>4.4999999999999998E-2</v>
      </c>
      <c r="AE479">
        <v>4.5789999999999997E-2</v>
      </c>
      <c r="AF479">
        <v>4.7019999999999999E-2</v>
      </c>
      <c r="AG479">
        <v>5.0099999999999999E-2</v>
      </c>
      <c r="AH479">
        <v>5.3370000000000001E-2</v>
      </c>
      <c r="AI479">
        <v>6.0949999999999997E-2</v>
      </c>
      <c r="AJ479">
        <v>6.701E-2</v>
      </c>
      <c r="AK479">
        <v>7.6130000000000003E-2</v>
      </c>
    </row>
    <row r="480" spans="1:37">
      <c r="A480" t="s">
        <v>570</v>
      </c>
    </row>
    <row r="481" spans="1:37">
      <c r="A481" t="s">
        <v>571</v>
      </c>
    </row>
    <row r="482" spans="1:37">
      <c r="A482" t="s">
        <v>572</v>
      </c>
    </row>
    <row r="483" spans="1:37">
      <c r="A483" t="s">
        <v>573</v>
      </c>
    </row>
    <row r="484" spans="1:37">
      <c r="A484" t="s">
        <v>574</v>
      </c>
      <c r="G484">
        <f>VALUE(LEFT(A483,3))</f>
        <v>95</v>
      </c>
      <c r="H484" t="str">
        <f>SUBSTITUTE(LEFT(A483,5)," ","")</f>
        <v>95AM</v>
      </c>
      <c r="I484" t="str">
        <f>LOWER(RIGHT(A483,LEN(A483)-6))</f>
        <v>americium</v>
      </c>
      <c r="J484" cm="1">
        <f t="array" ref="J484:AK484">VALUE(_xlfn.TEXTSPLIT(TRIM(CONCATENATE(A484,A485,A486,A487))," "))</f>
        <v>192.3</v>
      </c>
      <c r="K484">
        <v>68.53</v>
      </c>
      <c r="L484">
        <v>76.58</v>
      </c>
      <c r="M484">
        <v>43.89</v>
      </c>
      <c r="N484">
        <v>20.93</v>
      </c>
      <c r="O484">
        <v>11.71</v>
      </c>
      <c r="P484">
        <v>7.2779999999999996</v>
      </c>
      <c r="Q484">
        <v>3.44</v>
      </c>
      <c r="R484">
        <v>1.9390000000000001</v>
      </c>
      <c r="S484">
        <v>2.6960000000000002</v>
      </c>
      <c r="T484">
        <v>1.345</v>
      </c>
      <c r="U484">
        <v>0.53310000000000002</v>
      </c>
      <c r="V484">
        <v>0.29799999999999999</v>
      </c>
      <c r="W484">
        <v>0.20069999999999999</v>
      </c>
      <c r="X484">
        <v>0.151</v>
      </c>
      <c r="Y484">
        <v>0.1028</v>
      </c>
      <c r="Z484">
        <v>7.9810000000000006E-2</v>
      </c>
      <c r="AA484">
        <v>5.6599999999999998E-2</v>
      </c>
      <c r="AB484">
        <v>4.9660000000000003E-2</v>
      </c>
      <c r="AC484">
        <v>4.5510000000000002E-2</v>
      </c>
      <c r="AD484">
        <v>4.5019999999999998E-2</v>
      </c>
      <c r="AE484">
        <v>4.5789999999999997E-2</v>
      </c>
      <c r="AF484">
        <v>4.7E-2</v>
      </c>
      <c r="AG484">
        <v>5.0070000000000003E-2</v>
      </c>
      <c r="AH484">
        <v>5.3350000000000002E-2</v>
      </c>
      <c r="AI484">
        <v>6.0929999999999998E-2</v>
      </c>
      <c r="AJ484">
        <v>6.7000000000000004E-2</v>
      </c>
      <c r="AK484">
        <v>7.6139999999999999E-2</v>
      </c>
    </row>
    <row r="485" spans="1:37">
      <c r="A485" t="s">
        <v>575</v>
      </c>
    </row>
    <row r="486" spans="1:37">
      <c r="A486" t="s">
        <v>576</v>
      </c>
    </row>
    <row r="487" spans="1:37">
      <c r="A487" t="s">
        <v>577</v>
      </c>
    </row>
    <row r="488" spans="1:37">
      <c r="A488" t="s">
        <v>578</v>
      </c>
    </row>
    <row r="489" spans="1:37">
      <c r="A489" t="s">
        <v>579</v>
      </c>
      <c r="G489">
        <f>VALUE(LEFT(A488,3))</f>
        <v>96</v>
      </c>
      <c r="H489" t="str">
        <f>SUBSTITUTE(LEFT(A488,5)," ","")</f>
        <v>96CM</v>
      </c>
      <c r="I489" t="str">
        <f>LOWER(RIGHT(A488,LEN(A488)-6))</f>
        <v>curium</v>
      </c>
      <c r="J489" cm="1">
        <f t="array" ref="J489:AK489">VALUE(_xlfn.TEXTSPLIT(TRIM(CONCATENATE(A489,A490,A491,A492))," "))</f>
        <v>196.9</v>
      </c>
      <c r="K489">
        <v>70.25</v>
      </c>
      <c r="L489">
        <v>78.66</v>
      </c>
      <c r="M489">
        <v>44.86</v>
      </c>
      <c r="N489">
        <v>21.46</v>
      </c>
      <c r="O489">
        <v>12.04</v>
      </c>
      <c r="P489">
        <v>7.4859999999999998</v>
      </c>
      <c r="Q489">
        <v>3.5430000000000001</v>
      </c>
      <c r="R489">
        <v>1.998</v>
      </c>
      <c r="S489">
        <v>2.746</v>
      </c>
      <c r="T489">
        <v>1.37</v>
      </c>
      <c r="U489">
        <v>0.54390000000000005</v>
      </c>
      <c r="V489">
        <v>0.30370000000000003</v>
      </c>
      <c r="W489">
        <v>0.20419999999999999</v>
      </c>
      <c r="X489">
        <v>0.15329999999999999</v>
      </c>
      <c r="Y489">
        <v>0.10390000000000001</v>
      </c>
      <c r="Z489">
        <v>8.0490000000000006E-2</v>
      </c>
      <c r="AA489">
        <v>5.6840000000000002E-2</v>
      </c>
      <c r="AB489">
        <v>4.981E-2</v>
      </c>
      <c r="AC489">
        <v>4.5580000000000002E-2</v>
      </c>
      <c r="AD489">
        <v>4.505E-2</v>
      </c>
      <c r="AE489">
        <v>4.58E-2</v>
      </c>
      <c r="AF489">
        <v>4.6980000000000001E-2</v>
      </c>
      <c r="AG489">
        <v>5.0049999999999997E-2</v>
      </c>
      <c r="AH489">
        <v>5.3310000000000003E-2</v>
      </c>
      <c r="AI489">
        <v>6.0920000000000002E-2</v>
      </c>
      <c r="AJ489">
        <v>6.701E-2</v>
      </c>
      <c r="AK489">
        <v>7.6170000000000002E-2</v>
      </c>
    </row>
    <row r="490" spans="1:37">
      <c r="A490" t="s">
        <v>580</v>
      </c>
    </row>
    <row r="491" spans="1:37">
      <c r="A491" t="s">
        <v>581</v>
      </c>
    </row>
    <row r="492" spans="1:37">
      <c r="A492" t="s">
        <v>582</v>
      </c>
    </row>
    <row r="493" spans="1:37">
      <c r="A493" t="s">
        <v>583</v>
      </c>
    </row>
    <row r="494" spans="1:37">
      <c r="A494" t="s">
        <v>584</v>
      </c>
      <c r="G494">
        <f>VALUE(LEFT(A493,3))</f>
        <v>97</v>
      </c>
      <c r="H494" t="str">
        <f>SUBSTITUTE(LEFT(A493,5)," ","")</f>
        <v>97BK</v>
      </c>
      <c r="I494" t="str">
        <f>LOWER(RIGHT(A493,LEN(A493)-6))</f>
        <v>berkelium</v>
      </c>
      <c r="J494" cm="1">
        <f t="array" ref="J494:AK494">VALUE(_xlfn.TEXTSPLIT(TRIM(CONCATENATE(A494,A495,A496,A497))," "))</f>
        <v>204.5</v>
      </c>
      <c r="K494">
        <v>73.150000000000006</v>
      </c>
      <c r="L494">
        <v>81.040000000000006</v>
      </c>
      <c r="M494">
        <v>46.57</v>
      </c>
      <c r="N494">
        <v>22.36</v>
      </c>
      <c r="O494">
        <v>12.55</v>
      </c>
      <c r="P494">
        <v>7.819</v>
      </c>
      <c r="Q494">
        <v>3.706</v>
      </c>
      <c r="R494">
        <v>2.0910000000000002</v>
      </c>
      <c r="S494">
        <v>2.8420000000000001</v>
      </c>
      <c r="T494">
        <v>1.42</v>
      </c>
      <c r="U494">
        <v>0.56369999999999998</v>
      </c>
      <c r="V494">
        <v>0.3145</v>
      </c>
      <c r="W494">
        <v>0.21110000000000001</v>
      </c>
      <c r="X494">
        <v>0.15809999999999999</v>
      </c>
      <c r="Y494">
        <v>0.10680000000000001</v>
      </c>
      <c r="Z494">
        <v>8.251E-2</v>
      </c>
      <c r="AA494">
        <v>5.8020000000000002E-2</v>
      </c>
      <c r="AB494">
        <v>5.0779999999999999E-2</v>
      </c>
      <c r="AC494">
        <v>4.6390000000000001E-2</v>
      </c>
      <c r="AD494">
        <v>4.582E-2</v>
      </c>
      <c r="AE494">
        <v>4.6550000000000001E-2</v>
      </c>
      <c r="AF494">
        <v>4.7719999999999999E-2</v>
      </c>
      <c r="AG494">
        <v>5.0840000000000003E-2</v>
      </c>
      <c r="AH494">
        <v>5.416E-2</v>
      </c>
      <c r="AI494">
        <v>6.1870000000000001E-2</v>
      </c>
      <c r="AJ494">
        <v>6.8080000000000002E-2</v>
      </c>
      <c r="AK494">
        <v>7.7429999999999999E-2</v>
      </c>
    </row>
    <row r="495" spans="1:37">
      <c r="A495" t="s">
        <v>585</v>
      </c>
    </row>
    <row r="496" spans="1:37">
      <c r="A496" t="s">
        <v>586</v>
      </c>
    </row>
    <row r="497" spans="1:37">
      <c r="A497" t="s">
        <v>587</v>
      </c>
    </row>
    <row r="498" spans="1:37">
      <c r="A498" t="s">
        <v>588</v>
      </c>
    </row>
    <row r="499" spans="1:37">
      <c r="A499" t="s">
        <v>589</v>
      </c>
      <c r="G499">
        <f>VALUE(LEFT(A498,3))</f>
        <v>98</v>
      </c>
      <c r="H499" t="str">
        <f>SUBSTITUTE(LEFT(A498,5)," ","")</f>
        <v>98CF</v>
      </c>
      <c r="I499" t="str">
        <f>LOWER(RIGHT(A498,LEN(A498)-6))</f>
        <v>californium</v>
      </c>
      <c r="J499" cm="1">
        <f t="array" ref="J499:AK499">VALUE(_xlfn.TEXTSPLIT(TRIM(CONCATENATE(A499,A500,A501,A502))," "))</f>
        <v>208.8</v>
      </c>
      <c r="K499">
        <v>74.86</v>
      </c>
      <c r="L499">
        <v>82.87</v>
      </c>
      <c r="M499">
        <v>47.53</v>
      </c>
      <c r="N499">
        <v>22.91</v>
      </c>
      <c r="O499">
        <v>12.89</v>
      </c>
      <c r="P499">
        <v>8.0310000000000006</v>
      </c>
      <c r="Q499">
        <v>3.81</v>
      </c>
      <c r="R499">
        <v>2.1520000000000001</v>
      </c>
      <c r="S499">
        <v>2.8959999999999999</v>
      </c>
      <c r="T499">
        <v>1.446</v>
      </c>
      <c r="U499">
        <v>0.57479999999999998</v>
      </c>
      <c r="V499">
        <v>0.32019999999999998</v>
      </c>
      <c r="W499">
        <v>0.2147</v>
      </c>
      <c r="X499">
        <v>0.1605</v>
      </c>
      <c r="Y499">
        <v>0.1081</v>
      </c>
      <c r="Z499">
        <v>8.3250000000000005E-2</v>
      </c>
      <c r="AA499">
        <v>5.8290000000000002E-2</v>
      </c>
      <c r="AB499">
        <v>5.0930000000000003E-2</v>
      </c>
      <c r="AC499">
        <v>4.6469999999999997E-2</v>
      </c>
      <c r="AD499">
        <v>4.5850000000000002E-2</v>
      </c>
      <c r="AE499">
        <v>4.6559999999999997E-2</v>
      </c>
      <c r="AF499">
        <v>4.7699999999999999E-2</v>
      </c>
      <c r="AG499">
        <v>5.0799999999999998E-2</v>
      </c>
      <c r="AH499">
        <v>5.4109999999999998E-2</v>
      </c>
      <c r="AI499">
        <v>6.1839999999999999E-2</v>
      </c>
      <c r="AJ499">
        <v>6.8070000000000006E-2</v>
      </c>
      <c r="AK499">
        <v>7.7439999999999995E-2</v>
      </c>
    </row>
    <row r="500" spans="1:37">
      <c r="A500" t="s">
        <v>590</v>
      </c>
    </row>
    <row r="501" spans="1:37">
      <c r="A501" t="s">
        <v>591</v>
      </c>
    </row>
    <row r="502" spans="1:37">
      <c r="A502" t="s">
        <v>592</v>
      </c>
    </row>
    <row r="503" spans="1:37">
      <c r="A503" t="s">
        <v>593</v>
      </c>
    </row>
    <row r="504" spans="1:37">
      <c r="A504" t="s">
        <v>594</v>
      </c>
      <c r="G504">
        <f>VALUE(LEFT(A503,3))</f>
        <v>99</v>
      </c>
      <c r="H504" t="str">
        <f>SUBSTITUTE(LEFT(A503,5)," ","")</f>
        <v>99ES</v>
      </c>
      <c r="I504" t="str">
        <f>LOWER(RIGHT(A503,LEN(A503)-6))</f>
        <v>einsteinium</v>
      </c>
      <c r="J504" cm="1">
        <f t="array" ref="J504:AK504">VALUE(_xlfn.TEXTSPLIT(TRIM(CONCATENATE(A504,A505,A506,A507))," "))</f>
        <v>215.8</v>
      </c>
      <c r="K504">
        <v>77.55</v>
      </c>
      <c r="L504">
        <v>37.119999999999997</v>
      </c>
      <c r="M504">
        <v>49.09</v>
      </c>
      <c r="N504">
        <v>23.75</v>
      </c>
      <c r="O504">
        <v>13.38</v>
      </c>
      <c r="P504">
        <v>8.3439999999999994</v>
      </c>
      <c r="Q504">
        <v>3.9660000000000002</v>
      </c>
      <c r="R504">
        <v>2.2410000000000001</v>
      </c>
      <c r="S504">
        <v>2.984</v>
      </c>
      <c r="T504">
        <v>1.4910000000000001</v>
      </c>
      <c r="U504">
        <v>0.59289999999999998</v>
      </c>
      <c r="V504">
        <v>0.33019999999999999</v>
      </c>
      <c r="W504">
        <v>0.221</v>
      </c>
      <c r="X504">
        <v>0.16500000000000001</v>
      </c>
      <c r="Y504">
        <v>0.11070000000000001</v>
      </c>
      <c r="Z504">
        <v>8.5000000000000006E-2</v>
      </c>
      <c r="AA504">
        <v>5.9299999999999999E-2</v>
      </c>
      <c r="AB504">
        <v>5.1720000000000002E-2</v>
      </c>
      <c r="AC504">
        <v>4.7109999999999999E-2</v>
      </c>
      <c r="AD504">
        <v>4.6440000000000002E-2</v>
      </c>
      <c r="AE504">
        <v>4.7149999999999997E-2</v>
      </c>
      <c r="AF504">
        <v>4.8250000000000001E-2</v>
      </c>
      <c r="AG504">
        <v>5.1369999999999999E-2</v>
      </c>
      <c r="AH504">
        <v>5.4739999999999997E-2</v>
      </c>
      <c r="AI504">
        <v>6.2549999999999994E-2</v>
      </c>
      <c r="AJ504">
        <v>6.8849999999999995E-2</v>
      </c>
      <c r="AK504">
        <v>7.8380000000000005E-2</v>
      </c>
    </row>
    <row r="505" spans="1:37">
      <c r="A505" t="s">
        <v>595</v>
      </c>
    </row>
    <row r="506" spans="1:37">
      <c r="A506" t="s">
        <v>596</v>
      </c>
    </row>
    <row r="507" spans="1:37">
      <c r="A507" t="s">
        <v>597</v>
      </c>
    </row>
    <row r="508" spans="1:37">
      <c r="A508" t="s">
        <v>598</v>
      </c>
    </row>
    <row r="509" spans="1:37">
      <c r="A509" t="s">
        <v>599</v>
      </c>
      <c r="G509">
        <f>VALUE(LEFT(A508,3))</f>
        <v>100</v>
      </c>
      <c r="H509" t="str">
        <f>SUBSTITUTE(LEFT(A508,5)," ","")</f>
        <v>100FM</v>
      </c>
      <c r="I509" t="str">
        <f>LOWER(RIGHT(A508,LEN(A508)-6))</f>
        <v>fermium</v>
      </c>
      <c r="J509" cm="1">
        <f t="array" ref="J509:AK509">VALUE(_xlfn.TEXTSPLIT(TRIM(CONCATENATE(A509,A510,A511,A512))," "))</f>
        <v>219.6</v>
      </c>
      <c r="K509">
        <v>79.010000000000005</v>
      </c>
      <c r="L509">
        <v>37.880000000000003</v>
      </c>
      <c r="M509">
        <v>49.98</v>
      </c>
      <c r="N509">
        <v>24.21</v>
      </c>
      <c r="O509">
        <v>13.66</v>
      </c>
      <c r="P509">
        <v>8.532</v>
      </c>
      <c r="Q509">
        <v>4.0609999999999999</v>
      </c>
      <c r="R509">
        <v>2.2959999999999998</v>
      </c>
      <c r="S509">
        <v>3.008</v>
      </c>
      <c r="T509">
        <v>1.512</v>
      </c>
      <c r="U509">
        <v>0.60189999999999999</v>
      </c>
      <c r="V509">
        <v>0.33510000000000001</v>
      </c>
      <c r="W509">
        <v>0.22389999999999999</v>
      </c>
      <c r="X509">
        <v>0.16689999999999999</v>
      </c>
      <c r="Y509">
        <v>0.1116</v>
      </c>
      <c r="Z509">
        <v>8.5470000000000004E-2</v>
      </c>
      <c r="AA509">
        <v>5.9369999999999999E-2</v>
      </c>
      <c r="AB509">
        <v>5.1700000000000003E-2</v>
      </c>
      <c r="AC509">
        <v>4.7019999999999999E-2</v>
      </c>
      <c r="AD509">
        <v>4.6300000000000001E-2</v>
      </c>
      <c r="AE509">
        <v>4.6980000000000001E-2</v>
      </c>
      <c r="AF509">
        <v>4.8039999999999999E-2</v>
      </c>
      <c r="AG509">
        <v>5.1130000000000002E-2</v>
      </c>
      <c r="AH509">
        <v>5.4469999999999998E-2</v>
      </c>
      <c r="AI509">
        <v>6.2269999999999999E-2</v>
      </c>
      <c r="AJ509">
        <v>6.8570000000000006E-2</v>
      </c>
      <c r="AK509">
        <v>7.8070000000000001E-2</v>
      </c>
    </row>
    <row r="510" spans="1:37">
      <c r="A510" t="s">
        <v>600</v>
      </c>
    </row>
    <row r="511" spans="1:37">
      <c r="A511" t="s">
        <v>601</v>
      </c>
    </row>
    <row r="512" spans="1:37">
      <c r="A512" t="s">
        <v>602</v>
      </c>
    </row>
    <row r="515" spans="1:31" ht="21">
      <c r="A515" s="9" t="s">
        <v>608</v>
      </c>
    </row>
    <row r="516" spans="1:31" ht="21">
      <c r="A516" s="9"/>
      <c r="C516" t="s">
        <v>603</v>
      </c>
      <c r="D516">
        <f>J9</f>
        <v>0.01</v>
      </c>
      <c r="E516">
        <f>K9</f>
        <v>1.4999999999999999E-2</v>
      </c>
      <c r="F516">
        <f>L9</f>
        <v>0.02</v>
      </c>
      <c r="G516">
        <f>M9</f>
        <v>0.03</v>
      </c>
      <c r="H516">
        <f>N9</f>
        <v>0.04</v>
      </c>
      <c r="I516">
        <f t="shared" ref="I516:AE516" si="0">O9</f>
        <v>0.05</v>
      </c>
      <c r="J516">
        <f t="shared" si="0"/>
        <v>0.06</v>
      </c>
      <c r="K516">
        <f t="shared" si="0"/>
        <v>0.08</v>
      </c>
      <c r="L516">
        <f t="shared" si="0"/>
        <v>0.1</v>
      </c>
      <c r="M516">
        <f t="shared" si="0"/>
        <v>0.15</v>
      </c>
      <c r="N516">
        <f t="shared" si="0"/>
        <v>0.2</v>
      </c>
      <c r="O516">
        <f t="shared" si="0"/>
        <v>0.3</v>
      </c>
      <c r="P516">
        <f t="shared" si="0"/>
        <v>0.4</v>
      </c>
      <c r="Q516">
        <f t="shared" si="0"/>
        <v>0.5</v>
      </c>
      <c r="R516">
        <f t="shared" si="0"/>
        <v>0.6</v>
      </c>
      <c r="S516">
        <f t="shared" si="0"/>
        <v>0.8</v>
      </c>
      <c r="T516">
        <f t="shared" si="0"/>
        <v>1</v>
      </c>
      <c r="U516">
        <f t="shared" si="0"/>
        <v>1.5</v>
      </c>
      <c r="V516">
        <f t="shared" si="0"/>
        <v>2</v>
      </c>
      <c r="W516">
        <f t="shared" si="0"/>
        <v>3</v>
      </c>
      <c r="X516">
        <f t="shared" si="0"/>
        <v>4</v>
      </c>
      <c r="Y516">
        <f t="shared" si="0"/>
        <v>5</v>
      </c>
      <c r="Z516">
        <f t="shared" si="0"/>
        <v>6</v>
      </c>
      <c r="AA516">
        <f t="shared" si="0"/>
        <v>8</v>
      </c>
      <c r="AB516">
        <f t="shared" si="0"/>
        <v>10</v>
      </c>
      <c r="AC516">
        <f t="shared" si="0"/>
        <v>15</v>
      </c>
      <c r="AD516">
        <f t="shared" si="0"/>
        <v>20</v>
      </c>
      <c r="AE516">
        <f t="shared" si="0"/>
        <v>30</v>
      </c>
    </row>
    <row r="517" spans="1:31">
      <c r="A517" cm="1">
        <f t="array" ref="A517:AE1012">_xlfn._xlws.SORT(G14:AK509,1)</f>
        <v>1</v>
      </c>
      <c r="B517" t="str">
        <v>1H</v>
      </c>
      <c r="C517" t="str">
        <v>hydrogen</v>
      </c>
      <c r="D517">
        <v>0.38540000000000002</v>
      </c>
      <c r="E517">
        <v>0.37640000000000001</v>
      </c>
      <c r="F517">
        <v>0.3695</v>
      </c>
      <c r="G517">
        <v>0.35699999999999998</v>
      </c>
      <c r="H517">
        <v>0.3458</v>
      </c>
      <c r="I517">
        <v>0.33550000000000002</v>
      </c>
      <c r="J517">
        <v>0.32600000000000001</v>
      </c>
      <c r="K517">
        <v>0.30909999999999999</v>
      </c>
      <c r="L517">
        <v>0.2944</v>
      </c>
      <c r="M517">
        <v>0.26500000000000001</v>
      </c>
      <c r="N517">
        <v>0.2429</v>
      </c>
      <c r="O517">
        <v>0.2112</v>
      </c>
      <c r="P517">
        <v>0.18920000000000001</v>
      </c>
      <c r="Q517">
        <v>0.17280000000000001</v>
      </c>
      <c r="R517">
        <v>0.1598</v>
      </c>
      <c r="S517">
        <v>0.1404</v>
      </c>
      <c r="T517">
        <v>0.12620000000000001</v>
      </c>
      <c r="U517">
        <v>0.1026</v>
      </c>
      <c r="V517">
        <v>8.7580000000000005E-2</v>
      </c>
      <c r="W517">
        <v>6.9099999999999995E-2</v>
      </c>
      <c r="X517">
        <v>5.7930000000000002E-2</v>
      </c>
      <c r="Y517">
        <v>5.0360000000000002E-2</v>
      </c>
      <c r="Z517">
        <v>4.4859999999999997E-2</v>
      </c>
      <c r="AA517">
        <v>3.7350000000000001E-2</v>
      </c>
      <c r="AB517">
        <v>3.2439999999999997E-2</v>
      </c>
      <c r="AC517">
        <v>2.53E-2</v>
      </c>
      <c r="AD517">
        <v>2.145E-2</v>
      </c>
      <c r="AE517">
        <v>1.7409999999999998E-2</v>
      </c>
    </row>
    <row r="518" spans="1:31">
      <c r="A518">
        <v>2</v>
      </c>
      <c r="B518" t="str">
        <v>2HE</v>
      </c>
      <c r="C518" t="str">
        <v>helium</v>
      </c>
      <c r="D518">
        <v>0.222</v>
      </c>
      <c r="E518">
        <v>0.1966</v>
      </c>
      <c r="F518">
        <v>0.18870000000000001</v>
      </c>
      <c r="G518">
        <v>0.1804</v>
      </c>
      <c r="H518">
        <v>0.17430000000000001</v>
      </c>
      <c r="I518">
        <v>0.1691</v>
      </c>
      <c r="J518">
        <v>0.16420000000000001</v>
      </c>
      <c r="K518">
        <v>0.15579999999999999</v>
      </c>
      <c r="L518">
        <v>0.14829999999999999</v>
      </c>
      <c r="M518">
        <v>0.13339999999999999</v>
      </c>
      <c r="N518">
        <v>0.12230000000000001</v>
      </c>
      <c r="O518">
        <v>0.10630000000000001</v>
      </c>
      <c r="P518">
        <v>9.5299999999999996E-2</v>
      </c>
      <c r="Q518">
        <v>8.7010000000000004E-2</v>
      </c>
      <c r="R518">
        <v>8.0490000000000006E-2</v>
      </c>
      <c r="S518">
        <v>7.0699999999999999E-2</v>
      </c>
      <c r="T518">
        <v>6.3549999999999995E-2</v>
      </c>
      <c r="U518">
        <v>5.1670000000000001E-2</v>
      </c>
      <c r="V518">
        <v>4.4139999999999999E-2</v>
      </c>
      <c r="W518">
        <v>3.4950000000000002E-2</v>
      </c>
      <c r="X518">
        <v>2.9409999999999999E-2</v>
      </c>
      <c r="Y518">
        <v>2.5690000000000001E-2</v>
      </c>
      <c r="Z518">
        <v>2.3009999999999999E-2</v>
      </c>
      <c r="AA518">
        <v>1.9349999999999999E-2</v>
      </c>
      <c r="AB518">
        <v>1.6979999999999999E-2</v>
      </c>
      <c r="AC518">
        <v>1.358E-2</v>
      </c>
      <c r="AD518">
        <v>1.179E-2</v>
      </c>
      <c r="AE518">
        <v>9.972E-3</v>
      </c>
    </row>
    <row r="519" spans="1:31">
      <c r="A519">
        <v>3</v>
      </c>
      <c r="B519" t="str">
        <v>3LI</v>
      </c>
      <c r="C519" t="str">
        <v>lithium</v>
      </c>
      <c r="D519">
        <v>0.30270000000000002</v>
      </c>
      <c r="E519">
        <v>0.19850000000000001</v>
      </c>
      <c r="F519">
        <v>0.1741</v>
      </c>
      <c r="G519">
        <v>0.1588</v>
      </c>
      <c r="H519">
        <v>0.15190000000000001</v>
      </c>
      <c r="I519">
        <v>0.1467</v>
      </c>
      <c r="J519">
        <v>0.14230000000000001</v>
      </c>
      <c r="K519">
        <v>0.1348</v>
      </c>
      <c r="L519">
        <v>0.1283</v>
      </c>
      <c r="M519">
        <v>0.11550000000000001</v>
      </c>
      <c r="N519">
        <v>0.10580000000000001</v>
      </c>
      <c r="O519">
        <v>9.1969999999999996E-2</v>
      </c>
      <c r="P519">
        <v>8.2419999999999993E-2</v>
      </c>
      <c r="Q519">
        <v>7.5259999999999994E-2</v>
      </c>
      <c r="R519">
        <v>6.9629999999999997E-2</v>
      </c>
      <c r="S519">
        <v>6.1159999999999999E-2</v>
      </c>
      <c r="T519">
        <v>5.4969999999999998E-2</v>
      </c>
      <c r="U519">
        <v>4.4690000000000001E-2</v>
      </c>
      <c r="V519">
        <v>3.8240000000000003E-2</v>
      </c>
      <c r="W519">
        <v>3.0370000000000001E-2</v>
      </c>
      <c r="X519">
        <v>2.5659999999999999E-2</v>
      </c>
      <c r="Y519">
        <v>2.2519999999999998E-2</v>
      </c>
      <c r="Z519">
        <v>2.0250000000000001E-2</v>
      </c>
      <c r="AA519">
        <v>1.721E-2</v>
      </c>
      <c r="AB519">
        <v>1.525E-2</v>
      </c>
      <c r="AC519">
        <v>1.248E-2</v>
      </c>
      <c r="AD519">
        <v>1.1050000000000001E-2</v>
      </c>
      <c r="AE519">
        <v>9.6539999999999994E-3</v>
      </c>
    </row>
    <row r="520" spans="1:31">
      <c r="A520">
        <v>4</v>
      </c>
      <c r="B520" t="str">
        <v>4BE</v>
      </c>
      <c r="C520" t="str">
        <v>beryllium</v>
      </c>
      <c r="D520">
        <v>0.59409999999999996</v>
      </c>
      <c r="E520">
        <v>0.2782</v>
      </c>
      <c r="F520">
        <v>0.2072</v>
      </c>
      <c r="G520">
        <v>0.17050000000000001</v>
      </c>
      <c r="H520">
        <v>0.1588</v>
      </c>
      <c r="I520">
        <v>0.152</v>
      </c>
      <c r="J520">
        <v>0.1469</v>
      </c>
      <c r="K520">
        <v>0.13869999999999999</v>
      </c>
      <c r="L520">
        <v>0.13189999999999999</v>
      </c>
      <c r="M520">
        <v>0.1186</v>
      </c>
      <c r="N520">
        <v>0.1086</v>
      </c>
      <c r="O520">
        <v>9.4490000000000005E-2</v>
      </c>
      <c r="P520">
        <v>8.4659999999999999E-2</v>
      </c>
      <c r="Q520">
        <v>7.732E-2</v>
      </c>
      <c r="R520">
        <v>7.1499999999999994E-2</v>
      </c>
      <c r="S520">
        <v>6.2799999999999995E-2</v>
      </c>
      <c r="T520">
        <v>5.645E-2</v>
      </c>
      <c r="U520">
        <v>4.5900000000000003E-2</v>
      </c>
      <c r="V520">
        <v>3.9309999999999998E-2</v>
      </c>
      <c r="W520">
        <v>3.1320000000000001E-2</v>
      </c>
      <c r="X520">
        <v>2.6579999999999999E-2</v>
      </c>
      <c r="Y520">
        <v>2.342E-2</v>
      </c>
      <c r="Z520">
        <v>2.1160000000000002E-2</v>
      </c>
      <c r="AA520">
        <v>1.814E-2</v>
      </c>
      <c r="AB520">
        <v>1.6230000000000001E-2</v>
      </c>
      <c r="AC520">
        <v>1.3559999999999999E-2</v>
      </c>
      <c r="AD520">
        <v>1.223E-2</v>
      </c>
      <c r="AE520">
        <v>1.0970000000000001E-2</v>
      </c>
    </row>
    <row r="521" spans="1:31">
      <c r="A521">
        <v>5</v>
      </c>
      <c r="B521" t="str">
        <v>5B</v>
      </c>
      <c r="C521" t="str">
        <v>boron</v>
      </c>
      <c r="D521">
        <v>1.1819999999999999</v>
      </c>
      <c r="E521">
        <v>0.44069999999999998</v>
      </c>
      <c r="F521">
        <v>0.27460000000000001</v>
      </c>
      <c r="G521">
        <v>0.193</v>
      </c>
      <c r="H521">
        <v>0.1714</v>
      </c>
      <c r="I521">
        <v>0.16120000000000001</v>
      </c>
      <c r="J521">
        <v>0.15459999999999999</v>
      </c>
      <c r="K521">
        <v>0.14499999999999999</v>
      </c>
      <c r="L521">
        <v>0.13769999999999999</v>
      </c>
      <c r="M521">
        <v>0.1237</v>
      </c>
      <c r="N521">
        <v>0.1132</v>
      </c>
      <c r="O521">
        <v>9.8449999999999996E-2</v>
      </c>
      <c r="P521">
        <v>8.8190000000000004E-2</v>
      </c>
      <c r="Q521">
        <v>8.0549999999999997E-2</v>
      </c>
      <c r="R521">
        <v>7.4480000000000005E-2</v>
      </c>
      <c r="S521">
        <v>6.5460000000000004E-2</v>
      </c>
      <c r="T521">
        <v>5.883E-2</v>
      </c>
      <c r="U521">
        <v>4.7849999999999997E-2</v>
      </c>
      <c r="V521">
        <v>4.1020000000000001E-2</v>
      </c>
      <c r="W521">
        <v>3.2770000000000001E-2</v>
      </c>
      <c r="X521">
        <v>2.793E-2</v>
      </c>
      <c r="Y521">
        <v>2.4709999999999999E-2</v>
      </c>
      <c r="Z521">
        <v>2.2419999999999999E-2</v>
      </c>
      <c r="AA521">
        <v>1.9400000000000001E-2</v>
      </c>
      <c r="AB521">
        <v>1.7500000000000002E-2</v>
      </c>
      <c r="AC521">
        <v>1.491E-2</v>
      </c>
      <c r="AD521">
        <v>1.3650000000000001E-2</v>
      </c>
      <c r="AE521">
        <v>1.252E-2</v>
      </c>
    </row>
    <row r="522" spans="1:31">
      <c r="A522">
        <v>6</v>
      </c>
      <c r="B522" t="str">
        <v>6C</v>
      </c>
      <c r="C522" t="str">
        <v>carbon</v>
      </c>
      <c r="D522">
        <v>2.2679999999999998</v>
      </c>
      <c r="E522">
        <v>0.74760000000000004</v>
      </c>
      <c r="F522">
        <v>0.40350000000000003</v>
      </c>
      <c r="G522">
        <v>0.23680000000000001</v>
      </c>
      <c r="H522">
        <v>0.19600000000000001</v>
      </c>
      <c r="I522">
        <v>0.1794</v>
      </c>
      <c r="J522">
        <v>0.16980000000000001</v>
      </c>
      <c r="K522">
        <v>0.1578</v>
      </c>
      <c r="L522">
        <v>0.14929999999999999</v>
      </c>
      <c r="M522">
        <v>0.1338</v>
      </c>
      <c r="N522">
        <v>0.12230000000000001</v>
      </c>
      <c r="O522">
        <v>0.10630000000000001</v>
      </c>
      <c r="P522">
        <v>9.5269999999999994E-2</v>
      </c>
      <c r="Q522">
        <v>8.6999999999999994E-2</v>
      </c>
      <c r="R522">
        <v>8.047E-2</v>
      </c>
      <c r="S522">
        <v>7.0699999999999999E-2</v>
      </c>
      <c r="T522">
        <v>6.3519999999999993E-2</v>
      </c>
      <c r="U522">
        <v>5.1670000000000001E-2</v>
      </c>
      <c r="V522">
        <v>4.4350000000000001E-2</v>
      </c>
      <c r="W522">
        <v>3.5549999999999998E-2</v>
      </c>
      <c r="X522">
        <v>3.04E-2</v>
      </c>
      <c r="Y522">
        <v>2.7009999999999999E-2</v>
      </c>
      <c r="Z522">
        <v>2.4629999999999999E-2</v>
      </c>
      <c r="AA522">
        <v>2.1479999999999999E-2</v>
      </c>
      <c r="AB522">
        <v>1.9539999999999998E-2</v>
      </c>
      <c r="AC522">
        <v>1.6930000000000001E-2</v>
      </c>
      <c r="AD522">
        <v>1.5709999999999998E-2</v>
      </c>
      <c r="AE522">
        <v>1.468E-2</v>
      </c>
    </row>
    <row r="523" spans="1:31">
      <c r="A523">
        <v>7</v>
      </c>
      <c r="B523" t="str">
        <v>7N</v>
      </c>
      <c r="C523" t="str">
        <v>nitrogen</v>
      </c>
      <c r="D523">
        <v>3.7360000000000002</v>
      </c>
      <c r="E523">
        <v>1.1559999999999999</v>
      </c>
      <c r="F523">
        <v>0.56669999999999998</v>
      </c>
      <c r="G523">
        <v>0.28070000000000001</v>
      </c>
      <c r="H523">
        <v>0.21329999999999999</v>
      </c>
      <c r="I523">
        <v>0.18770000000000001</v>
      </c>
      <c r="J523">
        <v>0.17430000000000001</v>
      </c>
      <c r="K523">
        <v>0.15959999999999999</v>
      </c>
      <c r="L523">
        <v>0.15010000000000001</v>
      </c>
      <c r="M523">
        <v>0.13400000000000001</v>
      </c>
      <c r="N523">
        <v>0.1225</v>
      </c>
      <c r="O523">
        <v>0.10639999999999999</v>
      </c>
      <c r="P523">
        <v>9.5350000000000004E-2</v>
      </c>
      <c r="Q523">
        <v>8.7029999999999996E-2</v>
      </c>
      <c r="R523">
        <v>8.0490000000000006E-2</v>
      </c>
      <c r="S523">
        <v>7.0730000000000001E-2</v>
      </c>
      <c r="T523">
        <v>6.3549999999999995E-2</v>
      </c>
      <c r="U523">
        <v>5.1729999999999998E-2</v>
      </c>
      <c r="V523">
        <v>4.444E-2</v>
      </c>
      <c r="W523">
        <v>3.5709999999999999E-2</v>
      </c>
      <c r="X523">
        <v>3.066E-2</v>
      </c>
      <c r="Y523">
        <v>2.7359999999999999E-2</v>
      </c>
      <c r="Z523">
        <v>2.5049999999999999E-2</v>
      </c>
      <c r="AA523">
        <v>2.2030000000000001E-2</v>
      </c>
      <c r="AB523">
        <v>2.019E-2</v>
      </c>
      <c r="AC523">
        <v>1.7780000000000001E-2</v>
      </c>
      <c r="AD523">
        <v>1.669E-2</v>
      </c>
      <c r="AE523">
        <v>1.584E-2</v>
      </c>
    </row>
    <row r="524" spans="1:31">
      <c r="A524">
        <v>8</v>
      </c>
      <c r="B524" t="str">
        <v>8O</v>
      </c>
      <c r="C524" t="str">
        <v>oxygen</v>
      </c>
      <c r="D524">
        <v>5.758</v>
      </c>
      <c r="E524">
        <v>1.7310000000000001</v>
      </c>
      <c r="F524">
        <v>0.79849999999999999</v>
      </c>
      <c r="G524">
        <v>0.34399999999999997</v>
      </c>
      <c r="H524">
        <v>0.2382</v>
      </c>
      <c r="I524">
        <v>0.19969999999999999</v>
      </c>
      <c r="J524">
        <v>0.18110000000000001</v>
      </c>
      <c r="K524">
        <v>0.16220000000000001</v>
      </c>
      <c r="L524">
        <v>0.15140000000000001</v>
      </c>
      <c r="M524">
        <v>0.13439999999999999</v>
      </c>
      <c r="N524">
        <v>0.1227</v>
      </c>
      <c r="O524">
        <v>0.1066</v>
      </c>
      <c r="P524">
        <v>9.5380000000000006E-2</v>
      </c>
      <c r="Q524">
        <v>8.7080000000000005E-2</v>
      </c>
      <c r="R524">
        <v>8.0560000000000007E-2</v>
      </c>
      <c r="S524">
        <v>7.077E-2</v>
      </c>
      <c r="T524">
        <v>6.3619999999999996E-2</v>
      </c>
      <c r="U524">
        <v>5.178E-2</v>
      </c>
      <c r="V524">
        <v>4.4499999999999998E-2</v>
      </c>
      <c r="W524">
        <v>3.5889999999999998E-2</v>
      </c>
      <c r="X524">
        <v>3.0929999999999999E-2</v>
      </c>
      <c r="Y524">
        <v>2.7699999999999999E-2</v>
      </c>
      <c r="Z524">
        <v>2.546E-2</v>
      </c>
      <c r="AA524">
        <v>2.2579999999999999E-2</v>
      </c>
      <c r="AB524">
        <v>2.0840000000000001E-2</v>
      </c>
      <c r="AC524">
        <v>1.8610000000000002E-2</v>
      </c>
      <c r="AD524">
        <v>1.7659999999999999E-2</v>
      </c>
      <c r="AE524">
        <v>1.702E-2</v>
      </c>
    </row>
    <row r="525" spans="1:31">
      <c r="A525">
        <v>9</v>
      </c>
      <c r="B525" t="str">
        <v>9F</v>
      </c>
      <c r="C525" t="str">
        <v>fluorine</v>
      </c>
      <c r="D525">
        <v>7.9649999999999999</v>
      </c>
      <c r="E525">
        <v>2.363</v>
      </c>
      <c r="F525">
        <v>1.0509999999999999</v>
      </c>
      <c r="G525">
        <v>0.40739999999999998</v>
      </c>
      <c r="H525">
        <v>0.2581</v>
      </c>
      <c r="I525">
        <v>0.20499999999999999</v>
      </c>
      <c r="J525">
        <v>0.18029999999999999</v>
      </c>
      <c r="K525">
        <v>0.15709999999999999</v>
      </c>
      <c r="L525">
        <v>0.1452</v>
      </c>
      <c r="M525">
        <v>0.1278</v>
      </c>
      <c r="N525">
        <v>0.1164</v>
      </c>
      <c r="O525">
        <v>0.10100000000000001</v>
      </c>
      <c r="P525">
        <v>9.0389999999999998E-2</v>
      </c>
      <c r="Q525">
        <v>8.2540000000000002E-2</v>
      </c>
      <c r="R525">
        <v>7.6319999999999999E-2</v>
      </c>
      <c r="S525">
        <v>6.7049999999999998E-2</v>
      </c>
      <c r="T525">
        <v>6.0260000000000001E-2</v>
      </c>
      <c r="U525">
        <v>4.9050000000000003E-2</v>
      </c>
      <c r="V525">
        <v>4.2200000000000001E-2</v>
      </c>
      <c r="W525">
        <v>3.415E-2</v>
      </c>
      <c r="X525">
        <v>2.9530000000000001E-2</v>
      </c>
      <c r="Y525">
        <v>2.657E-2</v>
      </c>
      <c r="Z525">
        <v>2.4510000000000001E-2</v>
      </c>
      <c r="AA525">
        <v>2.1899999999999999E-2</v>
      </c>
      <c r="AB525">
        <v>2.034E-2</v>
      </c>
      <c r="AC525">
        <v>1.8419999999999999E-2</v>
      </c>
      <c r="AD525">
        <v>1.7649999999999999E-2</v>
      </c>
      <c r="AE525">
        <v>1.7219999999999999E-2</v>
      </c>
    </row>
    <row r="526" spans="1:31">
      <c r="A526">
        <v>10</v>
      </c>
      <c r="B526" t="str">
        <v>10NE</v>
      </c>
      <c r="C526" t="str">
        <v>neon</v>
      </c>
      <c r="D526">
        <v>11.64</v>
      </c>
      <c r="E526">
        <v>3.4409999999999998</v>
      </c>
      <c r="F526">
        <v>1.498</v>
      </c>
      <c r="G526">
        <v>0.53759999999999997</v>
      </c>
      <c r="H526">
        <v>0.31459999999999999</v>
      </c>
      <c r="I526">
        <v>0.23619999999999999</v>
      </c>
      <c r="J526">
        <v>0.20069999999999999</v>
      </c>
      <c r="K526">
        <v>0.1691</v>
      </c>
      <c r="L526">
        <v>0.1542</v>
      </c>
      <c r="M526">
        <v>0.1343</v>
      </c>
      <c r="N526">
        <v>0.1221</v>
      </c>
      <c r="O526">
        <v>0.1057</v>
      </c>
      <c r="P526">
        <v>9.461E-2</v>
      </c>
      <c r="Q526">
        <v>8.6360000000000006E-2</v>
      </c>
      <c r="R526">
        <v>7.9869999999999997E-2</v>
      </c>
      <c r="S526">
        <v>7.0150000000000004E-2</v>
      </c>
      <c r="T526">
        <v>6.3030000000000003E-2</v>
      </c>
      <c r="U526">
        <v>5.135E-2</v>
      </c>
      <c r="V526">
        <v>4.4229999999999998E-2</v>
      </c>
      <c r="W526">
        <v>3.5880000000000002E-2</v>
      </c>
      <c r="X526">
        <v>3.1150000000000001E-2</v>
      </c>
      <c r="Y526">
        <v>2.811E-2</v>
      </c>
      <c r="Z526">
        <v>2.605E-2</v>
      </c>
      <c r="AA526">
        <v>2.3429999999999999E-2</v>
      </c>
      <c r="AB526">
        <v>2.1919999999999999E-2</v>
      </c>
      <c r="AC526">
        <v>2.0080000000000001E-2</v>
      </c>
      <c r="AD526">
        <v>1.942E-2</v>
      </c>
      <c r="AE526">
        <v>1.915E-2</v>
      </c>
    </row>
    <row r="527" spans="1:31">
      <c r="A527">
        <v>11</v>
      </c>
      <c r="B527" t="str">
        <v>11NA</v>
      </c>
      <c r="C527" t="str">
        <v>sodium</v>
      </c>
      <c r="D527">
        <v>15.2</v>
      </c>
      <c r="E527">
        <v>4.4980000000000002</v>
      </c>
      <c r="F527">
        <v>1.9339999999999999</v>
      </c>
      <c r="G527">
        <v>0.65759999999999996</v>
      </c>
      <c r="H527">
        <v>0.35949999999999999</v>
      </c>
      <c r="I527">
        <v>0.2555</v>
      </c>
      <c r="J527">
        <v>0.20910000000000001</v>
      </c>
      <c r="K527">
        <v>0.16930000000000001</v>
      </c>
      <c r="L527">
        <v>0.15179999999999999</v>
      </c>
      <c r="M527">
        <v>0.1305</v>
      </c>
      <c r="N527">
        <v>0.1181</v>
      </c>
      <c r="O527">
        <v>0.1021</v>
      </c>
      <c r="P527">
        <v>9.1359999999999997E-2</v>
      </c>
      <c r="Q527">
        <v>8.3390000000000006E-2</v>
      </c>
      <c r="R527">
        <v>7.7109999999999998E-2</v>
      </c>
      <c r="S527">
        <v>6.7739999999999995E-2</v>
      </c>
      <c r="T527">
        <v>6.087E-2</v>
      </c>
      <c r="U527">
        <v>4.9579999999999999E-2</v>
      </c>
      <c r="V527">
        <v>4.274E-2</v>
      </c>
      <c r="W527">
        <v>3.4779999999999998E-2</v>
      </c>
      <c r="X527">
        <v>3.031E-2</v>
      </c>
      <c r="Y527">
        <v>2.7470000000000001E-2</v>
      </c>
      <c r="Z527">
        <v>2.5530000000000001E-2</v>
      </c>
      <c r="AA527">
        <v>2.3140000000000001E-2</v>
      </c>
      <c r="AB527">
        <v>2.1760000000000002E-2</v>
      </c>
      <c r="AC527">
        <v>2.018E-2</v>
      </c>
      <c r="AD527">
        <v>1.966E-2</v>
      </c>
      <c r="AE527">
        <v>1.958E-2</v>
      </c>
    </row>
    <row r="528" spans="1:31">
      <c r="A528">
        <v>12</v>
      </c>
      <c r="B528" t="str">
        <v>12MG</v>
      </c>
      <c r="C528" t="str">
        <v>magnesium</v>
      </c>
      <c r="D528">
        <v>20.63</v>
      </c>
      <c r="E528">
        <v>6.1239999999999997</v>
      </c>
      <c r="F528">
        <v>2.6160000000000001</v>
      </c>
      <c r="G528">
        <v>0.85619999999999996</v>
      </c>
      <c r="H528">
        <v>0.44309999999999999</v>
      </c>
      <c r="I528">
        <v>0.29930000000000001</v>
      </c>
      <c r="J528">
        <v>0.23569999999999999</v>
      </c>
      <c r="K528">
        <v>0.1827</v>
      </c>
      <c r="L528">
        <v>0.1605</v>
      </c>
      <c r="M528">
        <v>0.13569999999999999</v>
      </c>
      <c r="N528">
        <v>0.12239999999999999</v>
      </c>
      <c r="O528">
        <v>0.1055</v>
      </c>
      <c r="P528">
        <v>9.4339999999999993E-2</v>
      </c>
      <c r="Q528">
        <v>8.6080000000000004E-2</v>
      </c>
      <c r="R528">
        <v>7.9600000000000004E-2</v>
      </c>
      <c r="S528">
        <v>6.9900000000000004E-2</v>
      </c>
      <c r="T528">
        <v>6.2829999999999997E-2</v>
      </c>
      <c r="U528">
        <v>5.1180000000000003E-2</v>
      </c>
      <c r="V528">
        <v>4.4150000000000002E-2</v>
      </c>
      <c r="W528">
        <v>3.6040000000000003E-2</v>
      </c>
      <c r="X528">
        <v>3.1530000000000002E-2</v>
      </c>
      <c r="Y528">
        <v>2.8660000000000001E-2</v>
      </c>
      <c r="Z528">
        <v>2.6749999999999999E-2</v>
      </c>
      <c r="AA528">
        <v>2.4389999999999998E-2</v>
      </c>
      <c r="AB528">
        <v>2.308E-2</v>
      </c>
      <c r="AC528">
        <v>2.163E-2</v>
      </c>
      <c r="AD528">
        <v>2.1229999999999999E-2</v>
      </c>
      <c r="AE528">
        <v>2.1340000000000001E-2</v>
      </c>
    </row>
    <row r="529" spans="1:31">
      <c r="A529">
        <v>13</v>
      </c>
      <c r="B529" t="str">
        <v>13AL</v>
      </c>
      <c r="C529" t="str">
        <v>aluminum</v>
      </c>
      <c r="D529">
        <v>25.75</v>
      </c>
      <c r="E529">
        <v>7.6970000000000001</v>
      </c>
      <c r="F529">
        <v>3.2789999999999999</v>
      </c>
      <c r="G529">
        <v>1.0449999999999999</v>
      </c>
      <c r="H529">
        <v>0.51839999999999997</v>
      </c>
      <c r="I529">
        <v>0.3347</v>
      </c>
      <c r="J529">
        <v>0.25390000000000001</v>
      </c>
      <c r="K529">
        <v>0.188</v>
      </c>
      <c r="L529">
        <v>0.16139999999999999</v>
      </c>
      <c r="M529">
        <v>0.13370000000000001</v>
      </c>
      <c r="N529">
        <v>0.11990000000000001</v>
      </c>
      <c r="O529">
        <v>0.1031</v>
      </c>
      <c r="P529">
        <v>9.2130000000000004E-2</v>
      </c>
      <c r="Q529">
        <v>8.4029999999999994E-2</v>
      </c>
      <c r="R529">
        <v>7.7689999999999995E-2</v>
      </c>
      <c r="S529">
        <v>6.8210000000000007E-2</v>
      </c>
      <c r="T529">
        <v>6.132E-2</v>
      </c>
      <c r="U529">
        <v>4.9950000000000001E-2</v>
      </c>
      <c r="V529">
        <v>4.3159999999999997E-2</v>
      </c>
      <c r="W529">
        <v>3.533E-2</v>
      </c>
      <c r="X529">
        <v>3.1009999999999999E-2</v>
      </c>
      <c r="Y529">
        <v>2.8289999999999999E-2</v>
      </c>
      <c r="Z529">
        <v>2.649E-2</v>
      </c>
      <c r="AA529">
        <v>2.4320000000000001E-2</v>
      </c>
      <c r="AB529">
        <v>2.3130000000000001E-2</v>
      </c>
      <c r="AC529">
        <v>2.1909999999999999E-2</v>
      </c>
      <c r="AD529">
        <v>2.164E-2</v>
      </c>
      <c r="AE529">
        <v>2.1919999999999999E-2</v>
      </c>
    </row>
    <row r="530" spans="1:31">
      <c r="A530">
        <v>14</v>
      </c>
      <c r="B530" t="str">
        <v>14SI</v>
      </c>
      <c r="C530" t="str">
        <v>silicon</v>
      </c>
      <c r="D530">
        <v>33.340000000000003</v>
      </c>
      <c r="E530">
        <v>10.039999999999999</v>
      </c>
      <c r="F530">
        <v>4.2750000000000004</v>
      </c>
      <c r="G530">
        <v>1.34</v>
      </c>
      <c r="H530">
        <v>0.64249999999999996</v>
      </c>
      <c r="I530">
        <v>0.39929999999999999</v>
      </c>
      <c r="J530">
        <v>0.29270000000000002</v>
      </c>
      <c r="K530">
        <v>0.20649999999999999</v>
      </c>
      <c r="L530">
        <v>0.1729</v>
      </c>
      <c r="M530">
        <v>0.1399</v>
      </c>
      <c r="N530">
        <v>0.12470000000000001</v>
      </c>
      <c r="O530">
        <v>0.1069</v>
      </c>
      <c r="P530">
        <v>9.5420000000000005E-2</v>
      </c>
      <c r="Q530">
        <v>8.6980000000000002E-2</v>
      </c>
      <c r="R530">
        <v>8.0409999999999995E-2</v>
      </c>
      <c r="S530">
        <v>7.0580000000000004E-2</v>
      </c>
      <c r="T530">
        <v>6.3439999999999996E-2</v>
      </c>
      <c r="U530">
        <v>5.1709999999999999E-2</v>
      </c>
      <c r="V530">
        <v>4.4690000000000001E-2</v>
      </c>
      <c r="W530">
        <v>3.6700000000000003E-2</v>
      </c>
      <c r="X530">
        <v>3.2329999999999998E-2</v>
      </c>
      <c r="Y530">
        <v>2.9600000000000001E-2</v>
      </c>
      <c r="Z530">
        <v>2.7810000000000001E-2</v>
      </c>
      <c r="AA530">
        <v>2.5680000000000001E-2</v>
      </c>
      <c r="AB530">
        <v>2.4570000000000002E-2</v>
      </c>
      <c r="AC530">
        <v>2.3470000000000001E-2</v>
      </c>
      <c r="AD530">
        <v>2.334E-2</v>
      </c>
      <c r="AE530">
        <v>2.3810000000000001E-2</v>
      </c>
    </row>
    <row r="531" spans="1:31">
      <c r="A531">
        <v>15</v>
      </c>
      <c r="B531" t="str">
        <v>15P</v>
      </c>
      <c r="C531" t="str">
        <v>phosphorus</v>
      </c>
      <c r="D531">
        <v>39.78</v>
      </c>
      <c r="E531">
        <v>12.07</v>
      </c>
      <c r="F531">
        <v>5.1479999999999997</v>
      </c>
      <c r="G531">
        <v>1.5960000000000001</v>
      </c>
      <c r="H531">
        <v>0.74590000000000001</v>
      </c>
      <c r="I531">
        <v>0.44890000000000002</v>
      </c>
      <c r="J531">
        <v>0.31879999999999997</v>
      </c>
      <c r="K531">
        <v>0.21460000000000001</v>
      </c>
      <c r="L531">
        <v>0.1749</v>
      </c>
      <c r="M531">
        <v>0.13789999999999999</v>
      </c>
      <c r="N531">
        <v>0.12189999999999999</v>
      </c>
      <c r="O531">
        <v>0.1041</v>
      </c>
      <c r="P531">
        <v>9.2789999999999997E-2</v>
      </c>
      <c r="Q531">
        <v>8.4580000000000002E-2</v>
      </c>
      <c r="R531">
        <v>7.8149999999999997E-2</v>
      </c>
      <c r="S531">
        <v>6.8589999999999998E-2</v>
      </c>
      <c r="T531">
        <v>6.164E-2</v>
      </c>
      <c r="U531">
        <v>5.0270000000000002E-2</v>
      </c>
      <c r="V531">
        <v>4.3479999999999998E-2</v>
      </c>
      <c r="W531">
        <v>3.5799999999999998E-2</v>
      </c>
      <c r="X531">
        <v>3.1649999999999998E-2</v>
      </c>
      <c r="Y531">
        <v>2.9080000000000002E-2</v>
      </c>
      <c r="Z531">
        <v>2.741E-2</v>
      </c>
      <c r="AA531">
        <v>2.547E-2</v>
      </c>
      <c r="AB531">
        <v>2.4469999999999999E-2</v>
      </c>
      <c r="AC531">
        <v>2.3599999999999999E-2</v>
      </c>
      <c r="AD531">
        <v>2.359E-2</v>
      </c>
      <c r="AE531">
        <v>2.4219999999999998E-2</v>
      </c>
    </row>
    <row r="532" spans="1:31">
      <c r="A532">
        <v>16</v>
      </c>
      <c r="B532" t="str">
        <v>16S</v>
      </c>
      <c r="C532" t="str">
        <v>sulfur</v>
      </c>
      <c r="D532">
        <v>49.5</v>
      </c>
      <c r="E532">
        <v>15.13</v>
      </c>
      <c r="F532">
        <v>6.4749999999999996</v>
      </c>
      <c r="G532">
        <v>1.9930000000000001</v>
      </c>
      <c r="H532">
        <v>0.91439999999999999</v>
      </c>
      <c r="I532">
        <v>0.53580000000000005</v>
      </c>
      <c r="J532">
        <v>0.37009999999999998</v>
      </c>
      <c r="K532">
        <v>0.23810000000000001</v>
      </c>
      <c r="L532">
        <v>0.18859999999999999</v>
      </c>
      <c r="M532">
        <v>0.1444</v>
      </c>
      <c r="N532">
        <v>0.12670000000000001</v>
      </c>
      <c r="O532">
        <v>0.1075</v>
      </c>
      <c r="P532">
        <v>9.5740000000000006E-2</v>
      </c>
      <c r="Q532">
        <v>8.7220000000000006E-2</v>
      </c>
      <c r="R532">
        <v>8.0589999999999995E-2</v>
      </c>
      <c r="S532">
        <v>7.0709999999999995E-2</v>
      </c>
      <c r="T532">
        <v>6.3530000000000003E-2</v>
      </c>
      <c r="U532">
        <v>5.1810000000000002E-2</v>
      </c>
      <c r="V532">
        <v>4.487E-2</v>
      </c>
      <c r="W532">
        <v>3.7060000000000003E-2</v>
      </c>
      <c r="X532">
        <v>3.2870000000000003E-2</v>
      </c>
      <c r="Y532">
        <v>3.031E-2</v>
      </c>
      <c r="Z532">
        <v>2.8660000000000001E-2</v>
      </c>
      <c r="AA532">
        <v>2.6769999999999999E-2</v>
      </c>
      <c r="AB532">
        <v>2.5850000000000001E-2</v>
      </c>
      <c r="AC532">
        <v>2.512E-2</v>
      </c>
      <c r="AD532">
        <v>2.5250000000000002E-2</v>
      </c>
      <c r="AE532">
        <v>2.6089999999999999E-2</v>
      </c>
    </row>
    <row r="533" spans="1:31">
      <c r="A533">
        <v>17</v>
      </c>
      <c r="B533" t="str">
        <v>17CL</v>
      </c>
      <c r="C533" t="str">
        <v>chlorine</v>
      </c>
      <c r="D533">
        <v>56.59</v>
      </c>
      <c r="E533">
        <v>17.45</v>
      </c>
      <c r="F533">
        <v>7.492</v>
      </c>
      <c r="G533">
        <v>2.2989999999999999</v>
      </c>
      <c r="H533">
        <v>1.0389999999999999</v>
      </c>
      <c r="I533">
        <v>0.59589999999999999</v>
      </c>
      <c r="J533">
        <v>0.40189999999999998</v>
      </c>
      <c r="K533">
        <v>0.24759999999999999</v>
      </c>
      <c r="L533">
        <v>0.19059999999999999</v>
      </c>
      <c r="M533">
        <v>0.1414</v>
      </c>
      <c r="N533">
        <v>0.12280000000000001</v>
      </c>
      <c r="O533">
        <v>0.1037</v>
      </c>
      <c r="P533">
        <v>9.214E-2</v>
      </c>
      <c r="Q533">
        <v>8.3879999999999996E-2</v>
      </c>
      <c r="R533">
        <v>7.7469999999999997E-2</v>
      </c>
      <c r="S533">
        <v>6.7960000000000007E-2</v>
      </c>
      <c r="T533">
        <v>6.1069999999999999E-2</v>
      </c>
      <c r="U533">
        <v>4.981E-2</v>
      </c>
      <c r="V533">
        <v>4.317E-2</v>
      </c>
      <c r="W533">
        <v>3.5770000000000003E-2</v>
      </c>
      <c r="X533">
        <v>3.1820000000000001E-2</v>
      </c>
      <c r="Y533">
        <v>2.9440000000000001E-2</v>
      </c>
      <c r="Z533">
        <v>2.792E-2</v>
      </c>
      <c r="AA533">
        <v>2.623E-2</v>
      </c>
      <c r="AB533">
        <v>2.5430000000000001E-2</v>
      </c>
      <c r="AC533">
        <v>2.4910000000000002E-2</v>
      </c>
      <c r="AD533">
        <v>2.5159999999999998E-2</v>
      </c>
      <c r="AE533">
        <v>2.614E-2</v>
      </c>
    </row>
    <row r="534" spans="1:31">
      <c r="A534">
        <v>18</v>
      </c>
      <c r="B534" t="str">
        <v>18AR</v>
      </c>
      <c r="C534" t="str">
        <v>argon</v>
      </c>
      <c r="D534">
        <v>62.49</v>
      </c>
      <c r="E534">
        <v>19.43</v>
      </c>
      <c r="F534">
        <v>8.375</v>
      </c>
      <c r="G534">
        <v>2.5659999999999998</v>
      </c>
      <c r="H534">
        <v>1.1479999999999999</v>
      </c>
      <c r="I534">
        <v>0.64700000000000002</v>
      </c>
      <c r="J534">
        <v>0.42730000000000001</v>
      </c>
      <c r="K534">
        <v>0.25309999999999999</v>
      </c>
      <c r="L534">
        <v>0.1893</v>
      </c>
      <c r="M534">
        <v>0.13589999999999999</v>
      </c>
      <c r="N534">
        <v>0.1166</v>
      </c>
      <c r="O534">
        <v>9.7729999999999997E-2</v>
      </c>
      <c r="P534">
        <v>8.6720000000000005E-2</v>
      </c>
      <c r="Q534">
        <v>7.8899999999999998E-2</v>
      </c>
      <c r="R534">
        <v>7.2859999999999994E-2</v>
      </c>
      <c r="S534">
        <v>6.3890000000000002E-2</v>
      </c>
      <c r="T534">
        <v>5.74E-2</v>
      </c>
      <c r="U534">
        <v>4.6820000000000001E-2</v>
      </c>
      <c r="V534">
        <v>4.0620000000000003E-2</v>
      </c>
      <c r="W534">
        <v>3.3750000000000002E-2</v>
      </c>
      <c r="X534">
        <v>3.0130000000000001E-2</v>
      </c>
      <c r="Y534">
        <v>2.7969999999999998E-2</v>
      </c>
      <c r="Z534">
        <v>2.6599999999999999E-2</v>
      </c>
      <c r="AA534">
        <v>2.512E-2</v>
      </c>
      <c r="AB534">
        <v>2.4459999999999999E-2</v>
      </c>
      <c r="AC534">
        <v>2.4140000000000002E-2</v>
      </c>
      <c r="AD534">
        <v>2.4490000000000001E-2</v>
      </c>
      <c r="AE534">
        <v>2.5579999999999999E-2</v>
      </c>
    </row>
    <row r="535" spans="1:31">
      <c r="A535">
        <v>19</v>
      </c>
      <c r="B535" t="str">
        <v>19K</v>
      </c>
      <c r="C535" t="str">
        <v>potassium</v>
      </c>
      <c r="D535">
        <v>78.319999999999993</v>
      </c>
      <c r="E535">
        <v>24.57</v>
      </c>
      <c r="F535">
        <v>10.63</v>
      </c>
      <c r="G535">
        <v>3.26</v>
      </c>
      <c r="H535">
        <v>1.4470000000000001</v>
      </c>
      <c r="I535">
        <v>0.80420000000000003</v>
      </c>
      <c r="J535">
        <v>0.52200000000000002</v>
      </c>
      <c r="K535">
        <v>0.29809999999999998</v>
      </c>
      <c r="L535">
        <v>0.21679999999999999</v>
      </c>
      <c r="M535">
        <v>0.15010000000000001</v>
      </c>
      <c r="N535">
        <v>0.1273</v>
      </c>
      <c r="O535">
        <v>0.10589999999999999</v>
      </c>
      <c r="P535">
        <v>9.3729999999999994E-2</v>
      </c>
      <c r="Q535">
        <v>8.5199999999999998E-2</v>
      </c>
      <c r="R535">
        <v>7.8640000000000002E-2</v>
      </c>
      <c r="S535">
        <v>6.8940000000000001E-2</v>
      </c>
      <c r="T535">
        <v>6.1920000000000003E-2</v>
      </c>
      <c r="U535">
        <v>5.0529999999999999E-2</v>
      </c>
      <c r="V535">
        <v>4.3880000000000002E-2</v>
      </c>
      <c r="W535">
        <v>3.6569999999999998E-2</v>
      </c>
      <c r="X535">
        <v>3.2739999999999998E-2</v>
      </c>
      <c r="Y535">
        <v>3.0470000000000001E-2</v>
      </c>
      <c r="Z535">
        <v>2.9080000000000002E-2</v>
      </c>
      <c r="AA535">
        <v>2.7609999999999999E-2</v>
      </c>
      <c r="AB535">
        <v>2.699E-2</v>
      </c>
      <c r="AC535">
        <v>2.682E-2</v>
      </c>
      <c r="AD535">
        <v>2.733E-2</v>
      </c>
      <c r="AE535">
        <v>2.8660000000000001E-2</v>
      </c>
    </row>
    <row r="536" spans="1:31">
      <c r="A536">
        <v>20</v>
      </c>
      <c r="B536" t="str">
        <v>20CA</v>
      </c>
      <c r="C536" t="str">
        <v>calcium</v>
      </c>
      <c r="D536">
        <v>92.59</v>
      </c>
      <c r="E536">
        <v>29.29</v>
      </c>
      <c r="F536">
        <v>12.73</v>
      </c>
      <c r="G536">
        <v>3.9089999999999998</v>
      </c>
      <c r="H536">
        <v>1.726</v>
      </c>
      <c r="I536">
        <v>0.94830000000000003</v>
      </c>
      <c r="J536">
        <v>0.60670000000000002</v>
      </c>
      <c r="K536">
        <v>0.33550000000000002</v>
      </c>
      <c r="L536">
        <v>0.2374</v>
      </c>
      <c r="M536">
        <v>0.1583</v>
      </c>
      <c r="N536">
        <v>0.13239999999999999</v>
      </c>
      <c r="O536">
        <v>0.10920000000000001</v>
      </c>
      <c r="P536">
        <v>9.6479999999999996E-2</v>
      </c>
      <c r="Q536">
        <v>8.7609999999999993E-2</v>
      </c>
      <c r="R536">
        <v>8.0829999999999999E-2</v>
      </c>
      <c r="S536">
        <v>7.0830000000000004E-2</v>
      </c>
      <c r="T536">
        <v>6.361E-2</v>
      </c>
      <c r="U536">
        <v>5.1909999999999998E-2</v>
      </c>
      <c r="V536">
        <v>4.512E-2</v>
      </c>
      <c r="W536">
        <v>3.771E-2</v>
      </c>
      <c r="X536">
        <v>3.3860000000000001E-2</v>
      </c>
      <c r="Y536">
        <v>3.1629999999999998E-2</v>
      </c>
      <c r="Z536">
        <v>3.0269999999999998E-2</v>
      </c>
      <c r="AA536">
        <v>2.887E-2</v>
      </c>
      <c r="AB536">
        <v>2.8340000000000001E-2</v>
      </c>
      <c r="AC536">
        <v>2.8330000000000001E-2</v>
      </c>
      <c r="AD536">
        <v>2.8989999999999998E-2</v>
      </c>
      <c r="AE536">
        <v>3.0550000000000001E-2</v>
      </c>
    </row>
    <row r="537" spans="1:31">
      <c r="A537">
        <v>21</v>
      </c>
      <c r="B537" t="str">
        <v>21SC</v>
      </c>
      <c r="C537" t="str">
        <v>scandium</v>
      </c>
      <c r="D537">
        <v>98.72</v>
      </c>
      <c r="E537">
        <v>31.52</v>
      </c>
      <c r="F537">
        <v>13.76</v>
      </c>
      <c r="G537">
        <v>4.2370000000000001</v>
      </c>
      <c r="H537">
        <v>1.8640000000000001</v>
      </c>
      <c r="I537">
        <v>1.0149999999999999</v>
      </c>
      <c r="J537">
        <v>0.64149999999999996</v>
      </c>
      <c r="K537">
        <v>0.34460000000000002</v>
      </c>
      <c r="L537">
        <v>0.23769999999999999</v>
      </c>
      <c r="M537">
        <v>0.1527</v>
      </c>
      <c r="N537">
        <v>0.12570000000000001</v>
      </c>
      <c r="O537">
        <v>0.1028</v>
      </c>
      <c r="P537">
        <v>9.0550000000000005E-2</v>
      </c>
      <c r="Q537">
        <v>8.2150000000000001E-2</v>
      </c>
      <c r="R537">
        <v>7.5740000000000002E-2</v>
      </c>
      <c r="S537">
        <v>6.6350000000000006E-2</v>
      </c>
      <c r="T537">
        <v>5.9569999999999998E-2</v>
      </c>
      <c r="U537">
        <v>4.8619999999999997E-2</v>
      </c>
      <c r="V537">
        <v>4.231E-2</v>
      </c>
      <c r="W537">
        <v>3.5450000000000002E-2</v>
      </c>
      <c r="X537">
        <v>3.193E-2</v>
      </c>
      <c r="Y537">
        <v>2.9919999999999999E-2</v>
      </c>
      <c r="Z537">
        <v>2.8719999999999999E-2</v>
      </c>
      <c r="AA537">
        <v>2.7519999999999999E-2</v>
      </c>
      <c r="AB537">
        <v>2.7109999999999999E-2</v>
      </c>
      <c r="AC537">
        <v>2.7279999999999999E-2</v>
      </c>
      <c r="AD537">
        <v>2.8000000000000001E-2</v>
      </c>
      <c r="AE537">
        <v>2.963E-2</v>
      </c>
    </row>
    <row r="538" spans="1:31">
      <c r="A538">
        <v>22</v>
      </c>
      <c r="B538" t="str">
        <v>22TI</v>
      </c>
      <c r="C538" t="str">
        <v>titanium</v>
      </c>
      <c r="D538">
        <v>109.9</v>
      </c>
      <c r="E538">
        <v>35.35</v>
      </c>
      <c r="F538">
        <v>15.5</v>
      </c>
      <c r="G538">
        <v>4.7889999999999997</v>
      </c>
      <c r="H538">
        <v>2.101</v>
      </c>
      <c r="I538">
        <v>1.137</v>
      </c>
      <c r="J538">
        <v>0.71109999999999995</v>
      </c>
      <c r="K538">
        <v>0.37259999999999999</v>
      </c>
      <c r="L538">
        <v>0.25080000000000002</v>
      </c>
      <c r="M538">
        <v>0.15509999999999999</v>
      </c>
      <c r="N538">
        <v>0.1258</v>
      </c>
      <c r="O538">
        <v>0.1017</v>
      </c>
      <c r="P538">
        <v>8.9340000000000003E-2</v>
      </c>
      <c r="Q538">
        <v>8.0960000000000004E-2</v>
      </c>
      <c r="R538">
        <v>7.46E-2</v>
      </c>
      <c r="S538">
        <v>6.5310000000000007E-2</v>
      </c>
      <c r="T538">
        <v>5.8630000000000002E-2</v>
      </c>
      <c r="U538">
        <v>4.7849999999999997E-2</v>
      </c>
      <c r="V538">
        <v>4.1680000000000002E-2</v>
      </c>
      <c r="W538">
        <v>3.5020000000000003E-2</v>
      </c>
      <c r="X538">
        <v>3.1649999999999998E-2</v>
      </c>
      <c r="Y538">
        <v>2.9739999999999999E-2</v>
      </c>
      <c r="Z538">
        <v>2.862E-2</v>
      </c>
      <c r="AA538">
        <v>2.7529999999999999E-2</v>
      </c>
      <c r="AB538">
        <v>2.7230000000000001E-2</v>
      </c>
      <c r="AC538">
        <v>2.758E-2</v>
      </c>
      <c r="AD538">
        <v>2.8400000000000002E-2</v>
      </c>
      <c r="AE538">
        <v>3.0169999999999999E-2</v>
      </c>
    </row>
    <row r="539" spans="1:31">
      <c r="A539">
        <v>23</v>
      </c>
      <c r="B539" t="str">
        <v>23V</v>
      </c>
      <c r="C539" t="str">
        <v>vanadium</v>
      </c>
      <c r="D539">
        <v>120.9</v>
      </c>
      <c r="E539">
        <v>39.28</v>
      </c>
      <c r="F539">
        <v>17.309999999999999</v>
      </c>
      <c r="G539">
        <v>5.3710000000000004</v>
      </c>
      <c r="H539">
        <v>2.355</v>
      </c>
      <c r="I539">
        <v>1.2669999999999999</v>
      </c>
      <c r="J539">
        <v>0.78549999999999998</v>
      </c>
      <c r="K539">
        <v>0.40260000000000001</v>
      </c>
      <c r="L539">
        <v>0.26490000000000002</v>
      </c>
      <c r="M539">
        <v>0.15770000000000001</v>
      </c>
      <c r="N539">
        <v>0.1258</v>
      </c>
      <c r="O539">
        <v>0.1007</v>
      </c>
      <c r="P539">
        <v>8.8090000000000002E-2</v>
      </c>
      <c r="Q539">
        <v>7.9719999999999999E-2</v>
      </c>
      <c r="R539">
        <v>7.3410000000000003E-2</v>
      </c>
      <c r="S539">
        <v>6.4229999999999995E-2</v>
      </c>
      <c r="T539">
        <v>5.7639999999999997E-2</v>
      </c>
      <c r="U539">
        <v>4.7039999999999998E-2</v>
      </c>
      <c r="V539">
        <v>4.1020000000000001E-2</v>
      </c>
      <c r="W539">
        <v>3.456E-2</v>
      </c>
      <c r="X539">
        <v>3.1329999999999997E-2</v>
      </c>
      <c r="Y539">
        <v>2.9530000000000001E-2</v>
      </c>
      <c r="Z539">
        <v>2.8479999999999998E-2</v>
      </c>
      <c r="AA539">
        <v>2.7539999999999999E-2</v>
      </c>
      <c r="AB539">
        <v>2.733E-2</v>
      </c>
      <c r="AC539">
        <v>2.7820000000000001E-2</v>
      </c>
      <c r="AD539">
        <v>2.8729999999999999E-2</v>
      </c>
      <c r="AE539">
        <v>3.0640000000000001E-2</v>
      </c>
    </row>
    <row r="540" spans="1:31">
      <c r="A540">
        <v>24</v>
      </c>
      <c r="B540" t="str">
        <v>24CR</v>
      </c>
      <c r="C540" t="str">
        <v>chromium</v>
      </c>
      <c r="D540">
        <v>137.69999999999999</v>
      </c>
      <c r="E540">
        <v>45.12</v>
      </c>
      <c r="F540">
        <v>19.98</v>
      </c>
      <c r="G540">
        <v>6.2210000000000001</v>
      </c>
      <c r="H540">
        <v>2.7250000000000001</v>
      </c>
      <c r="I540">
        <v>1.462</v>
      </c>
      <c r="J540">
        <v>0.89980000000000004</v>
      </c>
      <c r="K540">
        <v>0.45229999999999998</v>
      </c>
      <c r="L540">
        <v>0.29170000000000001</v>
      </c>
      <c r="M540">
        <v>0.16739999999999999</v>
      </c>
      <c r="N540">
        <v>0.13120000000000001</v>
      </c>
      <c r="O540">
        <v>0.1037</v>
      </c>
      <c r="P540">
        <v>9.0399999999999994E-2</v>
      </c>
      <c r="Q540">
        <v>8.1680000000000003E-2</v>
      </c>
      <c r="R540">
        <v>7.5179999999999997E-2</v>
      </c>
      <c r="S540">
        <v>6.5720000000000001E-2</v>
      </c>
      <c r="T540">
        <v>5.8970000000000002E-2</v>
      </c>
      <c r="U540">
        <v>4.8140000000000002E-2</v>
      </c>
      <c r="V540">
        <v>4.2000000000000003E-2</v>
      </c>
      <c r="W540">
        <v>3.5490000000000001E-2</v>
      </c>
      <c r="X540">
        <v>3.227E-2</v>
      </c>
      <c r="Y540">
        <v>3.0499999999999999E-2</v>
      </c>
      <c r="Z540">
        <v>2.9499999999999998E-2</v>
      </c>
      <c r="AA540">
        <v>2.8639999999999999E-2</v>
      </c>
      <c r="AB540">
        <v>2.8500000000000001E-2</v>
      </c>
      <c r="AC540">
        <v>2.9159999999999998E-2</v>
      </c>
      <c r="AD540">
        <v>3.022E-2</v>
      </c>
      <c r="AE540">
        <v>3.2320000000000002E-2</v>
      </c>
    </row>
    <row r="541" spans="1:31">
      <c r="A541">
        <v>25</v>
      </c>
      <c r="B541" t="str">
        <v>25MN</v>
      </c>
      <c r="C541" t="str">
        <v>manganese</v>
      </c>
      <c r="D541">
        <v>150.4</v>
      </c>
      <c r="E541">
        <v>49.65</v>
      </c>
      <c r="F541">
        <v>22.11</v>
      </c>
      <c r="G541">
        <v>6.9169999999999998</v>
      </c>
      <c r="H541">
        <v>3.0310000000000001</v>
      </c>
      <c r="I541">
        <v>1.621</v>
      </c>
      <c r="J541">
        <v>0.99219999999999997</v>
      </c>
      <c r="K541">
        <v>0.49030000000000001</v>
      </c>
      <c r="L541">
        <v>0.31019999999999998</v>
      </c>
      <c r="M541">
        <v>0.17150000000000001</v>
      </c>
      <c r="N541">
        <v>0.1321</v>
      </c>
      <c r="O541">
        <v>0.10299999999999999</v>
      </c>
      <c r="P541">
        <v>8.9499999999999996E-2</v>
      </c>
      <c r="Q541">
        <v>8.0729999999999996E-2</v>
      </c>
      <c r="R541">
        <v>7.424E-2</v>
      </c>
      <c r="S541">
        <v>6.4869999999999997E-2</v>
      </c>
      <c r="T541">
        <v>5.8169999999999999E-2</v>
      </c>
      <c r="U541">
        <v>4.7489999999999997E-2</v>
      </c>
      <c r="V541">
        <v>4.1480000000000003E-2</v>
      </c>
      <c r="W541">
        <v>3.5139999999999998E-2</v>
      </c>
      <c r="X541">
        <v>3.2039999999999999E-2</v>
      </c>
      <c r="Y541">
        <v>3.0380000000000001E-2</v>
      </c>
      <c r="Z541">
        <v>2.945E-2</v>
      </c>
      <c r="AA541">
        <v>2.87E-2</v>
      </c>
      <c r="AB541">
        <v>2.8660000000000001E-2</v>
      </c>
      <c r="AC541">
        <v>2.947E-2</v>
      </c>
      <c r="AD541">
        <v>3.0640000000000001E-2</v>
      </c>
      <c r="AE541">
        <v>3.2870000000000003E-2</v>
      </c>
    </row>
    <row r="542" spans="1:31">
      <c r="A542">
        <v>26</v>
      </c>
      <c r="B542" t="str">
        <v>26</v>
      </c>
      <c r="C542" t="str">
        <v>iron</v>
      </c>
      <c r="D542">
        <v>169.6</v>
      </c>
      <c r="E542">
        <v>56.41</v>
      </c>
      <c r="F542">
        <v>25.22</v>
      </c>
      <c r="G542">
        <v>7.93</v>
      </c>
      <c r="H542">
        <v>3.4780000000000002</v>
      </c>
      <c r="I542">
        <v>1.8540000000000001</v>
      </c>
      <c r="J542">
        <v>1.131</v>
      </c>
      <c r="K542">
        <v>0.55100000000000005</v>
      </c>
      <c r="L542">
        <v>0.34250000000000003</v>
      </c>
      <c r="M542">
        <v>0.18290000000000001</v>
      </c>
      <c r="N542">
        <v>0.13830000000000001</v>
      </c>
      <c r="O542">
        <v>0.10639999999999999</v>
      </c>
      <c r="P542">
        <v>9.1999999999999998E-2</v>
      </c>
      <c r="Q542">
        <v>8.2820000000000005E-2</v>
      </c>
      <c r="R542">
        <v>7.6109999999999997E-2</v>
      </c>
      <c r="S542">
        <v>6.6439999999999999E-2</v>
      </c>
      <c r="T542">
        <v>5.9569999999999998E-2</v>
      </c>
      <c r="U542">
        <v>4.8619999999999997E-2</v>
      </c>
      <c r="V542">
        <v>4.2500000000000003E-2</v>
      </c>
      <c r="W542">
        <v>3.6110000000000003E-2</v>
      </c>
      <c r="X542">
        <v>3.3029999999999997E-2</v>
      </c>
      <c r="Y542">
        <v>3.1390000000000001E-2</v>
      </c>
      <c r="Z542">
        <v>3.0499999999999999E-2</v>
      </c>
      <c r="AA542">
        <v>2.9850000000000002E-2</v>
      </c>
      <c r="AB542">
        <v>2.989E-2</v>
      </c>
      <c r="AC542">
        <v>3.0880000000000001E-2</v>
      </c>
      <c r="AD542">
        <v>3.2199999999999999E-2</v>
      </c>
      <c r="AE542">
        <v>3.465E-2</v>
      </c>
    </row>
    <row r="543" spans="1:31">
      <c r="A543">
        <v>27</v>
      </c>
      <c r="B543" t="str">
        <v>27CO</v>
      </c>
      <c r="C543" t="str">
        <v>cobalt</v>
      </c>
      <c r="D543">
        <v>182.9</v>
      </c>
      <c r="E543">
        <v>61.3</v>
      </c>
      <c r="F543">
        <v>27.54</v>
      </c>
      <c r="G543">
        <v>8.7029999999999994</v>
      </c>
      <c r="H543">
        <v>3.8210000000000002</v>
      </c>
      <c r="I543">
        <v>2.036</v>
      </c>
      <c r="J543">
        <v>1.236</v>
      </c>
      <c r="K543">
        <v>0.5948</v>
      </c>
      <c r="L543">
        <v>0.36399999999999999</v>
      </c>
      <c r="M543">
        <v>0.18809999999999999</v>
      </c>
      <c r="N543">
        <v>0.13950000000000001</v>
      </c>
      <c r="O543">
        <v>0.1057</v>
      </c>
      <c r="P543">
        <v>9.0980000000000005E-2</v>
      </c>
      <c r="Q543">
        <v>8.1780000000000005E-2</v>
      </c>
      <c r="R543">
        <v>7.5050000000000006E-2</v>
      </c>
      <c r="S543">
        <v>6.5460000000000004E-2</v>
      </c>
      <c r="T543">
        <v>5.867E-2</v>
      </c>
      <c r="U543">
        <v>4.7890000000000002E-2</v>
      </c>
      <c r="V543">
        <v>4.1889999999999997E-2</v>
      </c>
      <c r="W543">
        <v>3.569E-2</v>
      </c>
      <c r="X543">
        <v>3.2739999999999998E-2</v>
      </c>
      <c r="Y543">
        <v>3.1189999999999999E-2</v>
      </c>
      <c r="Z543">
        <v>3.039E-2</v>
      </c>
      <c r="AA543">
        <v>2.9850000000000002E-2</v>
      </c>
      <c r="AB543">
        <v>2.997E-2</v>
      </c>
      <c r="AC543">
        <v>3.1109999999999999E-2</v>
      </c>
      <c r="AD543">
        <v>3.252E-2</v>
      </c>
      <c r="AE543">
        <v>3.508E-2</v>
      </c>
    </row>
    <row r="544" spans="1:31">
      <c r="A544">
        <v>28</v>
      </c>
      <c r="B544" t="str">
        <v>28NI</v>
      </c>
      <c r="C544" t="str">
        <v>nickel</v>
      </c>
      <c r="D544">
        <v>207.7</v>
      </c>
      <c r="E544">
        <v>70.03</v>
      </c>
      <c r="F544">
        <v>31.67</v>
      </c>
      <c r="G544">
        <v>10.050000000000001</v>
      </c>
      <c r="H544">
        <v>4.4219999999999997</v>
      </c>
      <c r="I544">
        <v>2.3540000000000001</v>
      </c>
      <c r="J544">
        <v>1.425</v>
      </c>
      <c r="K544">
        <v>0.67859999999999998</v>
      </c>
      <c r="L544">
        <v>0.40970000000000001</v>
      </c>
      <c r="M544">
        <v>0.2049</v>
      </c>
      <c r="N544">
        <v>0.14899999999999999</v>
      </c>
      <c r="O544">
        <v>0.1113</v>
      </c>
      <c r="P544">
        <v>9.529E-2</v>
      </c>
      <c r="Q544">
        <v>8.5449999999999998E-2</v>
      </c>
      <c r="R544">
        <v>7.8350000000000003E-2</v>
      </c>
      <c r="S544">
        <v>6.8269999999999997E-2</v>
      </c>
      <c r="T544">
        <v>6.1159999999999999E-2</v>
      </c>
      <c r="U544">
        <v>4.9910000000000003E-2</v>
      </c>
      <c r="V544">
        <v>4.3700000000000003E-2</v>
      </c>
      <c r="W544">
        <v>3.7339999999999998E-2</v>
      </c>
      <c r="X544">
        <v>3.4349999999999999E-2</v>
      </c>
      <c r="Y544">
        <v>3.2809999999999999E-2</v>
      </c>
      <c r="Z544">
        <v>3.202E-2</v>
      </c>
      <c r="AA544">
        <v>3.1579999999999997E-2</v>
      </c>
      <c r="AB544">
        <v>3.1800000000000002E-2</v>
      </c>
      <c r="AC544">
        <v>3.3160000000000002E-2</v>
      </c>
      <c r="AD544">
        <v>3.4720000000000001E-2</v>
      </c>
      <c r="AE544">
        <v>3.755E-2</v>
      </c>
    </row>
    <row r="545" spans="1:31">
      <c r="A545">
        <v>29</v>
      </c>
      <c r="B545" t="str">
        <v>29CU</v>
      </c>
      <c r="C545" t="str">
        <v>copper</v>
      </c>
      <c r="D545">
        <v>214.6</v>
      </c>
      <c r="E545">
        <v>73.25</v>
      </c>
      <c r="F545">
        <v>33.25</v>
      </c>
      <c r="G545">
        <v>10.62</v>
      </c>
      <c r="H545">
        <v>4.68</v>
      </c>
      <c r="I545">
        <v>2.4900000000000002</v>
      </c>
      <c r="J545">
        <v>1.504</v>
      </c>
      <c r="K545">
        <v>0.7097</v>
      </c>
      <c r="L545">
        <v>0.42320000000000002</v>
      </c>
      <c r="M545">
        <v>0.20530000000000001</v>
      </c>
      <c r="N545">
        <v>0.14660000000000001</v>
      </c>
      <c r="O545">
        <v>0.1076</v>
      </c>
      <c r="P545">
        <v>9.1700000000000004E-2</v>
      </c>
      <c r="Q545">
        <v>8.2040000000000002E-2</v>
      </c>
      <c r="R545">
        <v>7.5130000000000002E-2</v>
      </c>
      <c r="S545">
        <v>6.54E-2</v>
      </c>
      <c r="T545">
        <v>5.8560000000000001E-2</v>
      </c>
      <c r="U545">
        <v>4.7800000000000002E-2</v>
      </c>
      <c r="V545">
        <v>4.1880000000000001E-2</v>
      </c>
      <c r="W545">
        <v>3.5880000000000002E-2</v>
      </c>
      <c r="X545">
        <v>3.3090000000000001E-2</v>
      </c>
      <c r="Y545">
        <v>3.1690000000000003E-2</v>
      </c>
      <c r="Z545">
        <v>3.1019999999999999E-2</v>
      </c>
      <c r="AA545">
        <v>3.0679999999999999E-2</v>
      </c>
      <c r="AB545">
        <v>3.099E-2</v>
      </c>
      <c r="AC545">
        <v>3.243E-2</v>
      </c>
      <c r="AD545">
        <v>3.4040000000000001E-2</v>
      </c>
      <c r="AE545">
        <v>3.6900000000000002E-2</v>
      </c>
    </row>
    <row r="546" spans="1:31">
      <c r="A546">
        <v>30</v>
      </c>
      <c r="B546" t="str">
        <v>30ZN</v>
      </c>
      <c r="C546" t="str">
        <v>zinc</v>
      </c>
      <c r="D546">
        <v>231.7</v>
      </c>
      <c r="E546">
        <v>80.319999999999993</v>
      </c>
      <c r="F546">
        <v>36.619999999999997</v>
      </c>
      <c r="G546">
        <v>11.75</v>
      </c>
      <c r="H546">
        <v>5.19</v>
      </c>
      <c r="I546">
        <v>2.7610000000000001</v>
      </c>
      <c r="J546">
        <v>1.6639999999999999</v>
      </c>
      <c r="K546">
        <v>0.77969999999999995</v>
      </c>
      <c r="L546">
        <v>0.4597</v>
      </c>
      <c r="M546">
        <v>0.21679999999999999</v>
      </c>
      <c r="N546">
        <v>0.15179999999999999</v>
      </c>
      <c r="O546">
        <v>0.1096</v>
      </c>
      <c r="P546">
        <v>9.2799999999999994E-2</v>
      </c>
      <c r="Q546">
        <v>8.2830000000000001E-2</v>
      </c>
      <c r="R546">
        <v>7.5759999999999994E-2</v>
      </c>
      <c r="S546">
        <v>6.5869999999999998E-2</v>
      </c>
      <c r="T546">
        <v>5.8939999999999999E-2</v>
      </c>
      <c r="U546">
        <v>4.8099999999999997E-2</v>
      </c>
      <c r="V546">
        <v>4.2189999999999998E-2</v>
      </c>
      <c r="W546">
        <v>3.6240000000000001E-2</v>
      </c>
      <c r="X546">
        <v>3.3509999999999998E-2</v>
      </c>
      <c r="Y546">
        <v>3.2169999999999997E-2</v>
      </c>
      <c r="Z546">
        <v>3.1550000000000002E-2</v>
      </c>
      <c r="AA546">
        <v>3.1329999999999997E-2</v>
      </c>
      <c r="AB546">
        <v>3.1710000000000002E-2</v>
      </c>
      <c r="AC546">
        <v>3.3300000000000003E-2</v>
      </c>
      <c r="AD546">
        <v>3.5060000000000001E-2</v>
      </c>
      <c r="AE546">
        <v>3.8080000000000003E-2</v>
      </c>
    </row>
    <row r="547" spans="1:31">
      <c r="A547">
        <v>31</v>
      </c>
      <c r="B547" t="str">
        <v>31GA</v>
      </c>
      <c r="C547" t="str">
        <v>gallium</v>
      </c>
      <c r="D547">
        <v>32.729999999999997</v>
      </c>
      <c r="E547">
        <v>84.5</v>
      </c>
      <c r="F547">
        <v>38.69</v>
      </c>
      <c r="G547">
        <v>12.49</v>
      </c>
      <c r="H547">
        <v>5.5259999999999998</v>
      </c>
      <c r="I547">
        <v>2.94</v>
      </c>
      <c r="J547">
        <v>1.77</v>
      </c>
      <c r="K547">
        <v>0.82389999999999997</v>
      </c>
      <c r="L547">
        <v>0.48099999999999998</v>
      </c>
      <c r="M547">
        <v>0.22070000000000001</v>
      </c>
      <c r="N547">
        <v>0.15160000000000001</v>
      </c>
      <c r="O547">
        <v>0.1076</v>
      </c>
      <c r="P547">
        <v>9.0569999999999998E-2</v>
      </c>
      <c r="Q547">
        <v>8.0610000000000001E-2</v>
      </c>
      <c r="R547">
        <v>7.3639999999999997E-2</v>
      </c>
      <c r="S547">
        <v>6.3939999999999997E-2</v>
      </c>
      <c r="T547">
        <v>5.7189999999999998E-2</v>
      </c>
      <c r="U547">
        <v>4.666E-2</v>
      </c>
      <c r="V547">
        <v>4.0960000000000003E-2</v>
      </c>
      <c r="W547">
        <v>3.5270000000000003E-2</v>
      </c>
      <c r="X547">
        <v>3.2710000000000003E-2</v>
      </c>
      <c r="Y547">
        <v>3.1489999999999997E-2</v>
      </c>
      <c r="Z547">
        <v>3.092E-2</v>
      </c>
      <c r="AA547">
        <v>3.0800000000000001E-2</v>
      </c>
      <c r="AB547">
        <v>3.125E-2</v>
      </c>
      <c r="AC547">
        <v>3.295E-2</v>
      </c>
      <c r="AD547">
        <v>3.4759999999999999E-2</v>
      </c>
      <c r="AE547">
        <v>3.7850000000000002E-2</v>
      </c>
    </row>
    <row r="548" spans="1:31">
      <c r="A548">
        <v>32</v>
      </c>
      <c r="B548" t="str">
        <v>32GE</v>
      </c>
      <c r="C548" t="str">
        <v>germanium</v>
      </c>
      <c r="D548">
        <v>35.89</v>
      </c>
      <c r="E548">
        <v>90.63</v>
      </c>
      <c r="F548">
        <v>41.61</v>
      </c>
      <c r="G548">
        <v>13.51</v>
      </c>
      <c r="H548">
        <v>5.9980000000000002</v>
      </c>
      <c r="I548">
        <v>3.194</v>
      </c>
      <c r="J548">
        <v>1.92</v>
      </c>
      <c r="K548">
        <v>0.88900000000000001</v>
      </c>
      <c r="L548">
        <v>0.51439999999999997</v>
      </c>
      <c r="M548">
        <v>0.23019999999999999</v>
      </c>
      <c r="N548">
        <v>0.1552</v>
      </c>
      <c r="O548">
        <v>0.1082</v>
      </c>
      <c r="P548">
        <v>9.0450000000000003E-2</v>
      </c>
      <c r="Q548">
        <v>8.0310000000000006E-2</v>
      </c>
      <c r="R548">
        <v>7.3249999999999996E-2</v>
      </c>
      <c r="S548">
        <v>6.3530000000000003E-2</v>
      </c>
      <c r="T548">
        <v>5.679E-2</v>
      </c>
      <c r="U548">
        <v>4.6309999999999997E-2</v>
      </c>
      <c r="V548">
        <v>4.0689999999999997E-2</v>
      </c>
      <c r="W548">
        <v>3.5130000000000002E-2</v>
      </c>
      <c r="X548">
        <v>3.2660000000000002E-2</v>
      </c>
      <c r="Y548">
        <v>3.1519999999999999E-2</v>
      </c>
      <c r="Z548">
        <v>3.1009999999999999E-2</v>
      </c>
      <c r="AA548">
        <v>3.0980000000000001E-2</v>
      </c>
      <c r="AB548">
        <v>3.1510000000000003E-2</v>
      </c>
      <c r="AC548">
        <v>3.3369999999999997E-2</v>
      </c>
      <c r="AD548">
        <v>3.5249999999999997E-2</v>
      </c>
      <c r="AE548">
        <v>3.8460000000000001E-2</v>
      </c>
    </row>
    <row r="549" spans="1:31">
      <c r="A549">
        <v>33</v>
      </c>
      <c r="B549" t="str">
        <v>33AS</v>
      </c>
      <c r="C549" t="str">
        <v>arsenic</v>
      </c>
      <c r="D549">
        <v>39.54</v>
      </c>
      <c r="E549">
        <v>97.6</v>
      </c>
      <c r="F549">
        <v>45</v>
      </c>
      <c r="G549">
        <v>14.7</v>
      </c>
      <c r="H549">
        <v>6.54</v>
      </c>
      <c r="I549">
        <v>3.4849999999999999</v>
      </c>
      <c r="J549">
        <v>2.0939999999999999</v>
      </c>
      <c r="K549">
        <v>0.96519999999999995</v>
      </c>
      <c r="L549">
        <v>0.55410000000000004</v>
      </c>
      <c r="M549">
        <v>0.24229999999999999</v>
      </c>
      <c r="N549">
        <v>0.16039999999999999</v>
      </c>
      <c r="O549">
        <v>0.10970000000000001</v>
      </c>
      <c r="P549">
        <v>9.1149999999999995E-2</v>
      </c>
      <c r="Q549">
        <v>8.0659999999999996E-2</v>
      </c>
      <c r="R549">
        <v>7.3450000000000001E-2</v>
      </c>
      <c r="S549">
        <v>6.361E-2</v>
      </c>
      <c r="T549">
        <v>5.6820000000000002E-2</v>
      </c>
      <c r="U549">
        <v>4.6339999999999999E-2</v>
      </c>
      <c r="V549">
        <v>4.0750000000000001E-2</v>
      </c>
      <c r="W549">
        <v>3.5270000000000003E-2</v>
      </c>
      <c r="X549">
        <v>3.2870000000000003E-2</v>
      </c>
      <c r="Y549">
        <v>3.1800000000000002E-2</v>
      </c>
      <c r="Z549">
        <v>3.134E-2</v>
      </c>
      <c r="AA549">
        <v>3.1399999999999997E-2</v>
      </c>
      <c r="AB549">
        <v>3.202E-2</v>
      </c>
      <c r="AC549">
        <v>3.4009999999999999E-2</v>
      </c>
      <c r="AD549">
        <v>3.5990000000000001E-2</v>
      </c>
      <c r="AE549">
        <v>3.9359999999999999E-2</v>
      </c>
    </row>
    <row r="550" spans="1:31">
      <c r="A550">
        <v>34</v>
      </c>
      <c r="B550" t="str">
        <v>34SE</v>
      </c>
      <c r="C550" t="str">
        <v>selenium</v>
      </c>
      <c r="D550">
        <v>42.49</v>
      </c>
      <c r="E550">
        <v>102.2</v>
      </c>
      <c r="F550">
        <v>47.52</v>
      </c>
      <c r="G550">
        <v>15.6</v>
      </c>
      <c r="H550">
        <v>6.9560000000000004</v>
      </c>
      <c r="I550">
        <v>3.7090000000000001</v>
      </c>
      <c r="J550">
        <v>2.2290000000000001</v>
      </c>
      <c r="K550">
        <v>1.0229999999999999</v>
      </c>
      <c r="L550">
        <v>0.58350000000000002</v>
      </c>
      <c r="M550">
        <v>0.24959999999999999</v>
      </c>
      <c r="N550">
        <v>0.1623</v>
      </c>
      <c r="O550">
        <v>0.109</v>
      </c>
      <c r="P550">
        <v>8.992E-2</v>
      </c>
      <c r="Q550">
        <v>7.9289999999999999E-2</v>
      </c>
      <c r="R550">
        <v>7.2080000000000005E-2</v>
      </c>
      <c r="S550">
        <v>6.232E-2</v>
      </c>
      <c r="T550">
        <v>5.5640000000000002E-2</v>
      </c>
      <c r="U550">
        <v>4.5359999999999998E-2</v>
      </c>
      <c r="V550">
        <v>3.9910000000000001E-2</v>
      </c>
      <c r="W550">
        <v>3.4639999999999997E-2</v>
      </c>
      <c r="X550">
        <v>3.2379999999999999E-2</v>
      </c>
      <c r="Y550">
        <v>3.1370000000000002E-2</v>
      </c>
      <c r="Z550">
        <v>3.099E-2</v>
      </c>
      <c r="AA550">
        <v>3.1130000000000001E-2</v>
      </c>
      <c r="AB550">
        <v>3.1820000000000001E-2</v>
      </c>
      <c r="AC550">
        <v>3.3910000000000003E-2</v>
      </c>
      <c r="AD550">
        <v>3.5959999999999999E-2</v>
      </c>
      <c r="AE550">
        <v>3.9379999999999998E-2</v>
      </c>
    </row>
    <row r="551" spans="1:31">
      <c r="A551">
        <v>35</v>
      </c>
      <c r="B551" t="str">
        <v>35BR</v>
      </c>
      <c r="C551" t="str">
        <v>bromine</v>
      </c>
      <c r="D551">
        <v>47.37</v>
      </c>
      <c r="E551">
        <v>110.9</v>
      </c>
      <c r="F551">
        <v>51.95</v>
      </c>
      <c r="G551">
        <v>17.14</v>
      </c>
      <c r="H551">
        <v>7.657</v>
      </c>
      <c r="I551">
        <v>4.0970000000000004</v>
      </c>
      <c r="J551">
        <v>2.4620000000000002</v>
      </c>
      <c r="K551">
        <v>1.127</v>
      </c>
      <c r="L551">
        <v>0.63870000000000005</v>
      </c>
      <c r="M551">
        <v>0.26779999999999998</v>
      </c>
      <c r="N551">
        <v>0.1711</v>
      </c>
      <c r="O551">
        <v>0.1128</v>
      </c>
      <c r="P551">
        <v>9.2270000000000005E-2</v>
      </c>
      <c r="Q551">
        <v>8.1129999999999994E-2</v>
      </c>
      <c r="R551">
        <v>7.3630000000000001E-2</v>
      </c>
      <c r="S551">
        <v>6.3549999999999995E-2</v>
      </c>
      <c r="T551">
        <v>5.6689999999999997E-2</v>
      </c>
      <c r="U551">
        <v>4.6199999999999998E-2</v>
      </c>
      <c r="V551">
        <v>4.0689999999999997E-2</v>
      </c>
      <c r="W551">
        <v>3.5400000000000001E-2</v>
      </c>
      <c r="X551">
        <v>3.3169999999999998E-2</v>
      </c>
      <c r="Y551">
        <v>3.2210000000000003E-2</v>
      </c>
      <c r="Z551">
        <v>3.1879999999999999E-2</v>
      </c>
      <c r="AA551">
        <v>3.2120000000000003E-2</v>
      </c>
      <c r="AB551">
        <v>3.2890000000000003E-2</v>
      </c>
      <c r="AC551">
        <v>3.517E-2</v>
      </c>
      <c r="AD551">
        <v>3.7339999999999998E-2</v>
      </c>
      <c r="AE551">
        <v>4.0969999999999999E-2</v>
      </c>
    </row>
    <row r="552" spans="1:31">
      <c r="A552">
        <v>36</v>
      </c>
      <c r="B552" t="str">
        <v>36KR</v>
      </c>
      <c r="C552" t="str">
        <v>krypton</v>
      </c>
      <c r="D552">
        <v>50.79</v>
      </c>
      <c r="E552">
        <v>115.7</v>
      </c>
      <c r="F552">
        <v>54.76</v>
      </c>
      <c r="G552">
        <v>18.13</v>
      </c>
      <c r="H552">
        <v>8.1379999999999999</v>
      </c>
      <c r="I552">
        <v>4.3520000000000003</v>
      </c>
      <c r="J552">
        <v>2.6150000000000002</v>
      </c>
      <c r="K552">
        <v>1.1930000000000001</v>
      </c>
      <c r="L552">
        <v>0.67320000000000002</v>
      </c>
      <c r="M552">
        <v>0.27700000000000002</v>
      </c>
      <c r="N552">
        <v>0.1741</v>
      </c>
      <c r="O552">
        <v>0.11260000000000001</v>
      </c>
      <c r="P552">
        <v>9.1410000000000005E-2</v>
      </c>
      <c r="Q552">
        <v>8.0070000000000002E-2</v>
      </c>
      <c r="R552">
        <v>7.2529999999999997E-2</v>
      </c>
      <c r="S552">
        <v>6.2489999999999997E-2</v>
      </c>
      <c r="T552">
        <v>5.57E-2</v>
      </c>
      <c r="U552">
        <v>4.5379999999999997E-2</v>
      </c>
      <c r="V552">
        <v>0.04</v>
      </c>
      <c r="W552">
        <v>3.4889999999999997E-2</v>
      </c>
      <c r="X552">
        <v>3.2759999999999997E-2</v>
      </c>
      <c r="Y552">
        <v>3.1879999999999999E-2</v>
      </c>
      <c r="Z552">
        <v>3.1609999999999999E-2</v>
      </c>
      <c r="AA552">
        <v>3.1940000000000003E-2</v>
      </c>
      <c r="AB552">
        <v>3.2759999999999997E-2</v>
      </c>
      <c r="AC552">
        <v>3.5139999999999998E-2</v>
      </c>
      <c r="AD552">
        <v>3.737E-2</v>
      </c>
      <c r="AE552">
        <v>4.1079999999999998E-2</v>
      </c>
    </row>
    <row r="553" spans="1:31">
      <c r="A553">
        <v>37</v>
      </c>
      <c r="B553" t="str">
        <v>37RB</v>
      </c>
      <c r="C553" t="str">
        <v>rubidium</v>
      </c>
      <c r="D553">
        <v>55.82</v>
      </c>
      <c r="E553">
        <v>17.97</v>
      </c>
      <c r="F553">
        <v>59.05</v>
      </c>
      <c r="G553">
        <v>19.670000000000002</v>
      </c>
      <c r="H553">
        <v>8.8460000000000001</v>
      </c>
      <c r="I553">
        <v>4.7380000000000004</v>
      </c>
      <c r="J553">
        <v>2.8479999999999999</v>
      </c>
      <c r="K553">
        <v>1.2969999999999999</v>
      </c>
      <c r="L553">
        <v>0.72819999999999996</v>
      </c>
      <c r="M553">
        <v>0.29459999999999997</v>
      </c>
      <c r="N553">
        <v>0.18210000000000001</v>
      </c>
      <c r="O553">
        <v>0.11559999999999999</v>
      </c>
      <c r="P553">
        <v>9.3109999999999998E-2</v>
      </c>
      <c r="Q553">
        <v>8.1240000000000007E-2</v>
      </c>
      <c r="R553">
        <v>7.3440000000000005E-2</v>
      </c>
      <c r="S553">
        <v>6.3159999999999994E-2</v>
      </c>
      <c r="T553">
        <v>5.6250000000000001E-2</v>
      </c>
      <c r="U553">
        <v>4.58E-2</v>
      </c>
      <c r="V553">
        <v>4.0399999999999998E-2</v>
      </c>
      <c r="W553">
        <v>3.5319999999999997E-2</v>
      </c>
      <c r="X553">
        <v>3.3250000000000002E-2</v>
      </c>
      <c r="Y553">
        <v>3.2419999999999997E-2</v>
      </c>
      <c r="Z553">
        <v>3.2210000000000003E-2</v>
      </c>
      <c r="AA553">
        <v>3.2620000000000003E-2</v>
      </c>
      <c r="AB553">
        <v>3.3520000000000001E-2</v>
      </c>
      <c r="AC553">
        <v>3.6049999999999999E-2</v>
      </c>
      <c r="AD553">
        <v>3.841E-2</v>
      </c>
      <c r="AE553">
        <v>4.2290000000000001E-2</v>
      </c>
    </row>
    <row r="554" spans="1:31">
      <c r="A554">
        <v>38</v>
      </c>
      <c r="B554" t="str">
        <v>38SR</v>
      </c>
      <c r="C554" t="str">
        <v>strontium</v>
      </c>
      <c r="D554">
        <v>60.82</v>
      </c>
      <c r="E554">
        <v>19.62</v>
      </c>
      <c r="F554">
        <v>63.08</v>
      </c>
      <c r="G554">
        <v>21.12</v>
      </c>
      <c r="H554">
        <v>9.5419999999999998</v>
      </c>
      <c r="I554">
        <v>5.1159999999999997</v>
      </c>
      <c r="J554">
        <v>3.077</v>
      </c>
      <c r="K554">
        <v>1.4</v>
      </c>
      <c r="L554">
        <v>0.7823</v>
      </c>
      <c r="M554">
        <v>0.3115</v>
      </c>
      <c r="N554">
        <v>0.18970000000000001</v>
      </c>
      <c r="O554">
        <v>0.1181</v>
      </c>
      <c r="P554">
        <v>9.4280000000000003E-2</v>
      </c>
      <c r="Q554">
        <v>8.1979999999999997E-2</v>
      </c>
      <c r="R554">
        <v>7.392E-2</v>
      </c>
      <c r="S554">
        <v>6.3450000000000006E-2</v>
      </c>
      <c r="T554">
        <v>5.6469999999999999E-2</v>
      </c>
      <c r="U554">
        <v>4.5960000000000001E-2</v>
      </c>
      <c r="V554">
        <v>4.0579999999999998E-2</v>
      </c>
      <c r="W554">
        <v>3.5549999999999998E-2</v>
      </c>
      <c r="X554">
        <v>3.3550000000000003E-2</v>
      </c>
      <c r="Y554">
        <v>3.2779999999999997E-2</v>
      </c>
      <c r="Z554">
        <v>3.261E-2</v>
      </c>
      <c r="AA554">
        <v>3.3119999999999997E-2</v>
      </c>
      <c r="AB554">
        <v>3.4090000000000002E-2</v>
      </c>
      <c r="AC554">
        <v>3.6790000000000003E-2</v>
      </c>
      <c r="AD554">
        <v>3.9230000000000001E-2</v>
      </c>
      <c r="AE554">
        <v>4.3249999999999997E-2</v>
      </c>
    </row>
    <row r="555" spans="1:31">
      <c r="A555">
        <v>39</v>
      </c>
      <c r="B555" t="str">
        <v>39Y</v>
      </c>
      <c r="C555" t="str">
        <v>yttrium</v>
      </c>
      <c r="D555">
        <v>66.72</v>
      </c>
      <c r="E555">
        <v>21.56</v>
      </c>
      <c r="F555">
        <v>67.73</v>
      </c>
      <c r="G555">
        <v>22.84</v>
      </c>
      <c r="H555">
        <v>10.36</v>
      </c>
      <c r="I555">
        <v>5.5640000000000001</v>
      </c>
      <c r="J555">
        <v>3.3479999999999999</v>
      </c>
      <c r="K555">
        <v>1.522</v>
      </c>
      <c r="L555">
        <v>0.84740000000000004</v>
      </c>
      <c r="M555">
        <v>0.33260000000000001</v>
      </c>
      <c r="N555">
        <v>0.19939999999999999</v>
      </c>
      <c r="O555">
        <v>0.12180000000000001</v>
      </c>
      <c r="P555">
        <v>9.6549999999999997E-2</v>
      </c>
      <c r="Q555">
        <v>8.3559999999999995E-2</v>
      </c>
      <c r="R555">
        <v>7.5179999999999997E-2</v>
      </c>
      <c r="S555">
        <v>6.4390000000000003E-2</v>
      </c>
      <c r="T555">
        <v>5.7239999999999999E-2</v>
      </c>
      <c r="U555">
        <v>4.6559999999999997E-2</v>
      </c>
      <c r="V555">
        <v>4.1140000000000003E-2</v>
      </c>
      <c r="W555">
        <v>3.6150000000000002E-2</v>
      </c>
      <c r="X555">
        <v>3.4180000000000002E-2</v>
      </c>
      <c r="Y555">
        <v>3.347E-2</v>
      </c>
      <c r="Z555">
        <v>3.3340000000000002E-2</v>
      </c>
      <c r="AA555">
        <v>3.3930000000000002E-2</v>
      </c>
      <c r="AB555">
        <v>3.499E-2</v>
      </c>
      <c r="AC555">
        <v>3.7859999999999998E-2</v>
      </c>
      <c r="AD555">
        <v>4.0439999999999997E-2</v>
      </c>
      <c r="AE555">
        <v>4.4659999999999998E-2</v>
      </c>
    </row>
    <row r="556" spans="1:31">
      <c r="A556">
        <v>40</v>
      </c>
      <c r="B556" t="str">
        <v>40ZR</v>
      </c>
      <c r="C556" t="str">
        <v>zirconium</v>
      </c>
      <c r="D556">
        <v>72.12</v>
      </c>
      <c r="E556">
        <v>23.35</v>
      </c>
      <c r="F556">
        <v>71.510000000000005</v>
      </c>
      <c r="G556">
        <v>24.38</v>
      </c>
      <c r="H556">
        <v>11.09</v>
      </c>
      <c r="I556">
        <v>5.9660000000000002</v>
      </c>
      <c r="J556">
        <v>3.5920000000000001</v>
      </c>
      <c r="K556">
        <v>1.631</v>
      </c>
      <c r="L556">
        <v>0.90610000000000002</v>
      </c>
      <c r="M556">
        <v>0.35089999999999999</v>
      </c>
      <c r="N556">
        <v>0.20749999999999999</v>
      </c>
      <c r="O556">
        <v>0.1244</v>
      </c>
      <c r="P556">
        <v>9.7640000000000005E-2</v>
      </c>
      <c r="Q556">
        <v>8.4199999999999997E-2</v>
      </c>
      <c r="R556">
        <v>7.5600000000000001E-2</v>
      </c>
      <c r="S556">
        <v>6.4589999999999995E-2</v>
      </c>
      <c r="T556">
        <v>5.7360000000000001E-2</v>
      </c>
      <c r="U556">
        <v>4.6629999999999998E-2</v>
      </c>
      <c r="V556">
        <v>4.1230000000000003E-2</v>
      </c>
      <c r="W556">
        <v>3.6299999999999999E-2</v>
      </c>
      <c r="X556">
        <v>3.4410000000000003E-2</v>
      </c>
      <c r="Y556">
        <v>3.3759999999999998E-2</v>
      </c>
      <c r="Z556">
        <v>3.3669999999999999E-2</v>
      </c>
      <c r="AA556">
        <v>3.4349999999999999E-2</v>
      </c>
      <c r="AB556">
        <v>3.5490000000000001E-2</v>
      </c>
      <c r="AC556">
        <v>3.8510000000000003E-2</v>
      </c>
      <c r="AD556">
        <v>4.1180000000000001E-2</v>
      </c>
      <c r="AE556">
        <v>4.5530000000000001E-2</v>
      </c>
    </row>
    <row r="557" spans="1:31">
      <c r="A557">
        <v>41</v>
      </c>
      <c r="B557" t="str">
        <v>41NB</v>
      </c>
      <c r="C557" t="str">
        <v>niobium</v>
      </c>
      <c r="D557">
        <v>78.260000000000005</v>
      </c>
      <c r="E557">
        <v>25.39</v>
      </c>
      <c r="F557">
        <v>76.23</v>
      </c>
      <c r="G557">
        <v>26.16</v>
      </c>
      <c r="H557">
        <v>11.91</v>
      </c>
      <c r="I557">
        <v>6.4260000000000002</v>
      </c>
      <c r="J557">
        <v>3.8740000000000001</v>
      </c>
      <c r="K557">
        <v>1.7589999999999999</v>
      </c>
      <c r="L557">
        <v>0.97309999999999997</v>
      </c>
      <c r="M557">
        <v>0.37280000000000002</v>
      </c>
      <c r="N557">
        <v>0.21740000000000001</v>
      </c>
      <c r="O557">
        <v>0.12790000000000001</v>
      </c>
      <c r="P557">
        <v>9.9540000000000003E-2</v>
      </c>
      <c r="Q557">
        <v>8.5459999999999994E-2</v>
      </c>
      <c r="R557">
        <v>7.6550000000000007E-2</v>
      </c>
      <c r="S557">
        <v>6.5240000000000006E-2</v>
      </c>
      <c r="T557">
        <v>5.7880000000000001E-2</v>
      </c>
      <c r="U557">
        <v>4.7030000000000002E-2</v>
      </c>
      <c r="V557">
        <v>4.1599999999999998E-2</v>
      </c>
      <c r="W557">
        <v>3.6720000000000003E-2</v>
      </c>
      <c r="X557">
        <v>3.4880000000000001E-2</v>
      </c>
      <c r="Y557">
        <v>3.4270000000000002E-2</v>
      </c>
      <c r="Z557">
        <v>3.424E-2</v>
      </c>
      <c r="AA557">
        <v>3.5020000000000003E-2</v>
      </c>
      <c r="AB557">
        <v>3.6229999999999998E-2</v>
      </c>
      <c r="AC557">
        <v>3.9399999999999998E-2</v>
      </c>
      <c r="AD557">
        <v>4.2200000000000001E-2</v>
      </c>
      <c r="AE557">
        <v>4.6719999999999998E-2</v>
      </c>
    </row>
    <row r="558" spans="1:31">
      <c r="A558">
        <v>42</v>
      </c>
      <c r="B558" t="str">
        <v>42MO</v>
      </c>
      <c r="C558" t="str">
        <v>molybdenum</v>
      </c>
      <c r="D558">
        <v>83.58</v>
      </c>
      <c r="E558">
        <v>27.16</v>
      </c>
      <c r="F558">
        <v>78.62</v>
      </c>
      <c r="G558">
        <v>27.59</v>
      </c>
      <c r="H558">
        <v>12.61</v>
      </c>
      <c r="I558">
        <v>6.8120000000000003</v>
      </c>
      <c r="J558">
        <v>4.1100000000000003</v>
      </c>
      <c r="K558">
        <v>1.8640000000000001</v>
      </c>
      <c r="L558">
        <v>1.0309999999999999</v>
      </c>
      <c r="M558">
        <v>0.39019999999999999</v>
      </c>
      <c r="N558">
        <v>0.22459999999999999</v>
      </c>
      <c r="O558">
        <v>0.1298</v>
      </c>
      <c r="P558">
        <v>0.10009999999999999</v>
      </c>
      <c r="Q558">
        <v>8.5529999999999995E-2</v>
      </c>
      <c r="R558">
        <v>7.6380000000000003E-2</v>
      </c>
      <c r="S558">
        <v>6.497E-2</v>
      </c>
      <c r="T558">
        <v>5.7570000000000003E-2</v>
      </c>
      <c r="U558">
        <v>4.6730000000000001E-2</v>
      </c>
      <c r="V558">
        <v>4.138E-2</v>
      </c>
      <c r="W558">
        <v>3.6609999999999997E-2</v>
      </c>
      <c r="X558">
        <v>3.4849999999999999E-2</v>
      </c>
      <c r="Y558">
        <v>3.4299999999999997E-2</v>
      </c>
      <c r="Z558">
        <v>3.4329999999999999E-2</v>
      </c>
      <c r="AA558">
        <v>3.517E-2</v>
      </c>
      <c r="AB558">
        <v>3.6450000000000003E-2</v>
      </c>
      <c r="AC558">
        <v>3.9739999999999998E-2</v>
      </c>
      <c r="AD558">
        <v>4.2610000000000002E-2</v>
      </c>
      <c r="AE558">
        <v>4.7210000000000002E-2</v>
      </c>
    </row>
    <row r="559" spans="1:31">
      <c r="A559">
        <v>43</v>
      </c>
      <c r="B559" t="str">
        <v>43TC</v>
      </c>
      <c r="C559" t="str">
        <v>technetium</v>
      </c>
      <c r="D559">
        <v>90.09</v>
      </c>
      <c r="E559">
        <v>29.35</v>
      </c>
      <c r="F559">
        <v>13.14</v>
      </c>
      <c r="G559">
        <v>29.4</v>
      </c>
      <c r="H559">
        <v>13.46</v>
      </c>
      <c r="I559">
        <v>7.2889999999999997</v>
      </c>
      <c r="J559">
        <v>4.4000000000000004</v>
      </c>
      <c r="K559">
        <v>1.9970000000000001</v>
      </c>
      <c r="L559">
        <v>1.101</v>
      </c>
      <c r="M559">
        <v>0.41289999999999999</v>
      </c>
      <c r="N559">
        <v>0.2349</v>
      </c>
      <c r="O559">
        <v>0.13339999999999999</v>
      </c>
      <c r="P559">
        <v>0.1018</v>
      </c>
      <c r="Q559">
        <v>8.6550000000000002E-2</v>
      </c>
      <c r="R559">
        <v>7.7160000000000006E-2</v>
      </c>
      <c r="S559">
        <v>6.5430000000000002E-2</v>
      </c>
      <c r="T559">
        <v>5.7919999999999999E-2</v>
      </c>
      <c r="U559">
        <v>4.6989999999999997E-2</v>
      </c>
      <c r="V559">
        <v>4.163E-2</v>
      </c>
      <c r="W559">
        <v>3.6900000000000002E-2</v>
      </c>
      <c r="X559">
        <v>3.5209999999999998E-2</v>
      </c>
      <c r="Y559">
        <v>3.4729999999999997E-2</v>
      </c>
      <c r="Z559">
        <v>3.4790000000000001E-2</v>
      </c>
      <c r="AA559">
        <v>3.5720000000000002E-2</v>
      </c>
      <c r="AB559">
        <v>3.7069999999999999E-2</v>
      </c>
      <c r="AC559">
        <v>4.0509999999999997E-2</v>
      </c>
      <c r="AD559">
        <v>4.3490000000000001E-2</v>
      </c>
      <c r="AE559">
        <v>4.8250000000000001E-2</v>
      </c>
    </row>
    <row r="560" spans="1:31">
      <c r="A560">
        <v>44</v>
      </c>
      <c r="B560" t="str">
        <v>44RU</v>
      </c>
      <c r="C560" t="str">
        <v>ruthenium</v>
      </c>
      <c r="D560">
        <v>95.73</v>
      </c>
      <c r="E560">
        <v>31.25</v>
      </c>
      <c r="F560">
        <v>14.01</v>
      </c>
      <c r="G560">
        <v>30.86</v>
      </c>
      <c r="H560">
        <v>14.17</v>
      </c>
      <c r="I560">
        <v>7.681</v>
      </c>
      <c r="J560">
        <v>4.6459999999999999</v>
      </c>
      <c r="K560">
        <v>2.11</v>
      </c>
      <c r="L560">
        <v>1.1619999999999999</v>
      </c>
      <c r="M560">
        <v>0.43159999999999998</v>
      </c>
      <c r="N560">
        <v>0.2427</v>
      </c>
      <c r="O560">
        <v>0.1353</v>
      </c>
      <c r="P560">
        <v>0.1024</v>
      </c>
      <c r="Q560">
        <v>8.6639999999999995E-2</v>
      </c>
      <c r="R560">
        <v>7.7039999999999997E-2</v>
      </c>
      <c r="S560">
        <v>6.5159999999999996E-2</v>
      </c>
      <c r="T560">
        <v>5.7590000000000002E-2</v>
      </c>
      <c r="U560">
        <v>4.6670000000000003E-2</v>
      </c>
      <c r="V560">
        <v>4.1369999999999997E-2</v>
      </c>
      <c r="W560">
        <v>3.6760000000000001E-2</v>
      </c>
      <c r="X560">
        <v>3.5159999999999997E-2</v>
      </c>
      <c r="Y560">
        <v>3.4729999999999997E-2</v>
      </c>
      <c r="Z560">
        <v>3.483E-2</v>
      </c>
      <c r="AA560">
        <v>3.585E-2</v>
      </c>
      <c r="AB560">
        <v>3.7249999999999998E-2</v>
      </c>
      <c r="AC560">
        <v>4.079E-2</v>
      </c>
      <c r="AD560">
        <v>4.3830000000000001E-2</v>
      </c>
      <c r="AE560">
        <v>4.8689999999999997E-2</v>
      </c>
    </row>
    <row r="561" spans="1:31">
      <c r="A561">
        <v>45</v>
      </c>
      <c r="B561" t="str">
        <v>45RH</v>
      </c>
      <c r="C561" t="str">
        <v>rhodium</v>
      </c>
      <c r="D561">
        <v>103</v>
      </c>
      <c r="E561">
        <v>33.67</v>
      </c>
      <c r="F561">
        <v>15.12</v>
      </c>
      <c r="G561">
        <v>32.74</v>
      </c>
      <c r="H561">
        <v>15.08</v>
      </c>
      <c r="I561">
        <v>8.1959999999999997</v>
      </c>
      <c r="J561">
        <v>4.9630000000000001</v>
      </c>
      <c r="K561">
        <v>2.2549999999999999</v>
      </c>
      <c r="L561">
        <v>1.2410000000000001</v>
      </c>
      <c r="M561">
        <v>0.45700000000000002</v>
      </c>
      <c r="N561">
        <v>0.25419999999999998</v>
      </c>
      <c r="O561">
        <v>0.1394</v>
      </c>
      <c r="P561">
        <v>0.1045</v>
      </c>
      <c r="Q561">
        <v>8.7929999999999994E-2</v>
      </c>
      <c r="R561">
        <v>7.7969999999999998E-2</v>
      </c>
      <c r="S561">
        <v>6.5720000000000001E-2</v>
      </c>
      <c r="T561">
        <v>5.8029999999999998E-2</v>
      </c>
      <c r="U561">
        <v>4.7E-2</v>
      </c>
      <c r="V561">
        <v>4.1689999999999998E-2</v>
      </c>
      <c r="W561">
        <v>3.712E-2</v>
      </c>
      <c r="X561">
        <v>3.5569999999999997E-2</v>
      </c>
      <c r="Y561">
        <v>3.5200000000000002E-2</v>
      </c>
      <c r="Z561">
        <v>3.5340000000000003E-2</v>
      </c>
      <c r="AA561">
        <v>3.644E-2</v>
      </c>
      <c r="AB561">
        <v>3.7909999999999999E-2</v>
      </c>
      <c r="AC561">
        <v>4.1610000000000001E-2</v>
      </c>
      <c r="AD561">
        <v>4.4769999999999997E-2</v>
      </c>
      <c r="AE561">
        <v>4.9770000000000002E-2</v>
      </c>
    </row>
    <row r="562" spans="1:31">
      <c r="A562">
        <v>46</v>
      </c>
      <c r="B562" t="str">
        <v>46PD</v>
      </c>
      <c r="C562" t="str">
        <v>palladium</v>
      </c>
      <c r="D562">
        <v>108.6</v>
      </c>
      <c r="E562">
        <v>35.619999999999997</v>
      </c>
      <c r="F562">
        <v>16</v>
      </c>
      <c r="G562">
        <v>34.07</v>
      </c>
      <c r="H562">
        <v>15.77</v>
      </c>
      <c r="I562">
        <v>8.59</v>
      </c>
      <c r="J562">
        <v>5.21</v>
      </c>
      <c r="K562">
        <v>2.3679999999999999</v>
      </c>
      <c r="L562">
        <v>1.302</v>
      </c>
      <c r="M562">
        <v>0.47589999999999999</v>
      </c>
      <c r="N562">
        <v>0.2621</v>
      </c>
      <c r="O562">
        <v>0.14119999999999999</v>
      </c>
      <c r="P562">
        <v>0.10489999999999999</v>
      </c>
      <c r="Q562">
        <v>8.7849999999999998E-2</v>
      </c>
      <c r="R562">
        <v>7.7619999999999995E-2</v>
      </c>
      <c r="S562">
        <v>6.5299999999999997E-2</v>
      </c>
      <c r="T562">
        <v>5.756E-2</v>
      </c>
      <c r="U562">
        <v>4.657E-2</v>
      </c>
      <c r="V562">
        <v>4.1329999999999999E-2</v>
      </c>
      <c r="W562">
        <v>3.6880000000000003E-2</v>
      </c>
      <c r="X562">
        <v>3.5400000000000001E-2</v>
      </c>
      <c r="Y562">
        <v>3.5090000000000003E-2</v>
      </c>
      <c r="Z562">
        <v>3.5290000000000002E-2</v>
      </c>
      <c r="AA562">
        <v>3.6450000000000003E-2</v>
      </c>
      <c r="AB562">
        <v>3.7960000000000001E-2</v>
      </c>
      <c r="AC562">
        <v>4.1770000000000002E-2</v>
      </c>
      <c r="AD562">
        <v>4.4970000000000003E-2</v>
      </c>
      <c r="AE562">
        <v>5.0020000000000002E-2</v>
      </c>
    </row>
    <row r="563" spans="1:31">
      <c r="A563">
        <v>47</v>
      </c>
      <c r="B563" t="str">
        <v>47AG</v>
      </c>
      <c r="C563" t="str">
        <v>silver</v>
      </c>
      <c r="D563">
        <v>116.8</v>
      </c>
      <c r="E563">
        <v>38.39</v>
      </c>
      <c r="F563">
        <v>17.27</v>
      </c>
      <c r="G563">
        <v>36.08</v>
      </c>
      <c r="H563">
        <v>16.8</v>
      </c>
      <c r="I563">
        <v>9.173</v>
      </c>
      <c r="J563">
        <v>5.5679999999999996</v>
      </c>
      <c r="K563">
        <v>2.532</v>
      </c>
      <c r="L563">
        <v>1.391</v>
      </c>
      <c r="M563">
        <v>0.50529999999999997</v>
      </c>
      <c r="N563">
        <v>0.27560000000000001</v>
      </c>
      <c r="O563">
        <v>0.14610000000000001</v>
      </c>
      <c r="P563">
        <v>0.1075</v>
      </c>
      <c r="Q563">
        <v>8.9550000000000005E-2</v>
      </c>
      <c r="R563">
        <v>7.8899999999999998E-2</v>
      </c>
      <c r="S563">
        <v>6.6129999999999994E-2</v>
      </c>
      <c r="T563">
        <v>5.8229999999999997E-2</v>
      </c>
      <c r="U563">
        <v>4.7059999999999998E-2</v>
      </c>
      <c r="V563">
        <v>4.1790000000000001E-2</v>
      </c>
      <c r="W563">
        <v>3.737E-2</v>
      </c>
      <c r="X563">
        <v>3.594E-2</v>
      </c>
      <c r="Y563">
        <v>3.5680000000000003E-2</v>
      </c>
      <c r="Z563">
        <v>3.5929999999999997E-2</v>
      </c>
      <c r="AA563">
        <v>3.7170000000000002E-2</v>
      </c>
      <c r="AB563">
        <v>3.8760000000000003E-2</v>
      </c>
      <c r="AC563">
        <v>4.2720000000000001E-2</v>
      </c>
      <c r="AD563">
        <v>4.6050000000000001E-2</v>
      </c>
      <c r="AE563">
        <v>5.1290000000000002E-2</v>
      </c>
    </row>
    <row r="564" spans="1:31">
      <c r="A564">
        <v>48</v>
      </c>
      <c r="B564" t="str">
        <v>48CD</v>
      </c>
      <c r="C564" t="str">
        <v>cadmium</v>
      </c>
      <c r="D564">
        <v>121.9</v>
      </c>
      <c r="E564">
        <v>40.18</v>
      </c>
      <c r="F564">
        <v>18.09</v>
      </c>
      <c r="G564">
        <v>37.04</v>
      </c>
      <c r="H564">
        <v>17.39</v>
      </c>
      <c r="I564">
        <v>9.5039999999999996</v>
      </c>
      <c r="J564">
        <v>5.774</v>
      </c>
      <c r="K564">
        <v>2.63</v>
      </c>
      <c r="L564">
        <v>1.444</v>
      </c>
      <c r="M564">
        <v>0.52129999999999999</v>
      </c>
      <c r="N564">
        <v>0.28179999999999999</v>
      </c>
      <c r="O564">
        <v>0.14710000000000001</v>
      </c>
      <c r="P564">
        <v>0.1071</v>
      </c>
      <c r="Q564">
        <v>8.8779999999999998E-2</v>
      </c>
      <c r="R564">
        <v>7.7990000000000004E-2</v>
      </c>
      <c r="S564">
        <v>6.5180000000000002E-2</v>
      </c>
      <c r="T564">
        <v>5.7290000000000001E-2</v>
      </c>
      <c r="U564">
        <v>4.6249999999999999E-2</v>
      </c>
      <c r="V564">
        <v>4.1090000000000002E-2</v>
      </c>
      <c r="W564">
        <v>3.6810000000000002E-2</v>
      </c>
      <c r="X564">
        <v>3.5470000000000002E-2</v>
      </c>
      <c r="Y564">
        <v>3.5270000000000003E-2</v>
      </c>
      <c r="Z564">
        <v>3.5549999999999998E-2</v>
      </c>
      <c r="AA564">
        <v>3.6850000000000001E-2</v>
      </c>
      <c r="AB564">
        <v>3.848E-2</v>
      </c>
      <c r="AC564">
        <v>4.249E-2</v>
      </c>
      <c r="AD564">
        <v>4.5839999999999999E-2</v>
      </c>
      <c r="AE564">
        <v>5.108E-2</v>
      </c>
    </row>
    <row r="565" spans="1:31">
      <c r="A565">
        <v>49</v>
      </c>
      <c r="B565" t="str">
        <v>49IN</v>
      </c>
      <c r="C565" t="str">
        <v>indium</v>
      </c>
      <c r="D565">
        <v>129.6</v>
      </c>
      <c r="E565">
        <v>42.81</v>
      </c>
      <c r="F565">
        <v>19.3</v>
      </c>
      <c r="G565">
        <v>38.86</v>
      </c>
      <c r="H565">
        <v>18.32</v>
      </c>
      <c r="I565">
        <v>10.02</v>
      </c>
      <c r="J565">
        <v>6.0979999999999999</v>
      </c>
      <c r="K565">
        <v>2.782</v>
      </c>
      <c r="L565">
        <v>1.526</v>
      </c>
      <c r="M565">
        <v>0.54810000000000003</v>
      </c>
      <c r="N565">
        <v>0.29389999999999999</v>
      </c>
      <c r="O565">
        <v>0.151</v>
      </c>
      <c r="P565">
        <v>0.109</v>
      </c>
      <c r="Q565">
        <v>8.9800000000000005E-2</v>
      </c>
      <c r="R565">
        <v>7.8649999999999998E-2</v>
      </c>
      <c r="S565">
        <v>6.5479999999999997E-2</v>
      </c>
      <c r="T565">
        <v>5.747E-2</v>
      </c>
      <c r="U565">
        <v>4.6339999999999999E-2</v>
      </c>
      <c r="V565">
        <v>4.1200000000000001E-2</v>
      </c>
      <c r="W565">
        <v>3.6979999999999999E-2</v>
      </c>
      <c r="X565">
        <v>3.5700000000000003E-2</v>
      </c>
      <c r="Y565">
        <v>3.5540000000000002E-2</v>
      </c>
      <c r="Z565">
        <v>3.5880000000000002E-2</v>
      </c>
      <c r="AA565">
        <v>3.7240000000000002E-2</v>
      </c>
      <c r="AB565">
        <v>3.8929999999999999E-2</v>
      </c>
      <c r="AC565">
        <v>4.3069999999999997E-2</v>
      </c>
      <c r="AD565">
        <v>4.65E-2</v>
      </c>
      <c r="AE565">
        <v>5.1860000000000003E-2</v>
      </c>
    </row>
    <row r="566" spans="1:31">
      <c r="A566">
        <v>50</v>
      </c>
      <c r="B566" t="str">
        <v>50SN</v>
      </c>
      <c r="C566" t="str">
        <v>tin</v>
      </c>
      <c r="D566">
        <v>135.9</v>
      </c>
      <c r="E566">
        <v>44.99</v>
      </c>
      <c r="F566">
        <v>20.3</v>
      </c>
      <c r="G566">
        <v>40.58</v>
      </c>
      <c r="H566">
        <v>19.02</v>
      </c>
      <c r="I566">
        <v>10.41</v>
      </c>
      <c r="J566">
        <v>6.3550000000000004</v>
      </c>
      <c r="K566">
        <v>2.9009999999999998</v>
      </c>
      <c r="L566">
        <v>1.5920000000000001</v>
      </c>
      <c r="M566">
        <v>0.56899999999999995</v>
      </c>
      <c r="N566">
        <v>0.30259999999999998</v>
      </c>
      <c r="O566">
        <v>0.1532</v>
      </c>
      <c r="P566">
        <v>0.1095</v>
      </c>
      <c r="Q566">
        <v>8.9760000000000006E-2</v>
      </c>
      <c r="R566">
        <v>7.8310000000000005E-2</v>
      </c>
      <c r="S566">
        <v>6.5030000000000004E-2</v>
      </c>
      <c r="T566">
        <v>5.6959999999999997E-2</v>
      </c>
      <c r="U566">
        <v>4.5879999999999997E-2</v>
      </c>
      <c r="V566">
        <v>4.0809999999999999E-2</v>
      </c>
      <c r="W566">
        <v>3.6700000000000003E-2</v>
      </c>
      <c r="X566">
        <v>3.5499999999999997E-2</v>
      </c>
      <c r="Y566">
        <v>3.5389999999999998E-2</v>
      </c>
      <c r="Z566">
        <v>3.576E-2</v>
      </c>
      <c r="AA566">
        <v>3.7170000000000002E-2</v>
      </c>
      <c r="AB566">
        <v>3.891E-2</v>
      </c>
      <c r="AC566">
        <v>4.3119999999999999E-2</v>
      </c>
      <c r="AD566">
        <v>4.6589999999999999E-2</v>
      </c>
      <c r="AE566">
        <v>5.1999999999999998E-2</v>
      </c>
    </row>
    <row r="567" spans="1:31">
      <c r="A567">
        <v>51</v>
      </c>
      <c r="B567" t="str">
        <v>51SB</v>
      </c>
      <c r="C567" t="str">
        <v>antimony</v>
      </c>
      <c r="D567">
        <v>143.19999999999999</v>
      </c>
      <c r="E567">
        <v>47.54</v>
      </c>
      <c r="F567">
        <v>21.5</v>
      </c>
      <c r="G567">
        <v>6.9740000000000002</v>
      </c>
      <c r="H567">
        <v>19.850000000000001</v>
      </c>
      <c r="I567">
        <v>10.9</v>
      </c>
      <c r="J567">
        <v>6.6589999999999998</v>
      </c>
      <c r="K567">
        <v>3.0449999999999999</v>
      </c>
      <c r="L567">
        <v>1.67</v>
      </c>
      <c r="M567">
        <v>0.59460000000000002</v>
      </c>
      <c r="N567">
        <v>0.314</v>
      </c>
      <c r="O567">
        <v>0.15670000000000001</v>
      </c>
      <c r="P567">
        <v>0.1109</v>
      </c>
      <c r="Q567">
        <v>9.042E-2</v>
      </c>
      <c r="R567">
        <v>7.8640000000000002E-2</v>
      </c>
      <c r="S567">
        <v>6.5040000000000001E-2</v>
      </c>
      <c r="T567">
        <v>5.688E-2</v>
      </c>
      <c r="U567">
        <v>4.5760000000000002E-2</v>
      </c>
      <c r="V567">
        <v>4.0719999999999999E-2</v>
      </c>
      <c r="W567">
        <v>3.669E-2</v>
      </c>
      <c r="X567">
        <v>3.5549999999999998E-2</v>
      </c>
      <c r="Y567">
        <v>3.5490000000000001E-2</v>
      </c>
      <c r="Z567">
        <v>3.5900000000000001E-2</v>
      </c>
      <c r="AA567">
        <v>3.739E-2</v>
      </c>
      <c r="AB567">
        <v>3.9149999999999997E-2</v>
      </c>
      <c r="AC567">
        <v>4.3459999999999999E-2</v>
      </c>
      <c r="AD567">
        <v>4.7E-2</v>
      </c>
      <c r="AE567">
        <v>5.2499999999999998E-2</v>
      </c>
    </row>
    <row r="568" spans="1:31">
      <c r="A568">
        <v>52</v>
      </c>
      <c r="B568" t="str">
        <v>52TE</v>
      </c>
      <c r="C568" t="str">
        <v>tellurium</v>
      </c>
      <c r="D568">
        <v>147.5</v>
      </c>
      <c r="E568">
        <v>49.1</v>
      </c>
      <c r="F568">
        <v>22.23</v>
      </c>
      <c r="G568">
        <v>7.2210000000000001</v>
      </c>
      <c r="H568">
        <v>20.22</v>
      </c>
      <c r="I568">
        <v>11.15</v>
      </c>
      <c r="J568">
        <v>6.8209999999999997</v>
      </c>
      <c r="K568">
        <v>3.1230000000000002</v>
      </c>
      <c r="L568">
        <v>1.7130000000000001</v>
      </c>
      <c r="M568">
        <v>0.60750000000000004</v>
      </c>
      <c r="N568">
        <v>0.31859999999999999</v>
      </c>
      <c r="O568">
        <v>0.15679999999999999</v>
      </c>
      <c r="P568">
        <v>0.1099</v>
      </c>
      <c r="Q568">
        <v>8.9149999999999993E-2</v>
      </c>
      <c r="R568">
        <v>7.7280000000000001E-2</v>
      </c>
      <c r="S568">
        <v>6.3689999999999997E-2</v>
      </c>
      <c r="T568">
        <v>5.5579999999999997E-2</v>
      </c>
      <c r="U568">
        <v>4.4659999999999998E-2</v>
      </c>
      <c r="V568">
        <v>3.977E-2</v>
      </c>
      <c r="W568">
        <v>3.5889999999999998E-2</v>
      </c>
      <c r="X568">
        <v>3.4819999999999997E-2</v>
      </c>
      <c r="Y568">
        <v>3.4819999999999997E-2</v>
      </c>
      <c r="Z568">
        <v>3.526E-2</v>
      </c>
      <c r="AA568">
        <v>3.6769999999999997E-2</v>
      </c>
      <c r="AB568">
        <v>3.8539999999999998E-2</v>
      </c>
      <c r="AC568">
        <v>4.2860000000000002E-2</v>
      </c>
      <c r="AD568">
        <v>4.6379999999999998E-2</v>
      </c>
      <c r="AE568">
        <v>5.1839999999999997E-2</v>
      </c>
    </row>
    <row r="569" spans="1:31">
      <c r="A569">
        <v>53</v>
      </c>
      <c r="B569" t="str">
        <v>53I</v>
      </c>
      <c r="C569" t="str">
        <v>iodine</v>
      </c>
      <c r="D569">
        <v>159.9</v>
      </c>
      <c r="E569">
        <v>53.36</v>
      </c>
      <c r="F569">
        <v>24.19</v>
      </c>
      <c r="G569">
        <v>7.867</v>
      </c>
      <c r="H569">
        <v>21.65</v>
      </c>
      <c r="I569">
        <v>12.01</v>
      </c>
      <c r="J569">
        <v>7.3479999999999999</v>
      </c>
      <c r="K569">
        <v>3.37</v>
      </c>
      <c r="L569">
        <v>1.849</v>
      </c>
      <c r="M569">
        <v>0.65349999999999997</v>
      </c>
      <c r="N569">
        <v>0.34060000000000001</v>
      </c>
      <c r="O569">
        <v>0.16539999999999999</v>
      </c>
      <c r="P569">
        <v>0.1149</v>
      </c>
      <c r="Q569">
        <v>9.2619999999999994E-2</v>
      </c>
      <c r="R569">
        <v>8.0019999999999994E-2</v>
      </c>
      <c r="S569">
        <v>6.5680000000000002E-2</v>
      </c>
      <c r="T569">
        <v>5.722E-2</v>
      </c>
      <c r="U569">
        <v>4.5920000000000002E-2</v>
      </c>
      <c r="V569">
        <v>4.0899999999999999E-2</v>
      </c>
      <c r="W569">
        <v>3.6970000000000003E-2</v>
      </c>
      <c r="X569">
        <v>3.594E-2</v>
      </c>
      <c r="Y569">
        <v>3.5979999999999998E-2</v>
      </c>
      <c r="Z569">
        <v>3.6470000000000002E-2</v>
      </c>
      <c r="AA569">
        <v>3.8089999999999999E-2</v>
      </c>
      <c r="AB569">
        <v>3.9960000000000002E-2</v>
      </c>
      <c r="AC569">
        <v>4.4510000000000001E-2</v>
      </c>
      <c r="AD569">
        <v>4.8189999999999997E-2</v>
      </c>
      <c r="AE569">
        <v>5.3929999999999999E-2</v>
      </c>
    </row>
    <row r="570" spans="1:31">
      <c r="A570">
        <v>54</v>
      </c>
      <c r="B570" t="str">
        <v>54XE</v>
      </c>
      <c r="C570" t="str">
        <v>xenon</v>
      </c>
      <c r="D570">
        <v>166.3</v>
      </c>
      <c r="E570">
        <v>55.66</v>
      </c>
      <c r="F570">
        <v>25.26</v>
      </c>
      <c r="G570">
        <v>8.2249999999999996</v>
      </c>
      <c r="H570">
        <v>22.25</v>
      </c>
      <c r="I570">
        <v>12.41</v>
      </c>
      <c r="J570">
        <v>7.5890000000000004</v>
      </c>
      <c r="K570">
        <v>3.4910000000000001</v>
      </c>
      <c r="L570">
        <v>1.915</v>
      </c>
      <c r="M570">
        <v>0.67500000000000004</v>
      </c>
      <c r="N570">
        <v>0.34970000000000001</v>
      </c>
      <c r="O570">
        <v>0.16769999999999999</v>
      </c>
      <c r="P570">
        <v>0.1154</v>
      </c>
      <c r="Q570">
        <v>9.2539999999999997E-2</v>
      </c>
      <c r="R570">
        <v>7.961E-2</v>
      </c>
      <c r="S570">
        <v>6.515E-2</v>
      </c>
      <c r="T570">
        <v>5.6680000000000001E-2</v>
      </c>
      <c r="U570">
        <v>4.5370000000000001E-2</v>
      </c>
      <c r="V570">
        <v>4.0430000000000001E-2</v>
      </c>
      <c r="W570">
        <v>3.662E-2</v>
      </c>
      <c r="X570">
        <v>3.5639999999999998E-2</v>
      </c>
      <c r="Y570">
        <v>3.5729999999999998E-2</v>
      </c>
      <c r="Z570">
        <v>3.6249999999999998E-2</v>
      </c>
      <c r="AA570">
        <v>3.7909999999999999E-2</v>
      </c>
      <c r="AB570">
        <v>3.9809999999999998E-2</v>
      </c>
      <c r="AC570">
        <v>4.4409999999999998E-2</v>
      </c>
      <c r="AD570">
        <v>4.811E-2</v>
      </c>
      <c r="AE570">
        <v>5.3850000000000002E-2</v>
      </c>
    </row>
    <row r="571" spans="1:31">
      <c r="A571">
        <v>55</v>
      </c>
      <c r="B571" t="str">
        <v>55CS</v>
      </c>
      <c r="C571" t="str">
        <v>cesium</v>
      </c>
      <c r="D571">
        <v>176.5</v>
      </c>
      <c r="E571">
        <v>59.24</v>
      </c>
      <c r="F571">
        <v>26.93</v>
      </c>
      <c r="G571">
        <v>8.7799999999999994</v>
      </c>
      <c r="H571">
        <v>23.34</v>
      </c>
      <c r="I571">
        <v>13.07</v>
      </c>
      <c r="J571">
        <v>8.0069999999999997</v>
      </c>
      <c r="K571">
        <v>3.6880000000000002</v>
      </c>
      <c r="L571">
        <v>2.0249999999999999</v>
      </c>
      <c r="M571">
        <v>0.71230000000000004</v>
      </c>
      <c r="N571">
        <v>0.3669</v>
      </c>
      <c r="O571">
        <v>0.17369999999999999</v>
      </c>
      <c r="P571">
        <v>0.11849999999999999</v>
      </c>
      <c r="Q571">
        <v>9.443E-2</v>
      </c>
      <c r="R571">
        <v>8.1009999999999999E-2</v>
      </c>
      <c r="S571">
        <v>6.5989999999999993E-2</v>
      </c>
      <c r="T571">
        <v>5.731E-2</v>
      </c>
      <c r="U571">
        <v>4.5830000000000003E-2</v>
      </c>
      <c r="V571">
        <v>4.0849999999999997E-2</v>
      </c>
      <c r="W571">
        <v>3.705E-2</v>
      </c>
      <c r="X571">
        <v>3.6119999999999999E-2</v>
      </c>
      <c r="Y571">
        <v>3.6249999999999998E-2</v>
      </c>
      <c r="Z571">
        <v>3.6810000000000002E-2</v>
      </c>
      <c r="AA571">
        <v>3.8539999999999998E-2</v>
      </c>
      <c r="AB571">
        <v>4.0509999999999997E-2</v>
      </c>
      <c r="AC571">
        <v>4.5249999999999999E-2</v>
      </c>
      <c r="AD571">
        <v>4.9059999999999999E-2</v>
      </c>
      <c r="AE571">
        <v>5.4940000000000003E-2</v>
      </c>
    </row>
    <row r="572" spans="1:31">
      <c r="A572">
        <v>56</v>
      </c>
      <c r="B572" t="str">
        <v>56BA</v>
      </c>
      <c r="C572" t="str">
        <v>barium</v>
      </c>
      <c r="D572">
        <v>183.2</v>
      </c>
      <c r="E572">
        <v>61.64</v>
      </c>
      <c r="F572">
        <v>28.08</v>
      </c>
      <c r="G572">
        <v>9.1669999999999998</v>
      </c>
      <c r="H572">
        <v>24.1</v>
      </c>
      <c r="I572">
        <v>13.46</v>
      </c>
      <c r="J572">
        <v>8.2639999999999993</v>
      </c>
      <c r="K572">
        <v>3.8130000000000002</v>
      </c>
      <c r="L572">
        <v>2.0950000000000002</v>
      </c>
      <c r="M572">
        <v>0.73519999999999996</v>
      </c>
      <c r="N572">
        <v>0.37680000000000002</v>
      </c>
      <c r="O572">
        <v>0.17630000000000001</v>
      </c>
      <c r="P572">
        <v>0.1192</v>
      </c>
      <c r="Q572">
        <v>9.4460000000000002E-2</v>
      </c>
      <c r="R572">
        <v>8.0750000000000002E-2</v>
      </c>
      <c r="S572">
        <v>6.5530000000000005E-2</v>
      </c>
      <c r="T572">
        <v>5.6759999999999998E-2</v>
      </c>
      <c r="U572">
        <v>4.5319999999999999E-2</v>
      </c>
      <c r="V572">
        <v>4.0410000000000001E-2</v>
      </c>
      <c r="W572">
        <v>3.6720000000000003E-2</v>
      </c>
      <c r="X572">
        <v>3.585E-2</v>
      </c>
      <c r="Y572">
        <v>3.6020000000000003E-2</v>
      </c>
      <c r="Z572">
        <v>3.6609999999999997E-2</v>
      </c>
      <c r="AA572">
        <v>3.8379999999999997E-2</v>
      </c>
      <c r="AB572">
        <v>4.0370000000000003E-2</v>
      </c>
      <c r="AC572">
        <v>4.514E-2</v>
      </c>
      <c r="AD572">
        <v>4.8980000000000003E-2</v>
      </c>
      <c r="AE572">
        <v>5.4859999999999999E-2</v>
      </c>
    </row>
    <row r="573" spans="1:31">
      <c r="A573">
        <v>57</v>
      </c>
      <c r="B573" t="str">
        <v>57LA</v>
      </c>
      <c r="C573" t="str">
        <v>lanthanum</v>
      </c>
      <c r="D573">
        <v>193.8</v>
      </c>
      <c r="E573">
        <v>65.45</v>
      </c>
      <c r="F573">
        <v>29.85</v>
      </c>
      <c r="G573">
        <v>9.76</v>
      </c>
      <c r="H573">
        <v>25.29</v>
      </c>
      <c r="I573">
        <v>14.13</v>
      </c>
      <c r="J573">
        <v>8.7059999999999995</v>
      </c>
      <c r="K573">
        <v>4.0220000000000002</v>
      </c>
      <c r="L573">
        <v>2.2109999999999999</v>
      </c>
      <c r="M573">
        <v>0.77470000000000006</v>
      </c>
      <c r="N573">
        <v>0.3952</v>
      </c>
      <c r="O573">
        <v>0.18290000000000001</v>
      </c>
      <c r="P573">
        <v>0.1225</v>
      </c>
      <c r="Q573">
        <v>9.6540000000000001E-2</v>
      </c>
      <c r="R573">
        <v>8.2229999999999998E-2</v>
      </c>
      <c r="S573">
        <v>6.6430000000000003E-2</v>
      </c>
      <c r="T573">
        <v>5.7439999999999998E-2</v>
      </c>
      <c r="U573">
        <v>4.5780000000000001E-2</v>
      </c>
      <c r="V573">
        <v>4.0840000000000001E-2</v>
      </c>
      <c r="W573">
        <v>3.7170000000000002E-2</v>
      </c>
      <c r="X573">
        <v>3.6330000000000001E-2</v>
      </c>
      <c r="Y573">
        <v>3.653E-2</v>
      </c>
      <c r="Z573">
        <v>3.7170000000000002E-2</v>
      </c>
      <c r="AA573">
        <v>3.9E-2</v>
      </c>
      <c r="AB573">
        <v>4.1079999999999998E-2</v>
      </c>
      <c r="AC573">
        <v>4.5990000000000003E-2</v>
      </c>
      <c r="AD573">
        <v>4.9919999999999999E-2</v>
      </c>
      <c r="AE573">
        <v>5.5960000000000003E-2</v>
      </c>
    </row>
    <row r="574" spans="1:31">
      <c r="A574">
        <v>58</v>
      </c>
      <c r="B574" t="str">
        <v>58CE</v>
      </c>
      <c r="C574" t="str">
        <v>cerium</v>
      </c>
      <c r="D574">
        <v>205.2</v>
      </c>
      <c r="E574">
        <v>69.48</v>
      </c>
      <c r="F574">
        <v>31.74</v>
      </c>
      <c r="G574">
        <v>10.4</v>
      </c>
      <c r="H574">
        <v>4.7080000000000002</v>
      </c>
      <c r="I574">
        <v>14.84</v>
      </c>
      <c r="J574">
        <v>9.1829999999999998</v>
      </c>
      <c r="K574">
        <v>4.2480000000000002</v>
      </c>
      <c r="L574">
        <v>2.3370000000000002</v>
      </c>
      <c r="M574">
        <v>0.8175</v>
      </c>
      <c r="N574">
        <v>0.4153</v>
      </c>
      <c r="O574">
        <v>0.19009999999999999</v>
      </c>
      <c r="P574">
        <v>0.1263</v>
      </c>
      <c r="Q574">
        <v>9.894E-2</v>
      </c>
      <c r="R574">
        <v>8.3919999999999995E-2</v>
      </c>
      <c r="S574">
        <v>6.7559999999999995E-2</v>
      </c>
      <c r="T574">
        <v>5.8259999999999999E-2</v>
      </c>
      <c r="U574">
        <v>4.6370000000000001E-2</v>
      </c>
      <c r="V574">
        <v>4.1369999999999997E-2</v>
      </c>
      <c r="W574">
        <v>3.7699999999999997E-2</v>
      </c>
      <c r="X574">
        <v>3.6909999999999998E-2</v>
      </c>
      <c r="Y574">
        <v>3.7150000000000002E-2</v>
      </c>
      <c r="Z574">
        <v>3.7830000000000003E-2</v>
      </c>
      <c r="AA574">
        <v>3.9739999999999998E-2</v>
      </c>
      <c r="AB574">
        <v>4.1880000000000001E-2</v>
      </c>
      <c r="AC574">
        <v>4.6940000000000003E-2</v>
      </c>
      <c r="AD574">
        <v>5.0999999999999997E-2</v>
      </c>
      <c r="AE574">
        <v>5.722E-2</v>
      </c>
    </row>
    <row r="575" spans="1:31">
      <c r="A575">
        <v>59</v>
      </c>
      <c r="B575" t="str">
        <v>59PR</v>
      </c>
      <c r="C575" t="str">
        <v>praseodymium</v>
      </c>
      <c r="D575">
        <v>217.8</v>
      </c>
      <c r="E575">
        <v>73.97</v>
      </c>
      <c r="F575">
        <v>33.83</v>
      </c>
      <c r="G575">
        <v>11.1</v>
      </c>
      <c r="H575">
        <v>5.0309999999999997</v>
      </c>
      <c r="I575">
        <v>15.62</v>
      </c>
      <c r="J575">
        <v>9.7029999999999994</v>
      </c>
      <c r="K575">
        <v>4.4939999999999998</v>
      </c>
      <c r="L575">
        <v>2.4750000000000001</v>
      </c>
      <c r="M575">
        <v>0.86439999999999995</v>
      </c>
      <c r="N575">
        <v>0.43740000000000001</v>
      </c>
      <c r="O575">
        <v>0.1983</v>
      </c>
      <c r="P575">
        <v>0.13059999999999999</v>
      </c>
      <c r="Q575">
        <v>0.1017</v>
      </c>
      <c r="R575">
        <v>8.5970000000000005E-2</v>
      </c>
      <c r="S575">
        <v>6.8879999999999997E-2</v>
      </c>
      <c r="T575">
        <v>5.9279999999999999E-2</v>
      </c>
      <c r="U575">
        <v>4.7079999999999997E-2</v>
      </c>
      <c r="V575">
        <v>4.2029999999999998E-2</v>
      </c>
      <c r="W575">
        <v>3.8359999999999998E-2</v>
      </c>
      <c r="X575">
        <v>3.7589999999999998E-2</v>
      </c>
      <c r="Y575">
        <v>3.789E-2</v>
      </c>
      <c r="Z575">
        <v>3.8609999999999998E-2</v>
      </c>
      <c r="AA575">
        <v>4.0599999999999997E-2</v>
      </c>
      <c r="AB575">
        <v>4.2819999999999997E-2</v>
      </c>
      <c r="AC575">
        <v>4.8039999999999999E-2</v>
      </c>
      <c r="AD575">
        <v>5.2220000000000003E-2</v>
      </c>
      <c r="AE575">
        <v>5.8630000000000002E-2</v>
      </c>
    </row>
    <row r="576" spans="1:31">
      <c r="A576">
        <v>60</v>
      </c>
      <c r="B576" t="str">
        <v>60ND</v>
      </c>
      <c r="C576" t="str">
        <v>neodymium</v>
      </c>
      <c r="D576">
        <v>226.8</v>
      </c>
      <c r="E576">
        <v>77.19</v>
      </c>
      <c r="F576">
        <v>35.380000000000003</v>
      </c>
      <c r="G576">
        <v>11.62</v>
      </c>
      <c r="H576">
        <v>5.2720000000000002</v>
      </c>
      <c r="I576">
        <v>16.12</v>
      </c>
      <c r="J576">
        <v>10.050000000000001</v>
      </c>
      <c r="K576">
        <v>4.6680000000000001</v>
      </c>
      <c r="L576">
        <v>2.573</v>
      </c>
      <c r="M576">
        <v>0.89729999999999999</v>
      </c>
      <c r="N576">
        <v>0.45240000000000002</v>
      </c>
      <c r="O576">
        <v>0.20300000000000001</v>
      </c>
      <c r="P576">
        <v>0.13270000000000001</v>
      </c>
      <c r="Q576">
        <v>0.1028</v>
      </c>
      <c r="R576">
        <v>8.652E-2</v>
      </c>
      <c r="S576">
        <v>6.9029999999999994E-2</v>
      </c>
      <c r="T576">
        <v>5.926E-2</v>
      </c>
      <c r="U576">
        <v>4.6960000000000002E-2</v>
      </c>
      <c r="V576">
        <v>4.1939999999999998E-2</v>
      </c>
      <c r="W576">
        <v>3.8339999999999999E-2</v>
      </c>
      <c r="X576">
        <v>3.7609999999999998E-2</v>
      </c>
      <c r="Y576">
        <v>3.7949999999999998E-2</v>
      </c>
      <c r="Z576">
        <v>3.8699999999999998E-2</v>
      </c>
      <c r="AA576">
        <v>4.0739999999999998E-2</v>
      </c>
      <c r="AB576">
        <v>4.2979999999999997E-2</v>
      </c>
      <c r="AC576">
        <v>4.8280000000000003E-2</v>
      </c>
      <c r="AD576">
        <v>5.253E-2</v>
      </c>
      <c r="AE576">
        <v>5.8970000000000002E-2</v>
      </c>
    </row>
    <row r="577" spans="1:31">
      <c r="A577">
        <v>61</v>
      </c>
      <c r="B577" t="str">
        <v>61PM</v>
      </c>
      <c r="C577" t="str">
        <v>promethium</v>
      </c>
      <c r="D577">
        <v>240.7</v>
      </c>
      <c r="E577">
        <v>81.99</v>
      </c>
      <c r="F577">
        <v>37.65</v>
      </c>
      <c r="G577">
        <v>12.39</v>
      </c>
      <c r="H577">
        <v>5.62</v>
      </c>
      <c r="I577">
        <v>16.96</v>
      </c>
      <c r="J577">
        <v>10.58</v>
      </c>
      <c r="K577">
        <v>4.9269999999999996</v>
      </c>
      <c r="L577">
        <v>2.72</v>
      </c>
      <c r="M577">
        <v>0.94779999999999998</v>
      </c>
      <c r="N577">
        <v>0.47639999999999999</v>
      </c>
      <c r="O577">
        <v>0.21179999999999999</v>
      </c>
      <c r="P577">
        <v>0.13730000000000001</v>
      </c>
      <c r="Q577">
        <v>0.1057</v>
      </c>
      <c r="R577">
        <v>8.8730000000000003E-2</v>
      </c>
      <c r="S577">
        <v>7.0440000000000003E-2</v>
      </c>
      <c r="T577">
        <v>6.0339999999999998E-2</v>
      </c>
      <c r="U577">
        <v>4.777E-2</v>
      </c>
      <c r="V577">
        <v>4.2639999999999997E-2</v>
      </c>
      <c r="W577">
        <v>3.9019999999999999E-2</v>
      </c>
      <c r="X577">
        <v>3.8339999999999999E-2</v>
      </c>
      <c r="Y577">
        <v>3.8710000000000001E-2</v>
      </c>
      <c r="Z577">
        <v>3.95E-2</v>
      </c>
      <c r="AA577">
        <v>4.1619999999999997E-2</v>
      </c>
      <c r="AB577">
        <v>4.3950000000000003E-2</v>
      </c>
      <c r="AC577">
        <v>4.9410000000000003E-2</v>
      </c>
      <c r="AD577">
        <v>5.3760000000000002E-2</v>
      </c>
      <c r="AE577">
        <v>6.0420000000000001E-2</v>
      </c>
    </row>
    <row r="578" spans="1:31">
      <c r="A578">
        <v>62</v>
      </c>
      <c r="B578" t="str">
        <v>62SM</v>
      </c>
      <c r="C578" t="str">
        <v>samarium</v>
      </c>
      <c r="D578">
        <v>246.6</v>
      </c>
      <c r="E578">
        <v>84.18</v>
      </c>
      <c r="F578">
        <v>38.729999999999997</v>
      </c>
      <c r="G578">
        <v>12.77</v>
      </c>
      <c r="H578">
        <v>5.7990000000000004</v>
      </c>
      <c r="I578">
        <v>17.350000000000001</v>
      </c>
      <c r="J578">
        <v>10.78</v>
      </c>
      <c r="K578">
        <v>5.03</v>
      </c>
      <c r="L578">
        <v>2.78</v>
      </c>
      <c r="M578">
        <v>0.96930000000000005</v>
      </c>
      <c r="N578">
        <v>0.4854</v>
      </c>
      <c r="O578">
        <v>0.214</v>
      </c>
      <c r="P578">
        <v>0.1376</v>
      </c>
      <c r="Q578">
        <v>0.10539999999999999</v>
      </c>
      <c r="R578">
        <v>8.8059999999999999E-2</v>
      </c>
      <c r="S578">
        <v>6.9650000000000004E-2</v>
      </c>
      <c r="T578">
        <v>5.9490000000000001E-2</v>
      </c>
      <c r="U578">
        <v>4.7E-2</v>
      </c>
      <c r="V578">
        <v>4.1959999999999997E-2</v>
      </c>
      <c r="W578">
        <v>3.8449999999999998E-2</v>
      </c>
      <c r="X578">
        <v>3.7819999999999999E-2</v>
      </c>
      <c r="Y578">
        <v>3.8219999999999997E-2</v>
      </c>
      <c r="Z578">
        <v>3.9030000000000002E-2</v>
      </c>
      <c r="AA578">
        <v>4.1169999999999998E-2</v>
      </c>
      <c r="AB578">
        <v>4.3490000000000001E-2</v>
      </c>
      <c r="AC578">
        <v>4.895E-2</v>
      </c>
      <c r="AD578">
        <v>5.3310000000000003E-2</v>
      </c>
      <c r="AE578">
        <v>5.9900000000000002E-2</v>
      </c>
    </row>
    <row r="579" spans="1:31">
      <c r="A579">
        <v>63</v>
      </c>
      <c r="B579" t="str">
        <v>63EU</v>
      </c>
      <c r="C579" t="str">
        <v>europium</v>
      </c>
      <c r="D579">
        <v>259.5</v>
      </c>
      <c r="E579">
        <v>88.69</v>
      </c>
      <c r="F579">
        <v>40.85</v>
      </c>
      <c r="G579">
        <v>13.51</v>
      </c>
      <c r="H579">
        <v>6.1360000000000001</v>
      </c>
      <c r="I579">
        <v>18.09</v>
      </c>
      <c r="J579">
        <v>11.25</v>
      </c>
      <c r="K579">
        <v>5.2690000000000001</v>
      </c>
      <c r="L579">
        <v>2.9140000000000001</v>
      </c>
      <c r="M579">
        <v>1.016</v>
      </c>
      <c r="N579">
        <v>0.50760000000000005</v>
      </c>
      <c r="O579">
        <v>0.22189999999999999</v>
      </c>
      <c r="P579">
        <v>0.1416</v>
      </c>
      <c r="Q579">
        <v>0.1079</v>
      </c>
      <c r="R579">
        <v>8.9779999999999999E-2</v>
      </c>
      <c r="S579">
        <v>7.0650000000000004E-2</v>
      </c>
      <c r="T579">
        <v>6.0269999999999997E-2</v>
      </c>
      <c r="U579">
        <v>4.7469999999999998E-2</v>
      </c>
      <c r="V579">
        <v>4.24E-2</v>
      </c>
      <c r="W579">
        <v>3.8899999999999997E-2</v>
      </c>
      <c r="X579">
        <v>3.8289999999999998E-2</v>
      </c>
      <c r="Y579">
        <v>3.8730000000000001E-2</v>
      </c>
      <c r="Z579">
        <v>3.9570000000000001E-2</v>
      </c>
      <c r="AA579">
        <v>4.1779999999999998E-2</v>
      </c>
      <c r="AB579">
        <v>4.4159999999999998E-2</v>
      </c>
      <c r="AC579">
        <v>4.9759999999999999E-2</v>
      </c>
      <c r="AD579">
        <v>5.4190000000000002E-2</v>
      </c>
      <c r="AE579">
        <v>6.096E-2</v>
      </c>
    </row>
    <row r="580" spans="1:31">
      <c r="A580">
        <v>64</v>
      </c>
      <c r="B580" t="str">
        <v>64GD</v>
      </c>
      <c r="C580" t="str">
        <v>gadolinium</v>
      </c>
      <c r="D580">
        <v>265.89999999999998</v>
      </c>
      <c r="E580">
        <v>91.15</v>
      </c>
      <c r="F580">
        <v>42.04</v>
      </c>
      <c r="G580">
        <v>13.93</v>
      </c>
      <c r="H580">
        <v>6.335</v>
      </c>
      <c r="I580">
        <v>3.45</v>
      </c>
      <c r="J580">
        <v>11.44</v>
      </c>
      <c r="K580">
        <v>5.3849999999999998</v>
      </c>
      <c r="L580">
        <v>2.9820000000000002</v>
      </c>
      <c r="M580">
        <v>1.04</v>
      </c>
      <c r="N580">
        <v>0.5181</v>
      </c>
      <c r="O580">
        <v>0.22470000000000001</v>
      </c>
      <c r="P580">
        <v>0.1424</v>
      </c>
      <c r="Q580">
        <v>0.10780000000000001</v>
      </c>
      <c r="R580">
        <v>8.9410000000000003E-2</v>
      </c>
      <c r="S580">
        <v>7.0050000000000001E-2</v>
      </c>
      <c r="T580">
        <v>5.9580000000000001E-2</v>
      </c>
      <c r="U580">
        <v>4.6820000000000001E-2</v>
      </c>
      <c r="V580">
        <v>4.1829999999999999E-2</v>
      </c>
      <c r="W580">
        <v>3.841E-2</v>
      </c>
      <c r="X580">
        <v>3.7859999999999998E-2</v>
      </c>
      <c r="Y580">
        <v>3.832E-2</v>
      </c>
      <c r="Z580">
        <v>3.9190000000000003E-2</v>
      </c>
      <c r="AA580">
        <v>4.1399999999999999E-2</v>
      </c>
      <c r="AB580">
        <v>4.3779999999999999E-2</v>
      </c>
      <c r="AC580">
        <v>4.9390000000000003E-2</v>
      </c>
      <c r="AD580">
        <v>5.3809999999999997E-2</v>
      </c>
      <c r="AE580">
        <v>6.0539999999999997E-2</v>
      </c>
    </row>
    <row r="581" spans="1:31">
      <c r="A581">
        <v>65</v>
      </c>
      <c r="B581" t="str">
        <v>65TB</v>
      </c>
      <c r="C581" t="str">
        <v>terbium</v>
      </c>
      <c r="D581">
        <v>277.89999999999998</v>
      </c>
      <c r="E581">
        <v>95.72</v>
      </c>
      <c r="F581">
        <v>44.25</v>
      </c>
      <c r="G581">
        <v>14.69</v>
      </c>
      <c r="H581">
        <v>6.6829999999999998</v>
      </c>
      <c r="I581">
        <v>3.64</v>
      </c>
      <c r="J581">
        <v>11.91</v>
      </c>
      <c r="K581">
        <v>5.6289999999999996</v>
      </c>
      <c r="L581">
        <v>3.1219999999999999</v>
      </c>
      <c r="M581">
        <v>1.0880000000000001</v>
      </c>
      <c r="N581">
        <v>0.54079999999999995</v>
      </c>
      <c r="O581">
        <v>0.23280000000000001</v>
      </c>
      <c r="P581">
        <v>0.14649999999999999</v>
      </c>
      <c r="Q581">
        <v>0.1104</v>
      </c>
      <c r="R581">
        <v>9.1170000000000001E-2</v>
      </c>
      <c r="S581">
        <v>7.1069999999999994E-2</v>
      </c>
      <c r="T581">
        <v>6.0310000000000002E-2</v>
      </c>
      <c r="U581">
        <v>4.7280000000000003E-2</v>
      </c>
      <c r="V581">
        <v>4.2250000000000003E-2</v>
      </c>
      <c r="W581">
        <v>3.884E-2</v>
      </c>
      <c r="X581">
        <v>3.832E-2</v>
      </c>
      <c r="Y581">
        <v>3.882E-2</v>
      </c>
      <c r="Z581">
        <v>3.9710000000000002E-2</v>
      </c>
      <c r="AA581">
        <v>4.199E-2</v>
      </c>
      <c r="AB581">
        <v>4.4429999999999997E-2</v>
      </c>
      <c r="AC581">
        <v>5.0119999999999998E-2</v>
      </c>
      <c r="AD581">
        <v>5.466E-2</v>
      </c>
      <c r="AE581">
        <v>6.1519999999999998E-2</v>
      </c>
    </row>
    <row r="582" spans="1:31">
      <c r="A582">
        <v>66</v>
      </c>
      <c r="B582" t="str">
        <v>66DY</v>
      </c>
      <c r="C582" t="str">
        <v>dysprosium</v>
      </c>
      <c r="D582">
        <v>286.60000000000002</v>
      </c>
      <c r="E582">
        <v>99.28</v>
      </c>
      <c r="F582">
        <v>46</v>
      </c>
      <c r="G582">
        <v>15.29</v>
      </c>
      <c r="H582">
        <v>6.9649999999999999</v>
      </c>
      <c r="I582">
        <v>3.7949999999999999</v>
      </c>
      <c r="J582">
        <v>12.27</v>
      </c>
      <c r="K582">
        <v>5.8150000000000004</v>
      </c>
      <c r="L582">
        <v>3.226</v>
      </c>
      <c r="M582">
        <v>1.1240000000000001</v>
      </c>
      <c r="N582">
        <v>0.55779999999999996</v>
      </c>
      <c r="O582">
        <v>0.23849999999999999</v>
      </c>
      <c r="P582">
        <v>0.14899999999999999</v>
      </c>
      <c r="Q582">
        <v>0.1116</v>
      </c>
      <c r="R582">
        <v>9.1850000000000001E-2</v>
      </c>
      <c r="S582">
        <v>7.1309999999999998E-2</v>
      </c>
      <c r="T582">
        <v>6.0339999999999998E-2</v>
      </c>
      <c r="U582">
        <v>4.7190000000000003E-2</v>
      </c>
      <c r="V582">
        <v>4.2169999999999999E-2</v>
      </c>
      <c r="W582">
        <v>3.8800000000000001E-2</v>
      </c>
      <c r="X582">
        <v>3.832E-2</v>
      </c>
      <c r="Y582">
        <v>3.884E-2</v>
      </c>
      <c r="Z582">
        <v>3.9759999999999997E-2</v>
      </c>
      <c r="AA582">
        <v>4.2070000000000003E-2</v>
      </c>
      <c r="AB582">
        <v>4.4540000000000003E-2</v>
      </c>
      <c r="AC582">
        <v>5.0290000000000001E-2</v>
      </c>
      <c r="AD582">
        <v>5.4890000000000001E-2</v>
      </c>
      <c r="AE582">
        <v>6.1780000000000002E-2</v>
      </c>
    </row>
    <row r="583" spans="1:31">
      <c r="A583">
        <v>67</v>
      </c>
      <c r="B583" t="str">
        <v>67HO</v>
      </c>
      <c r="C583" t="str">
        <v>holmium</v>
      </c>
      <c r="D583">
        <v>297.5</v>
      </c>
      <c r="E583">
        <v>103.6</v>
      </c>
      <c r="F583">
        <v>48.13</v>
      </c>
      <c r="G583">
        <v>16.03</v>
      </c>
      <c r="H583">
        <v>7.306</v>
      </c>
      <c r="I583">
        <v>3.9820000000000002</v>
      </c>
      <c r="J583">
        <v>12.76</v>
      </c>
      <c r="K583">
        <v>6.0380000000000003</v>
      </c>
      <c r="L583">
        <v>3.355</v>
      </c>
      <c r="M583">
        <v>1.17</v>
      </c>
      <c r="N583">
        <v>0.57920000000000005</v>
      </c>
      <c r="O583">
        <v>0.246</v>
      </c>
      <c r="P583">
        <v>0.1527</v>
      </c>
      <c r="Q583">
        <v>0.1138</v>
      </c>
      <c r="R583">
        <v>9.3280000000000002E-2</v>
      </c>
      <c r="S583">
        <v>7.2050000000000003E-2</v>
      </c>
      <c r="T583">
        <v>6.08E-2</v>
      </c>
      <c r="U583">
        <v>4.7469999999999998E-2</v>
      </c>
      <c r="V583">
        <v>4.24E-2</v>
      </c>
      <c r="W583">
        <v>3.9050000000000001E-2</v>
      </c>
      <c r="X583">
        <v>3.8600000000000002E-2</v>
      </c>
      <c r="Y583">
        <v>3.9149999999999997E-2</v>
      </c>
      <c r="Z583">
        <v>4.0099999999999997E-2</v>
      </c>
      <c r="AA583">
        <v>4.2459999999999998E-2</v>
      </c>
      <c r="AB583">
        <v>4.4979999999999999E-2</v>
      </c>
      <c r="AC583">
        <v>5.0840000000000003E-2</v>
      </c>
      <c r="AD583">
        <v>5.5469999999999998E-2</v>
      </c>
      <c r="AE583">
        <v>6.25E-2</v>
      </c>
    </row>
    <row r="584" spans="1:31">
      <c r="A584">
        <v>68</v>
      </c>
      <c r="B584" t="str">
        <v>68ER</v>
      </c>
      <c r="C584" t="str">
        <v>erbium</v>
      </c>
      <c r="D584">
        <v>309.10000000000002</v>
      </c>
      <c r="E584">
        <v>108.1</v>
      </c>
      <c r="F584">
        <v>50.3</v>
      </c>
      <c r="G584">
        <v>16.79</v>
      </c>
      <c r="H584">
        <v>7.6630000000000003</v>
      </c>
      <c r="I584">
        <v>4.1769999999999996</v>
      </c>
      <c r="J584">
        <v>13.28</v>
      </c>
      <c r="K584">
        <v>6.2690000000000001</v>
      </c>
      <c r="L584">
        <v>3.4860000000000002</v>
      </c>
      <c r="M584">
        <v>1.2170000000000001</v>
      </c>
      <c r="N584">
        <v>0.60170000000000001</v>
      </c>
      <c r="O584">
        <v>0.254</v>
      </c>
      <c r="P584">
        <v>0.15659999999999999</v>
      </c>
      <c r="Q584">
        <v>0.11609999999999999</v>
      </c>
      <c r="R584">
        <v>9.4810000000000005E-2</v>
      </c>
      <c r="S584">
        <v>7.2910000000000003E-2</v>
      </c>
      <c r="T584">
        <v>6.1339999999999999E-2</v>
      </c>
      <c r="U584">
        <v>4.7759999999999997E-2</v>
      </c>
      <c r="V584">
        <v>4.2659999999999997E-2</v>
      </c>
      <c r="W584">
        <v>3.9320000000000001E-2</v>
      </c>
      <c r="X584">
        <v>3.8899999999999997E-2</v>
      </c>
      <c r="Y584">
        <v>3.9489999999999997E-2</v>
      </c>
      <c r="Z584">
        <v>4.0460000000000003E-2</v>
      </c>
      <c r="AA584">
        <v>4.2869999999999998E-2</v>
      </c>
      <c r="AB584">
        <v>4.5429999999999998E-2</v>
      </c>
      <c r="AC584">
        <v>5.1360000000000003E-2</v>
      </c>
      <c r="AD584">
        <v>5.6090000000000001E-2</v>
      </c>
      <c r="AE584">
        <v>6.3229999999999995E-2</v>
      </c>
    </row>
    <row r="585" spans="1:31">
      <c r="A585">
        <v>69</v>
      </c>
      <c r="B585" t="str">
        <v>69TM</v>
      </c>
      <c r="C585" t="str">
        <v>thulium</v>
      </c>
      <c r="D585">
        <v>279.10000000000002</v>
      </c>
      <c r="E585">
        <v>113.2</v>
      </c>
      <c r="F585">
        <v>52.73</v>
      </c>
      <c r="G585">
        <v>17.64</v>
      </c>
      <c r="H585">
        <v>8.0630000000000006</v>
      </c>
      <c r="I585">
        <v>4.3979999999999997</v>
      </c>
      <c r="J585">
        <v>13.74</v>
      </c>
      <c r="K585">
        <v>6.5259999999999998</v>
      </c>
      <c r="L585">
        <v>3.6339999999999999</v>
      </c>
      <c r="M585">
        <v>1.27</v>
      </c>
      <c r="N585">
        <v>0.62719999999999998</v>
      </c>
      <c r="O585">
        <v>0.2631</v>
      </c>
      <c r="P585">
        <v>0.16120000000000001</v>
      </c>
      <c r="Q585">
        <v>0.11890000000000001</v>
      </c>
      <c r="R585">
        <v>9.6769999999999995E-2</v>
      </c>
      <c r="S585">
        <v>7.4029999999999999E-2</v>
      </c>
      <c r="T585">
        <v>6.2120000000000002E-2</v>
      </c>
      <c r="U585">
        <v>4.8239999999999998E-2</v>
      </c>
      <c r="V585">
        <v>4.3099999999999999E-2</v>
      </c>
      <c r="W585">
        <v>3.9750000000000001E-2</v>
      </c>
      <c r="X585">
        <v>3.9359999999999999E-2</v>
      </c>
      <c r="Y585">
        <v>3.9969999999999999E-2</v>
      </c>
      <c r="Z585">
        <v>4.0980000000000003E-2</v>
      </c>
      <c r="AA585">
        <v>4.3450000000000003E-2</v>
      </c>
      <c r="AB585">
        <v>4.6059999999999997E-2</v>
      </c>
      <c r="AC585">
        <v>5.2109999999999997E-2</v>
      </c>
      <c r="AD585">
        <v>5.6939999999999998E-2</v>
      </c>
      <c r="AE585">
        <v>6.4199999999999993E-2</v>
      </c>
    </row>
    <row r="586" spans="1:31">
      <c r="A586">
        <v>70</v>
      </c>
      <c r="B586" t="str">
        <v>70YB</v>
      </c>
      <c r="C586" t="str">
        <v>ytterbium</v>
      </c>
      <c r="D586">
        <v>290.39999999999998</v>
      </c>
      <c r="E586">
        <v>116.7</v>
      </c>
      <c r="F586">
        <v>54.47</v>
      </c>
      <c r="G586">
        <v>18.27</v>
      </c>
      <c r="H586">
        <v>8.3580000000000005</v>
      </c>
      <c r="I586">
        <v>4.5599999999999996</v>
      </c>
      <c r="J586">
        <v>2.7909999999999999</v>
      </c>
      <c r="K586">
        <v>6.69</v>
      </c>
      <c r="L586">
        <v>3.7320000000000002</v>
      </c>
      <c r="M586">
        <v>1.3069999999999999</v>
      </c>
      <c r="N586">
        <v>0.64429999999999998</v>
      </c>
      <c r="O586">
        <v>0.26879999999999998</v>
      </c>
      <c r="P586">
        <v>0.16370000000000001</v>
      </c>
      <c r="Q586">
        <v>0.1201</v>
      </c>
      <c r="R586">
        <v>9.7339999999999996E-2</v>
      </c>
      <c r="S586">
        <v>7.4160000000000004E-2</v>
      </c>
      <c r="T586">
        <v>6.2050000000000001E-2</v>
      </c>
      <c r="U586">
        <v>4.8050000000000002E-2</v>
      </c>
      <c r="V586">
        <v>4.2939999999999999E-2</v>
      </c>
      <c r="W586">
        <v>3.9620000000000002E-2</v>
      </c>
      <c r="X586">
        <v>3.9260000000000003E-2</v>
      </c>
      <c r="Y586">
        <v>3.9890000000000002E-2</v>
      </c>
      <c r="Z586">
        <v>4.0910000000000002E-2</v>
      </c>
      <c r="AA586">
        <v>4.3400000000000001E-2</v>
      </c>
      <c r="AB586">
        <v>4.6030000000000001E-2</v>
      </c>
      <c r="AC586">
        <v>5.2139999999999999E-2</v>
      </c>
      <c r="AD586">
        <v>5.6959999999999997E-2</v>
      </c>
      <c r="AE586">
        <v>6.4229999999999995E-2</v>
      </c>
    </row>
    <row r="587" spans="1:31">
      <c r="A587">
        <v>71</v>
      </c>
      <c r="B587" t="str">
        <v>71LU</v>
      </c>
      <c r="C587" t="str">
        <v>lutetium</v>
      </c>
      <c r="D587">
        <v>217</v>
      </c>
      <c r="E587">
        <v>122.1</v>
      </c>
      <c r="F587">
        <v>56.98</v>
      </c>
      <c r="G587">
        <v>19.149999999999999</v>
      </c>
      <c r="H587">
        <v>8.77</v>
      </c>
      <c r="I587">
        <v>4.7869999999999999</v>
      </c>
      <c r="J587">
        <v>2.931</v>
      </c>
      <c r="K587">
        <v>6.9349999999999996</v>
      </c>
      <c r="L587">
        <v>3.879</v>
      </c>
      <c r="M587">
        <v>1.361</v>
      </c>
      <c r="N587">
        <v>0.67</v>
      </c>
      <c r="O587">
        <v>0.27810000000000001</v>
      </c>
      <c r="P587">
        <v>0.16830000000000001</v>
      </c>
      <c r="Q587">
        <v>0.123</v>
      </c>
      <c r="R587">
        <v>9.9279999999999993E-2</v>
      </c>
      <c r="S587">
        <v>7.5240000000000001E-2</v>
      </c>
      <c r="T587">
        <v>6.2820000000000001E-2</v>
      </c>
      <c r="U587">
        <v>4.8480000000000002E-2</v>
      </c>
      <c r="V587">
        <v>4.3299999999999998E-2</v>
      </c>
      <c r="W587">
        <v>4.0009999999999997E-2</v>
      </c>
      <c r="X587">
        <v>3.9669999999999997E-2</v>
      </c>
      <c r="Y587">
        <v>4.0320000000000002E-2</v>
      </c>
      <c r="Z587">
        <v>4.1360000000000001E-2</v>
      </c>
      <c r="AA587">
        <v>4.3909999999999998E-2</v>
      </c>
      <c r="AB587">
        <v>4.6580000000000003E-2</v>
      </c>
      <c r="AC587">
        <v>5.2780000000000001E-2</v>
      </c>
      <c r="AD587">
        <v>5.7689999999999998E-2</v>
      </c>
      <c r="AE587">
        <v>6.5100000000000005E-2</v>
      </c>
    </row>
    <row r="588" spans="1:31">
      <c r="A588">
        <v>72</v>
      </c>
      <c r="B588" t="str">
        <v>72HF</v>
      </c>
      <c r="C588" t="str">
        <v>hafnium</v>
      </c>
      <c r="D588">
        <v>225.9</v>
      </c>
      <c r="E588">
        <v>126.3</v>
      </c>
      <c r="F588">
        <v>58.99</v>
      </c>
      <c r="G588">
        <v>19.88</v>
      </c>
      <c r="H588">
        <v>9.1120000000000001</v>
      </c>
      <c r="I588">
        <v>4.9779999999999998</v>
      </c>
      <c r="J588">
        <v>3.048</v>
      </c>
      <c r="K588">
        <v>7.1189999999999998</v>
      </c>
      <c r="L588">
        <v>3.9969999999999999</v>
      </c>
      <c r="M588">
        <v>1.4019999999999999</v>
      </c>
      <c r="N588">
        <v>0.68989999999999996</v>
      </c>
      <c r="O588">
        <v>0.28499999999999998</v>
      </c>
      <c r="P588">
        <v>0.1716</v>
      </c>
      <c r="Q588">
        <v>0.12470000000000001</v>
      </c>
      <c r="R588">
        <v>0.1004</v>
      </c>
      <c r="S588">
        <v>7.5689999999999993E-2</v>
      </c>
      <c r="T588">
        <v>6.3E-2</v>
      </c>
      <c r="U588">
        <v>4.8480000000000002E-2</v>
      </c>
      <c r="V588">
        <v>4.3310000000000001E-2</v>
      </c>
      <c r="W588">
        <v>4.002E-2</v>
      </c>
      <c r="X588">
        <v>3.9710000000000002E-2</v>
      </c>
      <c r="Y588">
        <v>4.0390000000000002E-2</v>
      </c>
      <c r="Z588">
        <v>4.1450000000000001E-2</v>
      </c>
      <c r="AA588">
        <v>4.4019999999999997E-2</v>
      </c>
      <c r="AB588">
        <v>4.6710000000000002E-2</v>
      </c>
      <c r="AC588">
        <v>5.296E-2</v>
      </c>
      <c r="AD588">
        <v>5.7919999999999999E-2</v>
      </c>
      <c r="AE588">
        <v>6.5379999999999994E-2</v>
      </c>
    </row>
    <row r="589" spans="1:31">
      <c r="A589">
        <v>73</v>
      </c>
      <c r="B589" t="str">
        <v>73TA</v>
      </c>
      <c r="C589" t="str">
        <v>tantalum</v>
      </c>
      <c r="D589">
        <v>233.6</v>
      </c>
      <c r="E589">
        <v>131.30000000000001</v>
      </c>
      <c r="F589">
        <v>61.42</v>
      </c>
      <c r="G589">
        <v>20.75</v>
      </c>
      <c r="H589">
        <v>9.5180000000000007</v>
      </c>
      <c r="I589">
        <v>5.2050000000000001</v>
      </c>
      <c r="J589">
        <v>3.1880000000000002</v>
      </c>
      <c r="K589">
        <v>7.351</v>
      </c>
      <c r="L589">
        <v>4.1399999999999997</v>
      </c>
      <c r="M589">
        <v>1.454</v>
      </c>
      <c r="N589">
        <v>0.71479999999999999</v>
      </c>
      <c r="O589">
        <v>0.29380000000000001</v>
      </c>
      <c r="P589">
        <v>0.17599999999999999</v>
      </c>
      <c r="Q589">
        <v>0.1273</v>
      </c>
      <c r="R589">
        <v>0.1021</v>
      </c>
      <c r="S589">
        <v>7.6600000000000001E-2</v>
      </c>
      <c r="T589">
        <v>6.3579999999999998E-2</v>
      </c>
      <c r="U589">
        <v>4.8820000000000002E-2</v>
      </c>
      <c r="V589">
        <v>4.3549999999999998E-2</v>
      </c>
      <c r="W589">
        <v>4.0280000000000003E-2</v>
      </c>
      <c r="X589">
        <v>3.9989999999999998E-2</v>
      </c>
      <c r="Y589">
        <v>4.0680000000000001E-2</v>
      </c>
      <c r="Z589">
        <v>4.1770000000000002E-2</v>
      </c>
      <c r="AA589">
        <v>4.4380000000000003E-2</v>
      </c>
      <c r="AB589">
        <v>4.7109999999999999E-2</v>
      </c>
      <c r="AC589">
        <v>5.3449999999999998E-2</v>
      </c>
      <c r="AD589">
        <v>5.8479999999999997E-2</v>
      </c>
      <c r="AE589">
        <v>6.6019999999999995E-2</v>
      </c>
    </row>
    <row r="590" spans="1:31">
      <c r="A590">
        <v>74</v>
      </c>
      <c r="B590" t="str">
        <v>74W</v>
      </c>
      <c r="C590" t="str">
        <v>tungsten</v>
      </c>
      <c r="D590">
        <v>92.56</v>
      </c>
      <c r="E590">
        <v>136.1</v>
      </c>
      <c r="F590">
        <v>63.76</v>
      </c>
      <c r="G590">
        <v>21.58</v>
      </c>
      <c r="H590">
        <v>9.9220000000000006</v>
      </c>
      <c r="I590">
        <v>5.4260000000000002</v>
      </c>
      <c r="J590">
        <v>3.3239999999999998</v>
      </c>
      <c r="K590">
        <v>7.5679999999999996</v>
      </c>
      <c r="L590">
        <v>4.2729999999999997</v>
      </c>
      <c r="M590">
        <v>1.502</v>
      </c>
      <c r="N590">
        <v>0.73829999999999996</v>
      </c>
      <c r="O590">
        <v>0.30230000000000001</v>
      </c>
      <c r="P590">
        <v>0.18010000000000001</v>
      </c>
      <c r="Q590">
        <v>0.12970000000000001</v>
      </c>
      <c r="R590">
        <v>0.1036</v>
      </c>
      <c r="S590">
        <v>7.7380000000000004E-2</v>
      </c>
      <c r="T590">
        <v>6.4030000000000004E-2</v>
      </c>
      <c r="U590">
        <v>4.9020000000000001E-2</v>
      </c>
      <c r="V590">
        <v>4.3729999999999998E-2</v>
      </c>
      <c r="W590">
        <v>4.0460000000000003E-2</v>
      </c>
      <c r="X590">
        <v>4.0189999999999997E-2</v>
      </c>
      <c r="Y590">
        <v>4.0890000000000003E-2</v>
      </c>
      <c r="Z590">
        <v>4.199E-2</v>
      </c>
      <c r="AA590">
        <v>4.4639999999999999E-2</v>
      </c>
      <c r="AB590">
        <v>4.7410000000000001E-2</v>
      </c>
      <c r="AC590">
        <v>5.3800000000000001E-2</v>
      </c>
      <c r="AD590">
        <v>5.8889999999999998E-2</v>
      </c>
      <c r="AE590">
        <v>6.6500000000000004E-2</v>
      </c>
    </row>
    <row r="591" spans="1:31">
      <c r="A591">
        <v>75</v>
      </c>
      <c r="B591" t="str">
        <v>75RE</v>
      </c>
      <c r="C591" t="str">
        <v>rhenium</v>
      </c>
      <c r="D591">
        <v>96.67</v>
      </c>
      <c r="E591">
        <v>141.1</v>
      </c>
      <c r="F591">
        <v>66.349999999999994</v>
      </c>
      <c r="G591">
        <v>22.51</v>
      </c>
      <c r="H591">
        <v>10.36</v>
      </c>
      <c r="I591">
        <v>5.6689999999999996</v>
      </c>
      <c r="J591">
        <v>3.4729999999999999</v>
      </c>
      <c r="K591">
        <v>7.8230000000000004</v>
      </c>
      <c r="L591">
        <v>4.4180000000000001</v>
      </c>
      <c r="M591">
        <v>1.556</v>
      </c>
      <c r="N591">
        <v>0.76449999999999996</v>
      </c>
      <c r="O591">
        <v>0.31180000000000002</v>
      </c>
      <c r="P591">
        <v>0.18479999999999999</v>
      </c>
      <c r="Q591">
        <v>0.1326</v>
      </c>
      <c r="R591">
        <v>0.1055</v>
      </c>
      <c r="S591">
        <v>7.8399999999999997E-2</v>
      </c>
      <c r="T591">
        <v>6.4689999999999998E-2</v>
      </c>
      <c r="U591">
        <v>4.9369999999999997E-2</v>
      </c>
      <c r="V591">
        <v>4.4049999999999999E-2</v>
      </c>
      <c r="W591">
        <v>4.0750000000000001E-2</v>
      </c>
      <c r="X591">
        <v>4.0489999999999998E-2</v>
      </c>
      <c r="Y591">
        <v>4.1230000000000003E-2</v>
      </c>
      <c r="Z591">
        <v>4.2349999999999999E-2</v>
      </c>
      <c r="AA591">
        <v>4.5030000000000001E-2</v>
      </c>
      <c r="AB591">
        <v>4.7840000000000001E-2</v>
      </c>
      <c r="AC591">
        <v>5.432E-2</v>
      </c>
      <c r="AD591">
        <v>5.9490000000000001E-2</v>
      </c>
      <c r="AE591">
        <v>6.7199999999999996E-2</v>
      </c>
    </row>
    <row r="592" spans="1:31">
      <c r="A592">
        <v>76</v>
      </c>
      <c r="B592" t="str">
        <v>76OS</v>
      </c>
      <c r="C592" t="str">
        <v>osmium</v>
      </c>
      <c r="D592">
        <v>100</v>
      </c>
      <c r="E592">
        <v>144.9</v>
      </c>
      <c r="F592">
        <v>68.34</v>
      </c>
      <c r="G592">
        <v>23.25</v>
      </c>
      <c r="H592">
        <v>10.71</v>
      </c>
      <c r="I592">
        <v>5.8689999999999998</v>
      </c>
      <c r="J592">
        <v>3.5979999999999999</v>
      </c>
      <c r="K592">
        <v>8.0370000000000008</v>
      </c>
      <c r="L592">
        <v>4.5259999999999998</v>
      </c>
      <c r="M592">
        <v>1.597</v>
      </c>
      <c r="N592">
        <v>0.78449999999999998</v>
      </c>
      <c r="O592">
        <v>0.31869999999999998</v>
      </c>
      <c r="P592">
        <v>0.18809999999999999</v>
      </c>
      <c r="Q592">
        <v>0.13420000000000001</v>
      </c>
      <c r="R592">
        <v>0.1065</v>
      </c>
      <c r="S592">
        <v>7.8789999999999999E-2</v>
      </c>
      <c r="T592">
        <v>6.4810000000000006E-2</v>
      </c>
      <c r="U592">
        <v>4.9299999999999997E-2</v>
      </c>
      <c r="V592">
        <v>4.3950000000000003E-2</v>
      </c>
      <c r="W592">
        <v>4.0689999999999997E-2</v>
      </c>
      <c r="X592">
        <v>4.0460000000000003E-2</v>
      </c>
      <c r="Y592">
        <v>4.1200000000000001E-2</v>
      </c>
      <c r="Z592">
        <v>4.233E-2</v>
      </c>
      <c r="AA592">
        <v>4.5030000000000001E-2</v>
      </c>
      <c r="AB592">
        <v>4.7849999999999997E-2</v>
      </c>
      <c r="AC592">
        <v>5.4370000000000002E-2</v>
      </c>
      <c r="AD592">
        <v>5.9520000000000003E-2</v>
      </c>
      <c r="AE592">
        <v>6.7269999999999996E-2</v>
      </c>
    </row>
    <row r="593" spans="1:31">
      <c r="A593">
        <v>77</v>
      </c>
      <c r="B593" t="str">
        <v>77IR</v>
      </c>
      <c r="C593" t="str">
        <v>iridium</v>
      </c>
      <c r="D593">
        <v>104.4</v>
      </c>
      <c r="E593">
        <v>150</v>
      </c>
      <c r="F593">
        <v>71.11</v>
      </c>
      <c r="G593">
        <v>24.25</v>
      </c>
      <c r="H593">
        <v>11.19</v>
      </c>
      <c r="I593">
        <v>6.1349999999999998</v>
      </c>
      <c r="J593">
        <v>3.7589999999999999</v>
      </c>
      <c r="K593">
        <v>8.3260000000000005</v>
      </c>
      <c r="L593">
        <v>4.68</v>
      </c>
      <c r="M593">
        <v>1.6559999999999999</v>
      </c>
      <c r="N593">
        <v>0.81299999999999994</v>
      </c>
      <c r="O593">
        <v>0.32929999999999998</v>
      </c>
      <c r="P593">
        <v>0.19339999999999999</v>
      </c>
      <c r="Q593">
        <v>0.1376</v>
      </c>
      <c r="R593">
        <v>0.1087</v>
      </c>
      <c r="S593">
        <v>8.0009999999999998E-2</v>
      </c>
      <c r="T593">
        <v>6.5619999999999998E-2</v>
      </c>
      <c r="U593">
        <v>4.9759999999999999E-2</v>
      </c>
      <c r="V593">
        <v>4.4359999999999997E-2</v>
      </c>
      <c r="W593">
        <v>4.1070000000000002E-2</v>
      </c>
      <c r="X593">
        <v>4.0840000000000001E-2</v>
      </c>
      <c r="Y593">
        <v>4.1599999999999998E-2</v>
      </c>
      <c r="Z593">
        <v>4.2750000000000003E-2</v>
      </c>
      <c r="AA593">
        <v>4.5499999999999999E-2</v>
      </c>
      <c r="AB593">
        <v>4.8379999999999999E-2</v>
      </c>
      <c r="AC593">
        <v>5.4969999999999998E-2</v>
      </c>
      <c r="AD593">
        <v>6.0199999999999997E-2</v>
      </c>
      <c r="AE593">
        <v>6.8059999999999996E-2</v>
      </c>
    </row>
    <row r="594" spans="1:31">
      <c r="A594">
        <v>78</v>
      </c>
      <c r="B594" t="str">
        <v>78PT</v>
      </c>
      <c r="C594" t="str">
        <v>platinum</v>
      </c>
      <c r="D594">
        <v>108.6</v>
      </c>
      <c r="E594">
        <v>154.80000000000001</v>
      </c>
      <c r="F594">
        <v>73.62</v>
      </c>
      <c r="G594">
        <v>25.18</v>
      </c>
      <c r="H594">
        <v>11.64</v>
      </c>
      <c r="I594">
        <v>6.383</v>
      </c>
      <c r="J594">
        <v>3.9159999999999999</v>
      </c>
      <c r="K594">
        <v>8.4689999999999994</v>
      </c>
      <c r="L594">
        <v>4.8140000000000001</v>
      </c>
      <c r="M594">
        <v>1.7090000000000001</v>
      </c>
      <c r="N594">
        <v>0.8387</v>
      </c>
      <c r="O594">
        <v>0.33860000000000001</v>
      </c>
      <c r="P594">
        <v>0.19800000000000001</v>
      </c>
      <c r="Q594">
        <v>0.14019999999999999</v>
      </c>
      <c r="R594">
        <v>0.1105</v>
      </c>
      <c r="S594">
        <v>8.0949999999999994E-2</v>
      </c>
      <c r="T594">
        <v>6.6180000000000003E-2</v>
      </c>
      <c r="U594">
        <v>5.0009999999999999E-2</v>
      </c>
      <c r="V594">
        <v>4.4589999999999998E-2</v>
      </c>
      <c r="W594">
        <v>4.1279999999999997E-2</v>
      </c>
      <c r="X594">
        <v>4.104E-2</v>
      </c>
      <c r="Y594">
        <v>4.181E-2</v>
      </c>
      <c r="Z594">
        <v>4.299E-2</v>
      </c>
      <c r="AA594">
        <v>4.5760000000000002E-2</v>
      </c>
      <c r="AB594">
        <v>4.8649999999999999E-2</v>
      </c>
      <c r="AC594">
        <v>5.5320000000000001E-2</v>
      </c>
      <c r="AD594">
        <v>6.0600000000000001E-2</v>
      </c>
      <c r="AE594">
        <v>6.8529999999999994E-2</v>
      </c>
    </row>
    <row r="595" spans="1:31">
      <c r="A595">
        <v>79</v>
      </c>
      <c r="B595" t="str">
        <v>79AU</v>
      </c>
      <c r="C595" t="str">
        <v>gold</v>
      </c>
      <c r="D595">
        <v>113.4</v>
      </c>
      <c r="E595">
        <v>160.6</v>
      </c>
      <c r="F595">
        <v>76.650000000000006</v>
      </c>
      <c r="G595">
        <v>26.26</v>
      </c>
      <c r="H595">
        <v>12.15</v>
      </c>
      <c r="I595">
        <v>6.673</v>
      </c>
      <c r="J595">
        <v>4.0940000000000003</v>
      </c>
      <c r="K595">
        <v>1.915</v>
      </c>
      <c r="L595">
        <v>4.9740000000000002</v>
      </c>
      <c r="M595">
        <v>1.77</v>
      </c>
      <c r="N595">
        <v>0.86919999999999997</v>
      </c>
      <c r="O595">
        <v>0.34989999999999999</v>
      </c>
      <c r="P595">
        <v>0.20380000000000001</v>
      </c>
      <c r="Q595">
        <v>0.14369999999999999</v>
      </c>
      <c r="R595">
        <v>0.1129</v>
      </c>
      <c r="S595">
        <v>8.2290000000000002E-2</v>
      </c>
      <c r="T595">
        <v>6.7119999999999999E-2</v>
      </c>
      <c r="U595">
        <v>5.0529999999999999E-2</v>
      </c>
      <c r="V595">
        <v>4.5010000000000001E-2</v>
      </c>
      <c r="W595">
        <v>4.1680000000000002E-2</v>
      </c>
      <c r="X595">
        <v>4.1450000000000001E-2</v>
      </c>
      <c r="Y595">
        <v>4.224E-2</v>
      </c>
      <c r="Z595">
        <v>4.3430000000000003E-2</v>
      </c>
      <c r="AA595">
        <v>4.6249999999999999E-2</v>
      </c>
      <c r="AB595">
        <v>4.9189999999999998E-2</v>
      </c>
      <c r="AC595">
        <v>5.5930000000000001E-2</v>
      </c>
      <c r="AD595">
        <v>6.132E-2</v>
      </c>
      <c r="AE595">
        <v>6.9370000000000001E-2</v>
      </c>
    </row>
    <row r="596" spans="1:31">
      <c r="A596">
        <v>80</v>
      </c>
      <c r="B596" t="str">
        <v>80HG</v>
      </c>
      <c r="C596" t="str">
        <v>mercury</v>
      </c>
      <c r="D596">
        <v>117.3</v>
      </c>
      <c r="E596">
        <v>165</v>
      </c>
      <c r="F596">
        <v>79.05</v>
      </c>
      <c r="G596">
        <v>27.13</v>
      </c>
      <c r="H596">
        <v>12.57</v>
      </c>
      <c r="I596">
        <v>6.907</v>
      </c>
      <c r="J596">
        <v>4.2409999999999997</v>
      </c>
      <c r="K596">
        <v>1.9850000000000001</v>
      </c>
      <c r="L596">
        <v>5.09</v>
      </c>
      <c r="M596">
        <v>1.819</v>
      </c>
      <c r="N596">
        <v>0.89229999999999998</v>
      </c>
      <c r="O596">
        <v>0.35849999999999999</v>
      </c>
      <c r="P596">
        <v>0.2079</v>
      </c>
      <c r="Q596">
        <v>0.14610000000000001</v>
      </c>
      <c r="R596">
        <v>0.1143</v>
      </c>
      <c r="S596">
        <v>8.2989999999999994E-2</v>
      </c>
      <c r="T596">
        <v>6.7449999999999996E-2</v>
      </c>
      <c r="U596">
        <v>5.0650000000000001E-2</v>
      </c>
      <c r="V596">
        <v>4.5080000000000002E-2</v>
      </c>
      <c r="W596">
        <v>4.1730000000000003E-2</v>
      </c>
      <c r="X596">
        <v>4.1509999999999998E-2</v>
      </c>
      <c r="Y596">
        <v>4.231E-2</v>
      </c>
      <c r="Z596">
        <v>4.3499999999999997E-2</v>
      </c>
      <c r="AA596">
        <v>4.6350000000000002E-2</v>
      </c>
      <c r="AB596">
        <v>4.9299999999999997E-2</v>
      </c>
      <c r="AC596">
        <v>5.6079999999999998E-2</v>
      </c>
      <c r="AD596">
        <v>6.1499999999999999E-2</v>
      </c>
      <c r="AE596">
        <v>6.9580000000000003E-2</v>
      </c>
    </row>
    <row r="597" spans="1:31">
      <c r="A597">
        <v>81</v>
      </c>
      <c r="B597" t="str">
        <v>81TL</v>
      </c>
      <c r="C597" t="str">
        <v>thallium</v>
      </c>
      <c r="D597">
        <v>121.2</v>
      </c>
      <c r="E597">
        <v>146.5</v>
      </c>
      <c r="F597">
        <v>81.38</v>
      </c>
      <c r="G597">
        <v>27.99</v>
      </c>
      <c r="H597">
        <v>12.99</v>
      </c>
      <c r="I597">
        <v>7.1459999999999999</v>
      </c>
      <c r="J597">
        <v>4.391</v>
      </c>
      <c r="K597">
        <v>2.0539999999999998</v>
      </c>
      <c r="L597">
        <v>5.2060000000000004</v>
      </c>
      <c r="M597">
        <v>1.865</v>
      </c>
      <c r="N597">
        <v>0.91520000000000001</v>
      </c>
      <c r="O597">
        <v>0.36680000000000001</v>
      </c>
      <c r="P597">
        <v>0.21199999999999999</v>
      </c>
      <c r="Q597">
        <v>0.1484</v>
      </c>
      <c r="R597">
        <v>0.1158</v>
      </c>
      <c r="S597">
        <v>8.3610000000000004E-2</v>
      </c>
      <c r="T597">
        <v>6.7769999999999997E-2</v>
      </c>
      <c r="U597">
        <v>5.0700000000000002E-2</v>
      </c>
      <c r="V597">
        <v>4.512E-2</v>
      </c>
      <c r="W597">
        <v>4.1759999999999999E-2</v>
      </c>
      <c r="X597">
        <v>4.1540000000000001E-2</v>
      </c>
      <c r="Y597">
        <v>4.233E-2</v>
      </c>
      <c r="Z597">
        <v>4.3540000000000002E-2</v>
      </c>
      <c r="AA597">
        <v>4.6390000000000001E-2</v>
      </c>
      <c r="AB597">
        <v>4.9360000000000001E-2</v>
      </c>
      <c r="AC597">
        <v>5.6169999999999998E-2</v>
      </c>
      <c r="AD597">
        <v>6.1580000000000003E-2</v>
      </c>
      <c r="AE597">
        <v>6.9720000000000004E-2</v>
      </c>
    </row>
    <row r="598" spans="1:31">
      <c r="A598">
        <v>82</v>
      </c>
      <c r="B598" t="str">
        <v>82PB</v>
      </c>
      <c r="C598" t="str">
        <v>lead</v>
      </c>
      <c r="D598">
        <v>125.7</v>
      </c>
      <c r="E598">
        <v>108.4</v>
      </c>
      <c r="F598">
        <v>84.11</v>
      </c>
      <c r="G598">
        <v>29</v>
      </c>
      <c r="H598">
        <v>13.49</v>
      </c>
      <c r="I598">
        <v>7.4260000000000002</v>
      </c>
      <c r="J598">
        <v>4.5629999999999997</v>
      </c>
      <c r="K598">
        <v>2.1349999999999998</v>
      </c>
      <c r="L598">
        <v>5.3550000000000004</v>
      </c>
      <c r="M598">
        <v>1.921</v>
      </c>
      <c r="N598">
        <v>0.94320000000000004</v>
      </c>
      <c r="O598">
        <v>0.37719999999999998</v>
      </c>
      <c r="P598">
        <v>0.2172</v>
      </c>
      <c r="Q598">
        <v>0.15140000000000001</v>
      </c>
      <c r="R598">
        <v>0.1178</v>
      </c>
      <c r="S598">
        <v>8.4720000000000004E-2</v>
      </c>
      <c r="T598">
        <v>6.8440000000000001E-2</v>
      </c>
      <c r="U598">
        <v>5.1020000000000003E-2</v>
      </c>
      <c r="V598">
        <v>4.5359999999999998E-2</v>
      </c>
      <c r="W598">
        <v>4.199E-2</v>
      </c>
      <c r="X598">
        <v>4.1750000000000002E-2</v>
      </c>
      <c r="Y598">
        <v>4.2569999999999997E-2</v>
      </c>
      <c r="Z598">
        <v>4.3790000000000003E-2</v>
      </c>
      <c r="AA598">
        <v>4.6670000000000003E-2</v>
      </c>
      <c r="AB598">
        <v>4.965E-2</v>
      </c>
      <c r="AC598">
        <v>5.6529999999999997E-2</v>
      </c>
      <c r="AD598">
        <v>6.2019999999999999E-2</v>
      </c>
      <c r="AE598">
        <v>7.0190000000000002E-2</v>
      </c>
    </row>
    <row r="599" spans="1:31">
      <c r="A599">
        <v>83</v>
      </c>
      <c r="B599" t="str">
        <v>83BI</v>
      </c>
      <c r="C599" t="str">
        <v>bismuth</v>
      </c>
      <c r="D599">
        <v>131</v>
      </c>
      <c r="E599">
        <v>112.7</v>
      </c>
      <c r="F599">
        <v>87.2</v>
      </c>
      <c r="G599">
        <v>30.17</v>
      </c>
      <c r="H599">
        <v>14.06</v>
      </c>
      <c r="I599">
        <v>7.7469999999999999</v>
      </c>
      <c r="J599">
        <v>4.7640000000000002</v>
      </c>
      <c r="K599">
        <v>2.2309999999999999</v>
      </c>
      <c r="L599">
        <v>5.5380000000000003</v>
      </c>
      <c r="M599">
        <v>1.9850000000000001</v>
      </c>
      <c r="N599">
        <v>0.97609999999999997</v>
      </c>
      <c r="O599">
        <v>0.38969999999999999</v>
      </c>
      <c r="P599">
        <v>0.22359999999999999</v>
      </c>
      <c r="Q599">
        <v>0.1555</v>
      </c>
      <c r="R599">
        <v>0.1205</v>
      </c>
      <c r="S599">
        <v>8.6249999999999993E-2</v>
      </c>
      <c r="T599">
        <v>6.9470000000000004E-2</v>
      </c>
      <c r="U599">
        <v>5.1610000000000003E-2</v>
      </c>
      <c r="V599">
        <v>4.5859999999999998E-2</v>
      </c>
      <c r="W599">
        <v>4.2430000000000002E-2</v>
      </c>
      <c r="X599">
        <v>4.2200000000000001E-2</v>
      </c>
      <c r="Y599">
        <v>4.301E-2</v>
      </c>
      <c r="Z599">
        <v>4.4249999999999998E-2</v>
      </c>
      <c r="AA599">
        <v>4.7160000000000001E-2</v>
      </c>
      <c r="AB599">
        <v>5.0180000000000002E-2</v>
      </c>
      <c r="AC599">
        <v>5.7160000000000002E-2</v>
      </c>
      <c r="AD599">
        <v>6.2719999999999998E-2</v>
      </c>
      <c r="AE599">
        <v>7.1029999999999996E-2</v>
      </c>
    </row>
    <row r="600" spans="1:31">
      <c r="A600">
        <v>84</v>
      </c>
      <c r="B600" t="str">
        <v>84PO</v>
      </c>
      <c r="C600" t="str">
        <v>polonium</v>
      </c>
      <c r="D600">
        <v>137.6</v>
      </c>
      <c r="E600">
        <v>118.5</v>
      </c>
      <c r="F600">
        <v>91.15</v>
      </c>
      <c r="G600">
        <v>31.64</v>
      </c>
      <c r="H600">
        <v>14.77</v>
      </c>
      <c r="I600">
        <v>8.15</v>
      </c>
      <c r="J600">
        <v>5.0140000000000002</v>
      </c>
      <c r="K600">
        <v>2.3479999999999999</v>
      </c>
      <c r="L600">
        <v>5.7839999999999998</v>
      </c>
      <c r="M600">
        <v>2.0699999999999998</v>
      </c>
      <c r="N600">
        <v>1.018</v>
      </c>
      <c r="O600">
        <v>0.40570000000000001</v>
      </c>
      <c r="P600">
        <v>0.23219999999999999</v>
      </c>
      <c r="Q600">
        <v>0.16089999999999999</v>
      </c>
      <c r="R600">
        <v>0.1244</v>
      </c>
      <c r="S600">
        <v>8.8580000000000006E-2</v>
      </c>
      <c r="T600">
        <v>7.1120000000000003E-2</v>
      </c>
      <c r="U600">
        <v>5.2650000000000002E-2</v>
      </c>
      <c r="V600">
        <v>4.6730000000000001E-2</v>
      </c>
      <c r="W600">
        <v>4.3249999999999997E-2</v>
      </c>
      <c r="X600">
        <v>4.2999999999999997E-2</v>
      </c>
      <c r="Y600">
        <v>4.3830000000000001E-2</v>
      </c>
      <c r="Z600">
        <v>4.5089999999999998E-2</v>
      </c>
      <c r="AA600">
        <v>4.8070000000000002E-2</v>
      </c>
      <c r="AB600">
        <v>5.117E-2</v>
      </c>
      <c r="AC600">
        <v>5.8299999999999998E-2</v>
      </c>
      <c r="AD600">
        <v>6.3939999999999997E-2</v>
      </c>
      <c r="AE600">
        <v>7.2459999999999997E-2</v>
      </c>
    </row>
    <row r="601" spans="1:31">
      <c r="A601">
        <v>85</v>
      </c>
      <c r="B601" t="str">
        <v>85AT</v>
      </c>
      <c r="C601" t="str">
        <v>astatine</v>
      </c>
      <c r="D601">
        <v>143.69999999999999</v>
      </c>
      <c r="E601">
        <v>124.3</v>
      </c>
      <c r="F601">
        <v>94.59</v>
      </c>
      <c r="G601">
        <v>33.01</v>
      </c>
      <c r="H601">
        <v>15.44</v>
      </c>
      <c r="I601">
        <v>8.5250000000000004</v>
      </c>
      <c r="J601">
        <v>5.2489999999999997</v>
      </c>
      <c r="K601">
        <v>2.46</v>
      </c>
      <c r="L601">
        <v>5.9619999999999997</v>
      </c>
      <c r="M601">
        <v>2.1459999999999999</v>
      </c>
      <c r="N601">
        <v>1.0569999999999999</v>
      </c>
      <c r="O601">
        <v>0.42049999999999998</v>
      </c>
      <c r="P601">
        <v>0.2399</v>
      </c>
      <c r="Q601">
        <v>0.1656</v>
      </c>
      <c r="R601">
        <v>0.12770000000000001</v>
      </c>
      <c r="S601">
        <v>9.0569999999999998E-2</v>
      </c>
      <c r="T601">
        <v>7.2480000000000003E-2</v>
      </c>
      <c r="U601">
        <v>5.3449999999999998E-2</v>
      </c>
      <c r="V601">
        <v>4.743E-2</v>
      </c>
      <c r="W601">
        <v>4.3860000000000003E-2</v>
      </c>
      <c r="X601">
        <v>4.3589999999999997E-2</v>
      </c>
      <c r="Y601">
        <v>4.444E-2</v>
      </c>
      <c r="Z601">
        <v>4.5719999999999997E-2</v>
      </c>
      <c r="AA601">
        <v>4.8739999999999999E-2</v>
      </c>
      <c r="AB601">
        <v>5.1880000000000003E-2</v>
      </c>
      <c r="AC601">
        <v>5.9130000000000002E-2</v>
      </c>
      <c r="AD601">
        <v>6.4890000000000003E-2</v>
      </c>
      <c r="AE601">
        <v>7.3539999999999994E-2</v>
      </c>
    </row>
    <row r="602" spans="1:31">
      <c r="A602">
        <v>86</v>
      </c>
      <c r="B602" t="str">
        <v>86RN</v>
      </c>
      <c r="C602" t="str">
        <v>radon</v>
      </c>
      <c r="D602">
        <v>142.69999999999999</v>
      </c>
      <c r="E602">
        <v>122.5</v>
      </c>
      <c r="F602">
        <v>93.27</v>
      </c>
      <c r="G602">
        <v>32.69</v>
      </c>
      <c r="H602">
        <v>15.32</v>
      </c>
      <c r="I602">
        <v>8.4710000000000001</v>
      </c>
      <c r="J602">
        <v>5.2210000000000001</v>
      </c>
      <c r="K602">
        <v>2.4470000000000001</v>
      </c>
      <c r="L602">
        <v>5.8789999999999996</v>
      </c>
      <c r="M602">
        <v>2.1139999999999999</v>
      </c>
      <c r="N602">
        <v>1.042</v>
      </c>
      <c r="O602">
        <v>0.41389999999999999</v>
      </c>
      <c r="P602">
        <v>0.23549999999999999</v>
      </c>
      <c r="Q602">
        <v>0.16220000000000001</v>
      </c>
      <c r="R602">
        <v>0.1246</v>
      </c>
      <c r="S602">
        <v>8.7989999999999999E-2</v>
      </c>
      <c r="T602">
        <v>7.0209999999999995E-2</v>
      </c>
      <c r="U602">
        <v>5.1610000000000003E-2</v>
      </c>
      <c r="V602">
        <v>4.5749999999999999E-2</v>
      </c>
      <c r="W602">
        <v>4.2270000000000002E-2</v>
      </c>
      <c r="X602">
        <v>4.2009999999999999E-2</v>
      </c>
      <c r="Y602">
        <v>4.2810000000000001E-2</v>
      </c>
      <c r="Z602">
        <v>4.4049999999999999E-2</v>
      </c>
      <c r="AA602">
        <v>4.6960000000000002E-2</v>
      </c>
      <c r="AB602">
        <v>0.05</v>
      </c>
      <c r="AC602">
        <v>5.6989999999999999E-2</v>
      </c>
      <c r="AD602">
        <v>6.2560000000000004E-2</v>
      </c>
      <c r="AE602">
        <v>7.0900000000000005E-2</v>
      </c>
    </row>
    <row r="603" spans="1:31">
      <c r="A603">
        <v>87</v>
      </c>
      <c r="B603" t="str">
        <v>87FR</v>
      </c>
      <c r="C603" t="str">
        <v>francium</v>
      </c>
      <c r="D603">
        <v>148.80000000000001</v>
      </c>
      <c r="E603">
        <v>52.31</v>
      </c>
      <c r="F603">
        <v>96.9</v>
      </c>
      <c r="G603">
        <v>34.08</v>
      </c>
      <c r="H603">
        <v>15.99</v>
      </c>
      <c r="I603">
        <v>8.8539999999999992</v>
      </c>
      <c r="J603">
        <v>5.4610000000000003</v>
      </c>
      <c r="K603">
        <v>2.5609999999999999</v>
      </c>
      <c r="L603">
        <v>1.4419999999999999</v>
      </c>
      <c r="M603">
        <v>2.19</v>
      </c>
      <c r="N603">
        <v>1.08</v>
      </c>
      <c r="O603">
        <v>0.42899999999999999</v>
      </c>
      <c r="P603">
        <v>0.24329999999999999</v>
      </c>
      <c r="Q603">
        <v>0.16700000000000001</v>
      </c>
      <c r="R603">
        <v>0.128</v>
      </c>
      <c r="S603">
        <v>8.9969999999999994E-2</v>
      </c>
      <c r="T603">
        <v>7.1609999999999993E-2</v>
      </c>
      <c r="U603">
        <v>5.2420000000000001E-2</v>
      </c>
      <c r="V603">
        <v>4.641E-2</v>
      </c>
      <c r="W603">
        <v>4.2860000000000002E-2</v>
      </c>
      <c r="X603">
        <v>4.2590000000000003E-2</v>
      </c>
      <c r="Y603">
        <v>4.3409999999999997E-2</v>
      </c>
      <c r="Z603">
        <v>4.4659999999999998E-2</v>
      </c>
      <c r="AA603">
        <v>4.7600000000000003E-2</v>
      </c>
      <c r="AB603">
        <v>5.0700000000000002E-2</v>
      </c>
      <c r="AC603">
        <v>5.781E-2</v>
      </c>
      <c r="AD603">
        <v>6.3460000000000003E-2</v>
      </c>
      <c r="AE603">
        <v>7.1959999999999996E-2</v>
      </c>
    </row>
    <row r="604" spans="1:31">
      <c r="A604">
        <v>88</v>
      </c>
      <c r="B604" t="str">
        <v>88RA</v>
      </c>
      <c r="C604" t="str">
        <v>radium</v>
      </c>
      <c r="D604">
        <v>153.69999999999999</v>
      </c>
      <c r="E604">
        <v>54.13</v>
      </c>
      <c r="F604">
        <v>99.83</v>
      </c>
      <c r="G604">
        <v>35.200000000000003</v>
      </c>
      <c r="H604">
        <v>16.54</v>
      </c>
      <c r="I604">
        <v>9.1690000000000005</v>
      </c>
      <c r="J604">
        <v>5.6589999999999998</v>
      </c>
      <c r="K604">
        <v>2.6560000000000001</v>
      </c>
      <c r="L604">
        <v>1.496</v>
      </c>
      <c r="M604">
        <v>2.2490000000000001</v>
      </c>
      <c r="N604">
        <v>1.109</v>
      </c>
      <c r="O604">
        <v>0.44009999999999999</v>
      </c>
      <c r="P604">
        <v>0.24909999999999999</v>
      </c>
      <c r="Q604">
        <v>0.17050000000000001</v>
      </c>
      <c r="R604">
        <v>0.13039999999999999</v>
      </c>
      <c r="S604">
        <v>9.1230000000000006E-2</v>
      </c>
      <c r="T604">
        <v>7.2370000000000004E-2</v>
      </c>
      <c r="U604">
        <v>5.2769999999999997E-2</v>
      </c>
      <c r="V604">
        <v>4.6690000000000002E-2</v>
      </c>
      <c r="W604">
        <v>4.3090000000000003E-2</v>
      </c>
      <c r="X604">
        <v>4.2799999999999998E-2</v>
      </c>
      <c r="Y604">
        <v>4.3619999999999999E-2</v>
      </c>
      <c r="Z604">
        <v>4.487E-2</v>
      </c>
      <c r="AA604">
        <v>4.7840000000000001E-2</v>
      </c>
      <c r="AB604">
        <v>5.0950000000000002E-2</v>
      </c>
      <c r="AC604">
        <v>5.8099999999999999E-2</v>
      </c>
      <c r="AD604">
        <v>6.3789999999999999E-2</v>
      </c>
      <c r="AE604">
        <v>7.2330000000000005E-2</v>
      </c>
    </row>
    <row r="605" spans="1:31">
      <c r="A605">
        <v>89</v>
      </c>
      <c r="B605" t="str">
        <v>89AC</v>
      </c>
      <c r="C605" t="str">
        <v>actinium</v>
      </c>
      <c r="D605">
        <v>160</v>
      </c>
      <c r="E605">
        <v>56.46</v>
      </c>
      <c r="F605">
        <v>103.6</v>
      </c>
      <c r="G605">
        <v>36.64</v>
      </c>
      <c r="H605">
        <v>17.25</v>
      </c>
      <c r="I605">
        <v>9.5709999999999997</v>
      </c>
      <c r="J605">
        <v>5.9109999999999996</v>
      </c>
      <c r="K605">
        <v>2.778</v>
      </c>
      <c r="L605">
        <v>1.5640000000000001</v>
      </c>
      <c r="M605">
        <v>2.3250000000000002</v>
      </c>
      <c r="N605">
        <v>1.149</v>
      </c>
      <c r="O605">
        <v>0.4556</v>
      </c>
      <c r="P605">
        <v>0.25719999999999998</v>
      </c>
      <c r="Q605">
        <v>0.17560000000000001</v>
      </c>
      <c r="R605">
        <v>0.13389999999999999</v>
      </c>
      <c r="S605">
        <v>9.3310000000000004E-2</v>
      </c>
      <c r="T605">
        <v>7.3800000000000004E-2</v>
      </c>
      <c r="U605">
        <v>5.3609999999999998E-2</v>
      </c>
      <c r="V605">
        <v>4.7399999999999998E-2</v>
      </c>
      <c r="W605">
        <v>4.369E-2</v>
      </c>
      <c r="X605">
        <v>4.3380000000000002E-2</v>
      </c>
      <c r="Y605">
        <v>4.4200000000000003E-2</v>
      </c>
      <c r="Z605">
        <v>4.546E-2</v>
      </c>
      <c r="AA605">
        <v>4.8469999999999999E-2</v>
      </c>
      <c r="AB605">
        <v>5.1639999999999998E-2</v>
      </c>
      <c r="AC605">
        <v>5.8900000000000001E-2</v>
      </c>
      <c r="AD605">
        <v>6.4689999999999998E-2</v>
      </c>
      <c r="AE605">
        <v>7.3389999999999997E-2</v>
      </c>
    </row>
    <row r="606" spans="1:31">
      <c r="A606">
        <v>90</v>
      </c>
      <c r="B606" t="str">
        <v>90TH</v>
      </c>
      <c r="C606" t="str">
        <v>thorium</v>
      </c>
      <c r="D606">
        <v>163.6</v>
      </c>
      <c r="E606">
        <v>57.87</v>
      </c>
      <c r="F606">
        <v>91.13</v>
      </c>
      <c r="G606">
        <v>37.43</v>
      </c>
      <c r="H606">
        <v>17.66</v>
      </c>
      <c r="I606">
        <v>9.8160000000000007</v>
      </c>
      <c r="J606">
        <v>6.0659999999999998</v>
      </c>
      <c r="K606">
        <v>2.851</v>
      </c>
      <c r="L606">
        <v>1.6060000000000001</v>
      </c>
      <c r="M606">
        <v>2.3620000000000001</v>
      </c>
      <c r="N606">
        <v>1.169</v>
      </c>
      <c r="O606">
        <v>0.46329999999999999</v>
      </c>
      <c r="P606">
        <v>0.26100000000000001</v>
      </c>
      <c r="Q606">
        <v>0.17780000000000001</v>
      </c>
      <c r="R606">
        <v>0.13519999999999999</v>
      </c>
      <c r="S606">
        <v>9.3850000000000003E-2</v>
      </c>
      <c r="T606">
        <v>7.3980000000000004E-2</v>
      </c>
      <c r="U606">
        <v>5.3530000000000001E-2</v>
      </c>
      <c r="V606">
        <v>4.7260000000000003E-2</v>
      </c>
      <c r="W606">
        <v>4.3549999999999998E-2</v>
      </c>
      <c r="X606">
        <v>4.3220000000000001E-2</v>
      </c>
      <c r="Y606">
        <v>4.403E-2</v>
      </c>
      <c r="Z606">
        <v>4.5280000000000001E-2</v>
      </c>
      <c r="AA606">
        <v>4.827E-2</v>
      </c>
      <c r="AB606">
        <v>5.142E-2</v>
      </c>
      <c r="AC606">
        <v>5.8659999999999997E-2</v>
      </c>
      <c r="AD606">
        <v>6.4430000000000001E-2</v>
      </c>
      <c r="AE606">
        <v>7.3120000000000004E-2</v>
      </c>
    </row>
    <row r="607" spans="1:31">
      <c r="A607">
        <v>91</v>
      </c>
      <c r="B607" t="str">
        <v>91PA</v>
      </c>
      <c r="C607" t="str">
        <v>protactinium</v>
      </c>
      <c r="D607">
        <v>171.5</v>
      </c>
      <c r="E607">
        <v>60.75</v>
      </c>
      <c r="F607">
        <v>67.63</v>
      </c>
      <c r="G607">
        <v>39.24</v>
      </c>
      <c r="H607">
        <v>18.55</v>
      </c>
      <c r="I607">
        <v>10.32</v>
      </c>
      <c r="J607">
        <v>6.3849999999999998</v>
      </c>
      <c r="K607">
        <v>3.0049999999999999</v>
      </c>
      <c r="L607">
        <v>1.6919999999999999</v>
      </c>
      <c r="M607">
        <v>2.4609999999999999</v>
      </c>
      <c r="N607">
        <v>1.2210000000000001</v>
      </c>
      <c r="O607">
        <v>0.4834</v>
      </c>
      <c r="P607">
        <v>0.27179999999999999</v>
      </c>
      <c r="Q607">
        <v>0.1847</v>
      </c>
      <c r="R607">
        <v>0.1401</v>
      </c>
      <c r="S607">
        <v>9.6839999999999996E-2</v>
      </c>
      <c r="T607">
        <v>7.6119999999999993E-2</v>
      </c>
      <c r="U607">
        <v>5.4859999999999999E-2</v>
      </c>
      <c r="V607">
        <v>4.8399999999999999E-2</v>
      </c>
      <c r="W607">
        <v>4.4540000000000003E-2</v>
      </c>
      <c r="X607">
        <v>4.419E-2</v>
      </c>
      <c r="Y607">
        <v>4.5010000000000001E-2</v>
      </c>
      <c r="Z607">
        <v>4.6269999999999999E-2</v>
      </c>
      <c r="AA607">
        <v>4.9329999999999999E-2</v>
      </c>
      <c r="AB607">
        <v>5.2540000000000003E-2</v>
      </c>
      <c r="AC607">
        <v>5.9950000000000003E-2</v>
      </c>
      <c r="AD607">
        <v>6.5879999999999994E-2</v>
      </c>
      <c r="AE607">
        <v>7.4759999999999993E-2</v>
      </c>
    </row>
    <row r="608" spans="1:31">
      <c r="A608">
        <v>92</v>
      </c>
      <c r="B608" t="str">
        <v>92U</v>
      </c>
      <c r="C608" t="str">
        <v>uranium</v>
      </c>
      <c r="D608">
        <v>173.7</v>
      </c>
      <c r="E608">
        <v>61.62</v>
      </c>
      <c r="F608">
        <v>68.45</v>
      </c>
      <c r="G608">
        <v>39.76</v>
      </c>
      <c r="H608">
        <v>18.809999999999999</v>
      </c>
      <c r="I608">
        <v>10.48</v>
      </c>
      <c r="J608">
        <v>6.4889999999999999</v>
      </c>
      <c r="K608">
        <v>3.0569999999999999</v>
      </c>
      <c r="L608">
        <v>1.722</v>
      </c>
      <c r="M608">
        <v>2.4769999999999999</v>
      </c>
      <c r="N608">
        <v>1.23</v>
      </c>
      <c r="O608">
        <v>0.48730000000000001</v>
      </c>
      <c r="P608">
        <v>0.27350000000000002</v>
      </c>
      <c r="Q608">
        <v>0.18540000000000001</v>
      </c>
      <c r="R608">
        <v>0.14030000000000001</v>
      </c>
      <c r="S608">
        <v>9.6619999999999998E-2</v>
      </c>
      <c r="T608">
        <v>7.5689999999999993E-2</v>
      </c>
      <c r="U608">
        <v>5.4359999999999999E-2</v>
      </c>
      <c r="V608">
        <v>4.7890000000000002E-2</v>
      </c>
      <c r="W608">
        <v>4.403E-2</v>
      </c>
      <c r="X608">
        <v>4.3650000000000001E-2</v>
      </c>
      <c r="Y608">
        <v>4.4450000000000003E-2</v>
      </c>
      <c r="Z608">
        <v>4.5690000000000001E-2</v>
      </c>
      <c r="AA608">
        <v>4.8689999999999997E-2</v>
      </c>
      <c r="AB608">
        <v>5.1869999999999999E-2</v>
      </c>
      <c r="AC608">
        <v>5.9209999999999999E-2</v>
      </c>
      <c r="AD608">
        <v>6.5070000000000003E-2</v>
      </c>
      <c r="AE608">
        <v>7.3870000000000005E-2</v>
      </c>
    </row>
    <row r="609" spans="1:31">
      <c r="A609">
        <v>93</v>
      </c>
      <c r="B609" t="str">
        <v>93NP</v>
      </c>
      <c r="C609" t="str">
        <v>neptunium</v>
      </c>
      <c r="D609">
        <v>181.9</v>
      </c>
      <c r="E609">
        <v>64.63</v>
      </c>
      <c r="F609">
        <v>71.760000000000005</v>
      </c>
      <c r="G609">
        <v>41.58</v>
      </c>
      <c r="H609">
        <v>19.72</v>
      </c>
      <c r="I609">
        <v>11.01</v>
      </c>
      <c r="J609">
        <v>6.8230000000000004</v>
      </c>
      <c r="K609">
        <v>3.2170000000000001</v>
      </c>
      <c r="L609">
        <v>1.8129999999999999</v>
      </c>
      <c r="M609">
        <v>2.5779999999999998</v>
      </c>
      <c r="N609">
        <v>1.2829999999999999</v>
      </c>
      <c r="O609">
        <v>0.50800000000000001</v>
      </c>
      <c r="P609">
        <v>0.28470000000000001</v>
      </c>
      <c r="Q609">
        <v>0.1925</v>
      </c>
      <c r="R609">
        <v>0.1454</v>
      </c>
      <c r="S609">
        <v>9.9699999999999997E-2</v>
      </c>
      <c r="T609">
        <v>7.7890000000000001E-2</v>
      </c>
      <c r="U609">
        <v>5.5710000000000003E-2</v>
      </c>
      <c r="V609">
        <v>4.9020000000000001E-2</v>
      </c>
      <c r="W609">
        <v>4.5019999999999998E-2</v>
      </c>
      <c r="X609">
        <v>4.4600000000000001E-2</v>
      </c>
      <c r="Y609">
        <v>4.5400000000000003E-2</v>
      </c>
      <c r="Z609">
        <v>4.6649999999999997E-2</v>
      </c>
      <c r="AA609">
        <v>4.9709999999999997E-2</v>
      </c>
      <c r="AB609">
        <v>5.296E-2</v>
      </c>
      <c r="AC609">
        <v>6.0449999999999997E-2</v>
      </c>
      <c r="AD609">
        <v>6.6470000000000001E-2</v>
      </c>
      <c r="AE609">
        <v>7.5480000000000005E-2</v>
      </c>
    </row>
    <row r="610" spans="1:31">
      <c r="A610">
        <v>94</v>
      </c>
      <c r="B610" t="str">
        <v>94PU</v>
      </c>
      <c r="C610" t="str">
        <v>plutonium</v>
      </c>
      <c r="D610">
        <v>187.9</v>
      </c>
      <c r="E610">
        <v>66.83</v>
      </c>
      <c r="F610">
        <v>74.34</v>
      </c>
      <c r="G610">
        <v>42.92</v>
      </c>
      <c r="H610">
        <v>20.399999999999999</v>
      </c>
      <c r="I610">
        <v>11.4</v>
      </c>
      <c r="J610">
        <v>7.077</v>
      </c>
      <c r="K610">
        <v>3.3420000000000001</v>
      </c>
      <c r="L610">
        <v>1.883</v>
      </c>
      <c r="M610">
        <v>2.6469999999999998</v>
      </c>
      <c r="N610">
        <v>1.319</v>
      </c>
      <c r="O610">
        <v>0.52249999999999996</v>
      </c>
      <c r="P610">
        <v>0.29249999999999998</v>
      </c>
      <c r="Q610">
        <v>0.19739999999999999</v>
      </c>
      <c r="R610">
        <v>0.14879999999999999</v>
      </c>
      <c r="S610">
        <v>0.1017</v>
      </c>
      <c r="T610">
        <v>7.9149999999999998E-2</v>
      </c>
      <c r="U610">
        <v>5.6390000000000003E-2</v>
      </c>
      <c r="V610">
        <v>4.9549999999999997E-2</v>
      </c>
      <c r="W610">
        <v>4.546E-2</v>
      </c>
      <c r="X610">
        <v>4.4999999999999998E-2</v>
      </c>
      <c r="Y610">
        <v>4.5789999999999997E-2</v>
      </c>
      <c r="Z610">
        <v>4.7019999999999999E-2</v>
      </c>
      <c r="AA610">
        <v>5.0099999999999999E-2</v>
      </c>
      <c r="AB610">
        <v>5.3370000000000001E-2</v>
      </c>
      <c r="AC610">
        <v>6.0949999999999997E-2</v>
      </c>
      <c r="AD610">
        <v>6.701E-2</v>
      </c>
      <c r="AE610">
        <v>7.6130000000000003E-2</v>
      </c>
    </row>
    <row r="611" spans="1:31">
      <c r="A611">
        <v>95</v>
      </c>
      <c r="B611" t="str">
        <v>95AM</v>
      </c>
      <c r="C611" t="str">
        <v>americium</v>
      </c>
      <c r="D611">
        <v>192.3</v>
      </c>
      <c r="E611">
        <v>68.53</v>
      </c>
      <c r="F611">
        <v>76.58</v>
      </c>
      <c r="G611">
        <v>43.89</v>
      </c>
      <c r="H611">
        <v>20.93</v>
      </c>
      <c r="I611">
        <v>11.71</v>
      </c>
      <c r="J611">
        <v>7.2779999999999996</v>
      </c>
      <c r="K611">
        <v>3.44</v>
      </c>
      <c r="L611">
        <v>1.9390000000000001</v>
      </c>
      <c r="M611">
        <v>2.6960000000000002</v>
      </c>
      <c r="N611">
        <v>1.345</v>
      </c>
      <c r="O611">
        <v>0.53310000000000002</v>
      </c>
      <c r="P611">
        <v>0.29799999999999999</v>
      </c>
      <c r="Q611">
        <v>0.20069999999999999</v>
      </c>
      <c r="R611">
        <v>0.151</v>
      </c>
      <c r="S611">
        <v>0.1028</v>
      </c>
      <c r="T611">
        <v>7.9810000000000006E-2</v>
      </c>
      <c r="U611">
        <v>5.6599999999999998E-2</v>
      </c>
      <c r="V611">
        <v>4.9660000000000003E-2</v>
      </c>
      <c r="W611">
        <v>4.5510000000000002E-2</v>
      </c>
      <c r="X611">
        <v>4.5019999999999998E-2</v>
      </c>
      <c r="Y611">
        <v>4.5789999999999997E-2</v>
      </c>
      <c r="Z611">
        <v>4.7E-2</v>
      </c>
      <c r="AA611">
        <v>5.0070000000000003E-2</v>
      </c>
      <c r="AB611">
        <v>5.3350000000000002E-2</v>
      </c>
      <c r="AC611">
        <v>6.0929999999999998E-2</v>
      </c>
      <c r="AD611">
        <v>6.7000000000000004E-2</v>
      </c>
      <c r="AE611">
        <v>7.6139999999999999E-2</v>
      </c>
    </row>
    <row r="612" spans="1:31">
      <c r="A612">
        <v>96</v>
      </c>
      <c r="B612" t="str">
        <v>96CM</v>
      </c>
      <c r="C612" t="str">
        <v>curium</v>
      </c>
      <c r="D612">
        <v>196.9</v>
      </c>
      <c r="E612">
        <v>70.25</v>
      </c>
      <c r="F612">
        <v>78.66</v>
      </c>
      <c r="G612">
        <v>44.86</v>
      </c>
      <c r="H612">
        <v>21.46</v>
      </c>
      <c r="I612">
        <v>12.04</v>
      </c>
      <c r="J612">
        <v>7.4859999999999998</v>
      </c>
      <c r="K612">
        <v>3.5430000000000001</v>
      </c>
      <c r="L612">
        <v>1.998</v>
      </c>
      <c r="M612">
        <v>2.746</v>
      </c>
      <c r="N612">
        <v>1.37</v>
      </c>
      <c r="O612">
        <v>0.54390000000000005</v>
      </c>
      <c r="P612">
        <v>0.30370000000000003</v>
      </c>
      <c r="Q612">
        <v>0.20419999999999999</v>
      </c>
      <c r="R612">
        <v>0.15329999999999999</v>
      </c>
      <c r="S612">
        <v>0.10390000000000001</v>
      </c>
      <c r="T612">
        <v>8.0490000000000006E-2</v>
      </c>
      <c r="U612">
        <v>5.6840000000000002E-2</v>
      </c>
      <c r="V612">
        <v>4.981E-2</v>
      </c>
      <c r="W612">
        <v>4.5580000000000002E-2</v>
      </c>
      <c r="X612">
        <v>4.505E-2</v>
      </c>
      <c r="Y612">
        <v>4.58E-2</v>
      </c>
      <c r="Z612">
        <v>4.6980000000000001E-2</v>
      </c>
      <c r="AA612">
        <v>5.0049999999999997E-2</v>
      </c>
      <c r="AB612">
        <v>5.3310000000000003E-2</v>
      </c>
      <c r="AC612">
        <v>6.0920000000000002E-2</v>
      </c>
      <c r="AD612">
        <v>6.701E-2</v>
      </c>
      <c r="AE612">
        <v>7.6170000000000002E-2</v>
      </c>
    </row>
    <row r="613" spans="1:31">
      <c r="A613">
        <v>97</v>
      </c>
      <c r="B613" t="str">
        <v>97BK</v>
      </c>
      <c r="C613" t="str">
        <v>berkelium</v>
      </c>
      <c r="D613">
        <v>204.5</v>
      </c>
      <c r="E613">
        <v>73.150000000000006</v>
      </c>
      <c r="F613">
        <v>81.040000000000006</v>
      </c>
      <c r="G613">
        <v>46.57</v>
      </c>
      <c r="H613">
        <v>22.36</v>
      </c>
      <c r="I613">
        <v>12.55</v>
      </c>
      <c r="J613">
        <v>7.819</v>
      </c>
      <c r="K613">
        <v>3.706</v>
      </c>
      <c r="L613">
        <v>2.0910000000000002</v>
      </c>
      <c r="M613">
        <v>2.8420000000000001</v>
      </c>
      <c r="N613">
        <v>1.42</v>
      </c>
      <c r="O613">
        <v>0.56369999999999998</v>
      </c>
      <c r="P613">
        <v>0.3145</v>
      </c>
      <c r="Q613">
        <v>0.21110000000000001</v>
      </c>
      <c r="R613">
        <v>0.15809999999999999</v>
      </c>
      <c r="S613">
        <v>0.10680000000000001</v>
      </c>
      <c r="T613">
        <v>8.251E-2</v>
      </c>
      <c r="U613">
        <v>5.8020000000000002E-2</v>
      </c>
      <c r="V613">
        <v>5.0779999999999999E-2</v>
      </c>
      <c r="W613">
        <v>4.6390000000000001E-2</v>
      </c>
      <c r="X613">
        <v>4.582E-2</v>
      </c>
      <c r="Y613">
        <v>4.6550000000000001E-2</v>
      </c>
      <c r="Z613">
        <v>4.7719999999999999E-2</v>
      </c>
      <c r="AA613">
        <v>5.0840000000000003E-2</v>
      </c>
      <c r="AB613">
        <v>5.416E-2</v>
      </c>
      <c r="AC613">
        <v>6.1870000000000001E-2</v>
      </c>
      <c r="AD613">
        <v>6.8080000000000002E-2</v>
      </c>
      <c r="AE613">
        <v>7.7429999999999999E-2</v>
      </c>
    </row>
    <row r="614" spans="1:31">
      <c r="A614">
        <v>98</v>
      </c>
      <c r="B614" t="str">
        <v>98CF</v>
      </c>
      <c r="C614" t="str">
        <v>californium</v>
      </c>
      <c r="D614">
        <v>208.8</v>
      </c>
      <c r="E614">
        <v>74.86</v>
      </c>
      <c r="F614">
        <v>82.87</v>
      </c>
      <c r="G614">
        <v>47.53</v>
      </c>
      <c r="H614">
        <v>22.91</v>
      </c>
      <c r="I614">
        <v>12.89</v>
      </c>
      <c r="J614">
        <v>8.0310000000000006</v>
      </c>
      <c r="K614">
        <v>3.81</v>
      </c>
      <c r="L614">
        <v>2.1520000000000001</v>
      </c>
      <c r="M614">
        <v>2.8959999999999999</v>
      </c>
      <c r="N614">
        <v>1.446</v>
      </c>
      <c r="O614">
        <v>0.57479999999999998</v>
      </c>
      <c r="P614">
        <v>0.32019999999999998</v>
      </c>
      <c r="Q614">
        <v>0.2147</v>
      </c>
      <c r="R614">
        <v>0.1605</v>
      </c>
      <c r="S614">
        <v>0.1081</v>
      </c>
      <c r="T614">
        <v>8.3250000000000005E-2</v>
      </c>
      <c r="U614">
        <v>5.8290000000000002E-2</v>
      </c>
      <c r="V614">
        <v>5.0930000000000003E-2</v>
      </c>
      <c r="W614">
        <v>4.6469999999999997E-2</v>
      </c>
      <c r="X614">
        <v>4.5850000000000002E-2</v>
      </c>
      <c r="Y614">
        <v>4.6559999999999997E-2</v>
      </c>
      <c r="Z614">
        <v>4.7699999999999999E-2</v>
      </c>
      <c r="AA614">
        <v>5.0799999999999998E-2</v>
      </c>
      <c r="AB614">
        <v>5.4109999999999998E-2</v>
      </c>
      <c r="AC614">
        <v>6.1839999999999999E-2</v>
      </c>
      <c r="AD614">
        <v>6.8070000000000006E-2</v>
      </c>
      <c r="AE614">
        <v>7.7439999999999995E-2</v>
      </c>
    </row>
    <row r="615" spans="1:31">
      <c r="A615">
        <v>99</v>
      </c>
      <c r="B615" t="str">
        <v>99ES</v>
      </c>
      <c r="C615" t="str">
        <v>einsteinium</v>
      </c>
      <c r="D615">
        <v>215.8</v>
      </c>
      <c r="E615">
        <v>77.55</v>
      </c>
      <c r="F615">
        <v>37.119999999999997</v>
      </c>
      <c r="G615">
        <v>49.09</v>
      </c>
      <c r="H615">
        <v>23.75</v>
      </c>
      <c r="I615">
        <v>13.38</v>
      </c>
      <c r="J615">
        <v>8.3439999999999994</v>
      </c>
      <c r="K615">
        <v>3.9660000000000002</v>
      </c>
      <c r="L615">
        <v>2.2410000000000001</v>
      </c>
      <c r="M615">
        <v>2.984</v>
      </c>
      <c r="N615">
        <v>1.4910000000000001</v>
      </c>
      <c r="O615">
        <v>0.59289999999999998</v>
      </c>
      <c r="P615">
        <v>0.33019999999999999</v>
      </c>
      <c r="Q615">
        <v>0.221</v>
      </c>
      <c r="R615">
        <v>0.16500000000000001</v>
      </c>
      <c r="S615">
        <v>0.11070000000000001</v>
      </c>
      <c r="T615">
        <v>8.5000000000000006E-2</v>
      </c>
      <c r="U615">
        <v>5.9299999999999999E-2</v>
      </c>
      <c r="V615">
        <v>5.1720000000000002E-2</v>
      </c>
      <c r="W615">
        <v>4.7109999999999999E-2</v>
      </c>
      <c r="X615">
        <v>4.6440000000000002E-2</v>
      </c>
      <c r="Y615">
        <v>4.7149999999999997E-2</v>
      </c>
      <c r="Z615">
        <v>4.8250000000000001E-2</v>
      </c>
      <c r="AA615">
        <v>5.1369999999999999E-2</v>
      </c>
      <c r="AB615">
        <v>5.4739999999999997E-2</v>
      </c>
      <c r="AC615">
        <v>6.2549999999999994E-2</v>
      </c>
      <c r="AD615">
        <v>6.8849999999999995E-2</v>
      </c>
      <c r="AE615">
        <v>7.8380000000000005E-2</v>
      </c>
    </row>
    <row r="616" spans="1:31">
      <c r="A616">
        <v>100</v>
      </c>
      <c r="B616" t="str">
        <v>100FM</v>
      </c>
      <c r="C616" t="str">
        <v>fermium</v>
      </c>
      <c r="D616">
        <v>219.6</v>
      </c>
      <c r="E616">
        <v>79.010000000000005</v>
      </c>
      <c r="F616">
        <v>37.880000000000003</v>
      </c>
      <c r="G616">
        <v>49.98</v>
      </c>
      <c r="H616">
        <v>24.21</v>
      </c>
      <c r="I616">
        <v>13.66</v>
      </c>
      <c r="J616">
        <v>8.532</v>
      </c>
      <c r="K616">
        <v>4.0609999999999999</v>
      </c>
      <c r="L616">
        <v>2.2959999999999998</v>
      </c>
      <c r="M616">
        <v>3.008</v>
      </c>
      <c r="N616">
        <v>1.512</v>
      </c>
      <c r="O616">
        <v>0.60189999999999999</v>
      </c>
      <c r="P616">
        <v>0.33510000000000001</v>
      </c>
      <c r="Q616">
        <v>0.22389999999999999</v>
      </c>
      <c r="R616">
        <v>0.16689999999999999</v>
      </c>
      <c r="S616">
        <v>0.1116</v>
      </c>
      <c r="T616">
        <v>8.5470000000000004E-2</v>
      </c>
      <c r="U616">
        <v>5.9369999999999999E-2</v>
      </c>
      <c r="V616">
        <v>5.1700000000000003E-2</v>
      </c>
      <c r="W616">
        <v>4.7019999999999999E-2</v>
      </c>
      <c r="X616">
        <v>4.6300000000000001E-2</v>
      </c>
      <c r="Y616">
        <v>4.6980000000000001E-2</v>
      </c>
      <c r="Z616">
        <v>4.8039999999999999E-2</v>
      </c>
      <c r="AA616">
        <v>5.1130000000000002E-2</v>
      </c>
      <c r="AB616">
        <v>5.4469999999999998E-2</v>
      </c>
      <c r="AC616">
        <v>6.2269999999999999E-2</v>
      </c>
      <c r="AD616">
        <v>6.8570000000000006E-2</v>
      </c>
      <c r="AE616">
        <v>7.8070000000000001E-2</v>
      </c>
    </row>
    <row r="617" spans="1:31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</row>
    <row r="618" spans="1:31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</row>
    <row r="620" spans="1:31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</row>
    <row r="622" spans="1:31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</row>
    <row r="623" spans="1:31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</row>
    <row r="624" spans="1:31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</row>
    <row r="625" spans="1:31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</row>
    <row r="626" spans="1:31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</row>
    <row r="627" spans="1:31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</row>
    <row r="628" spans="1:31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</row>
    <row r="629" spans="1:31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</row>
    <row r="630" spans="1:31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</row>
    <row r="631" spans="1:31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</row>
    <row r="632" spans="1:31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</row>
    <row r="633" spans="1:31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</row>
    <row r="634" spans="1:31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</row>
    <row r="636" spans="1:31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</row>
    <row r="638" spans="1:31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</row>
    <row r="639" spans="1:31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</row>
    <row r="640" spans="1:31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</row>
    <row r="641" spans="1:31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</row>
    <row r="643" spans="1:31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</row>
    <row r="644" spans="1:31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</row>
    <row r="645" spans="1:31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</row>
    <row r="646" spans="1:31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</row>
    <row r="647" spans="1:31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</row>
    <row r="648" spans="1:31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</row>
    <row r="649" spans="1:31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</row>
    <row r="650" spans="1:31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</row>
    <row r="651" spans="1:31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</row>
    <row r="653" spans="1:31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</row>
    <row r="654" spans="1:31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</row>
    <row r="655" spans="1:31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</row>
    <row r="656" spans="1:31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</row>
    <row r="657" spans="1:31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</row>
    <row r="658" spans="1:31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</row>
    <row r="659" spans="1:31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</row>
    <row r="660" spans="1:31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</row>
    <row r="661" spans="1:31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</row>
    <row r="663" spans="1:31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</row>
    <row r="664" spans="1:31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</row>
    <row r="665" spans="1:31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</row>
    <row r="667" spans="1:31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</row>
    <row r="669" spans="1:31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</row>
    <row r="670" spans="1:31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</row>
    <row r="672" spans="1:31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</row>
    <row r="673" spans="1:31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</row>
    <row r="674" spans="1:31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</row>
    <row r="675" spans="1:31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</row>
    <row r="676" spans="1:31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</row>
    <row r="677" spans="1:31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</row>
    <row r="678" spans="1:31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</row>
    <row r="680" spans="1:31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</row>
    <row r="682" spans="1:31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</row>
    <row r="684" spans="1:31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</row>
    <row r="685" spans="1:31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</row>
    <row r="686" spans="1:31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</row>
    <row r="687" spans="1:31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</row>
    <row r="688" spans="1:31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</row>
    <row r="690" spans="1:31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</row>
    <row r="691" spans="1:31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</row>
    <row r="692" spans="1:31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</row>
    <row r="693" spans="1:31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</row>
    <row r="694" spans="1:31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</row>
    <row r="695" spans="1:31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</row>
    <row r="697" spans="1:31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</row>
    <row r="698" spans="1:31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</row>
    <row r="699" spans="1:31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</row>
    <row r="700" spans="1:31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</row>
    <row r="701" spans="1:31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</row>
    <row r="703" spans="1:31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</row>
    <row r="705" spans="1:31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</row>
    <row r="706" spans="1:31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</row>
    <row r="707" spans="1:31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</row>
    <row r="709" spans="1:31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</row>
    <row r="711" spans="1:31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</row>
    <row r="712" spans="1:31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</row>
    <row r="713" spans="1:31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</row>
    <row r="714" spans="1:31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</row>
    <row r="715" spans="1:31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</row>
    <row r="716" spans="1:31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</row>
    <row r="717" spans="1:31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</row>
    <row r="718" spans="1:31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</row>
    <row r="719" spans="1:31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</row>
    <row r="720" spans="1:31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</row>
    <row r="721" spans="1:31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</row>
    <row r="722" spans="1:31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</row>
    <row r="723" spans="1:31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</row>
    <row r="724" spans="1:31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</row>
    <row r="725" spans="1:31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</row>
    <row r="726" spans="1:31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</row>
    <row r="727" spans="1:31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</row>
    <row r="728" spans="1:31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</row>
    <row r="729" spans="1:31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</row>
    <row r="730" spans="1:31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</row>
    <row r="731" spans="1:31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</row>
    <row r="732" spans="1:31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</row>
    <row r="733" spans="1:31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</row>
    <row r="734" spans="1:31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</row>
    <row r="735" spans="1:31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</row>
    <row r="736" spans="1:31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</row>
    <row r="737" spans="1:31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</row>
    <row r="738" spans="1:31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</row>
    <row r="739" spans="1:31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</row>
    <row r="740" spans="1:31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</row>
    <row r="741" spans="1:31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</row>
    <row r="742" spans="1:31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</row>
    <row r="744" spans="1:31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</row>
    <row r="745" spans="1:31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</row>
    <row r="746" spans="1:31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</row>
    <row r="747" spans="1:31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</row>
    <row r="748" spans="1:31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</row>
    <row r="749" spans="1:31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</row>
    <row r="750" spans="1:31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</row>
    <row r="751" spans="1:31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</row>
    <row r="752" spans="1:31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</row>
    <row r="753" spans="1:31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</row>
    <row r="754" spans="1:31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</row>
    <row r="755" spans="1:31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</row>
    <row r="756" spans="1:31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</row>
    <row r="757" spans="1:31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</row>
    <row r="758" spans="1:31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</row>
    <row r="759" spans="1:31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</row>
    <row r="760" spans="1:31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</row>
    <row r="761" spans="1:31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</row>
    <row r="762" spans="1:31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</row>
    <row r="763" spans="1:31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</row>
    <row r="764" spans="1:31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</row>
    <row r="765" spans="1:31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</row>
    <row r="766" spans="1:31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</row>
    <row r="768" spans="1:31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</row>
    <row r="769" spans="1:31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</row>
    <row r="770" spans="1:31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</row>
    <row r="771" spans="1:31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</row>
    <row r="772" spans="1:31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</row>
    <row r="773" spans="1:31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</row>
    <row r="775" spans="1:31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</row>
    <row r="776" spans="1:31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</row>
    <row r="777" spans="1:31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</row>
    <row r="778" spans="1:31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</row>
    <row r="779" spans="1:31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</row>
    <row r="780" spans="1:31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</row>
    <row r="781" spans="1:31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</row>
    <row r="782" spans="1:31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</row>
    <row r="783" spans="1:31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</row>
    <row r="784" spans="1:31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</row>
    <row r="785" spans="1:31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</row>
    <row r="786" spans="1:31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</row>
    <row r="787" spans="1:31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</row>
    <row r="788" spans="1:31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</row>
    <row r="789" spans="1:31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</row>
    <row r="790" spans="1:31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</row>
    <row r="791" spans="1:31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</row>
    <row r="792" spans="1:31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</row>
    <row r="793" spans="1:31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</row>
    <row r="794" spans="1:31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</row>
    <row r="795" spans="1:31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</row>
    <row r="796" spans="1:31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</row>
    <row r="797" spans="1:31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</row>
    <row r="798" spans="1:31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</row>
    <row r="799" spans="1:31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</row>
    <row r="800" spans="1:31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</row>
    <row r="801" spans="1:31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</row>
    <row r="802" spans="1:31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</row>
    <row r="803" spans="1:31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</row>
    <row r="804" spans="1:31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</row>
    <row r="805" spans="1:31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</row>
    <row r="806" spans="1:31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</row>
    <row r="807" spans="1:31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</row>
    <row r="808" spans="1:31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</row>
    <row r="809" spans="1:31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</row>
    <row r="810" spans="1:31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</row>
    <row r="811" spans="1:31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</row>
    <row r="812" spans="1:31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</row>
    <row r="813" spans="1:31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</row>
    <row r="814" spans="1:31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</row>
    <row r="815" spans="1:31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</row>
    <row r="816" spans="1:31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</row>
    <row r="817" spans="1:31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</row>
    <row r="818" spans="1:31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</row>
    <row r="819" spans="1:31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</row>
    <row r="821" spans="1:31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</row>
    <row r="822" spans="1:31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</row>
    <row r="823" spans="1:31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</row>
    <row r="824" spans="1:31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</row>
    <row r="826" spans="1:31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</row>
    <row r="827" spans="1:31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</row>
    <row r="829" spans="1:31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</row>
    <row r="830" spans="1:31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</row>
    <row r="831" spans="1:31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</row>
    <row r="832" spans="1:31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</row>
    <row r="833" spans="1:31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</row>
    <row r="834" spans="1:31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</row>
    <row r="835" spans="1:31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</row>
    <row r="836" spans="1:31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</row>
    <row r="837" spans="1:31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</row>
    <row r="838" spans="1:31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</row>
    <row r="839" spans="1:31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</row>
    <row r="840" spans="1:31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</row>
    <row r="841" spans="1:31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</row>
    <row r="842" spans="1:31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</row>
    <row r="843" spans="1:31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</row>
    <row r="844" spans="1:31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</row>
    <row r="845" spans="1:31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</row>
    <row r="846" spans="1:31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</row>
    <row r="847" spans="1:31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</row>
    <row r="848" spans="1:31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</row>
    <row r="849" spans="1:31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</row>
    <row r="850" spans="1:31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</row>
    <row r="851" spans="1:31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</row>
    <row r="852" spans="1:31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</row>
    <row r="853" spans="1:31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</row>
    <row r="854" spans="1:31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</row>
    <row r="855" spans="1:31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</row>
    <row r="856" spans="1:31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</row>
    <row r="857" spans="1:31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</row>
    <row r="858" spans="1:31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</row>
    <row r="859" spans="1:31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</row>
    <row r="860" spans="1:31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</row>
    <row r="861" spans="1:31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</row>
    <row r="862" spans="1:31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</row>
    <row r="863" spans="1:31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</row>
    <row r="864" spans="1:31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</row>
    <row r="865" spans="1:31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</row>
    <row r="866" spans="1:31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</row>
    <row r="867" spans="1:31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</row>
    <row r="868" spans="1:31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</row>
    <row r="869" spans="1:31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</row>
    <row r="870" spans="1:31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</row>
    <row r="871" spans="1:31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</row>
    <row r="872" spans="1:31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</row>
    <row r="873" spans="1:31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</row>
    <row r="874" spans="1:31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</row>
    <row r="875" spans="1:31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</row>
    <row r="876" spans="1:31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</row>
    <row r="877" spans="1:31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</row>
    <row r="878" spans="1:31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</row>
    <row r="879" spans="1:31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</row>
    <row r="880" spans="1:31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</row>
    <row r="881" spans="1:31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</row>
    <row r="882" spans="1:31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</row>
    <row r="883" spans="1:31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</row>
    <row r="884" spans="1:31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</row>
    <row r="885" spans="1:31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</row>
    <row r="886" spans="1:31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</row>
    <row r="887" spans="1:31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</row>
    <row r="888" spans="1:31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</row>
    <row r="889" spans="1:31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</row>
    <row r="890" spans="1:31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</row>
    <row r="891" spans="1:31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</row>
    <row r="892" spans="1:31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</row>
    <row r="893" spans="1:31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</row>
    <row r="894" spans="1:31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</row>
    <row r="895" spans="1:31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</row>
    <row r="896" spans="1:31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</row>
    <row r="897" spans="1:31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</row>
    <row r="898" spans="1:31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</row>
    <row r="899" spans="1:31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</row>
    <row r="900" spans="1:31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</row>
    <row r="901" spans="1:31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</row>
    <row r="902" spans="1:31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</row>
    <row r="903" spans="1:31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</row>
    <row r="904" spans="1:31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</row>
    <row r="905" spans="1:31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</row>
    <row r="906" spans="1:31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</row>
    <row r="907" spans="1:31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</row>
    <row r="908" spans="1:31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</row>
    <row r="909" spans="1:31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</row>
    <row r="910" spans="1:31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</row>
    <row r="911" spans="1:31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</row>
    <row r="912" spans="1:31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</row>
    <row r="913" spans="1:31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</row>
    <row r="914" spans="1:31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</row>
    <row r="915" spans="1:31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</row>
    <row r="916" spans="1:31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</row>
    <row r="918" spans="1:31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</row>
    <row r="919" spans="1:31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</row>
    <row r="920" spans="1:31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</row>
    <row r="921" spans="1:31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</row>
    <row r="922" spans="1:31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</row>
    <row r="923" spans="1:31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</row>
    <row r="924" spans="1:31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</row>
    <row r="925" spans="1:31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</row>
    <row r="926" spans="1:31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</row>
    <row r="927" spans="1:31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</row>
    <row r="928" spans="1:31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</row>
    <row r="929" spans="1:31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</row>
    <row r="930" spans="1:31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</row>
    <row r="931" spans="1:31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</row>
    <row r="932" spans="1:31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</row>
    <row r="933" spans="1:31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</row>
    <row r="934" spans="1:31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</row>
    <row r="935" spans="1:31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</row>
    <row r="936" spans="1:31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</row>
    <row r="937" spans="1:31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</row>
    <row r="938" spans="1:31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</row>
    <row r="939" spans="1:31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</row>
    <row r="940" spans="1:31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</row>
    <row r="941" spans="1:31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</row>
    <row r="942" spans="1:31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</row>
    <row r="943" spans="1:31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</row>
    <row r="944" spans="1:31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</row>
    <row r="945" spans="1:31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</row>
    <row r="946" spans="1:31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</row>
    <row r="947" spans="1:31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</row>
    <row r="948" spans="1:31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</row>
    <row r="949" spans="1:31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</row>
    <row r="950" spans="1:31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</row>
    <row r="951" spans="1:31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</row>
    <row r="952" spans="1:31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</row>
    <row r="953" spans="1:31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</row>
    <row r="954" spans="1:31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</row>
    <row r="955" spans="1:31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</row>
    <row r="956" spans="1:31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</row>
    <row r="957" spans="1:31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</row>
    <row r="958" spans="1:31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</row>
    <row r="959" spans="1:31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</row>
    <row r="960" spans="1:31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</row>
    <row r="961" spans="1:31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</row>
    <row r="962" spans="1:31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</row>
    <row r="963" spans="1:31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</row>
    <row r="964" spans="1:31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</row>
    <row r="965" spans="1:31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</row>
    <row r="966" spans="1:31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</row>
    <row r="967" spans="1:31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</row>
    <row r="968" spans="1:31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</row>
    <row r="969" spans="1:31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</row>
    <row r="970" spans="1:31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</row>
    <row r="971" spans="1:31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</row>
    <row r="972" spans="1:31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</row>
    <row r="973" spans="1:31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</row>
    <row r="974" spans="1:31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</row>
    <row r="975" spans="1:31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</row>
    <row r="976" spans="1:31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</row>
    <row r="977" spans="1:31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</row>
    <row r="978" spans="1:31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</row>
    <row r="979" spans="1:31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</row>
    <row r="980" spans="1:31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</row>
    <row r="981" spans="1:31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</row>
    <row r="982" spans="1:31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</row>
    <row r="983" spans="1:31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</row>
    <row r="984" spans="1:31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</row>
    <row r="985" spans="1:31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</row>
    <row r="986" spans="1:31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</row>
    <row r="987" spans="1:31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</row>
    <row r="988" spans="1:31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</row>
    <row r="989" spans="1:31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</row>
    <row r="990" spans="1:31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</row>
    <row r="992" spans="1:31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</row>
    <row r="993" spans="1:31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</row>
    <row r="994" spans="1:31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</row>
    <row r="995" spans="1:31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</row>
    <row r="996" spans="1:31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</row>
    <row r="997" spans="1:31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</row>
    <row r="998" spans="1:31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</row>
    <row r="999" spans="1:31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</row>
    <row r="1000" spans="1:31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</row>
    <row r="1001" spans="1:31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</row>
    <row r="1002" spans="1:31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</row>
    <row r="1003" spans="1:31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</row>
    <row r="1004" spans="1:31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</row>
    <row r="1005" spans="1:31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</row>
    <row r="1006" spans="1:31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</row>
    <row r="1007" spans="1:31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</row>
    <row r="1008" spans="1:31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</row>
    <row r="1009" spans="1:101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</row>
    <row r="1010" spans="1:101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</row>
    <row r="1011" spans="1:101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</row>
    <row r="1012" spans="1:101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</row>
    <row r="1015" spans="1:101" ht="21">
      <c r="A1015" s="9" t="s">
        <v>609</v>
      </c>
    </row>
    <row r="1016" spans="1:101">
      <c r="A1016" cm="1">
        <f t="array" ref="A1016:CW1046">TRANSPOSE(A516:AE616)</f>
        <v>0</v>
      </c>
      <c r="B1016">
        <v>1</v>
      </c>
      <c r="C1016">
        <v>2</v>
      </c>
      <c r="D1016">
        <v>3</v>
      </c>
      <c r="E1016">
        <v>4</v>
      </c>
      <c r="F1016">
        <v>5</v>
      </c>
      <c r="G1016">
        <v>6</v>
      </c>
      <c r="H1016">
        <v>7</v>
      </c>
      <c r="I1016">
        <v>8</v>
      </c>
      <c r="J1016">
        <v>9</v>
      </c>
      <c r="K1016">
        <v>10</v>
      </c>
      <c r="L1016">
        <v>11</v>
      </c>
      <c r="M1016">
        <v>12</v>
      </c>
      <c r="N1016">
        <v>13</v>
      </c>
      <c r="O1016">
        <v>14</v>
      </c>
      <c r="P1016">
        <v>15</v>
      </c>
      <c r="Q1016">
        <v>16</v>
      </c>
      <c r="R1016">
        <v>17</v>
      </c>
      <c r="S1016">
        <v>18</v>
      </c>
      <c r="T1016">
        <v>19</v>
      </c>
      <c r="U1016">
        <v>20</v>
      </c>
      <c r="V1016">
        <v>21</v>
      </c>
      <c r="W1016">
        <v>22</v>
      </c>
      <c r="X1016">
        <v>23</v>
      </c>
      <c r="Y1016">
        <v>24</v>
      </c>
      <c r="Z1016">
        <v>25</v>
      </c>
      <c r="AA1016">
        <v>26</v>
      </c>
      <c r="AB1016">
        <v>27</v>
      </c>
      <c r="AC1016">
        <v>28</v>
      </c>
      <c r="AD1016">
        <v>29</v>
      </c>
      <c r="AE1016">
        <v>30</v>
      </c>
      <c r="AF1016">
        <v>31</v>
      </c>
      <c r="AG1016">
        <v>32</v>
      </c>
      <c r="AH1016">
        <v>33</v>
      </c>
      <c r="AI1016">
        <v>34</v>
      </c>
      <c r="AJ1016">
        <v>35</v>
      </c>
      <c r="AK1016">
        <v>36</v>
      </c>
      <c r="AL1016">
        <v>37</v>
      </c>
      <c r="AM1016">
        <v>38</v>
      </c>
      <c r="AN1016">
        <v>39</v>
      </c>
      <c r="AO1016">
        <v>40</v>
      </c>
      <c r="AP1016">
        <v>41</v>
      </c>
      <c r="AQ1016">
        <v>42</v>
      </c>
      <c r="AR1016">
        <v>43</v>
      </c>
      <c r="AS1016">
        <v>44</v>
      </c>
      <c r="AT1016">
        <v>45</v>
      </c>
      <c r="AU1016">
        <v>46</v>
      </c>
      <c r="AV1016">
        <v>47</v>
      </c>
      <c r="AW1016">
        <v>48</v>
      </c>
      <c r="AX1016">
        <v>49</v>
      </c>
      <c r="AY1016">
        <v>50</v>
      </c>
      <c r="AZ1016">
        <v>51</v>
      </c>
      <c r="BA1016">
        <v>52</v>
      </c>
      <c r="BB1016">
        <v>53</v>
      </c>
      <c r="BC1016">
        <v>54</v>
      </c>
      <c r="BD1016">
        <v>55</v>
      </c>
      <c r="BE1016">
        <v>56</v>
      </c>
      <c r="BF1016">
        <v>57</v>
      </c>
      <c r="BG1016">
        <v>58</v>
      </c>
      <c r="BH1016">
        <v>59</v>
      </c>
      <c r="BI1016">
        <v>60</v>
      </c>
      <c r="BJ1016">
        <v>61</v>
      </c>
      <c r="BK1016">
        <v>62</v>
      </c>
      <c r="BL1016">
        <v>63</v>
      </c>
      <c r="BM1016">
        <v>64</v>
      </c>
      <c r="BN1016">
        <v>65</v>
      </c>
      <c r="BO1016">
        <v>66</v>
      </c>
      <c r="BP1016">
        <v>67</v>
      </c>
      <c r="BQ1016">
        <v>68</v>
      </c>
      <c r="BR1016">
        <v>69</v>
      </c>
      <c r="BS1016">
        <v>70</v>
      </c>
      <c r="BT1016">
        <v>71</v>
      </c>
      <c r="BU1016">
        <v>72</v>
      </c>
      <c r="BV1016">
        <v>73</v>
      </c>
      <c r="BW1016">
        <v>74</v>
      </c>
      <c r="BX1016">
        <v>75</v>
      </c>
      <c r="BY1016">
        <v>76</v>
      </c>
      <c r="BZ1016">
        <v>77</v>
      </c>
      <c r="CA1016">
        <v>78</v>
      </c>
      <c r="CB1016">
        <v>79</v>
      </c>
      <c r="CC1016">
        <v>80</v>
      </c>
      <c r="CD1016">
        <v>81</v>
      </c>
      <c r="CE1016">
        <v>82</v>
      </c>
      <c r="CF1016">
        <v>83</v>
      </c>
      <c r="CG1016">
        <v>84</v>
      </c>
      <c r="CH1016">
        <v>85</v>
      </c>
      <c r="CI1016">
        <v>86</v>
      </c>
      <c r="CJ1016">
        <v>87</v>
      </c>
      <c r="CK1016">
        <v>88</v>
      </c>
      <c r="CL1016">
        <v>89</v>
      </c>
      <c r="CM1016">
        <v>90</v>
      </c>
      <c r="CN1016">
        <v>91</v>
      </c>
      <c r="CO1016">
        <v>92</v>
      </c>
      <c r="CP1016">
        <v>93</v>
      </c>
      <c r="CQ1016">
        <v>94</v>
      </c>
      <c r="CR1016">
        <v>95</v>
      </c>
      <c r="CS1016">
        <v>96</v>
      </c>
      <c r="CT1016">
        <v>97</v>
      </c>
      <c r="CU1016">
        <v>98</v>
      </c>
      <c r="CV1016">
        <v>99</v>
      </c>
      <c r="CW1016">
        <v>100</v>
      </c>
    </row>
    <row r="1017" spans="1:101">
      <c r="A1017">
        <v>0</v>
      </c>
      <c r="B1017" t="str">
        <v>1H</v>
      </c>
      <c r="C1017" t="str">
        <v>2HE</v>
      </c>
      <c r="D1017" t="str">
        <v>3LI</v>
      </c>
      <c r="E1017" t="str">
        <v>4BE</v>
      </c>
      <c r="F1017" t="str">
        <v>5B</v>
      </c>
      <c r="G1017" t="str">
        <v>6C</v>
      </c>
      <c r="H1017" t="str">
        <v>7N</v>
      </c>
      <c r="I1017" t="str">
        <v>8O</v>
      </c>
      <c r="J1017" t="str">
        <v>9F</v>
      </c>
      <c r="K1017" t="str">
        <v>10NE</v>
      </c>
      <c r="L1017" t="str">
        <v>11NA</v>
      </c>
      <c r="M1017" t="str">
        <v>12MG</v>
      </c>
      <c r="N1017" t="str">
        <v>13AL</v>
      </c>
      <c r="O1017" t="str">
        <v>14SI</v>
      </c>
      <c r="P1017" t="str">
        <v>15P</v>
      </c>
      <c r="Q1017" t="str">
        <v>16S</v>
      </c>
      <c r="R1017" t="str">
        <v>17CL</v>
      </c>
      <c r="S1017" t="str">
        <v>18AR</v>
      </c>
      <c r="T1017" t="str">
        <v>19K</v>
      </c>
      <c r="U1017" t="str">
        <v>20CA</v>
      </c>
      <c r="V1017" t="str">
        <v>21SC</v>
      </c>
      <c r="W1017" t="str">
        <v>22TI</v>
      </c>
      <c r="X1017" t="str">
        <v>23V</v>
      </c>
      <c r="Y1017" t="str">
        <v>24CR</v>
      </c>
      <c r="Z1017" t="str">
        <v>25MN</v>
      </c>
      <c r="AA1017" t="str">
        <v>26</v>
      </c>
      <c r="AB1017" t="str">
        <v>27CO</v>
      </c>
      <c r="AC1017" t="str">
        <v>28NI</v>
      </c>
      <c r="AD1017" t="str">
        <v>29CU</v>
      </c>
      <c r="AE1017" t="str">
        <v>30ZN</v>
      </c>
      <c r="AF1017" t="str">
        <v>31GA</v>
      </c>
      <c r="AG1017" t="str">
        <v>32GE</v>
      </c>
      <c r="AH1017" t="str">
        <v>33AS</v>
      </c>
      <c r="AI1017" t="str">
        <v>34SE</v>
      </c>
      <c r="AJ1017" t="str">
        <v>35BR</v>
      </c>
      <c r="AK1017" t="str">
        <v>36KR</v>
      </c>
      <c r="AL1017" t="str">
        <v>37RB</v>
      </c>
      <c r="AM1017" t="str">
        <v>38SR</v>
      </c>
      <c r="AN1017" t="str">
        <v>39Y</v>
      </c>
      <c r="AO1017" t="str">
        <v>40ZR</v>
      </c>
      <c r="AP1017" t="str">
        <v>41NB</v>
      </c>
      <c r="AQ1017" t="str">
        <v>42MO</v>
      </c>
      <c r="AR1017" t="str">
        <v>43TC</v>
      </c>
      <c r="AS1017" t="str">
        <v>44RU</v>
      </c>
      <c r="AT1017" t="str">
        <v>45RH</v>
      </c>
      <c r="AU1017" t="str">
        <v>46PD</v>
      </c>
      <c r="AV1017" t="str">
        <v>47AG</v>
      </c>
      <c r="AW1017" t="str">
        <v>48CD</v>
      </c>
      <c r="AX1017" t="str">
        <v>49IN</v>
      </c>
      <c r="AY1017" t="str">
        <v>50SN</v>
      </c>
      <c r="AZ1017" t="str">
        <v>51SB</v>
      </c>
      <c r="BA1017" t="str">
        <v>52TE</v>
      </c>
      <c r="BB1017" t="str">
        <v>53I</v>
      </c>
      <c r="BC1017" t="str">
        <v>54XE</v>
      </c>
      <c r="BD1017" t="str">
        <v>55CS</v>
      </c>
      <c r="BE1017" t="str">
        <v>56BA</v>
      </c>
      <c r="BF1017" t="str">
        <v>57LA</v>
      </c>
      <c r="BG1017" t="str">
        <v>58CE</v>
      </c>
      <c r="BH1017" t="str">
        <v>59PR</v>
      </c>
      <c r="BI1017" t="str">
        <v>60ND</v>
      </c>
      <c r="BJ1017" t="str">
        <v>61PM</v>
      </c>
      <c r="BK1017" t="str">
        <v>62SM</v>
      </c>
      <c r="BL1017" t="str">
        <v>63EU</v>
      </c>
      <c r="BM1017" t="str">
        <v>64GD</v>
      </c>
      <c r="BN1017" t="str">
        <v>65TB</v>
      </c>
      <c r="BO1017" t="str">
        <v>66DY</v>
      </c>
      <c r="BP1017" t="str">
        <v>67HO</v>
      </c>
      <c r="BQ1017" t="str">
        <v>68ER</v>
      </c>
      <c r="BR1017" t="str">
        <v>69TM</v>
      </c>
      <c r="BS1017" t="str">
        <v>70YB</v>
      </c>
      <c r="BT1017" t="str">
        <v>71LU</v>
      </c>
      <c r="BU1017" t="str">
        <v>72HF</v>
      </c>
      <c r="BV1017" t="str">
        <v>73TA</v>
      </c>
      <c r="BW1017" t="str">
        <v>74W</v>
      </c>
      <c r="BX1017" t="str">
        <v>75RE</v>
      </c>
      <c r="BY1017" t="str">
        <v>76OS</v>
      </c>
      <c r="BZ1017" t="str">
        <v>77IR</v>
      </c>
      <c r="CA1017" t="str">
        <v>78PT</v>
      </c>
      <c r="CB1017" t="str">
        <v>79AU</v>
      </c>
      <c r="CC1017" t="str">
        <v>80HG</v>
      </c>
      <c r="CD1017" t="str">
        <v>81TL</v>
      </c>
      <c r="CE1017" t="str">
        <v>82PB</v>
      </c>
      <c r="CF1017" t="str">
        <v>83BI</v>
      </c>
      <c r="CG1017" t="str">
        <v>84PO</v>
      </c>
      <c r="CH1017" t="str">
        <v>85AT</v>
      </c>
      <c r="CI1017" t="str">
        <v>86RN</v>
      </c>
      <c r="CJ1017" t="str">
        <v>87FR</v>
      </c>
      <c r="CK1017" t="str">
        <v>88RA</v>
      </c>
      <c r="CL1017" t="str">
        <v>89AC</v>
      </c>
      <c r="CM1017" t="str">
        <v>90TH</v>
      </c>
      <c r="CN1017" t="str">
        <v>91PA</v>
      </c>
      <c r="CO1017" t="str">
        <v>92U</v>
      </c>
      <c r="CP1017" t="str">
        <v>93NP</v>
      </c>
      <c r="CQ1017" t="str">
        <v>94PU</v>
      </c>
      <c r="CR1017" t="str">
        <v>95AM</v>
      </c>
      <c r="CS1017" t="str">
        <v>96CM</v>
      </c>
      <c r="CT1017" t="str">
        <v>97BK</v>
      </c>
      <c r="CU1017" t="str">
        <v>98CF</v>
      </c>
      <c r="CV1017" t="str">
        <v>99ES</v>
      </c>
      <c r="CW1017" t="str">
        <v>100FM</v>
      </c>
    </row>
    <row r="1018" spans="1:101">
      <c r="A1018" t="str">
        <v>energy</v>
      </c>
      <c r="B1018" t="str">
        <v>hydrogen</v>
      </c>
      <c r="C1018" t="str">
        <v>helium</v>
      </c>
      <c r="D1018" t="str">
        <v>lithium</v>
      </c>
      <c r="E1018" t="str">
        <v>beryllium</v>
      </c>
      <c r="F1018" t="str">
        <v>boron</v>
      </c>
      <c r="G1018" t="str">
        <v>carbon</v>
      </c>
      <c r="H1018" t="str">
        <v>nitrogen</v>
      </c>
      <c r="I1018" t="str">
        <v>oxygen</v>
      </c>
      <c r="J1018" t="str">
        <v>fluorine</v>
      </c>
      <c r="K1018" t="str">
        <v>neon</v>
      </c>
      <c r="L1018" t="str">
        <v>sodium</v>
      </c>
      <c r="M1018" t="str">
        <v>magnesium</v>
      </c>
      <c r="N1018" t="str">
        <v>aluminum</v>
      </c>
      <c r="O1018" t="str">
        <v>silicon</v>
      </c>
      <c r="P1018" t="str">
        <v>phosphorus</v>
      </c>
      <c r="Q1018" t="str">
        <v>sulfur</v>
      </c>
      <c r="R1018" t="str">
        <v>chlorine</v>
      </c>
      <c r="S1018" t="str">
        <v>argon</v>
      </c>
      <c r="T1018" t="str">
        <v>potassium</v>
      </c>
      <c r="U1018" t="str">
        <v>calcium</v>
      </c>
      <c r="V1018" t="str">
        <v>scandium</v>
      </c>
      <c r="W1018" t="str">
        <v>titanium</v>
      </c>
      <c r="X1018" t="str">
        <v>vanadium</v>
      </c>
      <c r="Y1018" t="str">
        <v>chromium</v>
      </c>
      <c r="Z1018" t="str">
        <v>manganese</v>
      </c>
      <c r="AA1018" t="str">
        <v>iron</v>
      </c>
      <c r="AB1018" t="str">
        <v>cobalt</v>
      </c>
      <c r="AC1018" t="str">
        <v>nickel</v>
      </c>
      <c r="AD1018" t="str">
        <v>copper</v>
      </c>
      <c r="AE1018" t="str">
        <v>zinc</v>
      </c>
      <c r="AF1018" t="str">
        <v>gallium</v>
      </c>
      <c r="AG1018" t="str">
        <v>germanium</v>
      </c>
      <c r="AH1018" t="str">
        <v>arsenic</v>
      </c>
      <c r="AI1018" t="str">
        <v>selenium</v>
      </c>
      <c r="AJ1018" t="str">
        <v>bromine</v>
      </c>
      <c r="AK1018" t="str">
        <v>krypton</v>
      </c>
      <c r="AL1018" t="str">
        <v>rubidium</v>
      </c>
      <c r="AM1018" t="str">
        <v>strontium</v>
      </c>
      <c r="AN1018" t="str">
        <v>yttrium</v>
      </c>
      <c r="AO1018" t="str">
        <v>zirconium</v>
      </c>
      <c r="AP1018" t="str">
        <v>niobium</v>
      </c>
      <c r="AQ1018" t="str">
        <v>molybdenum</v>
      </c>
      <c r="AR1018" t="str">
        <v>technetium</v>
      </c>
      <c r="AS1018" t="str">
        <v>ruthenium</v>
      </c>
      <c r="AT1018" t="str">
        <v>rhodium</v>
      </c>
      <c r="AU1018" t="str">
        <v>palladium</v>
      </c>
      <c r="AV1018" t="str">
        <v>silver</v>
      </c>
      <c r="AW1018" t="str">
        <v>cadmium</v>
      </c>
      <c r="AX1018" t="str">
        <v>indium</v>
      </c>
      <c r="AY1018" t="str">
        <v>tin</v>
      </c>
      <c r="AZ1018" t="str">
        <v>antimony</v>
      </c>
      <c r="BA1018" t="str">
        <v>tellurium</v>
      </c>
      <c r="BB1018" t="str">
        <v>iodine</v>
      </c>
      <c r="BC1018" t="str">
        <v>xenon</v>
      </c>
      <c r="BD1018" t="str">
        <v>cesium</v>
      </c>
      <c r="BE1018" t="str">
        <v>barium</v>
      </c>
      <c r="BF1018" t="str">
        <v>lanthanum</v>
      </c>
      <c r="BG1018" t="str">
        <v>cerium</v>
      </c>
      <c r="BH1018" t="str">
        <v>praseodymium</v>
      </c>
      <c r="BI1018" t="str">
        <v>neodymium</v>
      </c>
      <c r="BJ1018" t="str">
        <v>promethium</v>
      </c>
      <c r="BK1018" t="str">
        <v>samarium</v>
      </c>
      <c r="BL1018" t="str">
        <v>europium</v>
      </c>
      <c r="BM1018" t="str">
        <v>gadolinium</v>
      </c>
      <c r="BN1018" t="str">
        <v>terbium</v>
      </c>
      <c r="BO1018" t="str">
        <v>dysprosium</v>
      </c>
      <c r="BP1018" t="str">
        <v>holmium</v>
      </c>
      <c r="BQ1018" t="str">
        <v>erbium</v>
      </c>
      <c r="BR1018" t="str">
        <v>thulium</v>
      </c>
      <c r="BS1018" t="str">
        <v>ytterbium</v>
      </c>
      <c r="BT1018" t="str">
        <v>lutetium</v>
      </c>
      <c r="BU1018" t="str">
        <v>hafnium</v>
      </c>
      <c r="BV1018" t="str">
        <v>tantalum</v>
      </c>
      <c r="BW1018" t="str">
        <v>tungsten</v>
      </c>
      <c r="BX1018" t="str">
        <v>rhenium</v>
      </c>
      <c r="BY1018" t="str">
        <v>osmium</v>
      </c>
      <c r="BZ1018" t="str">
        <v>iridium</v>
      </c>
      <c r="CA1018" t="str">
        <v>platinum</v>
      </c>
      <c r="CB1018" t="str">
        <v>gold</v>
      </c>
      <c r="CC1018" t="str">
        <v>mercury</v>
      </c>
      <c r="CD1018" t="str">
        <v>thallium</v>
      </c>
      <c r="CE1018" t="str">
        <v>lead</v>
      </c>
      <c r="CF1018" t="str">
        <v>bismuth</v>
      </c>
      <c r="CG1018" t="str">
        <v>polonium</v>
      </c>
      <c r="CH1018" t="str">
        <v>astatine</v>
      </c>
      <c r="CI1018" t="str">
        <v>radon</v>
      </c>
      <c r="CJ1018" t="str">
        <v>francium</v>
      </c>
      <c r="CK1018" t="str">
        <v>radium</v>
      </c>
      <c r="CL1018" t="str">
        <v>actinium</v>
      </c>
      <c r="CM1018" t="str">
        <v>thorium</v>
      </c>
      <c r="CN1018" t="str">
        <v>protactinium</v>
      </c>
      <c r="CO1018" t="str">
        <v>uranium</v>
      </c>
      <c r="CP1018" t="str">
        <v>neptunium</v>
      </c>
      <c r="CQ1018" t="str">
        <v>plutonium</v>
      </c>
      <c r="CR1018" t="str">
        <v>americium</v>
      </c>
      <c r="CS1018" t="str">
        <v>curium</v>
      </c>
      <c r="CT1018" t="str">
        <v>berkelium</v>
      </c>
      <c r="CU1018" t="str">
        <v>californium</v>
      </c>
      <c r="CV1018" t="str">
        <v>einsteinium</v>
      </c>
      <c r="CW1018" t="str">
        <v>fermium</v>
      </c>
    </row>
    <row r="1019" spans="1:101">
      <c r="A1019">
        <v>0.01</v>
      </c>
      <c r="B1019">
        <v>0.38540000000000002</v>
      </c>
      <c r="C1019">
        <v>0.222</v>
      </c>
      <c r="D1019">
        <v>0.30270000000000002</v>
      </c>
      <c r="E1019">
        <v>0.59409999999999996</v>
      </c>
      <c r="F1019">
        <v>1.1819999999999999</v>
      </c>
      <c r="G1019">
        <v>2.2679999999999998</v>
      </c>
      <c r="H1019">
        <v>3.7360000000000002</v>
      </c>
      <c r="I1019">
        <v>5.758</v>
      </c>
      <c r="J1019">
        <v>7.9649999999999999</v>
      </c>
      <c r="K1019">
        <v>11.64</v>
      </c>
      <c r="L1019">
        <v>15.2</v>
      </c>
      <c r="M1019">
        <v>20.63</v>
      </c>
      <c r="N1019">
        <v>25.75</v>
      </c>
      <c r="O1019">
        <v>33.340000000000003</v>
      </c>
      <c r="P1019">
        <v>39.78</v>
      </c>
      <c r="Q1019">
        <v>49.5</v>
      </c>
      <c r="R1019">
        <v>56.59</v>
      </c>
      <c r="S1019">
        <v>62.49</v>
      </c>
      <c r="T1019">
        <v>78.319999999999993</v>
      </c>
      <c r="U1019">
        <v>92.59</v>
      </c>
      <c r="V1019">
        <v>98.72</v>
      </c>
      <c r="W1019">
        <v>109.9</v>
      </c>
      <c r="X1019">
        <v>120.9</v>
      </c>
      <c r="Y1019">
        <v>137.69999999999999</v>
      </c>
      <c r="Z1019">
        <v>150.4</v>
      </c>
      <c r="AA1019">
        <v>169.6</v>
      </c>
      <c r="AB1019">
        <v>182.9</v>
      </c>
      <c r="AC1019">
        <v>207.7</v>
      </c>
      <c r="AD1019">
        <v>214.6</v>
      </c>
      <c r="AE1019">
        <v>231.7</v>
      </c>
      <c r="AF1019">
        <v>32.729999999999997</v>
      </c>
      <c r="AG1019">
        <v>35.89</v>
      </c>
      <c r="AH1019">
        <v>39.54</v>
      </c>
      <c r="AI1019">
        <v>42.49</v>
      </c>
      <c r="AJ1019">
        <v>47.37</v>
      </c>
      <c r="AK1019">
        <v>50.79</v>
      </c>
      <c r="AL1019">
        <v>55.82</v>
      </c>
      <c r="AM1019">
        <v>60.82</v>
      </c>
      <c r="AN1019">
        <v>66.72</v>
      </c>
      <c r="AO1019">
        <v>72.12</v>
      </c>
      <c r="AP1019">
        <v>78.260000000000005</v>
      </c>
      <c r="AQ1019">
        <v>83.58</v>
      </c>
      <c r="AR1019">
        <v>90.09</v>
      </c>
      <c r="AS1019">
        <v>95.73</v>
      </c>
      <c r="AT1019">
        <v>103</v>
      </c>
      <c r="AU1019">
        <v>108.6</v>
      </c>
      <c r="AV1019">
        <v>116.8</v>
      </c>
      <c r="AW1019">
        <v>121.9</v>
      </c>
      <c r="AX1019">
        <v>129.6</v>
      </c>
      <c r="AY1019">
        <v>135.9</v>
      </c>
      <c r="AZ1019">
        <v>143.19999999999999</v>
      </c>
      <c r="BA1019">
        <v>147.5</v>
      </c>
      <c r="BB1019">
        <v>159.9</v>
      </c>
      <c r="BC1019">
        <v>166.3</v>
      </c>
      <c r="BD1019">
        <v>176.5</v>
      </c>
      <c r="BE1019">
        <v>183.2</v>
      </c>
      <c r="BF1019">
        <v>193.8</v>
      </c>
      <c r="BG1019">
        <v>205.2</v>
      </c>
      <c r="BH1019">
        <v>217.8</v>
      </c>
      <c r="BI1019">
        <v>226.8</v>
      </c>
      <c r="BJ1019">
        <v>240.7</v>
      </c>
      <c r="BK1019">
        <v>246.6</v>
      </c>
      <c r="BL1019">
        <v>259.5</v>
      </c>
      <c r="BM1019">
        <v>265.89999999999998</v>
      </c>
      <c r="BN1019">
        <v>277.89999999999998</v>
      </c>
      <c r="BO1019">
        <v>286.60000000000002</v>
      </c>
      <c r="BP1019">
        <v>297.5</v>
      </c>
      <c r="BQ1019">
        <v>309.10000000000002</v>
      </c>
      <c r="BR1019">
        <v>279.10000000000002</v>
      </c>
      <c r="BS1019">
        <v>290.39999999999998</v>
      </c>
      <c r="BT1019">
        <v>217</v>
      </c>
      <c r="BU1019">
        <v>225.9</v>
      </c>
      <c r="BV1019">
        <v>233.6</v>
      </c>
      <c r="BW1019">
        <v>92.56</v>
      </c>
      <c r="BX1019">
        <v>96.67</v>
      </c>
      <c r="BY1019">
        <v>100</v>
      </c>
      <c r="BZ1019">
        <v>104.4</v>
      </c>
      <c r="CA1019">
        <v>108.6</v>
      </c>
      <c r="CB1019">
        <v>113.4</v>
      </c>
      <c r="CC1019">
        <v>117.3</v>
      </c>
      <c r="CD1019">
        <v>121.2</v>
      </c>
      <c r="CE1019">
        <v>125.7</v>
      </c>
      <c r="CF1019">
        <v>131</v>
      </c>
      <c r="CG1019">
        <v>137.6</v>
      </c>
      <c r="CH1019">
        <v>143.69999999999999</v>
      </c>
      <c r="CI1019">
        <v>142.69999999999999</v>
      </c>
      <c r="CJ1019">
        <v>148.80000000000001</v>
      </c>
      <c r="CK1019">
        <v>153.69999999999999</v>
      </c>
      <c r="CL1019">
        <v>160</v>
      </c>
      <c r="CM1019">
        <v>163.6</v>
      </c>
      <c r="CN1019">
        <v>171.5</v>
      </c>
      <c r="CO1019">
        <v>173.7</v>
      </c>
      <c r="CP1019">
        <v>181.9</v>
      </c>
      <c r="CQ1019">
        <v>187.9</v>
      </c>
      <c r="CR1019">
        <v>192.3</v>
      </c>
      <c r="CS1019">
        <v>196.9</v>
      </c>
      <c r="CT1019">
        <v>204.5</v>
      </c>
      <c r="CU1019">
        <v>208.8</v>
      </c>
      <c r="CV1019">
        <v>215.8</v>
      </c>
      <c r="CW1019">
        <v>219.6</v>
      </c>
    </row>
    <row r="1020" spans="1:101">
      <c r="A1020">
        <v>1.4999999999999999E-2</v>
      </c>
      <c r="B1020">
        <v>0.37640000000000001</v>
      </c>
      <c r="C1020">
        <v>0.1966</v>
      </c>
      <c r="D1020">
        <v>0.19850000000000001</v>
      </c>
      <c r="E1020">
        <v>0.2782</v>
      </c>
      <c r="F1020">
        <v>0.44069999999999998</v>
      </c>
      <c r="G1020">
        <v>0.74760000000000004</v>
      </c>
      <c r="H1020">
        <v>1.1559999999999999</v>
      </c>
      <c r="I1020">
        <v>1.7310000000000001</v>
      </c>
      <c r="J1020">
        <v>2.363</v>
      </c>
      <c r="K1020">
        <v>3.4409999999999998</v>
      </c>
      <c r="L1020">
        <v>4.4980000000000002</v>
      </c>
      <c r="M1020">
        <v>6.1239999999999997</v>
      </c>
      <c r="N1020">
        <v>7.6970000000000001</v>
      </c>
      <c r="O1020">
        <v>10.039999999999999</v>
      </c>
      <c r="P1020">
        <v>12.07</v>
      </c>
      <c r="Q1020">
        <v>15.13</v>
      </c>
      <c r="R1020">
        <v>17.45</v>
      </c>
      <c r="S1020">
        <v>19.43</v>
      </c>
      <c r="T1020">
        <v>24.57</v>
      </c>
      <c r="U1020">
        <v>29.29</v>
      </c>
      <c r="V1020">
        <v>31.52</v>
      </c>
      <c r="W1020">
        <v>35.35</v>
      </c>
      <c r="X1020">
        <v>39.28</v>
      </c>
      <c r="Y1020">
        <v>45.12</v>
      </c>
      <c r="Z1020">
        <v>49.65</v>
      </c>
      <c r="AA1020">
        <v>56.41</v>
      </c>
      <c r="AB1020">
        <v>61.3</v>
      </c>
      <c r="AC1020">
        <v>70.03</v>
      </c>
      <c r="AD1020">
        <v>73.25</v>
      </c>
      <c r="AE1020">
        <v>80.319999999999993</v>
      </c>
      <c r="AF1020">
        <v>84.5</v>
      </c>
      <c r="AG1020">
        <v>90.63</v>
      </c>
      <c r="AH1020">
        <v>97.6</v>
      </c>
      <c r="AI1020">
        <v>102.2</v>
      </c>
      <c r="AJ1020">
        <v>110.9</v>
      </c>
      <c r="AK1020">
        <v>115.7</v>
      </c>
      <c r="AL1020">
        <v>17.97</v>
      </c>
      <c r="AM1020">
        <v>19.62</v>
      </c>
      <c r="AN1020">
        <v>21.56</v>
      </c>
      <c r="AO1020">
        <v>23.35</v>
      </c>
      <c r="AP1020">
        <v>25.39</v>
      </c>
      <c r="AQ1020">
        <v>27.16</v>
      </c>
      <c r="AR1020">
        <v>29.35</v>
      </c>
      <c r="AS1020">
        <v>31.25</v>
      </c>
      <c r="AT1020">
        <v>33.67</v>
      </c>
      <c r="AU1020">
        <v>35.619999999999997</v>
      </c>
      <c r="AV1020">
        <v>38.39</v>
      </c>
      <c r="AW1020">
        <v>40.18</v>
      </c>
      <c r="AX1020">
        <v>42.81</v>
      </c>
      <c r="AY1020">
        <v>44.99</v>
      </c>
      <c r="AZ1020">
        <v>47.54</v>
      </c>
      <c r="BA1020">
        <v>49.1</v>
      </c>
      <c r="BB1020">
        <v>53.36</v>
      </c>
      <c r="BC1020">
        <v>55.66</v>
      </c>
      <c r="BD1020">
        <v>59.24</v>
      </c>
      <c r="BE1020">
        <v>61.64</v>
      </c>
      <c r="BF1020">
        <v>65.45</v>
      </c>
      <c r="BG1020">
        <v>69.48</v>
      </c>
      <c r="BH1020">
        <v>73.97</v>
      </c>
      <c r="BI1020">
        <v>77.19</v>
      </c>
      <c r="BJ1020">
        <v>81.99</v>
      </c>
      <c r="BK1020">
        <v>84.18</v>
      </c>
      <c r="BL1020">
        <v>88.69</v>
      </c>
      <c r="BM1020">
        <v>91.15</v>
      </c>
      <c r="BN1020">
        <v>95.72</v>
      </c>
      <c r="BO1020">
        <v>99.28</v>
      </c>
      <c r="BP1020">
        <v>103.6</v>
      </c>
      <c r="BQ1020">
        <v>108.1</v>
      </c>
      <c r="BR1020">
        <v>113.2</v>
      </c>
      <c r="BS1020">
        <v>116.7</v>
      </c>
      <c r="BT1020">
        <v>122.1</v>
      </c>
      <c r="BU1020">
        <v>126.3</v>
      </c>
      <c r="BV1020">
        <v>131.30000000000001</v>
      </c>
      <c r="BW1020">
        <v>136.1</v>
      </c>
      <c r="BX1020">
        <v>141.1</v>
      </c>
      <c r="BY1020">
        <v>144.9</v>
      </c>
      <c r="BZ1020">
        <v>150</v>
      </c>
      <c r="CA1020">
        <v>154.80000000000001</v>
      </c>
      <c r="CB1020">
        <v>160.6</v>
      </c>
      <c r="CC1020">
        <v>165</v>
      </c>
      <c r="CD1020">
        <v>146.5</v>
      </c>
      <c r="CE1020">
        <v>108.4</v>
      </c>
      <c r="CF1020">
        <v>112.7</v>
      </c>
      <c r="CG1020">
        <v>118.5</v>
      </c>
      <c r="CH1020">
        <v>124.3</v>
      </c>
      <c r="CI1020">
        <v>122.5</v>
      </c>
      <c r="CJ1020">
        <v>52.31</v>
      </c>
      <c r="CK1020">
        <v>54.13</v>
      </c>
      <c r="CL1020">
        <v>56.46</v>
      </c>
      <c r="CM1020">
        <v>57.87</v>
      </c>
      <c r="CN1020">
        <v>60.75</v>
      </c>
      <c r="CO1020">
        <v>61.62</v>
      </c>
      <c r="CP1020">
        <v>64.63</v>
      </c>
      <c r="CQ1020">
        <v>66.83</v>
      </c>
      <c r="CR1020">
        <v>68.53</v>
      </c>
      <c r="CS1020">
        <v>70.25</v>
      </c>
      <c r="CT1020">
        <v>73.150000000000006</v>
      </c>
      <c r="CU1020">
        <v>74.86</v>
      </c>
      <c r="CV1020">
        <v>77.55</v>
      </c>
      <c r="CW1020">
        <v>79.010000000000005</v>
      </c>
    </row>
    <row r="1021" spans="1:101">
      <c r="A1021">
        <v>0.02</v>
      </c>
      <c r="B1021">
        <v>0.3695</v>
      </c>
      <c r="C1021">
        <v>0.18870000000000001</v>
      </c>
      <c r="D1021">
        <v>0.1741</v>
      </c>
      <c r="E1021">
        <v>0.2072</v>
      </c>
      <c r="F1021">
        <v>0.27460000000000001</v>
      </c>
      <c r="G1021">
        <v>0.40350000000000003</v>
      </c>
      <c r="H1021">
        <v>0.56669999999999998</v>
      </c>
      <c r="I1021">
        <v>0.79849999999999999</v>
      </c>
      <c r="J1021">
        <v>1.0509999999999999</v>
      </c>
      <c r="K1021">
        <v>1.498</v>
      </c>
      <c r="L1021">
        <v>1.9339999999999999</v>
      </c>
      <c r="M1021">
        <v>2.6160000000000001</v>
      </c>
      <c r="N1021">
        <v>3.2789999999999999</v>
      </c>
      <c r="O1021">
        <v>4.2750000000000004</v>
      </c>
      <c r="P1021">
        <v>5.1479999999999997</v>
      </c>
      <c r="Q1021">
        <v>6.4749999999999996</v>
      </c>
      <c r="R1021">
        <v>7.492</v>
      </c>
      <c r="S1021">
        <v>8.375</v>
      </c>
      <c r="T1021">
        <v>10.63</v>
      </c>
      <c r="U1021">
        <v>12.73</v>
      </c>
      <c r="V1021">
        <v>13.76</v>
      </c>
      <c r="W1021">
        <v>15.5</v>
      </c>
      <c r="X1021">
        <v>17.309999999999999</v>
      </c>
      <c r="Y1021">
        <v>19.98</v>
      </c>
      <c r="Z1021">
        <v>22.11</v>
      </c>
      <c r="AA1021">
        <v>25.22</v>
      </c>
      <c r="AB1021">
        <v>27.54</v>
      </c>
      <c r="AC1021">
        <v>31.67</v>
      </c>
      <c r="AD1021">
        <v>33.25</v>
      </c>
      <c r="AE1021">
        <v>36.619999999999997</v>
      </c>
      <c r="AF1021">
        <v>38.69</v>
      </c>
      <c r="AG1021">
        <v>41.61</v>
      </c>
      <c r="AH1021">
        <v>45</v>
      </c>
      <c r="AI1021">
        <v>47.52</v>
      </c>
      <c r="AJ1021">
        <v>51.95</v>
      </c>
      <c r="AK1021">
        <v>54.76</v>
      </c>
      <c r="AL1021">
        <v>59.05</v>
      </c>
      <c r="AM1021">
        <v>63.08</v>
      </c>
      <c r="AN1021">
        <v>67.73</v>
      </c>
      <c r="AO1021">
        <v>71.510000000000005</v>
      </c>
      <c r="AP1021">
        <v>76.23</v>
      </c>
      <c r="AQ1021">
        <v>78.62</v>
      </c>
      <c r="AR1021">
        <v>13.14</v>
      </c>
      <c r="AS1021">
        <v>14.01</v>
      </c>
      <c r="AT1021">
        <v>15.12</v>
      </c>
      <c r="AU1021">
        <v>16</v>
      </c>
      <c r="AV1021">
        <v>17.27</v>
      </c>
      <c r="AW1021">
        <v>18.09</v>
      </c>
      <c r="AX1021">
        <v>19.3</v>
      </c>
      <c r="AY1021">
        <v>20.3</v>
      </c>
      <c r="AZ1021">
        <v>21.5</v>
      </c>
      <c r="BA1021">
        <v>22.23</v>
      </c>
      <c r="BB1021">
        <v>24.19</v>
      </c>
      <c r="BC1021">
        <v>25.26</v>
      </c>
      <c r="BD1021">
        <v>26.93</v>
      </c>
      <c r="BE1021">
        <v>28.08</v>
      </c>
      <c r="BF1021">
        <v>29.85</v>
      </c>
      <c r="BG1021">
        <v>31.74</v>
      </c>
      <c r="BH1021">
        <v>33.83</v>
      </c>
      <c r="BI1021">
        <v>35.380000000000003</v>
      </c>
      <c r="BJ1021">
        <v>37.65</v>
      </c>
      <c r="BK1021">
        <v>38.729999999999997</v>
      </c>
      <c r="BL1021">
        <v>40.85</v>
      </c>
      <c r="BM1021">
        <v>42.04</v>
      </c>
      <c r="BN1021">
        <v>44.25</v>
      </c>
      <c r="BO1021">
        <v>46</v>
      </c>
      <c r="BP1021">
        <v>48.13</v>
      </c>
      <c r="BQ1021">
        <v>50.3</v>
      </c>
      <c r="BR1021">
        <v>52.73</v>
      </c>
      <c r="BS1021">
        <v>54.47</v>
      </c>
      <c r="BT1021">
        <v>56.98</v>
      </c>
      <c r="BU1021">
        <v>58.99</v>
      </c>
      <c r="BV1021">
        <v>61.42</v>
      </c>
      <c r="BW1021">
        <v>63.76</v>
      </c>
      <c r="BX1021">
        <v>66.349999999999994</v>
      </c>
      <c r="BY1021">
        <v>68.34</v>
      </c>
      <c r="BZ1021">
        <v>71.11</v>
      </c>
      <c r="CA1021">
        <v>73.62</v>
      </c>
      <c r="CB1021">
        <v>76.650000000000006</v>
      </c>
      <c r="CC1021">
        <v>79.05</v>
      </c>
      <c r="CD1021">
        <v>81.38</v>
      </c>
      <c r="CE1021">
        <v>84.11</v>
      </c>
      <c r="CF1021">
        <v>87.2</v>
      </c>
      <c r="CG1021">
        <v>91.15</v>
      </c>
      <c r="CH1021">
        <v>94.59</v>
      </c>
      <c r="CI1021">
        <v>93.27</v>
      </c>
      <c r="CJ1021">
        <v>96.9</v>
      </c>
      <c r="CK1021">
        <v>99.83</v>
      </c>
      <c r="CL1021">
        <v>103.6</v>
      </c>
      <c r="CM1021">
        <v>91.13</v>
      </c>
      <c r="CN1021">
        <v>67.63</v>
      </c>
      <c r="CO1021">
        <v>68.45</v>
      </c>
      <c r="CP1021">
        <v>71.760000000000005</v>
      </c>
      <c r="CQ1021">
        <v>74.34</v>
      </c>
      <c r="CR1021">
        <v>76.58</v>
      </c>
      <c r="CS1021">
        <v>78.66</v>
      </c>
      <c r="CT1021">
        <v>81.040000000000006</v>
      </c>
      <c r="CU1021">
        <v>82.87</v>
      </c>
      <c r="CV1021">
        <v>37.119999999999997</v>
      </c>
      <c r="CW1021">
        <v>37.880000000000003</v>
      </c>
    </row>
    <row r="1022" spans="1:101">
      <c r="A1022">
        <v>0.03</v>
      </c>
      <c r="B1022">
        <v>0.35699999999999998</v>
      </c>
      <c r="C1022">
        <v>0.1804</v>
      </c>
      <c r="D1022">
        <v>0.1588</v>
      </c>
      <c r="E1022">
        <v>0.17050000000000001</v>
      </c>
      <c r="F1022">
        <v>0.193</v>
      </c>
      <c r="G1022">
        <v>0.23680000000000001</v>
      </c>
      <c r="H1022">
        <v>0.28070000000000001</v>
      </c>
      <c r="I1022">
        <v>0.34399999999999997</v>
      </c>
      <c r="J1022">
        <v>0.40739999999999998</v>
      </c>
      <c r="K1022">
        <v>0.53759999999999997</v>
      </c>
      <c r="L1022">
        <v>0.65759999999999996</v>
      </c>
      <c r="M1022">
        <v>0.85619999999999996</v>
      </c>
      <c r="N1022">
        <v>1.0449999999999999</v>
      </c>
      <c r="O1022">
        <v>1.34</v>
      </c>
      <c r="P1022">
        <v>1.5960000000000001</v>
      </c>
      <c r="Q1022">
        <v>1.9930000000000001</v>
      </c>
      <c r="R1022">
        <v>2.2989999999999999</v>
      </c>
      <c r="S1022">
        <v>2.5659999999999998</v>
      </c>
      <c r="T1022">
        <v>3.26</v>
      </c>
      <c r="U1022">
        <v>3.9089999999999998</v>
      </c>
      <c r="V1022">
        <v>4.2370000000000001</v>
      </c>
      <c r="W1022">
        <v>4.7889999999999997</v>
      </c>
      <c r="X1022">
        <v>5.3710000000000004</v>
      </c>
      <c r="Y1022">
        <v>6.2210000000000001</v>
      </c>
      <c r="Z1022">
        <v>6.9169999999999998</v>
      </c>
      <c r="AA1022">
        <v>7.93</v>
      </c>
      <c r="AB1022">
        <v>8.7029999999999994</v>
      </c>
      <c r="AC1022">
        <v>10.050000000000001</v>
      </c>
      <c r="AD1022">
        <v>10.62</v>
      </c>
      <c r="AE1022">
        <v>11.75</v>
      </c>
      <c r="AF1022">
        <v>12.49</v>
      </c>
      <c r="AG1022">
        <v>13.51</v>
      </c>
      <c r="AH1022">
        <v>14.7</v>
      </c>
      <c r="AI1022">
        <v>15.6</v>
      </c>
      <c r="AJ1022">
        <v>17.14</v>
      </c>
      <c r="AK1022">
        <v>18.13</v>
      </c>
      <c r="AL1022">
        <v>19.670000000000002</v>
      </c>
      <c r="AM1022">
        <v>21.12</v>
      </c>
      <c r="AN1022">
        <v>22.84</v>
      </c>
      <c r="AO1022">
        <v>24.38</v>
      </c>
      <c r="AP1022">
        <v>26.16</v>
      </c>
      <c r="AQ1022">
        <v>27.59</v>
      </c>
      <c r="AR1022">
        <v>29.4</v>
      </c>
      <c r="AS1022">
        <v>30.86</v>
      </c>
      <c r="AT1022">
        <v>32.74</v>
      </c>
      <c r="AU1022">
        <v>34.07</v>
      </c>
      <c r="AV1022">
        <v>36.08</v>
      </c>
      <c r="AW1022">
        <v>37.04</v>
      </c>
      <c r="AX1022">
        <v>38.86</v>
      </c>
      <c r="AY1022">
        <v>40.58</v>
      </c>
      <c r="AZ1022">
        <v>6.9740000000000002</v>
      </c>
      <c r="BA1022">
        <v>7.2210000000000001</v>
      </c>
      <c r="BB1022">
        <v>7.867</v>
      </c>
      <c r="BC1022">
        <v>8.2249999999999996</v>
      </c>
      <c r="BD1022">
        <v>8.7799999999999994</v>
      </c>
      <c r="BE1022">
        <v>9.1669999999999998</v>
      </c>
      <c r="BF1022">
        <v>9.76</v>
      </c>
      <c r="BG1022">
        <v>10.4</v>
      </c>
      <c r="BH1022">
        <v>11.1</v>
      </c>
      <c r="BI1022">
        <v>11.62</v>
      </c>
      <c r="BJ1022">
        <v>12.39</v>
      </c>
      <c r="BK1022">
        <v>12.77</v>
      </c>
      <c r="BL1022">
        <v>13.51</v>
      </c>
      <c r="BM1022">
        <v>13.93</v>
      </c>
      <c r="BN1022">
        <v>14.69</v>
      </c>
      <c r="BO1022">
        <v>15.29</v>
      </c>
      <c r="BP1022">
        <v>16.03</v>
      </c>
      <c r="BQ1022">
        <v>16.79</v>
      </c>
      <c r="BR1022">
        <v>17.64</v>
      </c>
      <c r="BS1022">
        <v>18.27</v>
      </c>
      <c r="BT1022">
        <v>19.149999999999999</v>
      </c>
      <c r="BU1022">
        <v>19.88</v>
      </c>
      <c r="BV1022">
        <v>20.75</v>
      </c>
      <c r="BW1022">
        <v>21.58</v>
      </c>
      <c r="BX1022">
        <v>22.51</v>
      </c>
      <c r="BY1022">
        <v>23.25</v>
      </c>
      <c r="BZ1022">
        <v>24.25</v>
      </c>
      <c r="CA1022">
        <v>25.18</v>
      </c>
      <c r="CB1022">
        <v>26.26</v>
      </c>
      <c r="CC1022">
        <v>27.13</v>
      </c>
      <c r="CD1022">
        <v>27.99</v>
      </c>
      <c r="CE1022">
        <v>29</v>
      </c>
      <c r="CF1022">
        <v>30.17</v>
      </c>
      <c r="CG1022">
        <v>31.64</v>
      </c>
      <c r="CH1022">
        <v>33.01</v>
      </c>
      <c r="CI1022">
        <v>32.69</v>
      </c>
      <c r="CJ1022">
        <v>34.08</v>
      </c>
      <c r="CK1022">
        <v>35.200000000000003</v>
      </c>
      <c r="CL1022">
        <v>36.64</v>
      </c>
      <c r="CM1022">
        <v>37.43</v>
      </c>
      <c r="CN1022">
        <v>39.24</v>
      </c>
      <c r="CO1022">
        <v>39.76</v>
      </c>
      <c r="CP1022">
        <v>41.58</v>
      </c>
      <c r="CQ1022">
        <v>42.92</v>
      </c>
      <c r="CR1022">
        <v>43.89</v>
      </c>
      <c r="CS1022">
        <v>44.86</v>
      </c>
      <c r="CT1022">
        <v>46.57</v>
      </c>
      <c r="CU1022">
        <v>47.53</v>
      </c>
      <c r="CV1022">
        <v>49.09</v>
      </c>
      <c r="CW1022">
        <v>49.98</v>
      </c>
    </row>
    <row r="1023" spans="1:101">
      <c r="A1023">
        <v>0.04</v>
      </c>
      <c r="B1023">
        <v>0.3458</v>
      </c>
      <c r="C1023">
        <v>0.17430000000000001</v>
      </c>
      <c r="D1023">
        <v>0.15190000000000001</v>
      </c>
      <c r="E1023">
        <v>0.1588</v>
      </c>
      <c r="F1023">
        <v>0.1714</v>
      </c>
      <c r="G1023">
        <v>0.19600000000000001</v>
      </c>
      <c r="H1023">
        <v>0.21329999999999999</v>
      </c>
      <c r="I1023">
        <v>0.2382</v>
      </c>
      <c r="J1023">
        <v>0.2581</v>
      </c>
      <c r="K1023">
        <v>0.31459999999999999</v>
      </c>
      <c r="L1023">
        <v>0.35949999999999999</v>
      </c>
      <c r="M1023">
        <v>0.44309999999999999</v>
      </c>
      <c r="N1023">
        <v>0.51839999999999997</v>
      </c>
      <c r="O1023">
        <v>0.64249999999999996</v>
      </c>
      <c r="P1023">
        <v>0.74590000000000001</v>
      </c>
      <c r="Q1023">
        <v>0.91439999999999999</v>
      </c>
      <c r="R1023">
        <v>1.0389999999999999</v>
      </c>
      <c r="S1023">
        <v>1.1479999999999999</v>
      </c>
      <c r="T1023">
        <v>1.4470000000000001</v>
      </c>
      <c r="U1023">
        <v>1.726</v>
      </c>
      <c r="V1023">
        <v>1.8640000000000001</v>
      </c>
      <c r="W1023">
        <v>2.101</v>
      </c>
      <c r="X1023">
        <v>2.355</v>
      </c>
      <c r="Y1023">
        <v>2.7250000000000001</v>
      </c>
      <c r="Z1023">
        <v>3.0310000000000001</v>
      </c>
      <c r="AA1023">
        <v>3.4780000000000002</v>
      </c>
      <c r="AB1023">
        <v>3.8210000000000002</v>
      </c>
      <c r="AC1023">
        <v>4.4219999999999997</v>
      </c>
      <c r="AD1023">
        <v>4.68</v>
      </c>
      <c r="AE1023">
        <v>5.19</v>
      </c>
      <c r="AF1023">
        <v>5.5259999999999998</v>
      </c>
      <c r="AG1023">
        <v>5.9980000000000002</v>
      </c>
      <c r="AH1023">
        <v>6.54</v>
      </c>
      <c r="AI1023">
        <v>6.9560000000000004</v>
      </c>
      <c r="AJ1023">
        <v>7.657</v>
      </c>
      <c r="AK1023">
        <v>8.1379999999999999</v>
      </c>
      <c r="AL1023">
        <v>8.8460000000000001</v>
      </c>
      <c r="AM1023">
        <v>9.5419999999999998</v>
      </c>
      <c r="AN1023">
        <v>10.36</v>
      </c>
      <c r="AO1023">
        <v>11.09</v>
      </c>
      <c r="AP1023">
        <v>11.91</v>
      </c>
      <c r="AQ1023">
        <v>12.61</v>
      </c>
      <c r="AR1023">
        <v>13.46</v>
      </c>
      <c r="AS1023">
        <v>14.17</v>
      </c>
      <c r="AT1023">
        <v>15.08</v>
      </c>
      <c r="AU1023">
        <v>15.77</v>
      </c>
      <c r="AV1023">
        <v>16.8</v>
      </c>
      <c r="AW1023">
        <v>17.39</v>
      </c>
      <c r="AX1023">
        <v>18.32</v>
      </c>
      <c r="AY1023">
        <v>19.02</v>
      </c>
      <c r="AZ1023">
        <v>19.850000000000001</v>
      </c>
      <c r="BA1023">
        <v>20.22</v>
      </c>
      <c r="BB1023">
        <v>21.65</v>
      </c>
      <c r="BC1023">
        <v>22.25</v>
      </c>
      <c r="BD1023">
        <v>23.34</v>
      </c>
      <c r="BE1023">
        <v>24.1</v>
      </c>
      <c r="BF1023">
        <v>25.29</v>
      </c>
      <c r="BG1023">
        <v>4.7080000000000002</v>
      </c>
      <c r="BH1023">
        <v>5.0309999999999997</v>
      </c>
      <c r="BI1023">
        <v>5.2720000000000002</v>
      </c>
      <c r="BJ1023">
        <v>5.62</v>
      </c>
      <c r="BK1023">
        <v>5.7990000000000004</v>
      </c>
      <c r="BL1023">
        <v>6.1360000000000001</v>
      </c>
      <c r="BM1023">
        <v>6.335</v>
      </c>
      <c r="BN1023">
        <v>6.6829999999999998</v>
      </c>
      <c r="BO1023">
        <v>6.9649999999999999</v>
      </c>
      <c r="BP1023">
        <v>7.306</v>
      </c>
      <c r="BQ1023">
        <v>7.6630000000000003</v>
      </c>
      <c r="BR1023">
        <v>8.0630000000000006</v>
      </c>
      <c r="BS1023">
        <v>8.3580000000000005</v>
      </c>
      <c r="BT1023">
        <v>8.77</v>
      </c>
      <c r="BU1023">
        <v>9.1120000000000001</v>
      </c>
      <c r="BV1023">
        <v>9.5180000000000007</v>
      </c>
      <c r="BW1023">
        <v>9.9220000000000006</v>
      </c>
      <c r="BX1023">
        <v>10.36</v>
      </c>
      <c r="BY1023">
        <v>10.71</v>
      </c>
      <c r="BZ1023">
        <v>11.19</v>
      </c>
      <c r="CA1023">
        <v>11.64</v>
      </c>
      <c r="CB1023">
        <v>12.15</v>
      </c>
      <c r="CC1023">
        <v>12.57</v>
      </c>
      <c r="CD1023">
        <v>12.99</v>
      </c>
      <c r="CE1023">
        <v>13.49</v>
      </c>
      <c r="CF1023">
        <v>14.06</v>
      </c>
      <c r="CG1023">
        <v>14.77</v>
      </c>
      <c r="CH1023">
        <v>15.44</v>
      </c>
      <c r="CI1023">
        <v>15.32</v>
      </c>
      <c r="CJ1023">
        <v>15.99</v>
      </c>
      <c r="CK1023">
        <v>16.54</v>
      </c>
      <c r="CL1023">
        <v>17.25</v>
      </c>
      <c r="CM1023">
        <v>17.66</v>
      </c>
      <c r="CN1023">
        <v>18.55</v>
      </c>
      <c r="CO1023">
        <v>18.809999999999999</v>
      </c>
      <c r="CP1023">
        <v>19.72</v>
      </c>
      <c r="CQ1023">
        <v>20.399999999999999</v>
      </c>
      <c r="CR1023">
        <v>20.93</v>
      </c>
      <c r="CS1023">
        <v>21.46</v>
      </c>
      <c r="CT1023">
        <v>22.36</v>
      </c>
      <c r="CU1023">
        <v>22.91</v>
      </c>
      <c r="CV1023">
        <v>23.75</v>
      </c>
      <c r="CW1023">
        <v>24.21</v>
      </c>
    </row>
    <row r="1024" spans="1:101">
      <c r="A1024">
        <v>0.05</v>
      </c>
      <c r="B1024">
        <v>0.33550000000000002</v>
      </c>
      <c r="C1024">
        <v>0.1691</v>
      </c>
      <c r="D1024">
        <v>0.1467</v>
      </c>
      <c r="E1024">
        <v>0.152</v>
      </c>
      <c r="F1024">
        <v>0.16120000000000001</v>
      </c>
      <c r="G1024">
        <v>0.1794</v>
      </c>
      <c r="H1024">
        <v>0.18770000000000001</v>
      </c>
      <c r="I1024">
        <v>0.19969999999999999</v>
      </c>
      <c r="J1024">
        <v>0.20499999999999999</v>
      </c>
      <c r="K1024">
        <v>0.23619999999999999</v>
      </c>
      <c r="L1024">
        <v>0.2555</v>
      </c>
      <c r="M1024">
        <v>0.29930000000000001</v>
      </c>
      <c r="N1024">
        <v>0.3347</v>
      </c>
      <c r="O1024">
        <v>0.39929999999999999</v>
      </c>
      <c r="P1024">
        <v>0.44890000000000002</v>
      </c>
      <c r="Q1024">
        <v>0.53580000000000005</v>
      </c>
      <c r="R1024">
        <v>0.59589999999999999</v>
      </c>
      <c r="S1024">
        <v>0.64700000000000002</v>
      </c>
      <c r="T1024">
        <v>0.80420000000000003</v>
      </c>
      <c r="U1024">
        <v>0.94830000000000003</v>
      </c>
      <c r="V1024">
        <v>1.0149999999999999</v>
      </c>
      <c r="W1024">
        <v>1.137</v>
      </c>
      <c r="X1024">
        <v>1.2669999999999999</v>
      </c>
      <c r="Y1024">
        <v>1.462</v>
      </c>
      <c r="Z1024">
        <v>1.621</v>
      </c>
      <c r="AA1024">
        <v>1.8540000000000001</v>
      </c>
      <c r="AB1024">
        <v>2.036</v>
      </c>
      <c r="AC1024">
        <v>2.3540000000000001</v>
      </c>
      <c r="AD1024">
        <v>2.4900000000000002</v>
      </c>
      <c r="AE1024">
        <v>2.7610000000000001</v>
      </c>
      <c r="AF1024">
        <v>2.94</v>
      </c>
      <c r="AG1024">
        <v>3.194</v>
      </c>
      <c r="AH1024">
        <v>3.4849999999999999</v>
      </c>
      <c r="AI1024">
        <v>3.7090000000000001</v>
      </c>
      <c r="AJ1024">
        <v>4.0970000000000004</v>
      </c>
      <c r="AK1024">
        <v>4.3520000000000003</v>
      </c>
      <c r="AL1024">
        <v>4.7380000000000004</v>
      </c>
      <c r="AM1024">
        <v>5.1159999999999997</v>
      </c>
      <c r="AN1024">
        <v>5.5640000000000001</v>
      </c>
      <c r="AO1024">
        <v>5.9660000000000002</v>
      </c>
      <c r="AP1024">
        <v>6.4260000000000002</v>
      </c>
      <c r="AQ1024">
        <v>6.8120000000000003</v>
      </c>
      <c r="AR1024">
        <v>7.2889999999999997</v>
      </c>
      <c r="AS1024">
        <v>7.681</v>
      </c>
      <c r="AT1024">
        <v>8.1959999999999997</v>
      </c>
      <c r="AU1024">
        <v>8.59</v>
      </c>
      <c r="AV1024">
        <v>9.173</v>
      </c>
      <c r="AW1024">
        <v>9.5039999999999996</v>
      </c>
      <c r="AX1024">
        <v>10.02</v>
      </c>
      <c r="AY1024">
        <v>10.41</v>
      </c>
      <c r="AZ1024">
        <v>10.9</v>
      </c>
      <c r="BA1024">
        <v>11.15</v>
      </c>
      <c r="BB1024">
        <v>12.01</v>
      </c>
      <c r="BC1024">
        <v>12.41</v>
      </c>
      <c r="BD1024">
        <v>13.07</v>
      </c>
      <c r="BE1024">
        <v>13.46</v>
      </c>
      <c r="BF1024">
        <v>14.13</v>
      </c>
      <c r="BG1024">
        <v>14.84</v>
      </c>
      <c r="BH1024">
        <v>15.62</v>
      </c>
      <c r="BI1024">
        <v>16.12</v>
      </c>
      <c r="BJ1024">
        <v>16.96</v>
      </c>
      <c r="BK1024">
        <v>17.350000000000001</v>
      </c>
      <c r="BL1024">
        <v>18.09</v>
      </c>
      <c r="BM1024">
        <v>3.45</v>
      </c>
      <c r="BN1024">
        <v>3.64</v>
      </c>
      <c r="BO1024">
        <v>3.7949999999999999</v>
      </c>
      <c r="BP1024">
        <v>3.9820000000000002</v>
      </c>
      <c r="BQ1024">
        <v>4.1769999999999996</v>
      </c>
      <c r="BR1024">
        <v>4.3979999999999997</v>
      </c>
      <c r="BS1024">
        <v>4.5599999999999996</v>
      </c>
      <c r="BT1024">
        <v>4.7869999999999999</v>
      </c>
      <c r="BU1024">
        <v>4.9779999999999998</v>
      </c>
      <c r="BV1024">
        <v>5.2050000000000001</v>
      </c>
      <c r="BW1024">
        <v>5.4260000000000002</v>
      </c>
      <c r="BX1024">
        <v>5.6689999999999996</v>
      </c>
      <c r="BY1024">
        <v>5.8689999999999998</v>
      </c>
      <c r="BZ1024">
        <v>6.1349999999999998</v>
      </c>
      <c r="CA1024">
        <v>6.383</v>
      </c>
      <c r="CB1024">
        <v>6.673</v>
      </c>
      <c r="CC1024">
        <v>6.907</v>
      </c>
      <c r="CD1024">
        <v>7.1459999999999999</v>
      </c>
      <c r="CE1024">
        <v>7.4260000000000002</v>
      </c>
      <c r="CF1024">
        <v>7.7469999999999999</v>
      </c>
      <c r="CG1024">
        <v>8.15</v>
      </c>
      <c r="CH1024">
        <v>8.5250000000000004</v>
      </c>
      <c r="CI1024">
        <v>8.4710000000000001</v>
      </c>
      <c r="CJ1024">
        <v>8.8539999999999992</v>
      </c>
      <c r="CK1024">
        <v>9.1690000000000005</v>
      </c>
      <c r="CL1024">
        <v>9.5709999999999997</v>
      </c>
      <c r="CM1024">
        <v>9.8160000000000007</v>
      </c>
      <c r="CN1024">
        <v>10.32</v>
      </c>
      <c r="CO1024">
        <v>10.48</v>
      </c>
      <c r="CP1024">
        <v>11.01</v>
      </c>
      <c r="CQ1024">
        <v>11.4</v>
      </c>
      <c r="CR1024">
        <v>11.71</v>
      </c>
      <c r="CS1024">
        <v>12.04</v>
      </c>
      <c r="CT1024">
        <v>12.55</v>
      </c>
      <c r="CU1024">
        <v>12.89</v>
      </c>
      <c r="CV1024">
        <v>13.38</v>
      </c>
      <c r="CW1024">
        <v>13.66</v>
      </c>
    </row>
    <row r="1025" spans="1:101">
      <c r="A1025">
        <v>0.06</v>
      </c>
      <c r="B1025">
        <v>0.32600000000000001</v>
      </c>
      <c r="C1025">
        <v>0.16420000000000001</v>
      </c>
      <c r="D1025">
        <v>0.14230000000000001</v>
      </c>
      <c r="E1025">
        <v>0.1469</v>
      </c>
      <c r="F1025">
        <v>0.15459999999999999</v>
      </c>
      <c r="G1025">
        <v>0.16980000000000001</v>
      </c>
      <c r="H1025">
        <v>0.17430000000000001</v>
      </c>
      <c r="I1025">
        <v>0.18110000000000001</v>
      </c>
      <c r="J1025">
        <v>0.18029999999999999</v>
      </c>
      <c r="K1025">
        <v>0.20069999999999999</v>
      </c>
      <c r="L1025">
        <v>0.20910000000000001</v>
      </c>
      <c r="M1025">
        <v>0.23569999999999999</v>
      </c>
      <c r="N1025">
        <v>0.25390000000000001</v>
      </c>
      <c r="O1025">
        <v>0.29270000000000002</v>
      </c>
      <c r="P1025">
        <v>0.31879999999999997</v>
      </c>
      <c r="Q1025">
        <v>0.37009999999999998</v>
      </c>
      <c r="R1025">
        <v>0.40189999999999998</v>
      </c>
      <c r="S1025">
        <v>0.42730000000000001</v>
      </c>
      <c r="T1025">
        <v>0.52200000000000002</v>
      </c>
      <c r="U1025">
        <v>0.60670000000000002</v>
      </c>
      <c r="V1025">
        <v>0.64149999999999996</v>
      </c>
      <c r="W1025">
        <v>0.71109999999999995</v>
      </c>
      <c r="X1025">
        <v>0.78549999999999998</v>
      </c>
      <c r="Y1025">
        <v>0.89980000000000004</v>
      </c>
      <c r="Z1025">
        <v>0.99219999999999997</v>
      </c>
      <c r="AA1025">
        <v>1.131</v>
      </c>
      <c r="AB1025">
        <v>1.236</v>
      </c>
      <c r="AC1025">
        <v>1.425</v>
      </c>
      <c r="AD1025">
        <v>1.504</v>
      </c>
      <c r="AE1025">
        <v>1.6639999999999999</v>
      </c>
      <c r="AF1025">
        <v>1.77</v>
      </c>
      <c r="AG1025">
        <v>1.92</v>
      </c>
      <c r="AH1025">
        <v>2.0939999999999999</v>
      </c>
      <c r="AI1025">
        <v>2.2290000000000001</v>
      </c>
      <c r="AJ1025">
        <v>2.4620000000000002</v>
      </c>
      <c r="AK1025">
        <v>2.6150000000000002</v>
      </c>
      <c r="AL1025">
        <v>2.8479999999999999</v>
      </c>
      <c r="AM1025">
        <v>3.077</v>
      </c>
      <c r="AN1025">
        <v>3.3479999999999999</v>
      </c>
      <c r="AO1025">
        <v>3.5920000000000001</v>
      </c>
      <c r="AP1025">
        <v>3.8740000000000001</v>
      </c>
      <c r="AQ1025">
        <v>4.1100000000000003</v>
      </c>
      <c r="AR1025">
        <v>4.4000000000000004</v>
      </c>
      <c r="AS1025">
        <v>4.6459999999999999</v>
      </c>
      <c r="AT1025">
        <v>4.9630000000000001</v>
      </c>
      <c r="AU1025">
        <v>5.21</v>
      </c>
      <c r="AV1025">
        <v>5.5679999999999996</v>
      </c>
      <c r="AW1025">
        <v>5.774</v>
      </c>
      <c r="AX1025">
        <v>6.0979999999999999</v>
      </c>
      <c r="AY1025">
        <v>6.3550000000000004</v>
      </c>
      <c r="AZ1025">
        <v>6.6589999999999998</v>
      </c>
      <c r="BA1025">
        <v>6.8209999999999997</v>
      </c>
      <c r="BB1025">
        <v>7.3479999999999999</v>
      </c>
      <c r="BC1025">
        <v>7.5890000000000004</v>
      </c>
      <c r="BD1025">
        <v>8.0069999999999997</v>
      </c>
      <c r="BE1025">
        <v>8.2639999999999993</v>
      </c>
      <c r="BF1025">
        <v>8.7059999999999995</v>
      </c>
      <c r="BG1025">
        <v>9.1829999999999998</v>
      </c>
      <c r="BH1025">
        <v>9.7029999999999994</v>
      </c>
      <c r="BI1025">
        <v>10.050000000000001</v>
      </c>
      <c r="BJ1025">
        <v>10.58</v>
      </c>
      <c r="BK1025">
        <v>10.78</v>
      </c>
      <c r="BL1025">
        <v>11.25</v>
      </c>
      <c r="BM1025">
        <v>11.44</v>
      </c>
      <c r="BN1025">
        <v>11.91</v>
      </c>
      <c r="BO1025">
        <v>12.27</v>
      </c>
      <c r="BP1025">
        <v>12.76</v>
      </c>
      <c r="BQ1025">
        <v>13.28</v>
      </c>
      <c r="BR1025">
        <v>13.74</v>
      </c>
      <c r="BS1025">
        <v>2.7909999999999999</v>
      </c>
      <c r="BT1025">
        <v>2.931</v>
      </c>
      <c r="BU1025">
        <v>3.048</v>
      </c>
      <c r="BV1025">
        <v>3.1880000000000002</v>
      </c>
      <c r="BW1025">
        <v>3.3239999999999998</v>
      </c>
      <c r="BX1025">
        <v>3.4729999999999999</v>
      </c>
      <c r="BY1025">
        <v>3.5979999999999999</v>
      </c>
      <c r="BZ1025">
        <v>3.7589999999999999</v>
      </c>
      <c r="CA1025">
        <v>3.9159999999999999</v>
      </c>
      <c r="CB1025">
        <v>4.0940000000000003</v>
      </c>
      <c r="CC1025">
        <v>4.2409999999999997</v>
      </c>
      <c r="CD1025">
        <v>4.391</v>
      </c>
      <c r="CE1025">
        <v>4.5629999999999997</v>
      </c>
      <c r="CF1025">
        <v>4.7640000000000002</v>
      </c>
      <c r="CG1025">
        <v>5.0140000000000002</v>
      </c>
      <c r="CH1025">
        <v>5.2489999999999997</v>
      </c>
      <c r="CI1025">
        <v>5.2210000000000001</v>
      </c>
      <c r="CJ1025">
        <v>5.4610000000000003</v>
      </c>
      <c r="CK1025">
        <v>5.6589999999999998</v>
      </c>
      <c r="CL1025">
        <v>5.9109999999999996</v>
      </c>
      <c r="CM1025">
        <v>6.0659999999999998</v>
      </c>
      <c r="CN1025">
        <v>6.3849999999999998</v>
      </c>
      <c r="CO1025">
        <v>6.4889999999999999</v>
      </c>
      <c r="CP1025">
        <v>6.8230000000000004</v>
      </c>
      <c r="CQ1025">
        <v>7.077</v>
      </c>
      <c r="CR1025">
        <v>7.2779999999999996</v>
      </c>
      <c r="CS1025">
        <v>7.4859999999999998</v>
      </c>
      <c r="CT1025">
        <v>7.819</v>
      </c>
      <c r="CU1025">
        <v>8.0310000000000006</v>
      </c>
      <c r="CV1025">
        <v>8.3439999999999994</v>
      </c>
      <c r="CW1025">
        <v>8.532</v>
      </c>
    </row>
    <row r="1026" spans="1:101">
      <c r="A1026">
        <v>0.08</v>
      </c>
      <c r="B1026">
        <v>0.30909999999999999</v>
      </c>
      <c r="C1026">
        <v>0.15579999999999999</v>
      </c>
      <c r="D1026">
        <v>0.1348</v>
      </c>
      <c r="E1026">
        <v>0.13869999999999999</v>
      </c>
      <c r="F1026">
        <v>0.14499999999999999</v>
      </c>
      <c r="G1026">
        <v>0.1578</v>
      </c>
      <c r="H1026">
        <v>0.15959999999999999</v>
      </c>
      <c r="I1026">
        <v>0.16220000000000001</v>
      </c>
      <c r="J1026">
        <v>0.15709999999999999</v>
      </c>
      <c r="K1026">
        <v>0.1691</v>
      </c>
      <c r="L1026">
        <v>0.16930000000000001</v>
      </c>
      <c r="M1026">
        <v>0.1827</v>
      </c>
      <c r="N1026">
        <v>0.188</v>
      </c>
      <c r="O1026">
        <v>0.20649999999999999</v>
      </c>
      <c r="P1026">
        <v>0.21460000000000001</v>
      </c>
      <c r="Q1026">
        <v>0.23810000000000001</v>
      </c>
      <c r="R1026">
        <v>0.24759999999999999</v>
      </c>
      <c r="S1026">
        <v>0.25309999999999999</v>
      </c>
      <c r="T1026">
        <v>0.29809999999999998</v>
      </c>
      <c r="U1026">
        <v>0.33550000000000002</v>
      </c>
      <c r="V1026">
        <v>0.34460000000000002</v>
      </c>
      <c r="W1026">
        <v>0.37259999999999999</v>
      </c>
      <c r="X1026">
        <v>0.40260000000000001</v>
      </c>
      <c r="Y1026">
        <v>0.45229999999999998</v>
      </c>
      <c r="Z1026">
        <v>0.49030000000000001</v>
      </c>
      <c r="AA1026">
        <v>0.55100000000000005</v>
      </c>
      <c r="AB1026">
        <v>0.5948</v>
      </c>
      <c r="AC1026">
        <v>0.67859999999999998</v>
      </c>
      <c r="AD1026">
        <v>0.7097</v>
      </c>
      <c r="AE1026">
        <v>0.77969999999999995</v>
      </c>
      <c r="AF1026">
        <v>0.82389999999999997</v>
      </c>
      <c r="AG1026">
        <v>0.88900000000000001</v>
      </c>
      <c r="AH1026">
        <v>0.96519999999999995</v>
      </c>
      <c r="AI1026">
        <v>1.0229999999999999</v>
      </c>
      <c r="AJ1026">
        <v>1.127</v>
      </c>
      <c r="AK1026">
        <v>1.1930000000000001</v>
      </c>
      <c r="AL1026">
        <v>1.2969999999999999</v>
      </c>
      <c r="AM1026">
        <v>1.4</v>
      </c>
      <c r="AN1026">
        <v>1.522</v>
      </c>
      <c r="AO1026">
        <v>1.631</v>
      </c>
      <c r="AP1026">
        <v>1.7589999999999999</v>
      </c>
      <c r="AQ1026">
        <v>1.8640000000000001</v>
      </c>
      <c r="AR1026">
        <v>1.9970000000000001</v>
      </c>
      <c r="AS1026">
        <v>2.11</v>
      </c>
      <c r="AT1026">
        <v>2.2549999999999999</v>
      </c>
      <c r="AU1026">
        <v>2.3679999999999999</v>
      </c>
      <c r="AV1026">
        <v>2.532</v>
      </c>
      <c r="AW1026">
        <v>2.63</v>
      </c>
      <c r="AX1026">
        <v>2.782</v>
      </c>
      <c r="AY1026">
        <v>2.9009999999999998</v>
      </c>
      <c r="AZ1026">
        <v>3.0449999999999999</v>
      </c>
      <c r="BA1026">
        <v>3.1230000000000002</v>
      </c>
      <c r="BB1026">
        <v>3.37</v>
      </c>
      <c r="BC1026">
        <v>3.4910000000000001</v>
      </c>
      <c r="BD1026">
        <v>3.6880000000000002</v>
      </c>
      <c r="BE1026">
        <v>3.8130000000000002</v>
      </c>
      <c r="BF1026">
        <v>4.0220000000000002</v>
      </c>
      <c r="BG1026">
        <v>4.2480000000000002</v>
      </c>
      <c r="BH1026">
        <v>4.4939999999999998</v>
      </c>
      <c r="BI1026">
        <v>4.6680000000000001</v>
      </c>
      <c r="BJ1026">
        <v>4.9269999999999996</v>
      </c>
      <c r="BK1026">
        <v>5.03</v>
      </c>
      <c r="BL1026">
        <v>5.2690000000000001</v>
      </c>
      <c r="BM1026">
        <v>5.3849999999999998</v>
      </c>
      <c r="BN1026">
        <v>5.6289999999999996</v>
      </c>
      <c r="BO1026">
        <v>5.8150000000000004</v>
      </c>
      <c r="BP1026">
        <v>6.0380000000000003</v>
      </c>
      <c r="BQ1026">
        <v>6.2690000000000001</v>
      </c>
      <c r="BR1026">
        <v>6.5259999999999998</v>
      </c>
      <c r="BS1026">
        <v>6.69</v>
      </c>
      <c r="BT1026">
        <v>6.9349999999999996</v>
      </c>
      <c r="BU1026">
        <v>7.1189999999999998</v>
      </c>
      <c r="BV1026">
        <v>7.351</v>
      </c>
      <c r="BW1026">
        <v>7.5679999999999996</v>
      </c>
      <c r="BX1026">
        <v>7.8230000000000004</v>
      </c>
      <c r="BY1026">
        <v>8.0370000000000008</v>
      </c>
      <c r="BZ1026">
        <v>8.3260000000000005</v>
      </c>
      <c r="CA1026">
        <v>8.4689999999999994</v>
      </c>
      <c r="CB1026">
        <v>1.915</v>
      </c>
      <c r="CC1026">
        <v>1.9850000000000001</v>
      </c>
      <c r="CD1026">
        <v>2.0539999999999998</v>
      </c>
      <c r="CE1026">
        <v>2.1349999999999998</v>
      </c>
      <c r="CF1026">
        <v>2.2309999999999999</v>
      </c>
      <c r="CG1026">
        <v>2.3479999999999999</v>
      </c>
      <c r="CH1026">
        <v>2.46</v>
      </c>
      <c r="CI1026">
        <v>2.4470000000000001</v>
      </c>
      <c r="CJ1026">
        <v>2.5609999999999999</v>
      </c>
      <c r="CK1026">
        <v>2.6560000000000001</v>
      </c>
      <c r="CL1026">
        <v>2.778</v>
      </c>
      <c r="CM1026">
        <v>2.851</v>
      </c>
      <c r="CN1026">
        <v>3.0049999999999999</v>
      </c>
      <c r="CO1026">
        <v>3.0569999999999999</v>
      </c>
      <c r="CP1026">
        <v>3.2170000000000001</v>
      </c>
      <c r="CQ1026">
        <v>3.3420000000000001</v>
      </c>
      <c r="CR1026">
        <v>3.44</v>
      </c>
      <c r="CS1026">
        <v>3.5430000000000001</v>
      </c>
      <c r="CT1026">
        <v>3.706</v>
      </c>
      <c r="CU1026">
        <v>3.81</v>
      </c>
      <c r="CV1026">
        <v>3.9660000000000002</v>
      </c>
      <c r="CW1026">
        <v>4.0609999999999999</v>
      </c>
    </row>
    <row r="1027" spans="1:101">
      <c r="A1027">
        <v>0.1</v>
      </c>
      <c r="B1027">
        <v>0.2944</v>
      </c>
      <c r="C1027">
        <v>0.14829999999999999</v>
      </c>
      <c r="D1027">
        <v>0.1283</v>
      </c>
      <c r="E1027">
        <v>0.13189999999999999</v>
      </c>
      <c r="F1027">
        <v>0.13769999999999999</v>
      </c>
      <c r="G1027">
        <v>0.14929999999999999</v>
      </c>
      <c r="H1027">
        <v>0.15010000000000001</v>
      </c>
      <c r="I1027">
        <v>0.15140000000000001</v>
      </c>
      <c r="J1027">
        <v>0.1452</v>
      </c>
      <c r="K1027">
        <v>0.1542</v>
      </c>
      <c r="L1027">
        <v>0.15179999999999999</v>
      </c>
      <c r="M1027">
        <v>0.1605</v>
      </c>
      <c r="N1027">
        <v>0.16139999999999999</v>
      </c>
      <c r="O1027">
        <v>0.1729</v>
      </c>
      <c r="P1027">
        <v>0.1749</v>
      </c>
      <c r="Q1027">
        <v>0.18859999999999999</v>
      </c>
      <c r="R1027">
        <v>0.19059999999999999</v>
      </c>
      <c r="S1027">
        <v>0.1893</v>
      </c>
      <c r="T1027">
        <v>0.21679999999999999</v>
      </c>
      <c r="U1027">
        <v>0.2374</v>
      </c>
      <c r="V1027">
        <v>0.23769999999999999</v>
      </c>
      <c r="W1027">
        <v>0.25080000000000002</v>
      </c>
      <c r="X1027">
        <v>0.26490000000000002</v>
      </c>
      <c r="Y1027">
        <v>0.29170000000000001</v>
      </c>
      <c r="Z1027">
        <v>0.31019999999999998</v>
      </c>
      <c r="AA1027">
        <v>0.34250000000000003</v>
      </c>
      <c r="AB1027">
        <v>0.36399999999999999</v>
      </c>
      <c r="AC1027">
        <v>0.40970000000000001</v>
      </c>
      <c r="AD1027">
        <v>0.42320000000000002</v>
      </c>
      <c r="AE1027">
        <v>0.4597</v>
      </c>
      <c r="AF1027">
        <v>0.48099999999999998</v>
      </c>
      <c r="AG1027">
        <v>0.51439999999999997</v>
      </c>
      <c r="AH1027">
        <v>0.55410000000000004</v>
      </c>
      <c r="AI1027">
        <v>0.58350000000000002</v>
      </c>
      <c r="AJ1027">
        <v>0.63870000000000005</v>
      </c>
      <c r="AK1027">
        <v>0.67320000000000002</v>
      </c>
      <c r="AL1027">
        <v>0.72819999999999996</v>
      </c>
      <c r="AM1027">
        <v>0.7823</v>
      </c>
      <c r="AN1027">
        <v>0.84740000000000004</v>
      </c>
      <c r="AO1027">
        <v>0.90610000000000002</v>
      </c>
      <c r="AP1027">
        <v>0.97309999999999997</v>
      </c>
      <c r="AQ1027">
        <v>1.0309999999999999</v>
      </c>
      <c r="AR1027">
        <v>1.101</v>
      </c>
      <c r="AS1027">
        <v>1.1619999999999999</v>
      </c>
      <c r="AT1027">
        <v>1.2410000000000001</v>
      </c>
      <c r="AU1027">
        <v>1.302</v>
      </c>
      <c r="AV1027">
        <v>1.391</v>
      </c>
      <c r="AW1027">
        <v>1.444</v>
      </c>
      <c r="AX1027">
        <v>1.526</v>
      </c>
      <c r="AY1027">
        <v>1.5920000000000001</v>
      </c>
      <c r="AZ1027">
        <v>1.67</v>
      </c>
      <c r="BA1027">
        <v>1.7130000000000001</v>
      </c>
      <c r="BB1027">
        <v>1.849</v>
      </c>
      <c r="BC1027">
        <v>1.915</v>
      </c>
      <c r="BD1027">
        <v>2.0249999999999999</v>
      </c>
      <c r="BE1027">
        <v>2.0950000000000002</v>
      </c>
      <c r="BF1027">
        <v>2.2109999999999999</v>
      </c>
      <c r="BG1027">
        <v>2.3370000000000002</v>
      </c>
      <c r="BH1027">
        <v>2.4750000000000001</v>
      </c>
      <c r="BI1027">
        <v>2.573</v>
      </c>
      <c r="BJ1027">
        <v>2.72</v>
      </c>
      <c r="BK1027">
        <v>2.78</v>
      </c>
      <c r="BL1027">
        <v>2.9140000000000001</v>
      </c>
      <c r="BM1027">
        <v>2.9820000000000002</v>
      </c>
      <c r="BN1027">
        <v>3.1219999999999999</v>
      </c>
      <c r="BO1027">
        <v>3.226</v>
      </c>
      <c r="BP1027">
        <v>3.355</v>
      </c>
      <c r="BQ1027">
        <v>3.4860000000000002</v>
      </c>
      <c r="BR1027">
        <v>3.6339999999999999</v>
      </c>
      <c r="BS1027">
        <v>3.7320000000000002</v>
      </c>
      <c r="BT1027">
        <v>3.879</v>
      </c>
      <c r="BU1027">
        <v>3.9969999999999999</v>
      </c>
      <c r="BV1027">
        <v>4.1399999999999997</v>
      </c>
      <c r="BW1027">
        <v>4.2729999999999997</v>
      </c>
      <c r="BX1027">
        <v>4.4180000000000001</v>
      </c>
      <c r="BY1027">
        <v>4.5259999999999998</v>
      </c>
      <c r="BZ1027">
        <v>4.68</v>
      </c>
      <c r="CA1027">
        <v>4.8140000000000001</v>
      </c>
      <c r="CB1027">
        <v>4.9740000000000002</v>
      </c>
      <c r="CC1027">
        <v>5.09</v>
      </c>
      <c r="CD1027">
        <v>5.2060000000000004</v>
      </c>
      <c r="CE1027">
        <v>5.3550000000000004</v>
      </c>
      <c r="CF1027">
        <v>5.5380000000000003</v>
      </c>
      <c r="CG1027">
        <v>5.7839999999999998</v>
      </c>
      <c r="CH1027">
        <v>5.9619999999999997</v>
      </c>
      <c r="CI1027">
        <v>5.8789999999999996</v>
      </c>
      <c r="CJ1027">
        <v>1.4419999999999999</v>
      </c>
      <c r="CK1027">
        <v>1.496</v>
      </c>
      <c r="CL1027">
        <v>1.5640000000000001</v>
      </c>
      <c r="CM1027">
        <v>1.6060000000000001</v>
      </c>
      <c r="CN1027">
        <v>1.6919999999999999</v>
      </c>
      <c r="CO1027">
        <v>1.722</v>
      </c>
      <c r="CP1027">
        <v>1.8129999999999999</v>
      </c>
      <c r="CQ1027">
        <v>1.883</v>
      </c>
      <c r="CR1027">
        <v>1.9390000000000001</v>
      </c>
      <c r="CS1027">
        <v>1.998</v>
      </c>
      <c r="CT1027">
        <v>2.0910000000000002</v>
      </c>
      <c r="CU1027">
        <v>2.1520000000000001</v>
      </c>
      <c r="CV1027">
        <v>2.2410000000000001</v>
      </c>
      <c r="CW1027">
        <v>2.2959999999999998</v>
      </c>
    </row>
    <row r="1028" spans="1:101">
      <c r="A1028">
        <v>0.15</v>
      </c>
      <c r="B1028">
        <v>0.26500000000000001</v>
      </c>
      <c r="C1028">
        <v>0.13339999999999999</v>
      </c>
      <c r="D1028">
        <v>0.11550000000000001</v>
      </c>
      <c r="E1028">
        <v>0.1186</v>
      </c>
      <c r="F1028">
        <v>0.1237</v>
      </c>
      <c r="G1028">
        <v>0.1338</v>
      </c>
      <c r="H1028">
        <v>0.13400000000000001</v>
      </c>
      <c r="I1028">
        <v>0.13439999999999999</v>
      </c>
      <c r="J1028">
        <v>0.1278</v>
      </c>
      <c r="K1028">
        <v>0.1343</v>
      </c>
      <c r="L1028">
        <v>0.1305</v>
      </c>
      <c r="M1028">
        <v>0.13569999999999999</v>
      </c>
      <c r="N1028">
        <v>0.13370000000000001</v>
      </c>
      <c r="O1028">
        <v>0.1399</v>
      </c>
      <c r="P1028">
        <v>0.13789999999999999</v>
      </c>
      <c r="Q1028">
        <v>0.1444</v>
      </c>
      <c r="R1028">
        <v>0.1414</v>
      </c>
      <c r="S1028">
        <v>0.13589999999999999</v>
      </c>
      <c r="T1028">
        <v>0.15010000000000001</v>
      </c>
      <c r="U1028">
        <v>0.1583</v>
      </c>
      <c r="V1028">
        <v>0.1527</v>
      </c>
      <c r="W1028">
        <v>0.15509999999999999</v>
      </c>
      <c r="X1028">
        <v>0.15770000000000001</v>
      </c>
      <c r="Y1028">
        <v>0.16739999999999999</v>
      </c>
      <c r="Z1028">
        <v>0.17150000000000001</v>
      </c>
      <c r="AA1028">
        <v>0.18290000000000001</v>
      </c>
      <c r="AB1028">
        <v>0.18809999999999999</v>
      </c>
      <c r="AC1028">
        <v>0.2049</v>
      </c>
      <c r="AD1028">
        <v>0.20530000000000001</v>
      </c>
      <c r="AE1028">
        <v>0.21679999999999999</v>
      </c>
      <c r="AF1028">
        <v>0.22070000000000001</v>
      </c>
      <c r="AG1028">
        <v>0.23019999999999999</v>
      </c>
      <c r="AH1028">
        <v>0.24229999999999999</v>
      </c>
      <c r="AI1028">
        <v>0.24959999999999999</v>
      </c>
      <c r="AJ1028">
        <v>0.26779999999999998</v>
      </c>
      <c r="AK1028">
        <v>0.27700000000000002</v>
      </c>
      <c r="AL1028">
        <v>0.29459999999999997</v>
      </c>
      <c r="AM1028">
        <v>0.3115</v>
      </c>
      <c r="AN1028">
        <v>0.33260000000000001</v>
      </c>
      <c r="AO1028">
        <v>0.35089999999999999</v>
      </c>
      <c r="AP1028">
        <v>0.37280000000000002</v>
      </c>
      <c r="AQ1028">
        <v>0.39019999999999999</v>
      </c>
      <c r="AR1028">
        <v>0.41289999999999999</v>
      </c>
      <c r="AS1028">
        <v>0.43159999999999998</v>
      </c>
      <c r="AT1028">
        <v>0.45700000000000002</v>
      </c>
      <c r="AU1028">
        <v>0.47589999999999999</v>
      </c>
      <c r="AV1028">
        <v>0.50529999999999997</v>
      </c>
      <c r="AW1028">
        <v>0.52129999999999999</v>
      </c>
      <c r="AX1028">
        <v>0.54810000000000003</v>
      </c>
      <c r="AY1028">
        <v>0.56899999999999995</v>
      </c>
      <c r="AZ1028">
        <v>0.59460000000000002</v>
      </c>
      <c r="BA1028">
        <v>0.60750000000000004</v>
      </c>
      <c r="BB1028">
        <v>0.65349999999999997</v>
      </c>
      <c r="BC1028">
        <v>0.67500000000000004</v>
      </c>
      <c r="BD1028">
        <v>0.71230000000000004</v>
      </c>
      <c r="BE1028">
        <v>0.73519999999999996</v>
      </c>
      <c r="BF1028">
        <v>0.77470000000000006</v>
      </c>
      <c r="BG1028">
        <v>0.8175</v>
      </c>
      <c r="BH1028">
        <v>0.86439999999999995</v>
      </c>
      <c r="BI1028">
        <v>0.89729999999999999</v>
      </c>
      <c r="BJ1028">
        <v>0.94779999999999998</v>
      </c>
      <c r="BK1028">
        <v>0.96930000000000005</v>
      </c>
      <c r="BL1028">
        <v>1.016</v>
      </c>
      <c r="BM1028">
        <v>1.04</v>
      </c>
      <c r="BN1028">
        <v>1.0880000000000001</v>
      </c>
      <c r="BO1028">
        <v>1.1240000000000001</v>
      </c>
      <c r="BP1028">
        <v>1.17</v>
      </c>
      <c r="BQ1028">
        <v>1.2170000000000001</v>
      </c>
      <c r="BR1028">
        <v>1.27</v>
      </c>
      <c r="BS1028">
        <v>1.3069999999999999</v>
      </c>
      <c r="BT1028">
        <v>1.361</v>
      </c>
      <c r="BU1028">
        <v>1.4019999999999999</v>
      </c>
      <c r="BV1028">
        <v>1.454</v>
      </c>
      <c r="BW1028">
        <v>1.502</v>
      </c>
      <c r="BX1028">
        <v>1.556</v>
      </c>
      <c r="BY1028">
        <v>1.597</v>
      </c>
      <c r="BZ1028">
        <v>1.6559999999999999</v>
      </c>
      <c r="CA1028">
        <v>1.7090000000000001</v>
      </c>
      <c r="CB1028">
        <v>1.77</v>
      </c>
      <c r="CC1028">
        <v>1.819</v>
      </c>
      <c r="CD1028">
        <v>1.865</v>
      </c>
      <c r="CE1028">
        <v>1.921</v>
      </c>
      <c r="CF1028">
        <v>1.9850000000000001</v>
      </c>
      <c r="CG1028">
        <v>2.0699999999999998</v>
      </c>
      <c r="CH1028">
        <v>2.1459999999999999</v>
      </c>
      <c r="CI1028">
        <v>2.1139999999999999</v>
      </c>
      <c r="CJ1028">
        <v>2.19</v>
      </c>
      <c r="CK1028">
        <v>2.2490000000000001</v>
      </c>
      <c r="CL1028">
        <v>2.3250000000000002</v>
      </c>
      <c r="CM1028">
        <v>2.3620000000000001</v>
      </c>
      <c r="CN1028">
        <v>2.4609999999999999</v>
      </c>
      <c r="CO1028">
        <v>2.4769999999999999</v>
      </c>
      <c r="CP1028">
        <v>2.5779999999999998</v>
      </c>
      <c r="CQ1028">
        <v>2.6469999999999998</v>
      </c>
      <c r="CR1028">
        <v>2.6960000000000002</v>
      </c>
      <c r="CS1028">
        <v>2.746</v>
      </c>
      <c r="CT1028">
        <v>2.8420000000000001</v>
      </c>
      <c r="CU1028">
        <v>2.8959999999999999</v>
      </c>
      <c r="CV1028">
        <v>2.984</v>
      </c>
      <c r="CW1028">
        <v>3.008</v>
      </c>
    </row>
    <row r="1029" spans="1:101">
      <c r="A1029">
        <v>0.2</v>
      </c>
      <c r="B1029">
        <v>0.2429</v>
      </c>
      <c r="C1029">
        <v>0.12230000000000001</v>
      </c>
      <c r="D1029">
        <v>0.10580000000000001</v>
      </c>
      <c r="E1029">
        <v>0.1086</v>
      </c>
      <c r="F1029">
        <v>0.1132</v>
      </c>
      <c r="G1029">
        <v>0.12230000000000001</v>
      </c>
      <c r="H1029">
        <v>0.1225</v>
      </c>
      <c r="I1029">
        <v>0.1227</v>
      </c>
      <c r="J1029">
        <v>0.1164</v>
      </c>
      <c r="K1029">
        <v>0.1221</v>
      </c>
      <c r="L1029">
        <v>0.1181</v>
      </c>
      <c r="M1029">
        <v>0.12239999999999999</v>
      </c>
      <c r="N1029">
        <v>0.11990000000000001</v>
      </c>
      <c r="O1029">
        <v>0.12470000000000001</v>
      </c>
      <c r="P1029">
        <v>0.12189999999999999</v>
      </c>
      <c r="Q1029">
        <v>0.12670000000000001</v>
      </c>
      <c r="R1029">
        <v>0.12280000000000001</v>
      </c>
      <c r="S1029">
        <v>0.1166</v>
      </c>
      <c r="T1029">
        <v>0.1273</v>
      </c>
      <c r="U1029">
        <v>0.13239999999999999</v>
      </c>
      <c r="V1029">
        <v>0.12570000000000001</v>
      </c>
      <c r="W1029">
        <v>0.1258</v>
      </c>
      <c r="X1029">
        <v>0.1258</v>
      </c>
      <c r="Y1029">
        <v>0.13120000000000001</v>
      </c>
      <c r="Z1029">
        <v>0.1321</v>
      </c>
      <c r="AA1029">
        <v>0.13830000000000001</v>
      </c>
      <c r="AB1029">
        <v>0.13950000000000001</v>
      </c>
      <c r="AC1029">
        <v>0.14899999999999999</v>
      </c>
      <c r="AD1029">
        <v>0.14660000000000001</v>
      </c>
      <c r="AE1029">
        <v>0.15179999999999999</v>
      </c>
      <c r="AF1029">
        <v>0.15160000000000001</v>
      </c>
      <c r="AG1029">
        <v>0.1552</v>
      </c>
      <c r="AH1029">
        <v>0.16039999999999999</v>
      </c>
      <c r="AI1029">
        <v>0.1623</v>
      </c>
      <c r="AJ1029">
        <v>0.1711</v>
      </c>
      <c r="AK1029">
        <v>0.1741</v>
      </c>
      <c r="AL1029">
        <v>0.18210000000000001</v>
      </c>
      <c r="AM1029">
        <v>0.18970000000000001</v>
      </c>
      <c r="AN1029">
        <v>0.19939999999999999</v>
      </c>
      <c r="AO1029">
        <v>0.20749999999999999</v>
      </c>
      <c r="AP1029">
        <v>0.21740000000000001</v>
      </c>
      <c r="AQ1029">
        <v>0.22459999999999999</v>
      </c>
      <c r="AR1029">
        <v>0.2349</v>
      </c>
      <c r="AS1029">
        <v>0.2427</v>
      </c>
      <c r="AT1029">
        <v>0.25419999999999998</v>
      </c>
      <c r="AU1029">
        <v>0.2621</v>
      </c>
      <c r="AV1029">
        <v>0.27560000000000001</v>
      </c>
      <c r="AW1029">
        <v>0.28179999999999999</v>
      </c>
      <c r="AX1029">
        <v>0.29389999999999999</v>
      </c>
      <c r="AY1029">
        <v>0.30259999999999998</v>
      </c>
      <c r="AZ1029">
        <v>0.314</v>
      </c>
      <c r="BA1029">
        <v>0.31859999999999999</v>
      </c>
      <c r="BB1029">
        <v>0.34060000000000001</v>
      </c>
      <c r="BC1029">
        <v>0.34970000000000001</v>
      </c>
      <c r="BD1029">
        <v>0.3669</v>
      </c>
      <c r="BE1029">
        <v>0.37680000000000002</v>
      </c>
      <c r="BF1029">
        <v>0.3952</v>
      </c>
      <c r="BG1029">
        <v>0.4153</v>
      </c>
      <c r="BH1029">
        <v>0.43740000000000001</v>
      </c>
      <c r="BI1029">
        <v>0.45240000000000002</v>
      </c>
      <c r="BJ1029">
        <v>0.47639999999999999</v>
      </c>
      <c r="BK1029">
        <v>0.4854</v>
      </c>
      <c r="BL1029">
        <v>0.50760000000000005</v>
      </c>
      <c r="BM1029">
        <v>0.5181</v>
      </c>
      <c r="BN1029">
        <v>0.54079999999999995</v>
      </c>
      <c r="BO1029">
        <v>0.55779999999999996</v>
      </c>
      <c r="BP1029">
        <v>0.57920000000000005</v>
      </c>
      <c r="BQ1029">
        <v>0.60170000000000001</v>
      </c>
      <c r="BR1029">
        <v>0.62719999999999998</v>
      </c>
      <c r="BS1029">
        <v>0.64429999999999998</v>
      </c>
      <c r="BT1029">
        <v>0.67</v>
      </c>
      <c r="BU1029">
        <v>0.68989999999999996</v>
      </c>
      <c r="BV1029">
        <v>0.71479999999999999</v>
      </c>
      <c r="BW1029">
        <v>0.73829999999999996</v>
      </c>
      <c r="BX1029">
        <v>0.76449999999999996</v>
      </c>
      <c r="BY1029">
        <v>0.78449999999999998</v>
      </c>
      <c r="BZ1029">
        <v>0.81299999999999994</v>
      </c>
      <c r="CA1029">
        <v>0.8387</v>
      </c>
      <c r="CB1029">
        <v>0.86919999999999997</v>
      </c>
      <c r="CC1029">
        <v>0.89229999999999998</v>
      </c>
      <c r="CD1029">
        <v>0.91520000000000001</v>
      </c>
      <c r="CE1029">
        <v>0.94320000000000004</v>
      </c>
      <c r="CF1029">
        <v>0.97609999999999997</v>
      </c>
      <c r="CG1029">
        <v>1.018</v>
      </c>
      <c r="CH1029">
        <v>1.0569999999999999</v>
      </c>
      <c r="CI1029">
        <v>1.042</v>
      </c>
      <c r="CJ1029">
        <v>1.08</v>
      </c>
      <c r="CK1029">
        <v>1.109</v>
      </c>
      <c r="CL1029">
        <v>1.149</v>
      </c>
      <c r="CM1029">
        <v>1.169</v>
      </c>
      <c r="CN1029">
        <v>1.2210000000000001</v>
      </c>
      <c r="CO1029">
        <v>1.23</v>
      </c>
      <c r="CP1029">
        <v>1.2829999999999999</v>
      </c>
      <c r="CQ1029">
        <v>1.319</v>
      </c>
      <c r="CR1029">
        <v>1.345</v>
      </c>
      <c r="CS1029">
        <v>1.37</v>
      </c>
      <c r="CT1029">
        <v>1.42</v>
      </c>
      <c r="CU1029">
        <v>1.446</v>
      </c>
      <c r="CV1029">
        <v>1.4910000000000001</v>
      </c>
      <c r="CW1029">
        <v>1.512</v>
      </c>
    </row>
    <row r="1030" spans="1:101">
      <c r="A1030">
        <v>0.3</v>
      </c>
      <c r="B1030">
        <v>0.2112</v>
      </c>
      <c r="C1030">
        <v>0.10630000000000001</v>
      </c>
      <c r="D1030">
        <v>9.1969999999999996E-2</v>
      </c>
      <c r="E1030">
        <v>9.4490000000000005E-2</v>
      </c>
      <c r="F1030">
        <v>9.8449999999999996E-2</v>
      </c>
      <c r="G1030">
        <v>0.10630000000000001</v>
      </c>
      <c r="H1030">
        <v>0.10639999999999999</v>
      </c>
      <c r="I1030">
        <v>0.1066</v>
      </c>
      <c r="J1030">
        <v>0.10100000000000001</v>
      </c>
      <c r="K1030">
        <v>0.1057</v>
      </c>
      <c r="L1030">
        <v>0.1021</v>
      </c>
      <c r="M1030">
        <v>0.1055</v>
      </c>
      <c r="N1030">
        <v>0.1031</v>
      </c>
      <c r="O1030">
        <v>0.1069</v>
      </c>
      <c r="P1030">
        <v>0.1041</v>
      </c>
      <c r="Q1030">
        <v>0.1075</v>
      </c>
      <c r="R1030">
        <v>0.1037</v>
      </c>
      <c r="S1030">
        <v>9.7729999999999997E-2</v>
      </c>
      <c r="T1030">
        <v>0.10589999999999999</v>
      </c>
      <c r="U1030">
        <v>0.10920000000000001</v>
      </c>
      <c r="V1030">
        <v>0.1028</v>
      </c>
      <c r="W1030">
        <v>0.1017</v>
      </c>
      <c r="X1030">
        <v>0.1007</v>
      </c>
      <c r="Y1030">
        <v>0.1037</v>
      </c>
      <c r="Z1030">
        <v>0.10299999999999999</v>
      </c>
      <c r="AA1030">
        <v>0.10639999999999999</v>
      </c>
      <c r="AB1030">
        <v>0.1057</v>
      </c>
      <c r="AC1030">
        <v>0.1113</v>
      </c>
      <c r="AD1030">
        <v>0.1076</v>
      </c>
      <c r="AE1030">
        <v>0.1096</v>
      </c>
      <c r="AF1030">
        <v>0.1076</v>
      </c>
      <c r="AG1030">
        <v>0.1082</v>
      </c>
      <c r="AH1030">
        <v>0.10970000000000001</v>
      </c>
      <c r="AI1030">
        <v>0.109</v>
      </c>
      <c r="AJ1030">
        <v>0.1128</v>
      </c>
      <c r="AK1030">
        <v>0.11260000000000001</v>
      </c>
      <c r="AL1030">
        <v>0.11559999999999999</v>
      </c>
      <c r="AM1030">
        <v>0.1181</v>
      </c>
      <c r="AN1030">
        <v>0.12180000000000001</v>
      </c>
      <c r="AO1030">
        <v>0.1244</v>
      </c>
      <c r="AP1030">
        <v>0.12790000000000001</v>
      </c>
      <c r="AQ1030">
        <v>0.1298</v>
      </c>
      <c r="AR1030">
        <v>0.13339999999999999</v>
      </c>
      <c r="AS1030">
        <v>0.1353</v>
      </c>
      <c r="AT1030">
        <v>0.1394</v>
      </c>
      <c r="AU1030">
        <v>0.14119999999999999</v>
      </c>
      <c r="AV1030">
        <v>0.14610000000000001</v>
      </c>
      <c r="AW1030">
        <v>0.14710000000000001</v>
      </c>
      <c r="AX1030">
        <v>0.151</v>
      </c>
      <c r="AY1030">
        <v>0.1532</v>
      </c>
      <c r="AZ1030">
        <v>0.15670000000000001</v>
      </c>
      <c r="BA1030">
        <v>0.15679999999999999</v>
      </c>
      <c r="BB1030">
        <v>0.16539999999999999</v>
      </c>
      <c r="BC1030">
        <v>0.16769999999999999</v>
      </c>
      <c r="BD1030">
        <v>0.17369999999999999</v>
      </c>
      <c r="BE1030">
        <v>0.17630000000000001</v>
      </c>
      <c r="BF1030">
        <v>0.18290000000000001</v>
      </c>
      <c r="BG1030">
        <v>0.19009999999999999</v>
      </c>
      <c r="BH1030">
        <v>0.1983</v>
      </c>
      <c r="BI1030">
        <v>0.20300000000000001</v>
      </c>
      <c r="BJ1030">
        <v>0.21179999999999999</v>
      </c>
      <c r="BK1030">
        <v>0.214</v>
      </c>
      <c r="BL1030">
        <v>0.22189999999999999</v>
      </c>
      <c r="BM1030">
        <v>0.22470000000000001</v>
      </c>
      <c r="BN1030">
        <v>0.23280000000000001</v>
      </c>
      <c r="BO1030">
        <v>0.23849999999999999</v>
      </c>
      <c r="BP1030">
        <v>0.246</v>
      </c>
      <c r="BQ1030">
        <v>0.254</v>
      </c>
      <c r="BR1030">
        <v>0.2631</v>
      </c>
      <c r="BS1030">
        <v>0.26879999999999998</v>
      </c>
      <c r="BT1030">
        <v>0.27810000000000001</v>
      </c>
      <c r="BU1030">
        <v>0.28499999999999998</v>
      </c>
      <c r="BV1030">
        <v>0.29380000000000001</v>
      </c>
      <c r="BW1030">
        <v>0.30230000000000001</v>
      </c>
      <c r="BX1030">
        <v>0.31180000000000002</v>
      </c>
      <c r="BY1030">
        <v>0.31869999999999998</v>
      </c>
      <c r="BZ1030">
        <v>0.32929999999999998</v>
      </c>
      <c r="CA1030">
        <v>0.33860000000000001</v>
      </c>
      <c r="CB1030">
        <v>0.34989999999999999</v>
      </c>
      <c r="CC1030">
        <v>0.35849999999999999</v>
      </c>
      <c r="CD1030">
        <v>0.36680000000000001</v>
      </c>
      <c r="CE1030">
        <v>0.37719999999999998</v>
      </c>
      <c r="CF1030">
        <v>0.38969999999999999</v>
      </c>
      <c r="CG1030">
        <v>0.40570000000000001</v>
      </c>
      <c r="CH1030">
        <v>0.42049999999999998</v>
      </c>
      <c r="CI1030">
        <v>0.41389999999999999</v>
      </c>
      <c r="CJ1030">
        <v>0.42899999999999999</v>
      </c>
      <c r="CK1030">
        <v>0.44009999999999999</v>
      </c>
      <c r="CL1030">
        <v>0.4556</v>
      </c>
      <c r="CM1030">
        <v>0.46329999999999999</v>
      </c>
      <c r="CN1030">
        <v>0.4834</v>
      </c>
      <c r="CO1030">
        <v>0.48730000000000001</v>
      </c>
      <c r="CP1030">
        <v>0.50800000000000001</v>
      </c>
      <c r="CQ1030">
        <v>0.52249999999999996</v>
      </c>
      <c r="CR1030">
        <v>0.53310000000000002</v>
      </c>
      <c r="CS1030">
        <v>0.54390000000000005</v>
      </c>
      <c r="CT1030">
        <v>0.56369999999999998</v>
      </c>
      <c r="CU1030">
        <v>0.57479999999999998</v>
      </c>
      <c r="CV1030">
        <v>0.59289999999999998</v>
      </c>
      <c r="CW1030">
        <v>0.60189999999999999</v>
      </c>
    </row>
    <row r="1031" spans="1:101">
      <c r="A1031">
        <v>0.4</v>
      </c>
      <c r="B1031">
        <v>0.18920000000000001</v>
      </c>
      <c r="C1031">
        <v>9.5299999999999996E-2</v>
      </c>
      <c r="D1031">
        <v>8.2419999999999993E-2</v>
      </c>
      <c r="E1031">
        <v>8.4659999999999999E-2</v>
      </c>
      <c r="F1031">
        <v>8.8190000000000004E-2</v>
      </c>
      <c r="G1031">
        <v>9.5269999999999994E-2</v>
      </c>
      <c r="H1031">
        <v>9.5350000000000004E-2</v>
      </c>
      <c r="I1031">
        <v>9.5380000000000006E-2</v>
      </c>
      <c r="J1031">
        <v>9.0389999999999998E-2</v>
      </c>
      <c r="K1031">
        <v>9.461E-2</v>
      </c>
      <c r="L1031">
        <v>9.1359999999999997E-2</v>
      </c>
      <c r="M1031">
        <v>9.4339999999999993E-2</v>
      </c>
      <c r="N1031">
        <v>9.2130000000000004E-2</v>
      </c>
      <c r="O1031">
        <v>9.5420000000000005E-2</v>
      </c>
      <c r="P1031">
        <v>9.2789999999999997E-2</v>
      </c>
      <c r="Q1031">
        <v>9.5740000000000006E-2</v>
      </c>
      <c r="R1031">
        <v>9.214E-2</v>
      </c>
      <c r="S1031">
        <v>8.6720000000000005E-2</v>
      </c>
      <c r="T1031">
        <v>9.3729999999999994E-2</v>
      </c>
      <c r="U1031">
        <v>9.6479999999999996E-2</v>
      </c>
      <c r="V1031">
        <v>9.0550000000000005E-2</v>
      </c>
      <c r="W1031">
        <v>8.9340000000000003E-2</v>
      </c>
      <c r="X1031">
        <v>8.8090000000000002E-2</v>
      </c>
      <c r="Y1031">
        <v>9.0399999999999994E-2</v>
      </c>
      <c r="Z1031">
        <v>8.9499999999999996E-2</v>
      </c>
      <c r="AA1031">
        <v>9.1999999999999998E-2</v>
      </c>
      <c r="AB1031">
        <v>9.0980000000000005E-2</v>
      </c>
      <c r="AC1031">
        <v>9.529E-2</v>
      </c>
      <c r="AD1031">
        <v>9.1700000000000004E-2</v>
      </c>
      <c r="AE1031">
        <v>9.2799999999999994E-2</v>
      </c>
      <c r="AF1031">
        <v>9.0569999999999998E-2</v>
      </c>
      <c r="AG1031">
        <v>9.0450000000000003E-2</v>
      </c>
      <c r="AH1031">
        <v>9.1149999999999995E-2</v>
      </c>
      <c r="AI1031">
        <v>8.992E-2</v>
      </c>
      <c r="AJ1031">
        <v>9.2270000000000005E-2</v>
      </c>
      <c r="AK1031">
        <v>9.1410000000000005E-2</v>
      </c>
      <c r="AL1031">
        <v>9.3109999999999998E-2</v>
      </c>
      <c r="AM1031">
        <v>9.4280000000000003E-2</v>
      </c>
      <c r="AN1031">
        <v>9.6549999999999997E-2</v>
      </c>
      <c r="AO1031">
        <v>9.7640000000000005E-2</v>
      </c>
      <c r="AP1031">
        <v>9.9540000000000003E-2</v>
      </c>
      <c r="AQ1031">
        <v>0.10009999999999999</v>
      </c>
      <c r="AR1031">
        <v>0.1018</v>
      </c>
      <c r="AS1031">
        <v>0.1024</v>
      </c>
      <c r="AT1031">
        <v>0.1045</v>
      </c>
      <c r="AU1031">
        <v>0.10489999999999999</v>
      </c>
      <c r="AV1031">
        <v>0.1075</v>
      </c>
      <c r="AW1031">
        <v>0.1071</v>
      </c>
      <c r="AX1031">
        <v>0.109</v>
      </c>
      <c r="AY1031">
        <v>0.1095</v>
      </c>
      <c r="AZ1031">
        <v>0.1109</v>
      </c>
      <c r="BA1031">
        <v>0.1099</v>
      </c>
      <c r="BB1031">
        <v>0.1149</v>
      </c>
      <c r="BC1031">
        <v>0.1154</v>
      </c>
      <c r="BD1031">
        <v>0.11849999999999999</v>
      </c>
      <c r="BE1031">
        <v>0.1192</v>
      </c>
      <c r="BF1031">
        <v>0.1225</v>
      </c>
      <c r="BG1031">
        <v>0.1263</v>
      </c>
      <c r="BH1031">
        <v>0.13059999999999999</v>
      </c>
      <c r="BI1031">
        <v>0.13270000000000001</v>
      </c>
      <c r="BJ1031">
        <v>0.13730000000000001</v>
      </c>
      <c r="BK1031">
        <v>0.1376</v>
      </c>
      <c r="BL1031">
        <v>0.1416</v>
      </c>
      <c r="BM1031">
        <v>0.1424</v>
      </c>
      <c r="BN1031">
        <v>0.14649999999999999</v>
      </c>
      <c r="BO1031">
        <v>0.14899999999999999</v>
      </c>
      <c r="BP1031">
        <v>0.1527</v>
      </c>
      <c r="BQ1031">
        <v>0.15659999999999999</v>
      </c>
      <c r="BR1031">
        <v>0.16120000000000001</v>
      </c>
      <c r="BS1031">
        <v>0.16370000000000001</v>
      </c>
      <c r="BT1031">
        <v>0.16830000000000001</v>
      </c>
      <c r="BU1031">
        <v>0.1716</v>
      </c>
      <c r="BV1031">
        <v>0.17599999999999999</v>
      </c>
      <c r="BW1031">
        <v>0.18010000000000001</v>
      </c>
      <c r="BX1031">
        <v>0.18479999999999999</v>
      </c>
      <c r="BY1031">
        <v>0.18809999999999999</v>
      </c>
      <c r="BZ1031">
        <v>0.19339999999999999</v>
      </c>
      <c r="CA1031">
        <v>0.19800000000000001</v>
      </c>
      <c r="CB1031">
        <v>0.20380000000000001</v>
      </c>
      <c r="CC1031">
        <v>0.2079</v>
      </c>
      <c r="CD1031">
        <v>0.21199999999999999</v>
      </c>
      <c r="CE1031">
        <v>0.2172</v>
      </c>
      <c r="CF1031">
        <v>0.22359999999999999</v>
      </c>
      <c r="CG1031">
        <v>0.23219999999999999</v>
      </c>
      <c r="CH1031">
        <v>0.2399</v>
      </c>
      <c r="CI1031">
        <v>0.23549999999999999</v>
      </c>
      <c r="CJ1031">
        <v>0.24329999999999999</v>
      </c>
      <c r="CK1031">
        <v>0.24909999999999999</v>
      </c>
      <c r="CL1031">
        <v>0.25719999999999998</v>
      </c>
      <c r="CM1031">
        <v>0.26100000000000001</v>
      </c>
      <c r="CN1031">
        <v>0.27179999999999999</v>
      </c>
      <c r="CO1031">
        <v>0.27350000000000002</v>
      </c>
      <c r="CP1031">
        <v>0.28470000000000001</v>
      </c>
      <c r="CQ1031">
        <v>0.29249999999999998</v>
      </c>
      <c r="CR1031">
        <v>0.29799999999999999</v>
      </c>
      <c r="CS1031">
        <v>0.30370000000000003</v>
      </c>
      <c r="CT1031">
        <v>0.3145</v>
      </c>
      <c r="CU1031">
        <v>0.32019999999999998</v>
      </c>
      <c r="CV1031">
        <v>0.33019999999999999</v>
      </c>
      <c r="CW1031">
        <v>0.33510000000000001</v>
      </c>
    </row>
    <row r="1032" spans="1:101">
      <c r="A1032">
        <v>0.5</v>
      </c>
      <c r="B1032">
        <v>0.17280000000000001</v>
      </c>
      <c r="C1032">
        <v>8.7010000000000004E-2</v>
      </c>
      <c r="D1032">
        <v>7.5259999999999994E-2</v>
      </c>
      <c r="E1032">
        <v>7.732E-2</v>
      </c>
      <c r="F1032">
        <v>8.0549999999999997E-2</v>
      </c>
      <c r="G1032">
        <v>8.6999999999999994E-2</v>
      </c>
      <c r="H1032">
        <v>8.7029999999999996E-2</v>
      </c>
      <c r="I1032">
        <v>8.7080000000000005E-2</v>
      </c>
      <c r="J1032">
        <v>8.2540000000000002E-2</v>
      </c>
      <c r="K1032">
        <v>8.6360000000000006E-2</v>
      </c>
      <c r="L1032">
        <v>8.3390000000000006E-2</v>
      </c>
      <c r="M1032">
        <v>8.6080000000000004E-2</v>
      </c>
      <c r="N1032">
        <v>8.4029999999999994E-2</v>
      </c>
      <c r="O1032">
        <v>8.6980000000000002E-2</v>
      </c>
      <c r="P1032">
        <v>8.4580000000000002E-2</v>
      </c>
      <c r="Q1032">
        <v>8.7220000000000006E-2</v>
      </c>
      <c r="R1032">
        <v>8.3879999999999996E-2</v>
      </c>
      <c r="S1032">
        <v>7.8899999999999998E-2</v>
      </c>
      <c r="T1032">
        <v>8.5199999999999998E-2</v>
      </c>
      <c r="U1032">
        <v>8.7609999999999993E-2</v>
      </c>
      <c r="V1032">
        <v>8.2150000000000001E-2</v>
      </c>
      <c r="W1032">
        <v>8.0960000000000004E-2</v>
      </c>
      <c r="X1032">
        <v>7.9719999999999999E-2</v>
      </c>
      <c r="Y1032">
        <v>8.1680000000000003E-2</v>
      </c>
      <c r="Z1032">
        <v>8.0729999999999996E-2</v>
      </c>
      <c r="AA1032">
        <v>8.2820000000000005E-2</v>
      </c>
      <c r="AB1032">
        <v>8.1780000000000005E-2</v>
      </c>
      <c r="AC1032">
        <v>8.5449999999999998E-2</v>
      </c>
      <c r="AD1032">
        <v>8.2040000000000002E-2</v>
      </c>
      <c r="AE1032">
        <v>8.2830000000000001E-2</v>
      </c>
      <c r="AF1032">
        <v>8.0610000000000001E-2</v>
      </c>
      <c r="AG1032">
        <v>8.0310000000000006E-2</v>
      </c>
      <c r="AH1032">
        <v>8.0659999999999996E-2</v>
      </c>
      <c r="AI1032">
        <v>7.9289999999999999E-2</v>
      </c>
      <c r="AJ1032">
        <v>8.1129999999999994E-2</v>
      </c>
      <c r="AK1032">
        <v>8.0070000000000002E-2</v>
      </c>
      <c r="AL1032">
        <v>8.1240000000000007E-2</v>
      </c>
      <c r="AM1032">
        <v>8.1979999999999997E-2</v>
      </c>
      <c r="AN1032">
        <v>8.3559999999999995E-2</v>
      </c>
      <c r="AO1032">
        <v>8.4199999999999997E-2</v>
      </c>
      <c r="AP1032">
        <v>8.5459999999999994E-2</v>
      </c>
      <c r="AQ1032">
        <v>8.5529999999999995E-2</v>
      </c>
      <c r="AR1032">
        <v>8.6550000000000002E-2</v>
      </c>
      <c r="AS1032">
        <v>8.6639999999999995E-2</v>
      </c>
      <c r="AT1032">
        <v>8.7929999999999994E-2</v>
      </c>
      <c r="AU1032">
        <v>8.7849999999999998E-2</v>
      </c>
      <c r="AV1032">
        <v>8.9550000000000005E-2</v>
      </c>
      <c r="AW1032">
        <v>8.8779999999999998E-2</v>
      </c>
      <c r="AX1032">
        <v>8.9800000000000005E-2</v>
      </c>
      <c r="AY1032">
        <v>8.9760000000000006E-2</v>
      </c>
      <c r="AZ1032">
        <v>9.042E-2</v>
      </c>
      <c r="BA1032">
        <v>8.9149999999999993E-2</v>
      </c>
      <c r="BB1032">
        <v>9.2619999999999994E-2</v>
      </c>
      <c r="BC1032">
        <v>9.2539999999999997E-2</v>
      </c>
      <c r="BD1032">
        <v>9.443E-2</v>
      </c>
      <c r="BE1032">
        <v>9.4460000000000002E-2</v>
      </c>
      <c r="BF1032">
        <v>9.6540000000000001E-2</v>
      </c>
      <c r="BG1032">
        <v>9.894E-2</v>
      </c>
      <c r="BH1032">
        <v>0.1017</v>
      </c>
      <c r="BI1032">
        <v>0.1028</v>
      </c>
      <c r="BJ1032">
        <v>0.1057</v>
      </c>
      <c r="BK1032">
        <v>0.10539999999999999</v>
      </c>
      <c r="BL1032">
        <v>0.1079</v>
      </c>
      <c r="BM1032">
        <v>0.10780000000000001</v>
      </c>
      <c r="BN1032">
        <v>0.1104</v>
      </c>
      <c r="BO1032">
        <v>0.1116</v>
      </c>
      <c r="BP1032">
        <v>0.1138</v>
      </c>
      <c r="BQ1032">
        <v>0.11609999999999999</v>
      </c>
      <c r="BR1032">
        <v>0.11890000000000001</v>
      </c>
      <c r="BS1032">
        <v>0.1201</v>
      </c>
      <c r="BT1032">
        <v>0.123</v>
      </c>
      <c r="BU1032">
        <v>0.12470000000000001</v>
      </c>
      <c r="BV1032">
        <v>0.1273</v>
      </c>
      <c r="BW1032">
        <v>0.12970000000000001</v>
      </c>
      <c r="BX1032">
        <v>0.1326</v>
      </c>
      <c r="BY1032">
        <v>0.13420000000000001</v>
      </c>
      <c r="BZ1032">
        <v>0.1376</v>
      </c>
      <c r="CA1032">
        <v>0.14019999999999999</v>
      </c>
      <c r="CB1032">
        <v>0.14369999999999999</v>
      </c>
      <c r="CC1032">
        <v>0.14610000000000001</v>
      </c>
      <c r="CD1032">
        <v>0.1484</v>
      </c>
      <c r="CE1032">
        <v>0.15140000000000001</v>
      </c>
      <c r="CF1032">
        <v>0.1555</v>
      </c>
      <c r="CG1032">
        <v>0.16089999999999999</v>
      </c>
      <c r="CH1032">
        <v>0.1656</v>
      </c>
      <c r="CI1032">
        <v>0.16220000000000001</v>
      </c>
      <c r="CJ1032">
        <v>0.16700000000000001</v>
      </c>
      <c r="CK1032">
        <v>0.17050000000000001</v>
      </c>
      <c r="CL1032">
        <v>0.17560000000000001</v>
      </c>
      <c r="CM1032">
        <v>0.17780000000000001</v>
      </c>
      <c r="CN1032">
        <v>0.1847</v>
      </c>
      <c r="CO1032">
        <v>0.18540000000000001</v>
      </c>
      <c r="CP1032">
        <v>0.1925</v>
      </c>
      <c r="CQ1032">
        <v>0.19739999999999999</v>
      </c>
      <c r="CR1032">
        <v>0.20069999999999999</v>
      </c>
      <c r="CS1032">
        <v>0.20419999999999999</v>
      </c>
      <c r="CT1032">
        <v>0.21110000000000001</v>
      </c>
      <c r="CU1032">
        <v>0.2147</v>
      </c>
      <c r="CV1032">
        <v>0.221</v>
      </c>
      <c r="CW1032">
        <v>0.22389999999999999</v>
      </c>
    </row>
    <row r="1033" spans="1:101">
      <c r="A1033">
        <v>0.6</v>
      </c>
      <c r="B1033">
        <v>0.1598</v>
      </c>
      <c r="C1033">
        <v>8.0490000000000006E-2</v>
      </c>
      <c r="D1033">
        <v>6.9629999999999997E-2</v>
      </c>
      <c r="E1033">
        <v>7.1499999999999994E-2</v>
      </c>
      <c r="F1033">
        <v>7.4480000000000005E-2</v>
      </c>
      <c r="G1033">
        <v>8.047E-2</v>
      </c>
      <c r="H1033">
        <v>8.0490000000000006E-2</v>
      </c>
      <c r="I1033">
        <v>8.0560000000000007E-2</v>
      </c>
      <c r="J1033">
        <v>7.6319999999999999E-2</v>
      </c>
      <c r="K1033">
        <v>7.9869999999999997E-2</v>
      </c>
      <c r="L1033">
        <v>7.7109999999999998E-2</v>
      </c>
      <c r="M1033">
        <v>7.9600000000000004E-2</v>
      </c>
      <c r="N1033">
        <v>7.7689999999999995E-2</v>
      </c>
      <c r="O1033">
        <v>8.0409999999999995E-2</v>
      </c>
      <c r="P1033">
        <v>7.8149999999999997E-2</v>
      </c>
      <c r="Q1033">
        <v>8.0589999999999995E-2</v>
      </c>
      <c r="R1033">
        <v>7.7469999999999997E-2</v>
      </c>
      <c r="S1033">
        <v>7.2859999999999994E-2</v>
      </c>
      <c r="T1033">
        <v>7.8640000000000002E-2</v>
      </c>
      <c r="U1033">
        <v>8.0829999999999999E-2</v>
      </c>
      <c r="V1033">
        <v>7.5740000000000002E-2</v>
      </c>
      <c r="W1033">
        <v>7.46E-2</v>
      </c>
      <c r="X1033">
        <v>7.3410000000000003E-2</v>
      </c>
      <c r="Y1033">
        <v>7.5179999999999997E-2</v>
      </c>
      <c r="Z1033">
        <v>7.424E-2</v>
      </c>
      <c r="AA1033">
        <v>7.6109999999999997E-2</v>
      </c>
      <c r="AB1033">
        <v>7.5050000000000006E-2</v>
      </c>
      <c r="AC1033">
        <v>7.8350000000000003E-2</v>
      </c>
      <c r="AD1033">
        <v>7.5130000000000002E-2</v>
      </c>
      <c r="AE1033">
        <v>7.5759999999999994E-2</v>
      </c>
      <c r="AF1033">
        <v>7.3639999999999997E-2</v>
      </c>
      <c r="AG1033">
        <v>7.3249999999999996E-2</v>
      </c>
      <c r="AH1033">
        <v>7.3450000000000001E-2</v>
      </c>
      <c r="AI1033">
        <v>7.2080000000000005E-2</v>
      </c>
      <c r="AJ1033">
        <v>7.3630000000000001E-2</v>
      </c>
      <c r="AK1033">
        <v>7.2529999999999997E-2</v>
      </c>
      <c r="AL1033">
        <v>7.3440000000000005E-2</v>
      </c>
      <c r="AM1033">
        <v>7.392E-2</v>
      </c>
      <c r="AN1033">
        <v>7.5179999999999997E-2</v>
      </c>
      <c r="AO1033">
        <v>7.5600000000000001E-2</v>
      </c>
      <c r="AP1033">
        <v>7.6550000000000007E-2</v>
      </c>
      <c r="AQ1033">
        <v>7.6380000000000003E-2</v>
      </c>
      <c r="AR1033">
        <v>7.7160000000000006E-2</v>
      </c>
      <c r="AS1033">
        <v>7.7039999999999997E-2</v>
      </c>
      <c r="AT1033">
        <v>7.7969999999999998E-2</v>
      </c>
      <c r="AU1033">
        <v>7.7619999999999995E-2</v>
      </c>
      <c r="AV1033">
        <v>7.8899999999999998E-2</v>
      </c>
      <c r="AW1033">
        <v>7.7990000000000004E-2</v>
      </c>
      <c r="AX1033">
        <v>7.8649999999999998E-2</v>
      </c>
      <c r="AY1033">
        <v>7.8310000000000005E-2</v>
      </c>
      <c r="AZ1033">
        <v>7.8640000000000002E-2</v>
      </c>
      <c r="BA1033">
        <v>7.7280000000000001E-2</v>
      </c>
      <c r="BB1033">
        <v>8.0019999999999994E-2</v>
      </c>
      <c r="BC1033">
        <v>7.961E-2</v>
      </c>
      <c r="BD1033">
        <v>8.1009999999999999E-2</v>
      </c>
      <c r="BE1033">
        <v>8.0750000000000002E-2</v>
      </c>
      <c r="BF1033">
        <v>8.2229999999999998E-2</v>
      </c>
      <c r="BG1033">
        <v>8.3919999999999995E-2</v>
      </c>
      <c r="BH1033">
        <v>8.5970000000000005E-2</v>
      </c>
      <c r="BI1033">
        <v>8.652E-2</v>
      </c>
      <c r="BJ1033">
        <v>8.8730000000000003E-2</v>
      </c>
      <c r="BK1033">
        <v>8.8059999999999999E-2</v>
      </c>
      <c r="BL1033">
        <v>8.9779999999999999E-2</v>
      </c>
      <c r="BM1033">
        <v>8.9410000000000003E-2</v>
      </c>
      <c r="BN1033">
        <v>9.1170000000000001E-2</v>
      </c>
      <c r="BO1033">
        <v>9.1850000000000001E-2</v>
      </c>
      <c r="BP1033">
        <v>9.3280000000000002E-2</v>
      </c>
      <c r="BQ1033">
        <v>9.4810000000000005E-2</v>
      </c>
      <c r="BR1033">
        <v>9.6769999999999995E-2</v>
      </c>
      <c r="BS1033">
        <v>9.7339999999999996E-2</v>
      </c>
      <c r="BT1033">
        <v>9.9279999999999993E-2</v>
      </c>
      <c r="BU1033">
        <v>0.1004</v>
      </c>
      <c r="BV1033">
        <v>0.1021</v>
      </c>
      <c r="BW1033">
        <v>0.1036</v>
      </c>
      <c r="BX1033">
        <v>0.1055</v>
      </c>
      <c r="BY1033">
        <v>0.1065</v>
      </c>
      <c r="BZ1033">
        <v>0.1087</v>
      </c>
      <c r="CA1033">
        <v>0.1105</v>
      </c>
      <c r="CB1033">
        <v>0.1129</v>
      </c>
      <c r="CC1033">
        <v>0.1143</v>
      </c>
      <c r="CD1033">
        <v>0.1158</v>
      </c>
      <c r="CE1033">
        <v>0.1178</v>
      </c>
      <c r="CF1033">
        <v>0.1205</v>
      </c>
      <c r="CG1033">
        <v>0.1244</v>
      </c>
      <c r="CH1033">
        <v>0.12770000000000001</v>
      </c>
      <c r="CI1033">
        <v>0.1246</v>
      </c>
      <c r="CJ1033">
        <v>0.128</v>
      </c>
      <c r="CK1033">
        <v>0.13039999999999999</v>
      </c>
      <c r="CL1033">
        <v>0.13389999999999999</v>
      </c>
      <c r="CM1033">
        <v>0.13519999999999999</v>
      </c>
      <c r="CN1033">
        <v>0.1401</v>
      </c>
      <c r="CO1033">
        <v>0.14030000000000001</v>
      </c>
      <c r="CP1033">
        <v>0.1454</v>
      </c>
      <c r="CQ1033">
        <v>0.14879999999999999</v>
      </c>
      <c r="CR1033">
        <v>0.151</v>
      </c>
      <c r="CS1033">
        <v>0.15329999999999999</v>
      </c>
      <c r="CT1033">
        <v>0.15809999999999999</v>
      </c>
      <c r="CU1033">
        <v>0.1605</v>
      </c>
      <c r="CV1033">
        <v>0.16500000000000001</v>
      </c>
      <c r="CW1033">
        <v>0.16689999999999999</v>
      </c>
    </row>
    <row r="1034" spans="1:101">
      <c r="A1034">
        <v>0.8</v>
      </c>
      <c r="B1034">
        <v>0.1404</v>
      </c>
      <c r="C1034">
        <v>7.0699999999999999E-2</v>
      </c>
      <c r="D1034">
        <v>6.1159999999999999E-2</v>
      </c>
      <c r="E1034">
        <v>6.2799999999999995E-2</v>
      </c>
      <c r="F1034">
        <v>6.5460000000000004E-2</v>
      </c>
      <c r="G1034">
        <v>7.0699999999999999E-2</v>
      </c>
      <c r="H1034">
        <v>7.0730000000000001E-2</v>
      </c>
      <c r="I1034">
        <v>7.077E-2</v>
      </c>
      <c r="J1034">
        <v>6.7049999999999998E-2</v>
      </c>
      <c r="K1034">
        <v>7.0150000000000004E-2</v>
      </c>
      <c r="L1034">
        <v>6.7739999999999995E-2</v>
      </c>
      <c r="M1034">
        <v>6.9900000000000004E-2</v>
      </c>
      <c r="N1034">
        <v>6.8210000000000007E-2</v>
      </c>
      <c r="O1034">
        <v>7.0580000000000004E-2</v>
      </c>
      <c r="P1034">
        <v>6.8589999999999998E-2</v>
      </c>
      <c r="Q1034">
        <v>7.0709999999999995E-2</v>
      </c>
      <c r="R1034">
        <v>6.7960000000000007E-2</v>
      </c>
      <c r="S1034">
        <v>6.3890000000000002E-2</v>
      </c>
      <c r="T1034">
        <v>6.8940000000000001E-2</v>
      </c>
      <c r="U1034">
        <v>7.0830000000000004E-2</v>
      </c>
      <c r="V1034">
        <v>6.6350000000000006E-2</v>
      </c>
      <c r="W1034">
        <v>6.5310000000000007E-2</v>
      </c>
      <c r="X1034">
        <v>6.4229999999999995E-2</v>
      </c>
      <c r="Y1034">
        <v>6.5720000000000001E-2</v>
      </c>
      <c r="Z1034">
        <v>6.4869999999999997E-2</v>
      </c>
      <c r="AA1034">
        <v>6.6439999999999999E-2</v>
      </c>
      <c r="AB1034">
        <v>6.5460000000000004E-2</v>
      </c>
      <c r="AC1034">
        <v>6.8269999999999997E-2</v>
      </c>
      <c r="AD1034">
        <v>6.54E-2</v>
      </c>
      <c r="AE1034">
        <v>6.5869999999999998E-2</v>
      </c>
      <c r="AF1034">
        <v>6.3939999999999997E-2</v>
      </c>
      <c r="AG1034">
        <v>6.3530000000000003E-2</v>
      </c>
      <c r="AH1034">
        <v>6.361E-2</v>
      </c>
      <c r="AI1034">
        <v>6.232E-2</v>
      </c>
      <c r="AJ1034">
        <v>6.3549999999999995E-2</v>
      </c>
      <c r="AK1034">
        <v>6.2489999999999997E-2</v>
      </c>
      <c r="AL1034">
        <v>6.3159999999999994E-2</v>
      </c>
      <c r="AM1034">
        <v>6.3450000000000006E-2</v>
      </c>
      <c r="AN1034">
        <v>6.4390000000000003E-2</v>
      </c>
      <c r="AO1034">
        <v>6.4589999999999995E-2</v>
      </c>
      <c r="AP1034">
        <v>6.5240000000000006E-2</v>
      </c>
      <c r="AQ1034">
        <v>6.497E-2</v>
      </c>
      <c r="AR1034">
        <v>6.5430000000000002E-2</v>
      </c>
      <c r="AS1034">
        <v>6.5159999999999996E-2</v>
      </c>
      <c r="AT1034">
        <v>6.5720000000000001E-2</v>
      </c>
      <c r="AU1034">
        <v>6.5299999999999997E-2</v>
      </c>
      <c r="AV1034">
        <v>6.6129999999999994E-2</v>
      </c>
      <c r="AW1034">
        <v>6.5180000000000002E-2</v>
      </c>
      <c r="AX1034">
        <v>6.5479999999999997E-2</v>
      </c>
      <c r="AY1034">
        <v>6.5030000000000004E-2</v>
      </c>
      <c r="AZ1034">
        <v>6.5040000000000001E-2</v>
      </c>
      <c r="BA1034">
        <v>6.3689999999999997E-2</v>
      </c>
      <c r="BB1034">
        <v>6.5680000000000002E-2</v>
      </c>
      <c r="BC1034">
        <v>6.515E-2</v>
      </c>
      <c r="BD1034">
        <v>6.5989999999999993E-2</v>
      </c>
      <c r="BE1034">
        <v>6.5530000000000005E-2</v>
      </c>
      <c r="BF1034">
        <v>6.6430000000000003E-2</v>
      </c>
      <c r="BG1034">
        <v>6.7559999999999995E-2</v>
      </c>
      <c r="BH1034">
        <v>6.8879999999999997E-2</v>
      </c>
      <c r="BI1034">
        <v>6.9029999999999994E-2</v>
      </c>
      <c r="BJ1034">
        <v>7.0440000000000003E-2</v>
      </c>
      <c r="BK1034">
        <v>6.9650000000000004E-2</v>
      </c>
      <c r="BL1034">
        <v>7.0650000000000004E-2</v>
      </c>
      <c r="BM1034">
        <v>7.0050000000000001E-2</v>
      </c>
      <c r="BN1034">
        <v>7.1069999999999994E-2</v>
      </c>
      <c r="BO1034">
        <v>7.1309999999999998E-2</v>
      </c>
      <c r="BP1034">
        <v>7.2050000000000003E-2</v>
      </c>
      <c r="BQ1034">
        <v>7.2910000000000003E-2</v>
      </c>
      <c r="BR1034">
        <v>7.4029999999999999E-2</v>
      </c>
      <c r="BS1034">
        <v>7.4160000000000004E-2</v>
      </c>
      <c r="BT1034">
        <v>7.5240000000000001E-2</v>
      </c>
      <c r="BU1034">
        <v>7.5689999999999993E-2</v>
      </c>
      <c r="BV1034">
        <v>7.6600000000000001E-2</v>
      </c>
      <c r="BW1034">
        <v>7.7380000000000004E-2</v>
      </c>
      <c r="BX1034">
        <v>7.8399999999999997E-2</v>
      </c>
      <c r="BY1034">
        <v>7.8789999999999999E-2</v>
      </c>
      <c r="BZ1034">
        <v>8.0009999999999998E-2</v>
      </c>
      <c r="CA1034">
        <v>8.0949999999999994E-2</v>
      </c>
      <c r="CB1034">
        <v>8.2290000000000002E-2</v>
      </c>
      <c r="CC1034">
        <v>8.2989999999999994E-2</v>
      </c>
      <c r="CD1034">
        <v>8.3610000000000004E-2</v>
      </c>
      <c r="CE1034">
        <v>8.4720000000000004E-2</v>
      </c>
      <c r="CF1034">
        <v>8.6249999999999993E-2</v>
      </c>
      <c r="CG1034">
        <v>8.8580000000000006E-2</v>
      </c>
      <c r="CH1034">
        <v>9.0569999999999998E-2</v>
      </c>
      <c r="CI1034">
        <v>8.7989999999999999E-2</v>
      </c>
      <c r="CJ1034">
        <v>8.9969999999999994E-2</v>
      </c>
      <c r="CK1034">
        <v>9.1230000000000006E-2</v>
      </c>
      <c r="CL1034">
        <v>9.3310000000000004E-2</v>
      </c>
      <c r="CM1034">
        <v>9.3850000000000003E-2</v>
      </c>
      <c r="CN1034">
        <v>9.6839999999999996E-2</v>
      </c>
      <c r="CO1034">
        <v>9.6619999999999998E-2</v>
      </c>
      <c r="CP1034">
        <v>9.9699999999999997E-2</v>
      </c>
      <c r="CQ1034">
        <v>0.1017</v>
      </c>
      <c r="CR1034">
        <v>0.1028</v>
      </c>
      <c r="CS1034">
        <v>0.10390000000000001</v>
      </c>
      <c r="CT1034">
        <v>0.10680000000000001</v>
      </c>
      <c r="CU1034">
        <v>0.1081</v>
      </c>
      <c r="CV1034">
        <v>0.11070000000000001</v>
      </c>
      <c r="CW1034">
        <v>0.1116</v>
      </c>
    </row>
    <row r="1035" spans="1:101">
      <c r="A1035">
        <v>1</v>
      </c>
      <c r="B1035">
        <v>0.12620000000000001</v>
      </c>
      <c r="C1035">
        <v>6.3549999999999995E-2</v>
      </c>
      <c r="D1035">
        <v>5.4969999999999998E-2</v>
      </c>
      <c r="E1035">
        <v>5.645E-2</v>
      </c>
      <c r="F1035">
        <v>5.883E-2</v>
      </c>
      <c r="G1035">
        <v>6.3519999999999993E-2</v>
      </c>
      <c r="H1035">
        <v>6.3549999999999995E-2</v>
      </c>
      <c r="I1035">
        <v>6.3619999999999996E-2</v>
      </c>
      <c r="J1035">
        <v>6.0260000000000001E-2</v>
      </c>
      <c r="K1035">
        <v>6.3030000000000003E-2</v>
      </c>
      <c r="L1035">
        <v>6.087E-2</v>
      </c>
      <c r="M1035">
        <v>6.2829999999999997E-2</v>
      </c>
      <c r="N1035">
        <v>6.132E-2</v>
      </c>
      <c r="O1035">
        <v>6.3439999999999996E-2</v>
      </c>
      <c r="P1035">
        <v>6.164E-2</v>
      </c>
      <c r="Q1035">
        <v>6.3530000000000003E-2</v>
      </c>
      <c r="R1035">
        <v>6.1069999999999999E-2</v>
      </c>
      <c r="S1035">
        <v>5.74E-2</v>
      </c>
      <c r="T1035">
        <v>6.1920000000000003E-2</v>
      </c>
      <c r="U1035">
        <v>6.361E-2</v>
      </c>
      <c r="V1035">
        <v>5.9569999999999998E-2</v>
      </c>
      <c r="W1035">
        <v>5.8630000000000002E-2</v>
      </c>
      <c r="X1035">
        <v>5.7639999999999997E-2</v>
      </c>
      <c r="Y1035">
        <v>5.8970000000000002E-2</v>
      </c>
      <c r="Z1035">
        <v>5.8169999999999999E-2</v>
      </c>
      <c r="AA1035">
        <v>5.9569999999999998E-2</v>
      </c>
      <c r="AB1035">
        <v>5.867E-2</v>
      </c>
      <c r="AC1035">
        <v>6.1159999999999999E-2</v>
      </c>
      <c r="AD1035">
        <v>5.8560000000000001E-2</v>
      </c>
      <c r="AE1035">
        <v>5.8939999999999999E-2</v>
      </c>
      <c r="AF1035">
        <v>5.7189999999999998E-2</v>
      </c>
      <c r="AG1035">
        <v>5.679E-2</v>
      </c>
      <c r="AH1035">
        <v>5.6820000000000002E-2</v>
      </c>
      <c r="AI1035">
        <v>5.5640000000000002E-2</v>
      </c>
      <c r="AJ1035">
        <v>5.6689999999999997E-2</v>
      </c>
      <c r="AK1035">
        <v>5.57E-2</v>
      </c>
      <c r="AL1035">
        <v>5.6250000000000001E-2</v>
      </c>
      <c r="AM1035">
        <v>5.6469999999999999E-2</v>
      </c>
      <c r="AN1035">
        <v>5.7239999999999999E-2</v>
      </c>
      <c r="AO1035">
        <v>5.7360000000000001E-2</v>
      </c>
      <c r="AP1035">
        <v>5.7880000000000001E-2</v>
      </c>
      <c r="AQ1035">
        <v>5.7570000000000003E-2</v>
      </c>
      <c r="AR1035">
        <v>5.7919999999999999E-2</v>
      </c>
      <c r="AS1035">
        <v>5.7590000000000002E-2</v>
      </c>
      <c r="AT1035">
        <v>5.8029999999999998E-2</v>
      </c>
      <c r="AU1035">
        <v>5.756E-2</v>
      </c>
      <c r="AV1035">
        <v>5.8229999999999997E-2</v>
      </c>
      <c r="AW1035">
        <v>5.7290000000000001E-2</v>
      </c>
      <c r="AX1035">
        <v>5.747E-2</v>
      </c>
      <c r="AY1035">
        <v>5.6959999999999997E-2</v>
      </c>
      <c r="AZ1035">
        <v>5.688E-2</v>
      </c>
      <c r="BA1035">
        <v>5.5579999999999997E-2</v>
      </c>
      <c r="BB1035">
        <v>5.722E-2</v>
      </c>
      <c r="BC1035">
        <v>5.6680000000000001E-2</v>
      </c>
      <c r="BD1035">
        <v>5.731E-2</v>
      </c>
      <c r="BE1035">
        <v>5.6759999999999998E-2</v>
      </c>
      <c r="BF1035">
        <v>5.7439999999999998E-2</v>
      </c>
      <c r="BG1035">
        <v>5.8259999999999999E-2</v>
      </c>
      <c r="BH1035">
        <v>5.9279999999999999E-2</v>
      </c>
      <c r="BI1035">
        <v>5.926E-2</v>
      </c>
      <c r="BJ1035">
        <v>6.0339999999999998E-2</v>
      </c>
      <c r="BK1035">
        <v>5.9490000000000001E-2</v>
      </c>
      <c r="BL1035">
        <v>6.0269999999999997E-2</v>
      </c>
      <c r="BM1035">
        <v>5.9580000000000001E-2</v>
      </c>
      <c r="BN1035">
        <v>6.0310000000000002E-2</v>
      </c>
      <c r="BO1035">
        <v>6.0339999999999998E-2</v>
      </c>
      <c r="BP1035">
        <v>6.08E-2</v>
      </c>
      <c r="BQ1035">
        <v>6.1339999999999999E-2</v>
      </c>
      <c r="BR1035">
        <v>6.2120000000000002E-2</v>
      </c>
      <c r="BS1035">
        <v>6.2050000000000001E-2</v>
      </c>
      <c r="BT1035">
        <v>6.2820000000000001E-2</v>
      </c>
      <c r="BU1035">
        <v>6.3E-2</v>
      </c>
      <c r="BV1035">
        <v>6.3579999999999998E-2</v>
      </c>
      <c r="BW1035">
        <v>6.4030000000000004E-2</v>
      </c>
      <c r="BX1035">
        <v>6.4689999999999998E-2</v>
      </c>
      <c r="BY1035">
        <v>6.4810000000000006E-2</v>
      </c>
      <c r="BZ1035">
        <v>6.5619999999999998E-2</v>
      </c>
      <c r="CA1035">
        <v>6.6180000000000003E-2</v>
      </c>
      <c r="CB1035">
        <v>6.7119999999999999E-2</v>
      </c>
      <c r="CC1035">
        <v>6.7449999999999996E-2</v>
      </c>
      <c r="CD1035">
        <v>6.7769999999999997E-2</v>
      </c>
      <c r="CE1035">
        <v>6.8440000000000001E-2</v>
      </c>
      <c r="CF1035">
        <v>6.9470000000000004E-2</v>
      </c>
      <c r="CG1035">
        <v>7.1120000000000003E-2</v>
      </c>
      <c r="CH1035">
        <v>7.2480000000000003E-2</v>
      </c>
      <c r="CI1035">
        <v>7.0209999999999995E-2</v>
      </c>
      <c r="CJ1035">
        <v>7.1609999999999993E-2</v>
      </c>
      <c r="CK1035">
        <v>7.2370000000000004E-2</v>
      </c>
      <c r="CL1035">
        <v>7.3800000000000004E-2</v>
      </c>
      <c r="CM1035">
        <v>7.3980000000000004E-2</v>
      </c>
      <c r="CN1035">
        <v>7.6119999999999993E-2</v>
      </c>
      <c r="CO1035">
        <v>7.5689999999999993E-2</v>
      </c>
      <c r="CP1035">
        <v>7.7890000000000001E-2</v>
      </c>
      <c r="CQ1035">
        <v>7.9149999999999998E-2</v>
      </c>
      <c r="CR1035">
        <v>7.9810000000000006E-2</v>
      </c>
      <c r="CS1035">
        <v>8.0490000000000006E-2</v>
      </c>
      <c r="CT1035">
        <v>8.251E-2</v>
      </c>
      <c r="CU1035">
        <v>8.3250000000000005E-2</v>
      </c>
      <c r="CV1035">
        <v>8.5000000000000006E-2</v>
      </c>
      <c r="CW1035">
        <v>8.5470000000000004E-2</v>
      </c>
    </row>
    <row r="1036" spans="1:101">
      <c r="A1036">
        <v>1.5</v>
      </c>
      <c r="B1036">
        <v>0.1026</v>
      </c>
      <c r="C1036">
        <v>5.1670000000000001E-2</v>
      </c>
      <c r="D1036">
        <v>4.4690000000000001E-2</v>
      </c>
      <c r="E1036">
        <v>4.5900000000000003E-2</v>
      </c>
      <c r="F1036">
        <v>4.7849999999999997E-2</v>
      </c>
      <c r="G1036">
        <v>5.1670000000000001E-2</v>
      </c>
      <c r="H1036">
        <v>5.1729999999999998E-2</v>
      </c>
      <c r="I1036">
        <v>5.178E-2</v>
      </c>
      <c r="J1036">
        <v>4.9050000000000003E-2</v>
      </c>
      <c r="K1036">
        <v>5.135E-2</v>
      </c>
      <c r="L1036">
        <v>4.9579999999999999E-2</v>
      </c>
      <c r="M1036">
        <v>5.1180000000000003E-2</v>
      </c>
      <c r="N1036">
        <v>4.9950000000000001E-2</v>
      </c>
      <c r="O1036">
        <v>5.1709999999999999E-2</v>
      </c>
      <c r="P1036">
        <v>5.0270000000000002E-2</v>
      </c>
      <c r="Q1036">
        <v>5.1810000000000002E-2</v>
      </c>
      <c r="R1036">
        <v>4.981E-2</v>
      </c>
      <c r="S1036">
        <v>4.6820000000000001E-2</v>
      </c>
      <c r="T1036">
        <v>5.0529999999999999E-2</v>
      </c>
      <c r="U1036">
        <v>5.1909999999999998E-2</v>
      </c>
      <c r="V1036">
        <v>4.8619999999999997E-2</v>
      </c>
      <c r="W1036">
        <v>4.7849999999999997E-2</v>
      </c>
      <c r="X1036">
        <v>4.7039999999999998E-2</v>
      </c>
      <c r="Y1036">
        <v>4.8140000000000002E-2</v>
      </c>
      <c r="Z1036">
        <v>4.7489999999999997E-2</v>
      </c>
      <c r="AA1036">
        <v>4.8619999999999997E-2</v>
      </c>
      <c r="AB1036">
        <v>4.7890000000000002E-2</v>
      </c>
      <c r="AC1036">
        <v>4.9910000000000003E-2</v>
      </c>
      <c r="AD1036">
        <v>4.7800000000000002E-2</v>
      </c>
      <c r="AE1036">
        <v>4.8099999999999997E-2</v>
      </c>
      <c r="AF1036">
        <v>4.666E-2</v>
      </c>
      <c r="AG1036">
        <v>4.6309999999999997E-2</v>
      </c>
      <c r="AH1036">
        <v>4.6339999999999999E-2</v>
      </c>
      <c r="AI1036">
        <v>4.5359999999999998E-2</v>
      </c>
      <c r="AJ1036">
        <v>4.6199999999999998E-2</v>
      </c>
      <c r="AK1036">
        <v>4.5379999999999997E-2</v>
      </c>
      <c r="AL1036">
        <v>4.58E-2</v>
      </c>
      <c r="AM1036">
        <v>4.5960000000000001E-2</v>
      </c>
      <c r="AN1036">
        <v>4.6559999999999997E-2</v>
      </c>
      <c r="AO1036">
        <v>4.6629999999999998E-2</v>
      </c>
      <c r="AP1036">
        <v>4.7030000000000002E-2</v>
      </c>
      <c r="AQ1036">
        <v>4.6730000000000001E-2</v>
      </c>
      <c r="AR1036">
        <v>4.6989999999999997E-2</v>
      </c>
      <c r="AS1036">
        <v>4.6670000000000003E-2</v>
      </c>
      <c r="AT1036">
        <v>4.7E-2</v>
      </c>
      <c r="AU1036">
        <v>4.657E-2</v>
      </c>
      <c r="AV1036">
        <v>4.7059999999999998E-2</v>
      </c>
      <c r="AW1036">
        <v>4.6249999999999999E-2</v>
      </c>
      <c r="AX1036">
        <v>4.6339999999999999E-2</v>
      </c>
      <c r="AY1036">
        <v>4.5879999999999997E-2</v>
      </c>
      <c r="AZ1036">
        <v>4.5760000000000002E-2</v>
      </c>
      <c r="BA1036">
        <v>4.4659999999999998E-2</v>
      </c>
      <c r="BB1036">
        <v>4.5920000000000002E-2</v>
      </c>
      <c r="BC1036">
        <v>4.5370000000000001E-2</v>
      </c>
      <c r="BD1036">
        <v>4.5830000000000003E-2</v>
      </c>
      <c r="BE1036">
        <v>4.5319999999999999E-2</v>
      </c>
      <c r="BF1036">
        <v>4.5780000000000001E-2</v>
      </c>
      <c r="BG1036">
        <v>4.6370000000000001E-2</v>
      </c>
      <c r="BH1036">
        <v>4.7079999999999997E-2</v>
      </c>
      <c r="BI1036">
        <v>4.6960000000000002E-2</v>
      </c>
      <c r="BJ1036">
        <v>4.777E-2</v>
      </c>
      <c r="BK1036">
        <v>4.7E-2</v>
      </c>
      <c r="BL1036">
        <v>4.7469999999999998E-2</v>
      </c>
      <c r="BM1036">
        <v>4.6820000000000001E-2</v>
      </c>
      <c r="BN1036">
        <v>4.7280000000000003E-2</v>
      </c>
      <c r="BO1036">
        <v>4.7190000000000003E-2</v>
      </c>
      <c r="BP1036">
        <v>4.7469999999999998E-2</v>
      </c>
      <c r="BQ1036">
        <v>4.7759999999999997E-2</v>
      </c>
      <c r="BR1036">
        <v>4.8239999999999998E-2</v>
      </c>
      <c r="BS1036">
        <v>4.8050000000000002E-2</v>
      </c>
      <c r="BT1036">
        <v>4.8480000000000002E-2</v>
      </c>
      <c r="BU1036">
        <v>4.8480000000000002E-2</v>
      </c>
      <c r="BV1036">
        <v>4.8820000000000002E-2</v>
      </c>
      <c r="BW1036">
        <v>4.9020000000000001E-2</v>
      </c>
      <c r="BX1036">
        <v>4.9369999999999997E-2</v>
      </c>
      <c r="BY1036">
        <v>4.9299999999999997E-2</v>
      </c>
      <c r="BZ1036">
        <v>4.9759999999999999E-2</v>
      </c>
      <c r="CA1036">
        <v>5.0009999999999999E-2</v>
      </c>
      <c r="CB1036">
        <v>5.0529999999999999E-2</v>
      </c>
      <c r="CC1036">
        <v>5.0650000000000001E-2</v>
      </c>
      <c r="CD1036">
        <v>5.0700000000000002E-2</v>
      </c>
      <c r="CE1036">
        <v>5.1020000000000003E-2</v>
      </c>
      <c r="CF1036">
        <v>5.1610000000000003E-2</v>
      </c>
      <c r="CG1036">
        <v>5.2650000000000002E-2</v>
      </c>
      <c r="CH1036">
        <v>5.3449999999999998E-2</v>
      </c>
      <c r="CI1036">
        <v>5.1610000000000003E-2</v>
      </c>
      <c r="CJ1036">
        <v>5.2420000000000001E-2</v>
      </c>
      <c r="CK1036">
        <v>5.2769999999999997E-2</v>
      </c>
      <c r="CL1036">
        <v>5.3609999999999998E-2</v>
      </c>
      <c r="CM1036">
        <v>5.3530000000000001E-2</v>
      </c>
      <c r="CN1036">
        <v>5.4859999999999999E-2</v>
      </c>
      <c r="CO1036">
        <v>5.4359999999999999E-2</v>
      </c>
      <c r="CP1036">
        <v>5.5710000000000003E-2</v>
      </c>
      <c r="CQ1036">
        <v>5.6390000000000003E-2</v>
      </c>
      <c r="CR1036">
        <v>5.6599999999999998E-2</v>
      </c>
      <c r="CS1036">
        <v>5.6840000000000002E-2</v>
      </c>
      <c r="CT1036">
        <v>5.8020000000000002E-2</v>
      </c>
      <c r="CU1036">
        <v>5.8290000000000002E-2</v>
      </c>
      <c r="CV1036">
        <v>5.9299999999999999E-2</v>
      </c>
      <c r="CW1036">
        <v>5.9369999999999999E-2</v>
      </c>
    </row>
    <row r="1037" spans="1:101">
      <c r="A1037">
        <v>2</v>
      </c>
      <c r="B1037">
        <v>8.7580000000000005E-2</v>
      </c>
      <c r="C1037">
        <v>4.4139999999999999E-2</v>
      </c>
      <c r="D1037">
        <v>3.8240000000000003E-2</v>
      </c>
      <c r="E1037">
        <v>3.9309999999999998E-2</v>
      </c>
      <c r="F1037">
        <v>4.1020000000000001E-2</v>
      </c>
      <c r="G1037">
        <v>4.4350000000000001E-2</v>
      </c>
      <c r="H1037">
        <v>4.444E-2</v>
      </c>
      <c r="I1037">
        <v>4.4499999999999998E-2</v>
      </c>
      <c r="J1037">
        <v>4.2200000000000001E-2</v>
      </c>
      <c r="K1037">
        <v>4.4229999999999998E-2</v>
      </c>
      <c r="L1037">
        <v>4.274E-2</v>
      </c>
      <c r="M1037">
        <v>4.4150000000000002E-2</v>
      </c>
      <c r="N1037">
        <v>4.3159999999999997E-2</v>
      </c>
      <c r="O1037">
        <v>4.4690000000000001E-2</v>
      </c>
      <c r="P1037">
        <v>4.3479999999999998E-2</v>
      </c>
      <c r="Q1037">
        <v>4.487E-2</v>
      </c>
      <c r="R1037">
        <v>4.317E-2</v>
      </c>
      <c r="S1037">
        <v>4.0620000000000003E-2</v>
      </c>
      <c r="T1037">
        <v>4.3880000000000002E-2</v>
      </c>
      <c r="U1037">
        <v>4.512E-2</v>
      </c>
      <c r="V1037">
        <v>4.231E-2</v>
      </c>
      <c r="W1037">
        <v>4.1680000000000002E-2</v>
      </c>
      <c r="X1037">
        <v>4.1020000000000001E-2</v>
      </c>
      <c r="Y1037">
        <v>4.2000000000000003E-2</v>
      </c>
      <c r="Z1037">
        <v>4.1480000000000003E-2</v>
      </c>
      <c r="AA1037">
        <v>4.2500000000000003E-2</v>
      </c>
      <c r="AB1037">
        <v>4.1889999999999997E-2</v>
      </c>
      <c r="AC1037">
        <v>4.3700000000000003E-2</v>
      </c>
      <c r="AD1037">
        <v>4.1880000000000001E-2</v>
      </c>
      <c r="AE1037">
        <v>4.2189999999999998E-2</v>
      </c>
      <c r="AF1037">
        <v>4.0960000000000003E-2</v>
      </c>
      <c r="AG1037">
        <v>4.0689999999999997E-2</v>
      </c>
      <c r="AH1037">
        <v>4.0750000000000001E-2</v>
      </c>
      <c r="AI1037">
        <v>3.9910000000000001E-2</v>
      </c>
      <c r="AJ1037">
        <v>4.0689999999999997E-2</v>
      </c>
      <c r="AK1037">
        <v>0.04</v>
      </c>
      <c r="AL1037">
        <v>4.0399999999999998E-2</v>
      </c>
      <c r="AM1037">
        <v>4.0579999999999998E-2</v>
      </c>
      <c r="AN1037">
        <v>4.1140000000000003E-2</v>
      </c>
      <c r="AO1037">
        <v>4.1230000000000003E-2</v>
      </c>
      <c r="AP1037">
        <v>4.1599999999999998E-2</v>
      </c>
      <c r="AQ1037">
        <v>4.138E-2</v>
      </c>
      <c r="AR1037">
        <v>4.163E-2</v>
      </c>
      <c r="AS1037">
        <v>4.1369999999999997E-2</v>
      </c>
      <c r="AT1037">
        <v>4.1689999999999998E-2</v>
      </c>
      <c r="AU1037">
        <v>4.1329999999999999E-2</v>
      </c>
      <c r="AV1037">
        <v>4.1790000000000001E-2</v>
      </c>
      <c r="AW1037">
        <v>4.1090000000000002E-2</v>
      </c>
      <c r="AX1037">
        <v>4.1200000000000001E-2</v>
      </c>
      <c r="AY1037">
        <v>4.0809999999999999E-2</v>
      </c>
      <c r="AZ1037">
        <v>4.0719999999999999E-2</v>
      </c>
      <c r="BA1037">
        <v>3.977E-2</v>
      </c>
      <c r="BB1037">
        <v>4.0899999999999999E-2</v>
      </c>
      <c r="BC1037">
        <v>4.0430000000000001E-2</v>
      </c>
      <c r="BD1037">
        <v>4.0849999999999997E-2</v>
      </c>
      <c r="BE1037">
        <v>4.0410000000000001E-2</v>
      </c>
      <c r="BF1037">
        <v>4.0840000000000001E-2</v>
      </c>
      <c r="BG1037">
        <v>4.1369999999999997E-2</v>
      </c>
      <c r="BH1037">
        <v>4.2029999999999998E-2</v>
      </c>
      <c r="BI1037">
        <v>4.1939999999999998E-2</v>
      </c>
      <c r="BJ1037">
        <v>4.2639999999999997E-2</v>
      </c>
      <c r="BK1037">
        <v>4.1959999999999997E-2</v>
      </c>
      <c r="BL1037">
        <v>4.24E-2</v>
      </c>
      <c r="BM1037">
        <v>4.1829999999999999E-2</v>
      </c>
      <c r="BN1037">
        <v>4.2250000000000003E-2</v>
      </c>
      <c r="BO1037">
        <v>4.2169999999999999E-2</v>
      </c>
      <c r="BP1037">
        <v>4.24E-2</v>
      </c>
      <c r="BQ1037">
        <v>4.2659999999999997E-2</v>
      </c>
      <c r="BR1037">
        <v>4.3099999999999999E-2</v>
      </c>
      <c r="BS1037">
        <v>4.2939999999999999E-2</v>
      </c>
      <c r="BT1037">
        <v>4.3299999999999998E-2</v>
      </c>
      <c r="BU1037">
        <v>4.3310000000000001E-2</v>
      </c>
      <c r="BV1037">
        <v>4.3549999999999998E-2</v>
      </c>
      <c r="BW1037">
        <v>4.3729999999999998E-2</v>
      </c>
      <c r="BX1037">
        <v>4.4049999999999999E-2</v>
      </c>
      <c r="BY1037">
        <v>4.3950000000000003E-2</v>
      </c>
      <c r="BZ1037">
        <v>4.4359999999999997E-2</v>
      </c>
      <c r="CA1037">
        <v>4.4589999999999998E-2</v>
      </c>
      <c r="CB1037">
        <v>4.5010000000000001E-2</v>
      </c>
      <c r="CC1037">
        <v>4.5080000000000002E-2</v>
      </c>
      <c r="CD1037">
        <v>4.512E-2</v>
      </c>
      <c r="CE1037">
        <v>4.5359999999999998E-2</v>
      </c>
      <c r="CF1037">
        <v>4.5859999999999998E-2</v>
      </c>
      <c r="CG1037">
        <v>4.6730000000000001E-2</v>
      </c>
      <c r="CH1037">
        <v>4.743E-2</v>
      </c>
      <c r="CI1037">
        <v>4.5749999999999999E-2</v>
      </c>
      <c r="CJ1037">
        <v>4.641E-2</v>
      </c>
      <c r="CK1037">
        <v>4.6690000000000002E-2</v>
      </c>
      <c r="CL1037">
        <v>4.7399999999999998E-2</v>
      </c>
      <c r="CM1037">
        <v>4.7260000000000003E-2</v>
      </c>
      <c r="CN1037">
        <v>4.8399999999999999E-2</v>
      </c>
      <c r="CO1037">
        <v>4.7890000000000002E-2</v>
      </c>
      <c r="CP1037">
        <v>4.9020000000000001E-2</v>
      </c>
      <c r="CQ1037">
        <v>4.9549999999999997E-2</v>
      </c>
      <c r="CR1037">
        <v>4.9660000000000003E-2</v>
      </c>
      <c r="CS1037">
        <v>4.981E-2</v>
      </c>
      <c r="CT1037">
        <v>5.0779999999999999E-2</v>
      </c>
      <c r="CU1037">
        <v>5.0930000000000003E-2</v>
      </c>
      <c r="CV1037">
        <v>5.1720000000000002E-2</v>
      </c>
      <c r="CW1037">
        <v>5.1700000000000003E-2</v>
      </c>
    </row>
    <row r="1038" spans="1:101">
      <c r="A1038">
        <v>3</v>
      </c>
      <c r="B1038">
        <v>6.9099999999999995E-2</v>
      </c>
      <c r="C1038">
        <v>3.4950000000000002E-2</v>
      </c>
      <c r="D1038">
        <v>3.0370000000000001E-2</v>
      </c>
      <c r="E1038">
        <v>3.1320000000000001E-2</v>
      </c>
      <c r="F1038">
        <v>3.2770000000000001E-2</v>
      </c>
      <c r="G1038">
        <v>3.5549999999999998E-2</v>
      </c>
      <c r="H1038">
        <v>3.5709999999999999E-2</v>
      </c>
      <c r="I1038">
        <v>3.5889999999999998E-2</v>
      </c>
      <c r="J1038">
        <v>3.415E-2</v>
      </c>
      <c r="K1038">
        <v>3.5880000000000002E-2</v>
      </c>
      <c r="L1038">
        <v>3.4779999999999998E-2</v>
      </c>
      <c r="M1038">
        <v>3.6040000000000003E-2</v>
      </c>
      <c r="N1038">
        <v>3.533E-2</v>
      </c>
      <c r="O1038">
        <v>3.6700000000000003E-2</v>
      </c>
      <c r="P1038">
        <v>3.5799999999999998E-2</v>
      </c>
      <c r="Q1038">
        <v>3.7060000000000003E-2</v>
      </c>
      <c r="R1038">
        <v>3.5770000000000003E-2</v>
      </c>
      <c r="S1038">
        <v>3.3750000000000002E-2</v>
      </c>
      <c r="T1038">
        <v>3.6569999999999998E-2</v>
      </c>
      <c r="U1038">
        <v>3.771E-2</v>
      </c>
      <c r="V1038">
        <v>3.5450000000000002E-2</v>
      </c>
      <c r="W1038">
        <v>3.5020000000000003E-2</v>
      </c>
      <c r="X1038">
        <v>3.456E-2</v>
      </c>
      <c r="Y1038">
        <v>3.5490000000000001E-2</v>
      </c>
      <c r="Z1038">
        <v>3.5139999999999998E-2</v>
      </c>
      <c r="AA1038">
        <v>3.6110000000000003E-2</v>
      </c>
      <c r="AB1038">
        <v>3.569E-2</v>
      </c>
      <c r="AC1038">
        <v>3.7339999999999998E-2</v>
      </c>
      <c r="AD1038">
        <v>3.5880000000000002E-2</v>
      </c>
      <c r="AE1038">
        <v>3.6240000000000001E-2</v>
      </c>
      <c r="AF1038">
        <v>3.5270000000000003E-2</v>
      </c>
      <c r="AG1038">
        <v>3.5130000000000002E-2</v>
      </c>
      <c r="AH1038">
        <v>3.5270000000000003E-2</v>
      </c>
      <c r="AI1038">
        <v>3.4639999999999997E-2</v>
      </c>
      <c r="AJ1038">
        <v>3.5400000000000001E-2</v>
      </c>
      <c r="AK1038">
        <v>3.4889999999999997E-2</v>
      </c>
      <c r="AL1038">
        <v>3.5319999999999997E-2</v>
      </c>
      <c r="AM1038">
        <v>3.5549999999999998E-2</v>
      </c>
      <c r="AN1038">
        <v>3.6150000000000002E-2</v>
      </c>
      <c r="AO1038">
        <v>3.6299999999999999E-2</v>
      </c>
      <c r="AP1038">
        <v>3.6720000000000003E-2</v>
      </c>
      <c r="AQ1038">
        <v>3.6609999999999997E-2</v>
      </c>
      <c r="AR1038">
        <v>3.6900000000000002E-2</v>
      </c>
      <c r="AS1038">
        <v>3.6760000000000001E-2</v>
      </c>
      <c r="AT1038">
        <v>3.712E-2</v>
      </c>
      <c r="AU1038">
        <v>3.6880000000000003E-2</v>
      </c>
      <c r="AV1038">
        <v>3.737E-2</v>
      </c>
      <c r="AW1038">
        <v>3.6810000000000002E-2</v>
      </c>
      <c r="AX1038">
        <v>3.6979999999999999E-2</v>
      </c>
      <c r="AY1038">
        <v>3.6700000000000003E-2</v>
      </c>
      <c r="AZ1038">
        <v>3.669E-2</v>
      </c>
      <c r="BA1038">
        <v>3.5889999999999998E-2</v>
      </c>
      <c r="BB1038">
        <v>3.6970000000000003E-2</v>
      </c>
      <c r="BC1038">
        <v>3.662E-2</v>
      </c>
      <c r="BD1038">
        <v>3.705E-2</v>
      </c>
      <c r="BE1038">
        <v>3.6720000000000003E-2</v>
      </c>
      <c r="BF1038">
        <v>3.7170000000000002E-2</v>
      </c>
      <c r="BG1038">
        <v>3.7699999999999997E-2</v>
      </c>
      <c r="BH1038">
        <v>3.8359999999999998E-2</v>
      </c>
      <c r="BI1038">
        <v>3.8339999999999999E-2</v>
      </c>
      <c r="BJ1038">
        <v>3.9019999999999999E-2</v>
      </c>
      <c r="BK1038">
        <v>3.8449999999999998E-2</v>
      </c>
      <c r="BL1038">
        <v>3.8899999999999997E-2</v>
      </c>
      <c r="BM1038">
        <v>3.841E-2</v>
      </c>
      <c r="BN1038">
        <v>3.884E-2</v>
      </c>
      <c r="BO1038">
        <v>3.8800000000000001E-2</v>
      </c>
      <c r="BP1038">
        <v>3.9050000000000001E-2</v>
      </c>
      <c r="BQ1038">
        <v>3.9320000000000001E-2</v>
      </c>
      <c r="BR1038">
        <v>3.9750000000000001E-2</v>
      </c>
      <c r="BS1038">
        <v>3.9620000000000002E-2</v>
      </c>
      <c r="BT1038">
        <v>4.0009999999999997E-2</v>
      </c>
      <c r="BU1038">
        <v>4.002E-2</v>
      </c>
      <c r="BV1038">
        <v>4.0280000000000003E-2</v>
      </c>
      <c r="BW1038">
        <v>4.0460000000000003E-2</v>
      </c>
      <c r="BX1038">
        <v>4.0750000000000001E-2</v>
      </c>
      <c r="BY1038">
        <v>4.0689999999999997E-2</v>
      </c>
      <c r="BZ1038">
        <v>4.1070000000000002E-2</v>
      </c>
      <c r="CA1038">
        <v>4.1279999999999997E-2</v>
      </c>
      <c r="CB1038">
        <v>4.1680000000000002E-2</v>
      </c>
      <c r="CC1038">
        <v>4.1730000000000003E-2</v>
      </c>
      <c r="CD1038">
        <v>4.1759999999999999E-2</v>
      </c>
      <c r="CE1038">
        <v>4.199E-2</v>
      </c>
      <c r="CF1038">
        <v>4.2430000000000002E-2</v>
      </c>
      <c r="CG1038">
        <v>4.3249999999999997E-2</v>
      </c>
      <c r="CH1038">
        <v>4.3860000000000003E-2</v>
      </c>
      <c r="CI1038">
        <v>4.2270000000000002E-2</v>
      </c>
      <c r="CJ1038">
        <v>4.2860000000000002E-2</v>
      </c>
      <c r="CK1038">
        <v>4.3090000000000003E-2</v>
      </c>
      <c r="CL1038">
        <v>4.369E-2</v>
      </c>
      <c r="CM1038">
        <v>4.3549999999999998E-2</v>
      </c>
      <c r="CN1038">
        <v>4.4540000000000003E-2</v>
      </c>
      <c r="CO1038">
        <v>4.403E-2</v>
      </c>
      <c r="CP1038">
        <v>4.5019999999999998E-2</v>
      </c>
      <c r="CQ1038">
        <v>4.546E-2</v>
      </c>
      <c r="CR1038">
        <v>4.5510000000000002E-2</v>
      </c>
      <c r="CS1038">
        <v>4.5580000000000002E-2</v>
      </c>
      <c r="CT1038">
        <v>4.6390000000000001E-2</v>
      </c>
      <c r="CU1038">
        <v>4.6469999999999997E-2</v>
      </c>
      <c r="CV1038">
        <v>4.7109999999999999E-2</v>
      </c>
      <c r="CW1038">
        <v>4.7019999999999999E-2</v>
      </c>
    </row>
    <row r="1039" spans="1:101">
      <c r="A1039">
        <v>4</v>
      </c>
      <c r="B1039">
        <v>5.7930000000000002E-2</v>
      </c>
      <c r="C1039">
        <v>2.9409999999999999E-2</v>
      </c>
      <c r="D1039">
        <v>2.5659999999999999E-2</v>
      </c>
      <c r="E1039">
        <v>2.6579999999999999E-2</v>
      </c>
      <c r="F1039">
        <v>2.793E-2</v>
      </c>
      <c r="G1039">
        <v>3.04E-2</v>
      </c>
      <c r="H1039">
        <v>3.066E-2</v>
      </c>
      <c r="I1039">
        <v>3.0929999999999999E-2</v>
      </c>
      <c r="J1039">
        <v>2.9530000000000001E-2</v>
      </c>
      <c r="K1039">
        <v>3.1150000000000001E-2</v>
      </c>
      <c r="L1039">
        <v>3.031E-2</v>
      </c>
      <c r="M1039">
        <v>3.1530000000000002E-2</v>
      </c>
      <c r="N1039">
        <v>3.1009999999999999E-2</v>
      </c>
      <c r="O1039">
        <v>3.2329999999999998E-2</v>
      </c>
      <c r="P1039">
        <v>3.1649999999999998E-2</v>
      </c>
      <c r="Q1039">
        <v>3.2870000000000003E-2</v>
      </c>
      <c r="R1039">
        <v>3.1820000000000001E-2</v>
      </c>
      <c r="S1039">
        <v>3.0130000000000001E-2</v>
      </c>
      <c r="T1039">
        <v>3.2739999999999998E-2</v>
      </c>
      <c r="U1039">
        <v>3.3860000000000001E-2</v>
      </c>
      <c r="V1039">
        <v>3.193E-2</v>
      </c>
      <c r="W1039">
        <v>3.1649999999999998E-2</v>
      </c>
      <c r="X1039">
        <v>3.1329999999999997E-2</v>
      </c>
      <c r="Y1039">
        <v>3.227E-2</v>
      </c>
      <c r="Z1039">
        <v>3.2039999999999999E-2</v>
      </c>
      <c r="AA1039">
        <v>3.3029999999999997E-2</v>
      </c>
      <c r="AB1039">
        <v>3.2739999999999998E-2</v>
      </c>
      <c r="AC1039">
        <v>3.4349999999999999E-2</v>
      </c>
      <c r="AD1039">
        <v>3.3090000000000001E-2</v>
      </c>
      <c r="AE1039">
        <v>3.3509999999999998E-2</v>
      </c>
      <c r="AF1039">
        <v>3.2710000000000003E-2</v>
      </c>
      <c r="AG1039">
        <v>3.2660000000000002E-2</v>
      </c>
      <c r="AH1039">
        <v>3.2870000000000003E-2</v>
      </c>
      <c r="AI1039">
        <v>3.2379999999999999E-2</v>
      </c>
      <c r="AJ1039">
        <v>3.3169999999999998E-2</v>
      </c>
      <c r="AK1039">
        <v>3.2759999999999997E-2</v>
      </c>
      <c r="AL1039">
        <v>3.3250000000000002E-2</v>
      </c>
      <c r="AM1039">
        <v>3.3550000000000003E-2</v>
      </c>
      <c r="AN1039">
        <v>3.4180000000000002E-2</v>
      </c>
      <c r="AO1039">
        <v>3.4410000000000003E-2</v>
      </c>
      <c r="AP1039">
        <v>3.4880000000000001E-2</v>
      </c>
      <c r="AQ1039">
        <v>3.4849999999999999E-2</v>
      </c>
      <c r="AR1039">
        <v>3.5209999999999998E-2</v>
      </c>
      <c r="AS1039">
        <v>3.5159999999999997E-2</v>
      </c>
      <c r="AT1039">
        <v>3.5569999999999997E-2</v>
      </c>
      <c r="AU1039">
        <v>3.5400000000000001E-2</v>
      </c>
      <c r="AV1039">
        <v>3.594E-2</v>
      </c>
      <c r="AW1039">
        <v>3.5470000000000002E-2</v>
      </c>
      <c r="AX1039">
        <v>3.5700000000000003E-2</v>
      </c>
      <c r="AY1039">
        <v>3.5499999999999997E-2</v>
      </c>
      <c r="AZ1039">
        <v>3.5549999999999998E-2</v>
      </c>
      <c r="BA1039">
        <v>3.4819999999999997E-2</v>
      </c>
      <c r="BB1039">
        <v>3.594E-2</v>
      </c>
      <c r="BC1039">
        <v>3.5639999999999998E-2</v>
      </c>
      <c r="BD1039">
        <v>3.6119999999999999E-2</v>
      </c>
      <c r="BE1039">
        <v>3.585E-2</v>
      </c>
      <c r="BF1039">
        <v>3.6330000000000001E-2</v>
      </c>
      <c r="BG1039">
        <v>3.6909999999999998E-2</v>
      </c>
      <c r="BH1039">
        <v>3.7589999999999998E-2</v>
      </c>
      <c r="BI1039">
        <v>3.7609999999999998E-2</v>
      </c>
      <c r="BJ1039">
        <v>3.8339999999999999E-2</v>
      </c>
      <c r="BK1039">
        <v>3.7819999999999999E-2</v>
      </c>
      <c r="BL1039">
        <v>3.8289999999999998E-2</v>
      </c>
      <c r="BM1039">
        <v>3.7859999999999998E-2</v>
      </c>
      <c r="BN1039">
        <v>3.832E-2</v>
      </c>
      <c r="BO1039">
        <v>3.832E-2</v>
      </c>
      <c r="BP1039">
        <v>3.8600000000000002E-2</v>
      </c>
      <c r="BQ1039">
        <v>3.8899999999999997E-2</v>
      </c>
      <c r="BR1039">
        <v>3.9359999999999999E-2</v>
      </c>
      <c r="BS1039">
        <v>3.9260000000000003E-2</v>
      </c>
      <c r="BT1039">
        <v>3.9669999999999997E-2</v>
      </c>
      <c r="BU1039">
        <v>3.9710000000000002E-2</v>
      </c>
      <c r="BV1039">
        <v>3.9989999999999998E-2</v>
      </c>
      <c r="BW1039">
        <v>4.0189999999999997E-2</v>
      </c>
      <c r="BX1039">
        <v>4.0489999999999998E-2</v>
      </c>
      <c r="BY1039">
        <v>4.0460000000000003E-2</v>
      </c>
      <c r="BZ1039">
        <v>4.0840000000000001E-2</v>
      </c>
      <c r="CA1039">
        <v>4.104E-2</v>
      </c>
      <c r="CB1039">
        <v>4.1450000000000001E-2</v>
      </c>
      <c r="CC1039">
        <v>4.1509999999999998E-2</v>
      </c>
      <c r="CD1039">
        <v>4.1540000000000001E-2</v>
      </c>
      <c r="CE1039">
        <v>4.1750000000000002E-2</v>
      </c>
      <c r="CF1039">
        <v>4.2200000000000001E-2</v>
      </c>
      <c r="CG1039">
        <v>4.2999999999999997E-2</v>
      </c>
      <c r="CH1039">
        <v>4.3589999999999997E-2</v>
      </c>
      <c r="CI1039">
        <v>4.2009999999999999E-2</v>
      </c>
      <c r="CJ1039">
        <v>4.2590000000000003E-2</v>
      </c>
      <c r="CK1039">
        <v>4.2799999999999998E-2</v>
      </c>
      <c r="CL1039">
        <v>4.3380000000000002E-2</v>
      </c>
      <c r="CM1039">
        <v>4.3220000000000001E-2</v>
      </c>
      <c r="CN1039">
        <v>4.419E-2</v>
      </c>
      <c r="CO1039">
        <v>4.3650000000000001E-2</v>
      </c>
      <c r="CP1039">
        <v>4.4600000000000001E-2</v>
      </c>
      <c r="CQ1039">
        <v>4.4999999999999998E-2</v>
      </c>
      <c r="CR1039">
        <v>4.5019999999999998E-2</v>
      </c>
      <c r="CS1039">
        <v>4.505E-2</v>
      </c>
      <c r="CT1039">
        <v>4.582E-2</v>
      </c>
      <c r="CU1039">
        <v>4.5850000000000002E-2</v>
      </c>
      <c r="CV1039">
        <v>4.6440000000000002E-2</v>
      </c>
      <c r="CW1039">
        <v>4.6300000000000001E-2</v>
      </c>
    </row>
    <row r="1040" spans="1:101">
      <c r="A1040">
        <v>5</v>
      </c>
      <c r="B1040">
        <v>5.0360000000000002E-2</v>
      </c>
      <c r="C1040">
        <v>2.5690000000000001E-2</v>
      </c>
      <c r="D1040">
        <v>2.2519999999999998E-2</v>
      </c>
      <c r="E1040">
        <v>2.342E-2</v>
      </c>
      <c r="F1040">
        <v>2.4709999999999999E-2</v>
      </c>
      <c r="G1040">
        <v>2.7009999999999999E-2</v>
      </c>
      <c r="H1040">
        <v>2.7359999999999999E-2</v>
      </c>
      <c r="I1040">
        <v>2.7699999999999999E-2</v>
      </c>
      <c r="J1040">
        <v>2.657E-2</v>
      </c>
      <c r="K1040">
        <v>2.811E-2</v>
      </c>
      <c r="L1040">
        <v>2.7470000000000001E-2</v>
      </c>
      <c r="M1040">
        <v>2.8660000000000001E-2</v>
      </c>
      <c r="N1040">
        <v>2.8289999999999999E-2</v>
      </c>
      <c r="O1040">
        <v>2.9600000000000001E-2</v>
      </c>
      <c r="P1040">
        <v>2.9080000000000002E-2</v>
      </c>
      <c r="Q1040">
        <v>3.031E-2</v>
      </c>
      <c r="R1040">
        <v>2.9440000000000001E-2</v>
      </c>
      <c r="S1040">
        <v>2.7969999999999998E-2</v>
      </c>
      <c r="T1040">
        <v>3.0470000000000001E-2</v>
      </c>
      <c r="U1040">
        <v>3.1629999999999998E-2</v>
      </c>
      <c r="V1040">
        <v>2.9919999999999999E-2</v>
      </c>
      <c r="W1040">
        <v>2.9739999999999999E-2</v>
      </c>
      <c r="X1040">
        <v>2.9530000000000001E-2</v>
      </c>
      <c r="Y1040">
        <v>3.0499999999999999E-2</v>
      </c>
      <c r="Z1040">
        <v>3.0380000000000001E-2</v>
      </c>
      <c r="AA1040">
        <v>3.1390000000000001E-2</v>
      </c>
      <c r="AB1040">
        <v>3.1189999999999999E-2</v>
      </c>
      <c r="AC1040">
        <v>3.2809999999999999E-2</v>
      </c>
      <c r="AD1040">
        <v>3.1690000000000003E-2</v>
      </c>
      <c r="AE1040">
        <v>3.2169999999999997E-2</v>
      </c>
      <c r="AF1040">
        <v>3.1489999999999997E-2</v>
      </c>
      <c r="AG1040">
        <v>3.1519999999999999E-2</v>
      </c>
      <c r="AH1040">
        <v>3.1800000000000002E-2</v>
      </c>
      <c r="AI1040">
        <v>3.1370000000000002E-2</v>
      </c>
      <c r="AJ1040">
        <v>3.2210000000000003E-2</v>
      </c>
      <c r="AK1040">
        <v>3.1879999999999999E-2</v>
      </c>
      <c r="AL1040">
        <v>3.2419999999999997E-2</v>
      </c>
      <c r="AM1040">
        <v>3.2779999999999997E-2</v>
      </c>
      <c r="AN1040">
        <v>3.347E-2</v>
      </c>
      <c r="AO1040">
        <v>3.3759999999999998E-2</v>
      </c>
      <c r="AP1040">
        <v>3.4270000000000002E-2</v>
      </c>
      <c r="AQ1040">
        <v>3.4299999999999997E-2</v>
      </c>
      <c r="AR1040">
        <v>3.4729999999999997E-2</v>
      </c>
      <c r="AS1040">
        <v>3.4729999999999997E-2</v>
      </c>
      <c r="AT1040">
        <v>3.5200000000000002E-2</v>
      </c>
      <c r="AU1040">
        <v>3.5090000000000003E-2</v>
      </c>
      <c r="AV1040">
        <v>3.5680000000000003E-2</v>
      </c>
      <c r="AW1040">
        <v>3.5270000000000003E-2</v>
      </c>
      <c r="AX1040">
        <v>3.5540000000000002E-2</v>
      </c>
      <c r="AY1040">
        <v>3.5389999999999998E-2</v>
      </c>
      <c r="AZ1040">
        <v>3.5490000000000001E-2</v>
      </c>
      <c r="BA1040">
        <v>3.4819999999999997E-2</v>
      </c>
      <c r="BB1040">
        <v>3.5979999999999998E-2</v>
      </c>
      <c r="BC1040">
        <v>3.5729999999999998E-2</v>
      </c>
      <c r="BD1040">
        <v>3.6249999999999998E-2</v>
      </c>
      <c r="BE1040">
        <v>3.6020000000000003E-2</v>
      </c>
      <c r="BF1040">
        <v>3.653E-2</v>
      </c>
      <c r="BG1040">
        <v>3.7150000000000002E-2</v>
      </c>
      <c r="BH1040">
        <v>3.789E-2</v>
      </c>
      <c r="BI1040">
        <v>3.7949999999999998E-2</v>
      </c>
      <c r="BJ1040">
        <v>3.8710000000000001E-2</v>
      </c>
      <c r="BK1040">
        <v>3.8219999999999997E-2</v>
      </c>
      <c r="BL1040">
        <v>3.8730000000000001E-2</v>
      </c>
      <c r="BM1040">
        <v>3.832E-2</v>
      </c>
      <c r="BN1040">
        <v>3.882E-2</v>
      </c>
      <c r="BO1040">
        <v>3.884E-2</v>
      </c>
      <c r="BP1040">
        <v>3.9149999999999997E-2</v>
      </c>
      <c r="BQ1040">
        <v>3.9489999999999997E-2</v>
      </c>
      <c r="BR1040">
        <v>3.9969999999999999E-2</v>
      </c>
      <c r="BS1040">
        <v>3.9890000000000002E-2</v>
      </c>
      <c r="BT1040">
        <v>4.0320000000000002E-2</v>
      </c>
      <c r="BU1040">
        <v>4.0390000000000002E-2</v>
      </c>
      <c r="BV1040">
        <v>4.0680000000000001E-2</v>
      </c>
      <c r="BW1040">
        <v>4.0890000000000003E-2</v>
      </c>
      <c r="BX1040">
        <v>4.1230000000000003E-2</v>
      </c>
      <c r="BY1040">
        <v>4.1200000000000001E-2</v>
      </c>
      <c r="BZ1040">
        <v>4.1599999999999998E-2</v>
      </c>
      <c r="CA1040">
        <v>4.181E-2</v>
      </c>
      <c r="CB1040">
        <v>4.224E-2</v>
      </c>
      <c r="CC1040">
        <v>4.231E-2</v>
      </c>
      <c r="CD1040">
        <v>4.233E-2</v>
      </c>
      <c r="CE1040">
        <v>4.2569999999999997E-2</v>
      </c>
      <c r="CF1040">
        <v>4.301E-2</v>
      </c>
      <c r="CG1040">
        <v>4.3830000000000001E-2</v>
      </c>
      <c r="CH1040">
        <v>4.444E-2</v>
      </c>
      <c r="CI1040">
        <v>4.2810000000000001E-2</v>
      </c>
      <c r="CJ1040">
        <v>4.3409999999999997E-2</v>
      </c>
      <c r="CK1040">
        <v>4.3619999999999999E-2</v>
      </c>
      <c r="CL1040">
        <v>4.4200000000000003E-2</v>
      </c>
      <c r="CM1040">
        <v>4.403E-2</v>
      </c>
      <c r="CN1040">
        <v>4.5010000000000001E-2</v>
      </c>
      <c r="CO1040">
        <v>4.4450000000000003E-2</v>
      </c>
      <c r="CP1040">
        <v>4.5400000000000003E-2</v>
      </c>
      <c r="CQ1040">
        <v>4.5789999999999997E-2</v>
      </c>
      <c r="CR1040">
        <v>4.5789999999999997E-2</v>
      </c>
      <c r="CS1040">
        <v>4.58E-2</v>
      </c>
      <c r="CT1040">
        <v>4.6550000000000001E-2</v>
      </c>
      <c r="CU1040">
        <v>4.6559999999999997E-2</v>
      </c>
      <c r="CV1040">
        <v>4.7149999999999997E-2</v>
      </c>
      <c r="CW1040">
        <v>4.6980000000000001E-2</v>
      </c>
    </row>
    <row r="1041" spans="1:101">
      <c r="A1041">
        <v>6</v>
      </c>
      <c r="B1041">
        <v>4.4859999999999997E-2</v>
      </c>
      <c r="C1041">
        <v>2.3009999999999999E-2</v>
      </c>
      <c r="D1041">
        <v>2.0250000000000001E-2</v>
      </c>
      <c r="E1041">
        <v>2.1160000000000002E-2</v>
      </c>
      <c r="F1041">
        <v>2.2419999999999999E-2</v>
      </c>
      <c r="G1041">
        <v>2.4629999999999999E-2</v>
      </c>
      <c r="H1041">
        <v>2.5049999999999999E-2</v>
      </c>
      <c r="I1041">
        <v>2.546E-2</v>
      </c>
      <c r="J1041">
        <v>2.4510000000000001E-2</v>
      </c>
      <c r="K1041">
        <v>2.605E-2</v>
      </c>
      <c r="L1041">
        <v>2.5530000000000001E-2</v>
      </c>
      <c r="M1041">
        <v>2.6749999999999999E-2</v>
      </c>
      <c r="N1041">
        <v>2.649E-2</v>
      </c>
      <c r="O1041">
        <v>2.7810000000000001E-2</v>
      </c>
      <c r="P1041">
        <v>2.741E-2</v>
      </c>
      <c r="Q1041">
        <v>2.8660000000000001E-2</v>
      </c>
      <c r="R1041">
        <v>2.792E-2</v>
      </c>
      <c r="S1041">
        <v>2.6599999999999999E-2</v>
      </c>
      <c r="T1041">
        <v>2.9080000000000002E-2</v>
      </c>
      <c r="U1041">
        <v>3.0269999999999998E-2</v>
      </c>
      <c r="V1041">
        <v>2.8719999999999999E-2</v>
      </c>
      <c r="W1041">
        <v>2.862E-2</v>
      </c>
      <c r="X1041">
        <v>2.8479999999999998E-2</v>
      </c>
      <c r="Y1041">
        <v>2.9499999999999998E-2</v>
      </c>
      <c r="Z1041">
        <v>2.945E-2</v>
      </c>
      <c r="AA1041">
        <v>3.0499999999999999E-2</v>
      </c>
      <c r="AB1041">
        <v>3.039E-2</v>
      </c>
      <c r="AC1041">
        <v>3.202E-2</v>
      </c>
      <c r="AD1041">
        <v>3.1019999999999999E-2</v>
      </c>
      <c r="AE1041">
        <v>3.1550000000000002E-2</v>
      </c>
      <c r="AF1041">
        <v>3.092E-2</v>
      </c>
      <c r="AG1041">
        <v>3.1009999999999999E-2</v>
      </c>
      <c r="AH1041">
        <v>3.134E-2</v>
      </c>
      <c r="AI1041">
        <v>3.099E-2</v>
      </c>
      <c r="AJ1041">
        <v>3.1879999999999999E-2</v>
      </c>
      <c r="AK1041">
        <v>3.1609999999999999E-2</v>
      </c>
      <c r="AL1041">
        <v>3.2210000000000003E-2</v>
      </c>
      <c r="AM1041">
        <v>3.261E-2</v>
      </c>
      <c r="AN1041">
        <v>3.3340000000000002E-2</v>
      </c>
      <c r="AO1041">
        <v>3.3669999999999999E-2</v>
      </c>
      <c r="AP1041">
        <v>3.424E-2</v>
      </c>
      <c r="AQ1041">
        <v>3.4329999999999999E-2</v>
      </c>
      <c r="AR1041">
        <v>3.4790000000000001E-2</v>
      </c>
      <c r="AS1041">
        <v>3.483E-2</v>
      </c>
      <c r="AT1041">
        <v>3.5340000000000003E-2</v>
      </c>
      <c r="AU1041">
        <v>3.5290000000000002E-2</v>
      </c>
      <c r="AV1041">
        <v>3.5929999999999997E-2</v>
      </c>
      <c r="AW1041">
        <v>3.5549999999999998E-2</v>
      </c>
      <c r="AX1041">
        <v>3.5880000000000002E-2</v>
      </c>
      <c r="AY1041">
        <v>3.576E-2</v>
      </c>
      <c r="AZ1041">
        <v>3.5900000000000001E-2</v>
      </c>
      <c r="BA1041">
        <v>3.526E-2</v>
      </c>
      <c r="BB1041">
        <v>3.6470000000000002E-2</v>
      </c>
      <c r="BC1041">
        <v>3.6249999999999998E-2</v>
      </c>
      <c r="BD1041">
        <v>3.6810000000000002E-2</v>
      </c>
      <c r="BE1041">
        <v>3.6609999999999997E-2</v>
      </c>
      <c r="BF1041">
        <v>3.7170000000000002E-2</v>
      </c>
      <c r="BG1041">
        <v>3.7830000000000003E-2</v>
      </c>
      <c r="BH1041">
        <v>3.8609999999999998E-2</v>
      </c>
      <c r="BI1041">
        <v>3.8699999999999998E-2</v>
      </c>
      <c r="BJ1041">
        <v>3.95E-2</v>
      </c>
      <c r="BK1041">
        <v>3.9030000000000002E-2</v>
      </c>
      <c r="BL1041">
        <v>3.9570000000000001E-2</v>
      </c>
      <c r="BM1041">
        <v>3.9190000000000003E-2</v>
      </c>
      <c r="BN1041">
        <v>3.9710000000000002E-2</v>
      </c>
      <c r="BO1041">
        <v>3.9759999999999997E-2</v>
      </c>
      <c r="BP1041">
        <v>4.0099999999999997E-2</v>
      </c>
      <c r="BQ1041">
        <v>4.0460000000000003E-2</v>
      </c>
      <c r="BR1041">
        <v>4.0980000000000003E-2</v>
      </c>
      <c r="BS1041">
        <v>4.0910000000000002E-2</v>
      </c>
      <c r="BT1041">
        <v>4.1360000000000001E-2</v>
      </c>
      <c r="BU1041">
        <v>4.1450000000000001E-2</v>
      </c>
      <c r="BV1041">
        <v>4.1770000000000002E-2</v>
      </c>
      <c r="BW1041">
        <v>4.199E-2</v>
      </c>
      <c r="BX1041">
        <v>4.2349999999999999E-2</v>
      </c>
      <c r="BY1041">
        <v>4.233E-2</v>
      </c>
      <c r="BZ1041">
        <v>4.2750000000000003E-2</v>
      </c>
      <c r="CA1041">
        <v>4.299E-2</v>
      </c>
      <c r="CB1041">
        <v>4.3430000000000003E-2</v>
      </c>
      <c r="CC1041">
        <v>4.3499999999999997E-2</v>
      </c>
      <c r="CD1041">
        <v>4.3540000000000002E-2</v>
      </c>
      <c r="CE1041">
        <v>4.3790000000000003E-2</v>
      </c>
      <c r="CF1041">
        <v>4.4249999999999998E-2</v>
      </c>
      <c r="CG1041">
        <v>4.5089999999999998E-2</v>
      </c>
      <c r="CH1041">
        <v>4.5719999999999997E-2</v>
      </c>
      <c r="CI1041">
        <v>4.4049999999999999E-2</v>
      </c>
      <c r="CJ1041">
        <v>4.4659999999999998E-2</v>
      </c>
      <c r="CK1041">
        <v>4.487E-2</v>
      </c>
      <c r="CL1041">
        <v>4.546E-2</v>
      </c>
      <c r="CM1041">
        <v>4.5280000000000001E-2</v>
      </c>
      <c r="CN1041">
        <v>4.6269999999999999E-2</v>
      </c>
      <c r="CO1041">
        <v>4.5690000000000001E-2</v>
      </c>
      <c r="CP1041">
        <v>4.6649999999999997E-2</v>
      </c>
      <c r="CQ1041">
        <v>4.7019999999999999E-2</v>
      </c>
      <c r="CR1041">
        <v>4.7E-2</v>
      </c>
      <c r="CS1041">
        <v>4.6980000000000001E-2</v>
      </c>
      <c r="CT1041">
        <v>4.7719999999999999E-2</v>
      </c>
      <c r="CU1041">
        <v>4.7699999999999999E-2</v>
      </c>
      <c r="CV1041">
        <v>4.8250000000000001E-2</v>
      </c>
      <c r="CW1041">
        <v>4.8039999999999999E-2</v>
      </c>
    </row>
    <row r="1042" spans="1:101">
      <c r="A1042">
        <v>8</v>
      </c>
      <c r="B1042">
        <v>3.7350000000000001E-2</v>
      </c>
      <c r="C1042">
        <v>1.9349999999999999E-2</v>
      </c>
      <c r="D1042">
        <v>1.721E-2</v>
      </c>
      <c r="E1042">
        <v>1.814E-2</v>
      </c>
      <c r="F1042">
        <v>1.9400000000000001E-2</v>
      </c>
      <c r="G1042">
        <v>2.1479999999999999E-2</v>
      </c>
      <c r="H1042">
        <v>2.2030000000000001E-2</v>
      </c>
      <c r="I1042">
        <v>2.2579999999999999E-2</v>
      </c>
      <c r="J1042">
        <v>2.1899999999999999E-2</v>
      </c>
      <c r="K1042">
        <v>2.3429999999999999E-2</v>
      </c>
      <c r="L1042">
        <v>2.3140000000000001E-2</v>
      </c>
      <c r="M1042">
        <v>2.4389999999999998E-2</v>
      </c>
      <c r="N1042">
        <v>2.4320000000000001E-2</v>
      </c>
      <c r="O1042">
        <v>2.5680000000000001E-2</v>
      </c>
      <c r="P1042">
        <v>2.547E-2</v>
      </c>
      <c r="Q1042">
        <v>2.6769999999999999E-2</v>
      </c>
      <c r="R1042">
        <v>2.623E-2</v>
      </c>
      <c r="S1042">
        <v>2.512E-2</v>
      </c>
      <c r="T1042">
        <v>2.7609999999999999E-2</v>
      </c>
      <c r="U1042">
        <v>2.887E-2</v>
      </c>
      <c r="V1042">
        <v>2.7519999999999999E-2</v>
      </c>
      <c r="W1042">
        <v>2.7529999999999999E-2</v>
      </c>
      <c r="X1042">
        <v>2.7539999999999999E-2</v>
      </c>
      <c r="Y1042">
        <v>2.8639999999999999E-2</v>
      </c>
      <c r="Z1042">
        <v>2.87E-2</v>
      </c>
      <c r="AA1042">
        <v>2.9850000000000002E-2</v>
      </c>
      <c r="AB1042">
        <v>2.9850000000000002E-2</v>
      </c>
      <c r="AC1042">
        <v>3.1579999999999997E-2</v>
      </c>
      <c r="AD1042">
        <v>3.0679999999999999E-2</v>
      </c>
      <c r="AE1042">
        <v>3.1329999999999997E-2</v>
      </c>
      <c r="AF1042">
        <v>3.0800000000000001E-2</v>
      </c>
      <c r="AG1042">
        <v>3.0980000000000001E-2</v>
      </c>
      <c r="AH1042">
        <v>3.1399999999999997E-2</v>
      </c>
      <c r="AI1042">
        <v>3.1130000000000001E-2</v>
      </c>
      <c r="AJ1042">
        <v>3.2120000000000003E-2</v>
      </c>
      <c r="AK1042">
        <v>3.1940000000000003E-2</v>
      </c>
      <c r="AL1042">
        <v>3.2620000000000003E-2</v>
      </c>
      <c r="AM1042">
        <v>3.3119999999999997E-2</v>
      </c>
      <c r="AN1042">
        <v>3.3930000000000002E-2</v>
      </c>
      <c r="AO1042">
        <v>3.4349999999999999E-2</v>
      </c>
      <c r="AP1042">
        <v>3.5020000000000003E-2</v>
      </c>
      <c r="AQ1042">
        <v>3.517E-2</v>
      </c>
      <c r="AR1042">
        <v>3.5720000000000002E-2</v>
      </c>
      <c r="AS1042">
        <v>3.585E-2</v>
      </c>
      <c r="AT1042">
        <v>3.644E-2</v>
      </c>
      <c r="AU1042">
        <v>3.6450000000000003E-2</v>
      </c>
      <c r="AV1042">
        <v>3.7170000000000002E-2</v>
      </c>
      <c r="AW1042">
        <v>3.6850000000000001E-2</v>
      </c>
      <c r="AX1042">
        <v>3.7240000000000002E-2</v>
      </c>
      <c r="AY1042">
        <v>3.7170000000000002E-2</v>
      </c>
      <c r="AZ1042">
        <v>3.739E-2</v>
      </c>
      <c r="BA1042">
        <v>3.6769999999999997E-2</v>
      </c>
      <c r="BB1042">
        <v>3.8089999999999999E-2</v>
      </c>
      <c r="BC1042">
        <v>3.7909999999999999E-2</v>
      </c>
      <c r="BD1042">
        <v>3.8539999999999998E-2</v>
      </c>
      <c r="BE1042">
        <v>3.8379999999999997E-2</v>
      </c>
      <c r="BF1042">
        <v>3.9E-2</v>
      </c>
      <c r="BG1042">
        <v>3.9739999999999998E-2</v>
      </c>
      <c r="BH1042">
        <v>4.0599999999999997E-2</v>
      </c>
      <c r="BI1042">
        <v>4.0739999999999998E-2</v>
      </c>
      <c r="BJ1042">
        <v>4.1619999999999997E-2</v>
      </c>
      <c r="BK1042">
        <v>4.1169999999999998E-2</v>
      </c>
      <c r="BL1042">
        <v>4.1779999999999998E-2</v>
      </c>
      <c r="BM1042">
        <v>4.1399999999999999E-2</v>
      </c>
      <c r="BN1042">
        <v>4.199E-2</v>
      </c>
      <c r="BO1042">
        <v>4.2070000000000003E-2</v>
      </c>
      <c r="BP1042">
        <v>4.2459999999999998E-2</v>
      </c>
      <c r="BQ1042">
        <v>4.2869999999999998E-2</v>
      </c>
      <c r="BR1042">
        <v>4.3450000000000003E-2</v>
      </c>
      <c r="BS1042">
        <v>4.3400000000000001E-2</v>
      </c>
      <c r="BT1042">
        <v>4.3909999999999998E-2</v>
      </c>
      <c r="BU1042">
        <v>4.4019999999999997E-2</v>
      </c>
      <c r="BV1042">
        <v>4.4380000000000003E-2</v>
      </c>
      <c r="BW1042">
        <v>4.4639999999999999E-2</v>
      </c>
      <c r="BX1042">
        <v>4.5030000000000001E-2</v>
      </c>
      <c r="BY1042">
        <v>4.5030000000000001E-2</v>
      </c>
      <c r="BZ1042">
        <v>4.5499999999999999E-2</v>
      </c>
      <c r="CA1042">
        <v>4.5760000000000002E-2</v>
      </c>
      <c r="CB1042">
        <v>4.6249999999999999E-2</v>
      </c>
      <c r="CC1042">
        <v>4.6350000000000002E-2</v>
      </c>
      <c r="CD1042">
        <v>4.6390000000000001E-2</v>
      </c>
      <c r="CE1042">
        <v>4.6670000000000003E-2</v>
      </c>
      <c r="CF1042">
        <v>4.7160000000000001E-2</v>
      </c>
      <c r="CG1042">
        <v>4.8070000000000002E-2</v>
      </c>
      <c r="CH1042">
        <v>4.8739999999999999E-2</v>
      </c>
      <c r="CI1042">
        <v>4.6960000000000002E-2</v>
      </c>
      <c r="CJ1042">
        <v>4.7600000000000003E-2</v>
      </c>
      <c r="CK1042">
        <v>4.7840000000000001E-2</v>
      </c>
      <c r="CL1042">
        <v>4.8469999999999999E-2</v>
      </c>
      <c r="CM1042">
        <v>4.827E-2</v>
      </c>
      <c r="CN1042">
        <v>4.9329999999999999E-2</v>
      </c>
      <c r="CO1042">
        <v>4.8689999999999997E-2</v>
      </c>
      <c r="CP1042">
        <v>4.9709999999999997E-2</v>
      </c>
      <c r="CQ1042">
        <v>5.0099999999999999E-2</v>
      </c>
      <c r="CR1042">
        <v>5.0070000000000003E-2</v>
      </c>
      <c r="CS1042">
        <v>5.0049999999999997E-2</v>
      </c>
      <c r="CT1042">
        <v>5.0840000000000003E-2</v>
      </c>
      <c r="CU1042">
        <v>5.0799999999999998E-2</v>
      </c>
      <c r="CV1042">
        <v>5.1369999999999999E-2</v>
      </c>
      <c r="CW1042">
        <v>5.1130000000000002E-2</v>
      </c>
    </row>
    <row r="1043" spans="1:101">
      <c r="A1043">
        <v>10</v>
      </c>
      <c r="B1043">
        <v>3.2439999999999997E-2</v>
      </c>
      <c r="C1043">
        <v>1.6979999999999999E-2</v>
      </c>
      <c r="D1043">
        <v>1.525E-2</v>
      </c>
      <c r="E1043">
        <v>1.6230000000000001E-2</v>
      </c>
      <c r="F1043">
        <v>1.7500000000000002E-2</v>
      </c>
      <c r="G1043">
        <v>1.9539999999999998E-2</v>
      </c>
      <c r="H1043">
        <v>2.019E-2</v>
      </c>
      <c r="I1043">
        <v>2.0840000000000001E-2</v>
      </c>
      <c r="J1043">
        <v>2.034E-2</v>
      </c>
      <c r="K1043">
        <v>2.1919999999999999E-2</v>
      </c>
      <c r="L1043">
        <v>2.1760000000000002E-2</v>
      </c>
      <c r="M1043">
        <v>2.308E-2</v>
      </c>
      <c r="N1043">
        <v>2.3130000000000001E-2</v>
      </c>
      <c r="O1043">
        <v>2.4570000000000002E-2</v>
      </c>
      <c r="P1043">
        <v>2.4469999999999999E-2</v>
      </c>
      <c r="Q1043">
        <v>2.5850000000000001E-2</v>
      </c>
      <c r="R1043">
        <v>2.5430000000000001E-2</v>
      </c>
      <c r="S1043">
        <v>2.4459999999999999E-2</v>
      </c>
      <c r="T1043">
        <v>2.699E-2</v>
      </c>
      <c r="U1043">
        <v>2.8340000000000001E-2</v>
      </c>
      <c r="V1043">
        <v>2.7109999999999999E-2</v>
      </c>
      <c r="W1043">
        <v>2.7230000000000001E-2</v>
      </c>
      <c r="X1043">
        <v>2.733E-2</v>
      </c>
      <c r="Y1043">
        <v>2.8500000000000001E-2</v>
      </c>
      <c r="Z1043">
        <v>2.8660000000000001E-2</v>
      </c>
      <c r="AA1043">
        <v>2.989E-2</v>
      </c>
      <c r="AB1043">
        <v>2.997E-2</v>
      </c>
      <c r="AC1043">
        <v>3.1800000000000002E-2</v>
      </c>
      <c r="AD1043">
        <v>3.099E-2</v>
      </c>
      <c r="AE1043">
        <v>3.1710000000000002E-2</v>
      </c>
      <c r="AF1043">
        <v>3.125E-2</v>
      </c>
      <c r="AG1043">
        <v>3.1510000000000003E-2</v>
      </c>
      <c r="AH1043">
        <v>3.202E-2</v>
      </c>
      <c r="AI1043">
        <v>3.1820000000000001E-2</v>
      </c>
      <c r="AJ1043">
        <v>3.2890000000000003E-2</v>
      </c>
      <c r="AK1043">
        <v>3.2759999999999997E-2</v>
      </c>
      <c r="AL1043">
        <v>3.3520000000000001E-2</v>
      </c>
      <c r="AM1043">
        <v>3.4090000000000002E-2</v>
      </c>
      <c r="AN1043">
        <v>3.499E-2</v>
      </c>
      <c r="AO1043">
        <v>3.5490000000000001E-2</v>
      </c>
      <c r="AP1043">
        <v>3.6229999999999998E-2</v>
      </c>
      <c r="AQ1043">
        <v>3.6450000000000003E-2</v>
      </c>
      <c r="AR1043">
        <v>3.7069999999999999E-2</v>
      </c>
      <c r="AS1043">
        <v>3.7249999999999998E-2</v>
      </c>
      <c r="AT1043">
        <v>3.7909999999999999E-2</v>
      </c>
      <c r="AU1043">
        <v>3.7960000000000001E-2</v>
      </c>
      <c r="AV1043">
        <v>3.8760000000000003E-2</v>
      </c>
      <c r="AW1043">
        <v>3.848E-2</v>
      </c>
      <c r="AX1043">
        <v>3.8929999999999999E-2</v>
      </c>
      <c r="AY1043">
        <v>3.891E-2</v>
      </c>
      <c r="AZ1043">
        <v>3.9149999999999997E-2</v>
      </c>
      <c r="BA1043">
        <v>3.8539999999999998E-2</v>
      </c>
      <c r="BB1043">
        <v>3.9960000000000002E-2</v>
      </c>
      <c r="BC1043">
        <v>3.9809999999999998E-2</v>
      </c>
      <c r="BD1043">
        <v>4.0509999999999997E-2</v>
      </c>
      <c r="BE1043">
        <v>4.0370000000000003E-2</v>
      </c>
      <c r="BF1043">
        <v>4.1079999999999998E-2</v>
      </c>
      <c r="BG1043">
        <v>4.1880000000000001E-2</v>
      </c>
      <c r="BH1043">
        <v>4.2819999999999997E-2</v>
      </c>
      <c r="BI1043">
        <v>4.2979999999999997E-2</v>
      </c>
      <c r="BJ1043">
        <v>4.3950000000000003E-2</v>
      </c>
      <c r="BK1043">
        <v>4.3490000000000001E-2</v>
      </c>
      <c r="BL1043">
        <v>4.4159999999999998E-2</v>
      </c>
      <c r="BM1043">
        <v>4.3779999999999999E-2</v>
      </c>
      <c r="BN1043">
        <v>4.4429999999999997E-2</v>
      </c>
      <c r="BO1043">
        <v>4.4540000000000003E-2</v>
      </c>
      <c r="BP1043">
        <v>4.4979999999999999E-2</v>
      </c>
      <c r="BQ1043">
        <v>4.5429999999999998E-2</v>
      </c>
      <c r="BR1043">
        <v>4.6059999999999997E-2</v>
      </c>
      <c r="BS1043">
        <v>4.6030000000000001E-2</v>
      </c>
      <c r="BT1043">
        <v>4.6580000000000003E-2</v>
      </c>
      <c r="BU1043">
        <v>4.6710000000000002E-2</v>
      </c>
      <c r="BV1043">
        <v>4.7109999999999999E-2</v>
      </c>
      <c r="BW1043">
        <v>4.7410000000000001E-2</v>
      </c>
      <c r="BX1043">
        <v>4.7840000000000001E-2</v>
      </c>
      <c r="BY1043">
        <v>4.7849999999999997E-2</v>
      </c>
      <c r="BZ1043">
        <v>4.8379999999999999E-2</v>
      </c>
      <c r="CA1043">
        <v>4.8649999999999999E-2</v>
      </c>
      <c r="CB1043">
        <v>4.9189999999999998E-2</v>
      </c>
      <c r="CC1043">
        <v>4.9299999999999997E-2</v>
      </c>
      <c r="CD1043">
        <v>4.9360000000000001E-2</v>
      </c>
      <c r="CE1043">
        <v>4.965E-2</v>
      </c>
      <c r="CF1043">
        <v>5.0180000000000002E-2</v>
      </c>
      <c r="CG1043">
        <v>5.117E-2</v>
      </c>
      <c r="CH1043">
        <v>5.1880000000000003E-2</v>
      </c>
      <c r="CI1043">
        <v>0.05</v>
      </c>
      <c r="CJ1043">
        <v>5.0700000000000002E-2</v>
      </c>
      <c r="CK1043">
        <v>5.0950000000000002E-2</v>
      </c>
      <c r="CL1043">
        <v>5.1639999999999998E-2</v>
      </c>
      <c r="CM1043">
        <v>5.142E-2</v>
      </c>
      <c r="CN1043">
        <v>5.2540000000000003E-2</v>
      </c>
      <c r="CO1043">
        <v>5.1869999999999999E-2</v>
      </c>
      <c r="CP1043">
        <v>5.296E-2</v>
      </c>
      <c r="CQ1043">
        <v>5.3370000000000001E-2</v>
      </c>
      <c r="CR1043">
        <v>5.3350000000000002E-2</v>
      </c>
      <c r="CS1043">
        <v>5.3310000000000003E-2</v>
      </c>
      <c r="CT1043">
        <v>5.416E-2</v>
      </c>
      <c r="CU1043">
        <v>5.4109999999999998E-2</v>
      </c>
      <c r="CV1043">
        <v>5.4739999999999997E-2</v>
      </c>
      <c r="CW1043">
        <v>5.4469999999999998E-2</v>
      </c>
    </row>
    <row r="1044" spans="1:101">
      <c r="A1044">
        <v>15</v>
      </c>
      <c r="B1044">
        <v>2.53E-2</v>
      </c>
      <c r="C1044">
        <v>1.358E-2</v>
      </c>
      <c r="D1044">
        <v>1.248E-2</v>
      </c>
      <c r="E1044">
        <v>1.3559999999999999E-2</v>
      </c>
      <c r="F1044">
        <v>1.491E-2</v>
      </c>
      <c r="G1044">
        <v>1.6930000000000001E-2</v>
      </c>
      <c r="H1044">
        <v>1.7780000000000001E-2</v>
      </c>
      <c r="I1044">
        <v>1.8610000000000002E-2</v>
      </c>
      <c r="J1044">
        <v>1.8419999999999999E-2</v>
      </c>
      <c r="K1044">
        <v>2.0080000000000001E-2</v>
      </c>
      <c r="L1044">
        <v>2.018E-2</v>
      </c>
      <c r="M1044">
        <v>2.163E-2</v>
      </c>
      <c r="N1044">
        <v>2.1909999999999999E-2</v>
      </c>
      <c r="O1044">
        <v>2.3470000000000001E-2</v>
      </c>
      <c r="P1044">
        <v>2.3599999999999999E-2</v>
      </c>
      <c r="Q1044">
        <v>2.512E-2</v>
      </c>
      <c r="R1044">
        <v>2.4910000000000002E-2</v>
      </c>
      <c r="S1044">
        <v>2.4140000000000002E-2</v>
      </c>
      <c r="T1044">
        <v>2.682E-2</v>
      </c>
      <c r="U1044">
        <v>2.8330000000000001E-2</v>
      </c>
      <c r="V1044">
        <v>2.7279999999999999E-2</v>
      </c>
      <c r="W1044">
        <v>2.758E-2</v>
      </c>
      <c r="X1044">
        <v>2.7820000000000001E-2</v>
      </c>
      <c r="Y1044">
        <v>2.9159999999999998E-2</v>
      </c>
      <c r="Z1044">
        <v>2.947E-2</v>
      </c>
      <c r="AA1044">
        <v>3.0880000000000001E-2</v>
      </c>
      <c r="AB1044">
        <v>3.1109999999999999E-2</v>
      </c>
      <c r="AC1044">
        <v>3.3160000000000002E-2</v>
      </c>
      <c r="AD1044">
        <v>3.243E-2</v>
      </c>
      <c r="AE1044">
        <v>3.3300000000000003E-2</v>
      </c>
      <c r="AF1044">
        <v>3.295E-2</v>
      </c>
      <c r="AG1044">
        <v>3.3369999999999997E-2</v>
      </c>
      <c r="AH1044">
        <v>3.4009999999999999E-2</v>
      </c>
      <c r="AI1044">
        <v>3.3910000000000003E-2</v>
      </c>
      <c r="AJ1044">
        <v>3.517E-2</v>
      </c>
      <c r="AK1044">
        <v>3.5139999999999998E-2</v>
      </c>
      <c r="AL1044">
        <v>3.6049999999999999E-2</v>
      </c>
      <c r="AM1044">
        <v>3.6790000000000003E-2</v>
      </c>
      <c r="AN1044">
        <v>3.7859999999999998E-2</v>
      </c>
      <c r="AO1044">
        <v>3.8510000000000003E-2</v>
      </c>
      <c r="AP1044">
        <v>3.9399999999999998E-2</v>
      </c>
      <c r="AQ1044">
        <v>3.9739999999999998E-2</v>
      </c>
      <c r="AR1044">
        <v>4.0509999999999997E-2</v>
      </c>
      <c r="AS1044">
        <v>4.079E-2</v>
      </c>
      <c r="AT1044">
        <v>4.1610000000000001E-2</v>
      </c>
      <c r="AU1044">
        <v>4.1770000000000002E-2</v>
      </c>
      <c r="AV1044">
        <v>4.2720000000000001E-2</v>
      </c>
      <c r="AW1044">
        <v>4.249E-2</v>
      </c>
      <c r="AX1044">
        <v>4.3069999999999997E-2</v>
      </c>
      <c r="AY1044">
        <v>4.3119999999999999E-2</v>
      </c>
      <c r="AZ1044">
        <v>4.3459999999999999E-2</v>
      </c>
      <c r="BA1044">
        <v>4.2860000000000002E-2</v>
      </c>
      <c r="BB1044">
        <v>4.4510000000000001E-2</v>
      </c>
      <c r="BC1044">
        <v>4.4409999999999998E-2</v>
      </c>
      <c r="BD1044">
        <v>4.5249999999999999E-2</v>
      </c>
      <c r="BE1044">
        <v>4.514E-2</v>
      </c>
      <c r="BF1044">
        <v>4.5990000000000003E-2</v>
      </c>
      <c r="BG1044">
        <v>4.6940000000000003E-2</v>
      </c>
      <c r="BH1044">
        <v>4.8039999999999999E-2</v>
      </c>
      <c r="BI1044">
        <v>4.8280000000000003E-2</v>
      </c>
      <c r="BJ1044">
        <v>4.9410000000000003E-2</v>
      </c>
      <c r="BK1044">
        <v>4.895E-2</v>
      </c>
      <c r="BL1044">
        <v>4.9759999999999999E-2</v>
      </c>
      <c r="BM1044">
        <v>4.9390000000000003E-2</v>
      </c>
      <c r="BN1044">
        <v>5.0119999999999998E-2</v>
      </c>
      <c r="BO1044">
        <v>5.0290000000000001E-2</v>
      </c>
      <c r="BP1044">
        <v>5.0840000000000003E-2</v>
      </c>
      <c r="BQ1044">
        <v>5.1360000000000003E-2</v>
      </c>
      <c r="BR1044">
        <v>5.2109999999999997E-2</v>
      </c>
      <c r="BS1044">
        <v>5.2139999999999999E-2</v>
      </c>
      <c r="BT1044">
        <v>5.2780000000000001E-2</v>
      </c>
      <c r="BU1044">
        <v>5.296E-2</v>
      </c>
      <c r="BV1044">
        <v>5.3449999999999998E-2</v>
      </c>
      <c r="BW1044">
        <v>5.3800000000000001E-2</v>
      </c>
      <c r="BX1044">
        <v>5.432E-2</v>
      </c>
      <c r="BY1044">
        <v>5.4370000000000002E-2</v>
      </c>
      <c r="BZ1044">
        <v>5.4969999999999998E-2</v>
      </c>
      <c r="CA1044">
        <v>5.5320000000000001E-2</v>
      </c>
      <c r="CB1044">
        <v>5.5930000000000001E-2</v>
      </c>
      <c r="CC1044">
        <v>5.6079999999999998E-2</v>
      </c>
      <c r="CD1044">
        <v>5.6169999999999998E-2</v>
      </c>
      <c r="CE1044">
        <v>5.6529999999999997E-2</v>
      </c>
      <c r="CF1044">
        <v>5.7160000000000002E-2</v>
      </c>
      <c r="CG1044">
        <v>5.8299999999999998E-2</v>
      </c>
      <c r="CH1044">
        <v>5.9130000000000002E-2</v>
      </c>
      <c r="CI1044">
        <v>5.6989999999999999E-2</v>
      </c>
      <c r="CJ1044">
        <v>5.781E-2</v>
      </c>
      <c r="CK1044">
        <v>5.8099999999999999E-2</v>
      </c>
      <c r="CL1044">
        <v>5.8900000000000001E-2</v>
      </c>
      <c r="CM1044">
        <v>5.8659999999999997E-2</v>
      </c>
      <c r="CN1044">
        <v>5.9950000000000003E-2</v>
      </c>
      <c r="CO1044">
        <v>5.9209999999999999E-2</v>
      </c>
      <c r="CP1044">
        <v>6.0449999999999997E-2</v>
      </c>
      <c r="CQ1044">
        <v>6.0949999999999997E-2</v>
      </c>
      <c r="CR1044">
        <v>6.0929999999999998E-2</v>
      </c>
      <c r="CS1044">
        <v>6.0920000000000002E-2</v>
      </c>
      <c r="CT1044">
        <v>6.1870000000000001E-2</v>
      </c>
      <c r="CU1044">
        <v>6.1839999999999999E-2</v>
      </c>
      <c r="CV1044">
        <v>6.2549999999999994E-2</v>
      </c>
      <c r="CW1044">
        <v>6.2269999999999999E-2</v>
      </c>
    </row>
    <row r="1045" spans="1:101">
      <c r="A1045">
        <v>20</v>
      </c>
      <c r="B1045">
        <v>2.145E-2</v>
      </c>
      <c r="C1045">
        <v>1.179E-2</v>
      </c>
      <c r="D1045">
        <v>1.1050000000000001E-2</v>
      </c>
      <c r="E1045">
        <v>1.223E-2</v>
      </c>
      <c r="F1045">
        <v>1.3650000000000001E-2</v>
      </c>
      <c r="G1045">
        <v>1.5709999999999998E-2</v>
      </c>
      <c r="H1045">
        <v>1.669E-2</v>
      </c>
      <c r="I1045">
        <v>1.7659999999999999E-2</v>
      </c>
      <c r="J1045">
        <v>1.7649999999999999E-2</v>
      </c>
      <c r="K1045">
        <v>1.942E-2</v>
      </c>
      <c r="L1045">
        <v>1.966E-2</v>
      </c>
      <c r="M1045">
        <v>2.1229999999999999E-2</v>
      </c>
      <c r="N1045">
        <v>2.164E-2</v>
      </c>
      <c r="O1045">
        <v>2.334E-2</v>
      </c>
      <c r="P1045">
        <v>2.359E-2</v>
      </c>
      <c r="Q1045">
        <v>2.5250000000000002E-2</v>
      </c>
      <c r="R1045">
        <v>2.5159999999999998E-2</v>
      </c>
      <c r="S1045">
        <v>2.4490000000000001E-2</v>
      </c>
      <c r="T1045">
        <v>2.733E-2</v>
      </c>
      <c r="U1045">
        <v>2.8989999999999998E-2</v>
      </c>
      <c r="V1045">
        <v>2.8000000000000001E-2</v>
      </c>
      <c r="W1045">
        <v>2.8400000000000002E-2</v>
      </c>
      <c r="X1045">
        <v>2.8729999999999999E-2</v>
      </c>
      <c r="Y1045">
        <v>3.022E-2</v>
      </c>
      <c r="Z1045">
        <v>3.0640000000000001E-2</v>
      </c>
      <c r="AA1045">
        <v>3.2199999999999999E-2</v>
      </c>
      <c r="AB1045">
        <v>3.252E-2</v>
      </c>
      <c r="AC1045">
        <v>3.4720000000000001E-2</v>
      </c>
      <c r="AD1045">
        <v>3.4040000000000001E-2</v>
      </c>
      <c r="AE1045">
        <v>3.5060000000000001E-2</v>
      </c>
      <c r="AF1045">
        <v>3.4759999999999999E-2</v>
      </c>
      <c r="AG1045">
        <v>3.5249999999999997E-2</v>
      </c>
      <c r="AH1045">
        <v>3.5990000000000001E-2</v>
      </c>
      <c r="AI1045">
        <v>3.5959999999999999E-2</v>
      </c>
      <c r="AJ1045">
        <v>3.7339999999999998E-2</v>
      </c>
      <c r="AK1045">
        <v>3.737E-2</v>
      </c>
      <c r="AL1045">
        <v>3.841E-2</v>
      </c>
      <c r="AM1045">
        <v>3.9230000000000001E-2</v>
      </c>
      <c r="AN1045">
        <v>4.0439999999999997E-2</v>
      </c>
      <c r="AO1045">
        <v>4.1180000000000001E-2</v>
      </c>
      <c r="AP1045">
        <v>4.2200000000000001E-2</v>
      </c>
      <c r="AQ1045">
        <v>4.2610000000000002E-2</v>
      </c>
      <c r="AR1045">
        <v>4.3490000000000001E-2</v>
      </c>
      <c r="AS1045">
        <v>4.3830000000000001E-2</v>
      </c>
      <c r="AT1045">
        <v>4.4769999999999997E-2</v>
      </c>
      <c r="AU1045">
        <v>4.4970000000000003E-2</v>
      </c>
      <c r="AV1045">
        <v>4.6050000000000001E-2</v>
      </c>
      <c r="AW1045">
        <v>4.5839999999999999E-2</v>
      </c>
      <c r="AX1045">
        <v>4.65E-2</v>
      </c>
      <c r="AY1045">
        <v>4.6589999999999999E-2</v>
      </c>
      <c r="AZ1045">
        <v>4.7E-2</v>
      </c>
      <c r="BA1045">
        <v>4.6379999999999998E-2</v>
      </c>
      <c r="BB1045">
        <v>4.8189999999999997E-2</v>
      </c>
      <c r="BC1045">
        <v>4.811E-2</v>
      </c>
      <c r="BD1045">
        <v>4.9059999999999999E-2</v>
      </c>
      <c r="BE1045">
        <v>4.8980000000000003E-2</v>
      </c>
      <c r="BF1045">
        <v>4.9919999999999999E-2</v>
      </c>
      <c r="BG1045">
        <v>5.0999999999999997E-2</v>
      </c>
      <c r="BH1045">
        <v>5.2220000000000003E-2</v>
      </c>
      <c r="BI1045">
        <v>5.253E-2</v>
      </c>
      <c r="BJ1045">
        <v>5.3760000000000002E-2</v>
      </c>
      <c r="BK1045">
        <v>5.3310000000000003E-2</v>
      </c>
      <c r="BL1045">
        <v>5.4190000000000002E-2</v>
      </c>
      <c r="BM1045">
        <v>5.3809999999999997E-2</v>
      </c>
      <c r="BN1045">
        <v>5.466E-2</v>
      </c>
      <c r="BO1045">
        <v>5.4890000000000001E-2</v>
      </c>
      <c r="BP1045">
        <v>5.5469999999999998E-2</v>
      </c>
      <c r="BQ1045">
        <v>5.6090000000000001E-2</v>
      </c>
      <c r="BR1045">
        <v>5.6939999999999998E-2</v>
      </c>
      <c r="BS1045">
        <v>5.6959999999999997E-2</v>
      </c>
      <c r="BT1045">
        <v>5.7689999999999998E-2</v>
      </c>
      <c r="BU1045">
        <v>5.7919999999999999E-2</v>
      </c>
      <c r="BV1045">
        <v>5.8479999999999997E-2</v>
      </c>
      <c r="BW1045">
        <v>5.8889999999999998E-2</v>
      </c>
      <c r="BX1045">
        <v>5.9490000000000001E-2</v>
      </c>
      <c r="BY1045">
        <v>5.9520000000000003E-2</v>
      </c>
      <c r="BZ1045">
        <v>6.0199999999999997E-2</v>
      </c>
      <c r="CA1045">
        <v>6.0600000000000001E-2</v>
      </c>
      <c r="CB1045">
        <v>6.132E-2</v>
      </c>
      <c r="CC1045">
        <v>6.1499999999999999E-2</v>
      </c>
      <c r="CD1045">
        <v>6.1580000000000003E-2</v>
      </c>
      <c r="CE1045">
        <v>6.2019999999999999E-2</v>
      </c>
      <c r="CF1045">
        <v>6.2719999999999998E-2</v>
      </c>
      <c r="CG1045">
        <v>6.3939999999999997E-2</v>
      </c>
      <c r="CH1045">
        <v>6.4890000000000003E-2</v>
      </c>
      <c r="CI1045">
        <v>6.2560000000000004E-2</v>
      </c>
      <c r="CJ1045">
        <v>6.3460000000000003E-2</v>
      </c>
      <c r="CK1045">
        <v>6.3789999999999999E-2</v>
      </c>
      <c r="CL1045">
        <v>6.4689999999999998E-2</v>
      </c>
      <c r="CM1045">
        <v>6.4430000000000001E-2</v>
      </c>
      <c r="CN1045">
        <v>6.5879999999999994E-2</v>
      </c>
      <c r="CO1045">
        <v>6.5070000000000003E-2</v>
      </c>
      <c r="CP1045">
        <v>6.6470000000000001E-2</v>
      </c>
      <c r="CQ1045">
        <v>6.701E-2</v>
      </c>
      <c r="CR1045">
        <v>6.7000000000000004E-2</v>
      </c>
      <c r="CS1045">
        <v>6.701E-2</v>
      </c>
      <c r="CT1045">
        <v>6.8080000000000002E-2</v>
      </c>
      <c r="CU1045">
        <v>6.8070000000000006E-2</v>
      </c>
      <c r="CV1045">
        <v>6.8849999999999995E-2</v>
      </c>
      <c r="CW1045">
        <v>6.8570000000000006E-2</v>
      </c>
    </row>
    <row r="1046" spans="1:101">
      <c r="A1046">
        <v>30</v>
      </c>
      <c r="B1046">
        <v>1.7409999999999998E-2</v>
      </c>
      <c r="C1046">
        <v>9.972E-3</v>
      </c>
      <c r="D1046">
        <v>9.6539999999999994E-3</v>
      </c>
      <c r="E1046">
        <v>1.0970000000000001E-2</v>
      </c>
      <c r="F1046">
        <v>1.252E-2</v>
      </c>
      <c r="G1046">
        <v>1.468E-2</v>
      </c>
      <c r="H1046">
        <v>1.584E-2</v>
      </c>
      <c r="I1046">
        <v>1.702E-2</v>
      </c>
      <c r="J1046">
        <v>1.7219999999999999E-2</v>
      </c>
      <c r="K1046">
        <v>1.915E-2</v>
      </c>
      <c r="L1046">
        <v>1.958E-2</v>
      </c>
      <c r="M1046">
        <v>2.1340000000000001E-2</v>
      </c>
      <c r="N1046">
        <v>2.1919999999999999E-2</v>
      </c>
      <c r="O1046">
        <v>2.3810000000000001E-2</v>
      </c>
      <c r="P1046">
        <v>2.4219999999999998E-2</v>
      </c>
      <c r="Q1046">
        <v>2.6089999999999999E-2</v>
      </c>
      <c r="R1046">
        <v>2.614E-2</v>
      </c>
      <c r="S1046">
        <v>2.5579999999999999E-2</v>
      </c>
      <c r="T1046">
        <v>2.8660000000000001E-2</v>
      </c>
      <c r="U1046">
        <v>3.0550000000000001E-2</v>
      </c>
      <c r="V1046">
        <v>2.963E-2</v>
      </c>
      <c r="W1046">
        <v>3.0169999999999999E-2</v>
      </c>
      <c r="X1046">
        <v>3.0640000000000001E-2</v>
      </c>
      <c r="Y1046">
        <v>3.2320000000000002E-2</v>
      </c>
      <c r="Z1046">
        <v>3.2870000000000003E-2</v>
      </c>
      <c r="AA1046">
        <v>3.465E-2</v>
      </c>
      <c r="AB1046">
        <v>3.508E-2</v>
      </c>
      <c r="AC1046">
        <v>3.755E-2</v>
      </c>
      <c r="AD1046">
        <v>3.6900000000000002E-2</v>
      </c>
      <c r="AE1046">
        <v>3.8080000000000003E-2</v>
      </c>
      <c r="AF1046">
        <v>3.7850000000000002E-2</v>
      </c>
      <c r="AG1046">
        <v>3.8460000000000001E-2</v>
      </c>
      <c r="AH1046">
        <v>3.9359999999999999E-2</v>
      </c>
      <c r="AI1046">
        <v>3.9379999999999998E-2</v>
      </c>
      <c r="AJ1046">
        <v>4.0969999999999999E-2</v>
      </c>
      <c r="AK1046">
        <v>4.1079999999999998E-2</v>
      </c>
      <c r="AL1046">
        <v>4.2290000000000001E-2</v>
      </c>
      <c r="AM1046">
        <v>4.3249999999999997E-2</v>
      </c>
      <c r="AN1046">
        <v>4.4659999999999998E-2</v>
      </c>
      <c r="AO1046">
        <v>4.5530000000000001E-2</v>
      </c>
      <c r="AP1046">
        <v>4.6719999999999998E-2</v>
      </c>
      <c r="AQ1046">
        <v>4.7210000000000002E-2</v>
      </c>
      <c r="AR1046">
        <v>4.8250000000000001E-2</v>
      </c>
      <c r="AS1046">
        <v>4.8689999999999997E-2</v>
      </c>
      <c r="AT1046">
        <v>4.9770000000000002E-2</v>
      </c>
      <c r="AU1046">
        <v>5.0020000000000002E-2</v>
      </c>
      <c r="AV1046">
        <v>5.1290000000000002E-2</v>
      </c>
      <c r="AW1046">
        <v>5.108E-2</v>
      </c>
      <c r="AX1046">
        <v>5.1860000000000003E-2</v>
      </c>
      <c r="AY1046">
        <v>5.1999999999999998E-2</v>
      </c>
      <c r="AZ1046">
        <v>5.2499999999999998E-2</v>
      </c>
      <c r="BA1046">
        <v>5.1839999999999997E-2</v>
      </c>
      <c r="BB1046">
        <v>5.3929999999999999E-2</v>
      </c>
      <c r="BC1046">
        <v>5.3850000000000002E-2</v>
      </c>
      <c r="BD1046">
        <v>5.4940000000000003E-2</v>
      </c>
      <c r="BE1046">
        <v>5.4859999999999999E-2</v>
      </c>
      <c r="BF1046">
        <v>5.5960000000000003E-2</v>
      </c>
      <c r="BG1046">
        <v>5.722E-2</v>
      </c>
      <c r="BH1046">
        <v>5.8630000000000002E-2</v>
      </c>
      <c r="BI1046">
        <v>5.8970000000000002E-2</v>
      </c>
      <c r="BJ1046">
        <v>6.0420000000000001E-2</v>
      </c>
      <c r="BK1046">
        <v>5.9900000000000002E-2</v>
      </c>
      <c r="BL1046">
        <v>6.096E-2</v>
      </c>
      <c r="BM1046">
        <v>6.0539999999999997E-2</v>
      </c>
      <c r="BN1046">
        <v>6.1519999999999998E-2</v>
      </c>
      <c r="BO1046">
        <v>6.1780000000000002E-2</v>
      </c>
      <c r="BP1046">
        <v>6.25E-2</v>
      </c>
      <c r="BQ1046">
        <v>6.3229999999999995E-2</v>
      </c>
      <c r="BR1046">
        <v>6.4199999999999993E-2</v>
      </c>
      <c r="BS1046">
        <v>6.4229999999999995E-2</v>
      </c>
      <c r="BT1046">
        <v>6.5100000000000005E-2</v>
      </c>
      <c r="BU1046">
        <v>6.5379999999999994E-2</v>
      </c>
      <c r="BV1046">
        <v>6.6019999999999995E-2</v>
      </c>
      <c r="BW1046">
        <v>6.6500000000000004E-2</v>
      </c>
      <c r="BX1046">
        <v>6.7199999999999996E-2</v>
      </c>
      <c r="BY1046">
        <v>6.7269999999999996E-2</v>
      </c>
      <c r="BZ1046">
        <v>6.8059999999999996E-2</v>
      </c>
      <c r="CA1046">
        <v>6.8529999999999994E-2</v>
      </c>
      <c r="CB1046">
        <v>6.9370000000000001E-2</v>
      </c>
      <c r="CC1046">
        <v>6.9580000000000003E-2</v>
      </c>
      <c r="CD1046">
        <v>6.9720000000000004E-2</v>
      </c>
      <c r="CE1046">
        <v>7.0190000000000002E-2</v>
      </c>
      <c r="CF1046">
        <v>7.1029999999999996E-2</v>
      </c>
      <c r="CG1046">
        <v>7.2459999999999997E-2</v>
      </c>
      <c r="CH1046">
        <v>7.3539999999999994E-2</v>
      </c>
      <c r="CI1046">
        <v>7.0900000000000005E-2</v>
      </c>
      <c r="CJ1046">
        <v>7.1959999999999996E-2</v>
      </c>
      <c r="CK1046">
        <v>7.2330000000000005E-2</v>
      </c>
      <c r="CL1046">
        <v>7.3389999999999997E-2</v>
      </c>
      <c r="CM1046">
        <v>7.3120000000000004E-2</v>
      </c>
      <c r="CN1046">
        <v>7.4759999999999993E-2</v>
      </c>
      <c r="CO1046">
        <v>7.3870000000000005E-2</v>
      </c>
      <c r="CP1046">
        <v>7.5480000000000005E-2</v>
      </c>
      <c r="CQ1046">
        <v>7.6130000000000003E-2</v>
      </c>
      <c r="CR1046">
        <v>7.6139999999999999E-2</v>
      </c>
      <c r="CS1046">
        <v>7.6170000000000002E-2</v>
      </c>
      <c r="CT1046">
        <v>7.7429999999999999E-2</v>
      </c>
      <c r="CU1046">
        <v>7.7439999999999995E-2</v>
      </c>
      <c r="CV1046">
        <v>7.8380000000000005E-2</v>
      </c>
      <c r="CW1046">
        <v>7.8070000000000001E-2</v>
      </c>
    </row>
    <row r="1048" spans="1:101" ht="21">
      <c r="A1048" s="9"/>
    </row>
    <row r="1049" spans="1:101">
      <c r="A1049" s="17"/>
    </row>
    <row r="1050" spans="1:101">
      <c r="A1050" s="17"/>
    </row>
    <row r="1051" spans="1:101">
      <c r="A1051" s="17"/>
    </row>
    <row r="1052" spans="1:101">
      <c r="A1052" s="8"/>
    </row>
    <row r="1053" spans="1:101">
      <c r="A1053" s="17"/>
    </row>
    <row r="1054" spans="1:101">
      <c r="A1054" s="17"/>
    </row>
    <row r="1055" spans="1:101">
      <c r="A1055" s="17"/>
    </row>
    <row r="1056" spans="1:101">
      <c r="A1056" s="17"/>
    </row>
    <row r="1057" spans="1:1">
      <c r="A1057" s="17"/>
    </row>
    <row r="1058" spans="1:1">
      <c r="A1058" s="17"/>
    </row>
    <row r="1059" spans="1:1">
      <c r="A1059" s="17"/>
    </row>
    <row r="1060" spans="1:1">
      <c r="A1060" s="17"/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E613-0D49-7148-91D0-BDC7F922E408}">
  <sheetPr codeName="Sheet5"/>
  <dimension ref="A1:CG3710"/>
  <sheetViews>
    <sheetView topLeftCell="A11" zoomScale="150" zoomScaleNormal="150" workbookViewId="0">
      <selection activeCell="D3394" sqref="D3394"/>
    </sheetView>
  </sheetViews>
  <sheetFormatPr baseColWidth="10" defaultRowHeight="15"/>
  <cols>
    <col min="1" max="85" width="25.33203125" bestFit="1" customWidth="1"/>
  </cols>
  <sheetData>
    <row r="1" spans="1:1">
      <c r="A1" t="str">
        <f>CONCATENATE('DLC mass atten coeff'!B1018,":")</f>
        <v>hydrogen:</v>
      </c>
    </row>
    <row r="2" spans="1:1">
      <c r="A2" s="18" t="str">
        <f>CONCATENATE("  density: ",VLOOKUP(A1,densities!$A$5:$B$110,2,FALSE))</f>
        <v xml:space="preserve">  density: 8.375E-05</v>
      </c>
    </row>
    <row r="3" spans="1:1">
      <c r="A3" s="19" t="s">
        <v>1552</v>
      </c>
    </row>
    <row r="4" spans="1:1">
      <c r="A4" s="19" t="s">
        <v>1553</v>
      </c>
    </row>
    <row r="5" spans="1:1">
      <c r="A5" s="19" t="s">
        <v>1554</v>
      </c>
    </row>
    <row r="6" spans="1:1">
      <c r="A6" s="21" t="s">
        <v>1860</v>
      </c>
    </row>
    <row r="7" spans="1:1">
      <c r="A7" s="19" t="s">
        <v>1555</v>
      </c>
    </row>
    <row r="8" spans="1:1">
      <c r="A8" t="str">
        <f>CONCATENATE("    - ",TEXT('DLC mass atten coeff'!B1019,"0.000E+00"))</f>
        <v xml:space="preserve">    - 3.854E-01</v>
      </c>
    </row>
    <row r="9" spans="1:1">
      <c r="A9" t="str">
        <f>CONCATENATE("    - ",TEXT('DLC mass atten coeff'!B1020,"0.000E+00"))</f>
        <v xml:space="preserve">    - 3.764E-01</v>
      </c>
    </row>
    <row r="10" spans="1:1">
      <c r="A10" t="str">
        <f>CONCATENATE("    - ",TEXT('DLC mass atten coeff'!B1021,"0.000E+00"))</f>
        <v xml:space="preserve">    - 3.695E-01</v>
      </c>
    </row>
    <row r="11" spans="1:1">
      <c r="A11" t="str">
        <f>CONCATENATE("    - ",TEXT('DLC mass atten coeff'!B1022,"0.000E+00"))</f>
        <v xml:space="preserve">    - 3.570E-01</v>
      </c>
    </row>
    <row r="12" spans="1:1">
      <c r="A12" t="str">
        <f>CONCATENATE("    - ",TEXT('DLC mass atten coeff'!B1023,"0.000E+00"))</f>
        <v xml:space="preserve">    - 3.458E-01</v>
      </c>
    </row>
    <row r="13" spans="1:1">
      <c r="A13" t="str">
        <f>CONCATENATE("    - ",TEXT('DLC mass atten coeff'!B1024,"0.000E+00"))</f>
        <v xml:space="preserve">    - 3.355E-01</v>
      </c>
    </row>
    <row r="14" spans="1:1">
      <c r="A14" t="str">
        <f>CONCATENATE("    - ",TEXT('DLC mass atten coeff'!B1025,"0.000E+00"))</f>
        <v xml:space="preserve">    - 3.260E-01</v>
      </c>
    </row>
    <row r="15" spans="1:1">
      <c r="A15" t="str">
        <f>CONCATENATE("    - ",TEXT('DLC mass atten coeff'!B1026,"0.000E+00"))</f>
        <v xml:space="preserve">    - 3.091E-01</v>
      </c>
    </row>
    <row r="16" spans="1:1">
      <c r="A16" t="str">
        <f>CONCATENATE("    - ",TEXT('DLC mass atten coeff'!B1027,"0.000E+00"))</f>
        <v xml:space="preserve">    - 2.944E-01</v>
      </c>
    </row>
    <row r="17" spans="1:1">
      <c r="A17" t="str">
        <f>CONCATENATE("    - ",TEXT('DLC mass atten coeff'!B1028,"0.000E+00"))</f>
        <v xml:space="preserve">    - 2.650E-01</v>
      </c>
    </row>
    <row r="18" spans="1:1">
      <c r="A18" t="str">
        <f>CONCATENATE("    - ",TEXT('DLC mass atten coeff'!B1029,"0.000E+00"))</f>
        <v xml:space="preserve">    - 2.429E-01</v>
      </c>
    </row>
    <row r="19" spans="1:1">
      <c r="A19" t="str">
        <f>CONCATENATE("    - ",TEXT('DLC mass atten coeff'!B1030,"0.000E+00"))</f>
        <v xml:space="preserve">    - 2.112E-01</v>
      </c>
    </row>
    <row r="20" spans="1:1">
      <c r="A20" t="str">
        <f>CONCATENATE("    - ",TEXT('DLC mass atten coeff'!B1031,"0.000E+00"))</f>
        <v xml:space="preserve">    - 1.892E-01</v>
      </c>
    </row>
    <row r="21" spans="1:1">
      <c r="A21" t="str">
        <f>CONCATENATE("    - ",TEXT('DLC mass atten coeff'!B1032,"0.000E+00"))</f>
        <v xml:space="preserve">    - 1.728E-01</v>
      </c>
    </row>
    <row r="22" spans="1:1">
      <c r="A22" t="str">
        <f>CONCATENATE("    - ",TEXT('DLC mass atten coeff'!B1033,"0.000E+00"))</f>
        <v xml:space="preserve">    - 1.598E-01</v>
      </c>
    </row>
    <row r="23" spans="1:1">
      <c r="A23" t="str">
        <f>CONCATENATE("    - ",TEXT('DLC mass atten coeff'!B1034,"0.000E+00"))</f>
        <v xml:space="preserve">    - 1.404E-01</v>
      </c>
    </row>
    <row r="24" spans="1:1">
      <c r="A24" t="str">
        <f>CONCATENATE("    - ",TEXT('DLC mass atten coeff'!B1035,"0.000E+00"))</f>
        <v xml:space="preserve">    - 1.262E-01</v>
      </c>
    </row>
    <row r="25" spans="1:1">
      <c r="A25" t="str">
        <f>CONCATENATE("    - ",TEXT('DLC mass atten coeff'!B1036,"0.000E+00"))</f>
        <v xml:space="preserve">    - 1.026E-01</v>
      </c>
    </row>
    <row r="26" spans="1:1">
      <c r="A26" t="str">
        <f>CONCATENATE("    - ",TEXT('DLC mass atten coeff'!B1037,"0.000E+00"))</f>
        <v xml:space="preserve">    - 8.758E-02</v>
      </c>
    </row>
    <row r="27" spans="1:1">
      <c r="A27" t="str">
        <f>CONCATENATE("    - ",TEXT('DLC mass atten coeff'!B1038,"0.000E+00"))</f>
        <v xml:space="preserve">    - 6.910E-02</v>
      </c>
    </row>
    <row r="28" spans="1:1">
      <c r="A28" t="str">
        <f>CONCATENATE("    - ",TEXT('DLC mass atten coeff'!B1039,"0.000E+00"))</f>
        <v xml:space="preserve">    - 5.793E-02</v>
      </c>
    </row>
    <row r="29" spans="1:1">
      <c r="A29" t="str">
        <f>CONCATENATE("    - ",TEXT('DLC mass atten coeff'!B1040,"0.000E+00"))</f>
        <v xml:space="preserve">    - 5.036E-02</v>
      </c>
    </row>
    <row r="30" spans="1:1">
      <c r="A30" t="str">
        <f>CONCATENATE("    - ",TEXT('DLC mass atten coeff'!B1041,"0.000E+00"))</f>
        <v xml:space="preserve">    - 4.486E-02</v>
      </c>
    </row>
    <row r="31" spans="1:1">
      <c r="A31" t="str">
        <f>CONCATENATE("    - ",TEXT('DLC mass atten coeff'!B1042,"0.000E+00"))</f>
        <v xml:space="preserve">    - 3.735E-02</v>
      </c>
    </row>
    <row r="32" spans="1:1">
      <c r="A32" t="str">
        <f>CONCATENATE("    - ",TEXT('DLC mass atten coeff'!B1043,"0.000E+00"))</f>
        <v xml:space="preserve">    - 3.244E-02</v>
      </c>
    </row>
    <row r="33" spans="1:85">
      <c r="A33" t="str">
        <f>CONCATENATE("    - ",TEXT('DLC mass atten coeff'!B1044,"0.000E+00"))</f>
        <v xml:space="preserve">    - 2.530E-02</v>
      </c>
    </row>
    <row r="34" spans="1:85">
      <c r="A34" t="str">
        <f>CONCATENATE("    - ",TEXT('DLC mass atten coeff'!B1045,"0.000E+00"))</f>
        <v xml:space="preserve">    - 2.145E-02</v>
      </c>
    </row>
    <row r="35" spans="1:85">
      <c r="A35" t="str">
        <f>CONCATENATE("    - ",TEXT('DLC mass atten coeff'!B1046,"0.000E+00"))</f>
        <v xml:space="preserve">    - 1.741E-02</v>
      </c>
    </row>
    <row r="36" spans="1:85">
      <c r="A36" t="str">
        <f>CONCATENATE('DLC mass atten coeff'!C1018,":")</f>
        <v>helium:</v>
      </c>
    </row>
    <row r="37" spans="1:85">
      <c r="A37" s="18" t="str">
        <f>CONCATENATE("  density: ",VLOOKUP(A36,densities!$A$5:$B$110,2,FALSE))</f>
        <v xml:space="preserve">  density: 1.663E-04</v>
      </c>
    </row>
    <row r="38" spans="1:85" ht="16">
      <c r="A38" s="19" t="s">
        <v>1556</v>
      </c>
    </row>
    <row r="39" spans="1:85">
      <c r="A39" s="19" t="s">
        <v>1553</v>
      </c>
    </row>
    <row r="40" spans="1:85">
      <c r="A40" s="19" t="s">
        <v>1554</v>
      </c>
    </row>
    <row r="41" spans="1:85">
      <c r="A41" s="21" t="s">
        <v>1860</v>
      </c>
      <c r="B41" s="17"/>
      <c r="D41" s="17"/>
      <c r="F41" s="17"/>
      <c r="H41" s="17"/>
      <c r="J41" s="17"/>
      <c r="L41" s="17"/>
      <c r="N41" s="17"/>
      <c r="P41" s="17"/>
      <c r="R41" s="17"/>
      <c r="T41" s="17"/>
      <c r="V41" s="17"/>
      <c r="X41" s="17"/>
      <c r="Z41" s="17"/>
      <c r="AB41" s="17"/>
      <c r="AD41" s="17"/>
      <c r="AF41" s="17"/>
      <c r="AH41" s="17"/>
      <c r="AJ41" s="17"/>
      <c r="AL41" s="17"/>
      <c r="AN41" s="17"/>
      <c r="AP41" s="17"/>
      <c r="AR41" s="17"/>
      <c r="AT41" s="17"/>
      <c r="AV41" s="17"/>
      <c r="AX41" s="17"/>
      <c r="AZ41" s="17"/>
      <c r="BB41" s="17"/>
      <c r="BD41" s="17"/>
      <c r="BF41" s="17"/>
      <c r="BH41" s="17"/>
      <c r="BJ41" s="17"/>
      <c r="BL41" s="17"/>
      <c r="BN41" s="17"/>
      <c r="BP41" s="17"/>
      <c r="BR41" s="17"/>
      <c r="BT41" s="17"/>
      <c r="BV41" s="17"/>
      <c r="BX41" s="17"/>
      <c r="BZ41" s="17"/>
      <c r="CB41" s="17"/>
      <c r="CD41" s="17"/>
      <c r="CF41" s="17"/>
      <c r="CG41" s="17"/>
    </row>
    <row r="42" spans="1:85">
      <c r="A42" s="19" t="s">
        <v>1555</v>
      </c>
    </row>
    <row r="43" spans="1:85">
      <c r="A43" t="str">
        <f>CONCATENATE("    - ",TEXT('DLC mass atten coeff'!C1019,"0.000E+00"))</f>
        <v xml:space="preserve">    - 2.220E-01</v>
      </c>
    </row>
    <row r="44" spans="1:85">
      <c r="A44" t="str">
        <f>CONCATENATE("    - ",TEXT('DLC mass atten coeff'!C1020,"0.000E+00"))</f>
        <v xml:space="preserve">    - 1.966E-01</v>
      </c>
    </row>
    <row r="45" spans="1:85">
      <c r="A45" t="str">
        <f>CONCATENATE("    - ",TEXT('DLC mass atten coeff'!C1021,"0.000E+00"))</f>
        <v xml:space="preserve">    - 1.887E-01</v>
      </c>
    </row>
    <row r="46" spans="1:85">
      <c r="A46" t="str">
        <f>CONCATENATE("    - ",TEXT('DLC mass atten coeff'!C1022,"0.000E+00"))</f>
        <v xml:space="preserve">    - 1.804E-01</v>
      </c>
    </row>
    <row r="47" spans="1:85">
      <c r="A47" t="str">
        <f>CONCATENATE("    - ",TEXT('DLC mass atten coeff'!C1023,"0.000E+00"))</f>
        <v xml:space="preserve">    - 1.743E-01</v>
      </c>
    </row>
    <row r="48" spans="1:85">
      <c r="A48" t="str">
        <f>CONCATENATE("    - ",TEXT('DLC mass atten coeff'!C1024,"0.000E+00"))</f>
        <v xml:space="preserve">    - 1.691E-01</v>
      </c>
    </row>
    <row r="49" spans="1:1">
      <c r="A49" t="str">
        <f>CONCATENATE("    - ",TEXT('DLC mass atten coeff'!C1025,"0.000E+00"))</f>
        <v xml:space="preserve">    - 1.642E-01</v>
      </c>
    </row>
    <row r="50" spans="1:1">
      <c r="A50" t="str">
        <f>CONCATENATE("    - ",TEXT('DLC mass atten coeff'!C1026,"0.000E+00"))</f>
        <v xml:space="preserve">    - 1.558E-01</v>
      </c>
    </row>
    <row r="51" spans="1:1">
      <c r="A51" t="str">
        <f>CONCATENATE("    - ",TEXT('DLC mass atten coeff'!C1027,"0.000E+00"))</f>
        <v xml:space="preserve">    - 1.483E-01</v>
      </c>
    </row>
    <row r="52" spans="1:1">
      <c r="A52" t="str">
        <f>CONCATENATE("    - ",TEXT('DLC mass atten coeff'!C1028,"0.000E+00"))</f>
        <v xml:space="preserve">    - 1.334E-01</v>
      </c>
    </row>
    <row r="53" spans="1:1">
      <c r="A53" t="str">
        <f>CONCATENATE("    - ",TEXT('DLC mass atten coeff'!C1029,"0.000E+00"))</f>
        <v xml:space="preserve">    - 1.223E-01</v>
      </c>
    </row>
    <row r="54" spans="1:1">
      <c r="A54" t="str">
        <f>CONCATENATE("    - ",TEXT('DLC mass atten coeff'!C1030,"0.000E+00"))</f>
        <v xml:space="preserve">    - 1.063E-01</v>
      </c>
    </row>
    <row r="55" spans="1:1">
      <c r="A55" t="str">
        <f>CONCATENATE("    - ",TEXT('DLC mass atten coeff'!C1031,"0.000E+00"))</f>
        <v xml:space="preserve">    - 9.530E-02</v>
      </c>
    </row>
    <row r="56" spans="1:1">
      <c r="A56" t="str">
        <f>CONCATENATE("    - ",TEXT('DLC mass atten coeff'!C1032,"0.000E+00"))</f>
        <v xml:space="preserve">    - 8.701E-02</v>
      </c>
    </row>
    <row r="57" spans="1:1">
      <c r="A57" t="str">
        <f>CONCATENATE("    - ",TEXT('DLC mass atten coeff'!C1033,"0.000E+00"))</f>
        <v xml:space="preserve">    - 8.049E-02</v>
      </c>
    </row>
    <row r="58" spans="1:1">
      <c r="A58" t="str">
        <f>CONCATENATE("    - ",TEXT('DLC mass atten coeff'!C1034,"0.000E+00"))</f>
        <v xml:space="preserve">    - 7.070E-02</v>
      </c>
    </row>
    <row r="59" spans="1:1">
      <c r="A59" t="str">
        <f>CONCATENATE("    - ",TEXT('DLC mass atten coeff'!C1035,"0.000E+00"))</f>
        <v xml:space="preserve">    - 6.355E-02</v>
      </c>
    </row>
    <row r="60" spans="1:1">
      <c r="A60" t="str">
        <f>CONCATENATE("    - ",TEXT('DLC mass atten coeff'!C1036,"0.000E+00"))</f>
        <v xml:space="preserve">    - 5.167E-02</v>
      </c>
    </row>
    <row r="61" spans="1:1">
      <c r="A61" t="str">
        <f>CONCATENATE("    - ",TEXT('DLC mass atten coeff'!C1037,"0.000E+00"))</f>
        <v xml:space="preserve">    - 4.414E-02</v>
      </c>
    </row>
    <row r="62" spans="1:1">
      <c r="A62" t="str">
        <f>CONCATENATE("    - ",TEXT('DLC mass atten coeff'!C1038,"0.000E+00"))</f>
        <v xml:space="preserve">    - 3.495E-02</v>
      </c>
    </row>
    <row r="63" spans="1:1">
      <c r="A63" t="str">
        <f>CONCATENATE("    - ",TEXT('DLC mass atten coeff'!C1039,"0.000E+00"))</f>
        <v xml:space="preserve">    - 2.941E-02</v>
      </c>
    </row>
    <row r="64" spans="1:1">
      <c r="A64" t="str">
        <f>CONCATENATE("    - ",TEXT('DLC mass atten coeff'!C1040,"0.000E+00"))</f>
        <v xml:space="preserve">    - 2.569E-02</v>
      </c>
    </row>
    <row r="65" spans="1:1">
      <c r="A65" t="str">
        <f>CONCATENATE("    - ",TEXT('DLC mass atten coeff'!C1041,"0.000E+00"))</f>
        <v xml:space="preserve">    - 2.301E-02</v>
      </c>
    </row>
    <row r="66" spans="1:1">
      <c r="A66" t="str">
        <f>CONCATENATE("    - ",TEXT('DLC mass atten coeff'!C1042,"0.000E+00"))</f>
        <v xml:space="preserve">    - 1.935E-02</v>
      </c>
    </row>
    <row r="67" spans="1:1">
      <c r="A67" t="str">
        <f>CONCATENATE("    - ",TEXT('DLC mass atten coeff'!C1043,"0.000E+00"))</f>
        <v xml:space="preserve">    - 1.698E-02</v>
      </c>
    </row>
    <row r="68" spans="1:1">
      <c r="A68" t="str">
        <f>CONCATENATE("    - ",TEXT('DLC mass atten coeff'!C1044,"0.000E+00"))</f>
        <v xml:space="preserve">    - 1.358E-02</v>
      </c>
    </row>
    <row r="69" spans="1:1">
      <c r="A69" t="str">
        <f>CONCATENATE("    - ",TEXT('DLC mass atten coeff'!C1045,"0.000E+00"))</f>
        <v xml:space="preserve">    - 1.179E-02</v>
      </c>
    </row>
    <row r="70" spans="1:1">
      <c r="A70" t="str">
        <f>CONCATENATE("    - ",TEXT('DLC mass atten coeff'!C1046,"0.000E+00"))</f>
        <v xml:space="preserve">    - 9.972E-03</v>
      </c>
    </row>
    <row r="71" spans="1:1">
      <c r="A71" t="str">
        <f>CONCATENATE('DLC mass atten coeff'!D1018,":")</f>
        <v>lithium:</v>
      </c>
    </row>
    <row r="72" spans="1:1">
      <c r="A72" s="18" t="str">
        <f>CONCATENATE("  density: ",VLOOKUP(A71,densities!$A$5:$B$110,2,FALSE))</f>
        <v xml:space="preserve">  density: 5.340E-01</v>
      </c>
    </row>
    <row r="73" spans="1:1" ht="16">
      <c r="A73" s="19" t="s">
        <v>1557</v>
      </c>
    </row>
    <row r="74" spans="1:1">
      <c r="A74" s="19" t="s">
        <v>1553</v>
      </c>
    </row>
    <row r="75" spans="1:1">
      <c r="A75" s="19" t="s">
        <v>1554</v>
      </c>
    </row>
    <row r="76" spans="1:1">
      <c r="A76" s="21" t="s">
        <v>1860</v>
      </c>
    </row>
    <row r="77" spans="1:1">
      <c r="A77" s="19" t="s">
        <v>1555</v>
      </c>
    </row>
    <row r="78" spans="1:1">
      <c r="A78" t="str">
        <f>CONCATENATE("    - ",TEXT('DLC mass atten coeff'!D1019,"0.000E+00"))</f>
        <v xml:space="preserve">    - 3.027E-01</v>
      </c>
    </row>
    <row r="79" spans="1:1">
      <c r="A79" t="str">
        <f>CONCATENATE("    - ",TEXT('DLC mass atten coeff'!D1020,"0.000E+00"))</f>
        <v xml:space="preserve">    - 1.985E-01</v>
      </c>
    </row>
    <row r="80" spans="1:1">
      <c r="A80" t="str">
        <f>CONCATENATE("    - ",TEXT('DLC mass atten coeff'!D1021,"0.000E+00"))</f>
        <v xml:space="preserve">    - 1.741E-01</v>
      </c>
    </row>
    <row r="81" spans="1:1">
      <c r="A81" t="str">
        <f>CONCATENATE("    - ",TEXT('DLC mass atten coeff'!D1022,"0.000E+00"))</f>
        <v xml:space="preserve">    - 1.588E-01</v>
      </c>
    </row>
    <row r="82" spans="1:1">
      <c r="A82" t="str">
        <f>CONCATENATE("    - ",TEXT('DLC mass atten coeff'!D1023,"0.000E+00"))</f>
        <v xml:space="preserve">    - 1.519E-01</v>
      </c>
    </row>
    <row r="83" spans="1:1">
      <c r="A83" t="str">
        <f>CONCATENATE("    - ",TEXT('DLC mass atten coeff'!D1024,"0.000E+00"))</f>
        <v xml:space="preserve">    - 1.467E-01</v>
      </c>
    </row>
    <row r="84" spans="1:1">
      <c r="A84" t="str">
        <f>CONCATENATE("    - ",TEXT('DLC mass atten coeff'!D1025,"0.000E+00"))</f>
        <v xml:space="preserve">    - 1.423E-01</v>
      </c>
    </row>
    <row r="85" spans="1:1">
      <c r="A85" t="str">
        <f>CONCATENATE("    - ",TEXT('DLC mass atten coeff'!D1026,"0.000E+00"))</f>
        <v xml:space="preserve">    - 1.348E-01</v>
      </c>
    </row>
    <row r="86" spans="1:1">
      <c r="A86" t="str">
        <f>CONCATENATE("    - ",TEXT('DLC mass atten coeff'!D1027,"0.000E+00"))</f>
        <v xml:space="preserve">    - 1.283E-01</v>
      </c>
    </row>
    <row r="87" spans="1:1">
      <c r="A87" t="str">
        <f>CONCATENATE("    - ",TEXT('DLC mass atten coeff'!D1028,"0.000E+00"))</f>
        <v xml:space="preserve">    - 1.155E-01</v>
      </c>
    </row>
    <row r="88" spans="1:1">
      <c r="A88" t="str">
        <f>CONCATENATE("    - ",TEXT('DLC mass atten coeff'!D1029,"0.000E+00"))</f>
        <v xml:space="preserve">    - 1.058E-01</v>
      </c>
    </row>
    <row r="89" spans="1:1">
      <c r="A89" t="str">
        <f>CONCATENATE("    - ",TEXT('DLC mass atten coeff'!D1030,"0.000E+00"))</f>
        <v xml:space="preserve">    - 9.197E-02</v>
      </c>
    </row>
    <row r="90" spans="1:1">
      <c r="A90" t="str">
        <f>CONCATENATE("    - ",TEXT('DLC mass atten coeff'!D1031,"0.000E+00"))</f>
        <v xml:space="preserve">    - 8.242E-02</v>
      </c>
    </row>
    <row r="91" spans="1:1">
      <c r="A91" t="str">
        <f>CONCATENATE("    - ",TEXT('DLC mass atten coeff'!D1032,"0.000E+00"))</f>
        <v xml:space="preserve">    - 7.526E-02</v>
      </c>
    </row>
    <row r="92" spans="1:1">
      <c r="A92" t="str">
        <f>CONCATENATE("    - ",TEXT('DLC mass atten coeff'!D1033,"0.000E+00"))</f>
        <v xml:space="preserve">    - 6.963E-02</v>
      </c>
    </row>
    <row r="93" spans="1:1">
      <c r="A93" t="str">
        <f>CONCATENATE("    - ",TEXT('DLC mass atten coeff'!D1034,"0.000E+00"))</f>
        <v xml:space="preserve">    - 6.116E-02</v>
      </c>
    </row>
    <row r="94" spans="1:1">
      <c r="A94" t="str">
        <f>CONCATENATE("    - ",TEXT('DLC mass atten coeff'!D1035,"0.000E+00"))</f>
        <v xml:space="preserve">    - 5.497E-02</v>
      </c>
    </row>
    <row r="95" spans="1:1">
      <c r="A95" t="str">
        <f>CONCATENATE("    - ",TEXT('DLC mass atten coeff'!D1036,"0.000E+00"))</f>
        <v xml:space="preserve">    - 4.469E-02</v>
      </c>
    </row>
    <row r="96" spans="1:1">
      <c r="A96" t="str">
        <f>CONCATENATE("    - ",TEXT('DLC mass atten coeff'!D1037,"0.000E+00"))</f>
        <v xml:space="preserve">    - 3.824E-02</v>
      </c>
    </row>
    <row r="97" spans="1:1">
      <c r="A97" t="str">
        <f>CONCATENATE("    - ",TEXT('DLC mass atten coeff'!D1038,"0.000E+00"))</f>
        <v xml:space="preserve">    - 3.037E-02</v>
      </c>
    </row>
    <row r="98" spans="1:1">
      <c r="A98" t="str">
        <f>CONCATENATE("    - ",TEXT('DLC mass atten coeff'!D1039,"0.000E+00"))</f>
        <v xml:space="preserve">    - 2.566E-02</v>
      </c>
    </row>
    <row r="99" spans="1:1">
      <c r="A99" t="str">
        <f>CONCATENATE("    - ",TEXT('DLC mass atten coeff'!D1040,"0.000E+00"))</f>
        <v xml:space="preserve">    - 2.252E-02</v>
      </c>
    </row>
    <row r="100" spans="1:1">
      <c r="A100" t="str">
        <f>CONCATENATE("    - ",TEXT('DLC mass atten coeff'!D1041,"0.000E+00"))</f>
        <v xml:space="preserve">    - 2.025E-02</v>
      </c>
    </row>
    <row r="101" spans="1:1">
      <c r="A101" t="str">
        <f>CONCATENATE("    - ",TEXT('DLC mass atten coeff'!D1042,"0.000E+00"))</f>
        <v xml:space="preserve">    - 1.721E-02</v>
      </c>
    </row>
    <row r="102" spans="1:1">
      <c r="A102" t="str">
        <f>CONCATENATE("    - ",TEXT('DLC mass atten coeff'!D1043,"0.000E+00"))</f>
        <v xml:space="preserve">    - 1.525E-02</v>
      </c>
    </row>
    <row r="103" spans="1:1">
      <c r="A103" t="str">
        <f>CONCATENATE("    - ",TEXT('DLC mass atten coeff'!D1044,"0.000E+00"))</f>
        <v xml:space="preserve">    - 1.248E-02</v>
      </c>
    </row>
    <row r="104" spans="1:1">
      <c r="A104" t="str">
        <f>CONCATENATE("    - ",TEXT('DLC mass atten coeff'!D1045,"0.000E+00"))</f>
        <v xml:space="preserve">    - 1.105E-02</v>
      </c>
    </row>
    <row r="105" spans="1:1">
      <c r="A105" t="str">
        <f>CONCATENATE("    - ",TEXT('DLC mass atten coeff'!D1046,"0.000E+00"))</f>
        <v xml:space="preserve">    - 9.654E-03</v>
      </c>
    </row>
    <row r="106" spans="1:1">
      <c r="A106" t="str">
        <f>CONCATENATE('DLC mass atten coeff'!E1018,":")</f>
        <v>beryllium:</v>
      </c>
    </row>
    <row r="107" spans="1:1">
      <c r="A107" s="18" t="str">
        <f>CONCATENATE("  density: ",VLOOKUP(A106,densities!$A$5:$B$110,2,FALSE))</f>
        <v xml:space="preserve">  density: 1.848E+00</v>
      </c>
    </row>
    <row r="108" spans="1:1" ht="16">
      <c r="A108" s="19" t="s">
        <v>1558</v>
      </c>
    </row>
    <row r="109" spans="1:1">
      <c r="A109" s="19" t="s">
        <v>1553</v>
      </c>
    </row>
    <row r="110" spans="1:1">
      <c r="A110" s="19" t="s">
        <v>1554</v>
      </c>
    </row>
    <row r="111" spans="1:1">
      <c r="A111" s="21" t="s">
        <v>1860</v>
      </c>
    </row>
    <row r="112" spans="1:1">
      <c r="A112" s="19" t="s">
        <v>1555</v>
      </c>
    </row>
    <row r="113" spans="1:1">
      <c r="A113" t="str">
        <f>CONCATENATE("    - ",TEXT('DLC mass atten coeff'!E1019,"0.000E+00"))</f>
        <v xml:space="preserve">    - 5.941E-01</v>
      </c>
    </row>
    <row r="114" spans="1:1">
      <c r="A114" t="str">
        <f>CONCATENATE("    - ",TEXT('DLC mass atten coeff'!E1020,"0.000E+00"))</f>
        <v xml:space="preserve">    - 2.782E-01</v>
      </c>
    </row>
    <row r="115" spans="1:1">
      <c r="A115" t="str">
        <f>CONCATENATE("    - ",TEXT('DLC mass atten coeff'!E1021,"0.000E+00"))</f>
        <v xml:space="preserve">    - 2.072E-01</v>
      </c>
    </row>
    <row r="116" spans="1:1">
      <c r="A116" t="str">
        <f>CONCATENATE("    - ",TEXT('DLC mass atten coeff'!E1022,"0.000E+00"))</f>
        <v xml:space="preserve">    - 1.705E-01</v>
      </c>
    </row>
    <row r="117" spans="1:1">
      <c r="A117" t="str">
        <f>CONCATENATE("    - ",TEXT('DLC mass atten coeff'!E1023,"0.000E+00"))</f>
        <v xml:space="preserve">    - 1.588E-01</v>
      </c>
    </row>
    <row r="118" spans="1:1">
      <c r="A118" t="str">
        <f>CONCATENATE("    - ",TEXT('DLC mass atten coeff'!E1024,"0.000E+00"))</f>
        <v xml:space="preserve">    - 1.520E-01</v>
      </c>
    </row>
    <row r="119" spans="1:1">
      <c r="A119" t="str">
        <f>CONCATENATE("    - ",TEXT('DLC mass atten coeff'!E1025,"0.000E+00"))</f>
        <v xml:space="preserve">    - 1.469E-01</v>
      </c>
    </row>
    <row r="120" spans="1:1">
      <c r="A120" t="str">
        <f>CONCATENATE("    - ",TEXT('DLC mass atten coeff'!E1026,"0.000E+00"))</f>
        <v xml:space="preserve">    - 1.387E-01</v>
      </c>
    </row>
    <row r="121" spans="1:1">
      <c r="A121" t="str">
        <f>CONCATENATE("    - ",TEXT('DLC mass atten coeff'!E1027,"0.000E+00"))</f>
        <v xml:space="preserve">    - 1.319E-01</v>
      </c>
    </row>
    <row r="122" spans="1:1">
      <c r="A122" t="str">
        <f>CONCATENATE("    - ",TEXT('DLC mass atten coeff'!E1028,"0.000E+00"))</f>
        <v xml:space="preserve">    - 1.186E-01</v>
      </c>
    </row>
    <row r="123" spans="1:1">
      <c r="A123" t="str">
        <f>CONCATENATE("    - ",TEXT('DLC mass atten coeff'!E1029,"0.000E+00"))</f>
        <v xml:space="preserve">    - 1.086E-01</v>
      </c>
    </row>
    <row r="124" spans="1:1">
      <c r="A124" t="str">
        <f>CONCATENATE("    - ",TEXT('DLC mass atten coeff'!E1030,"0.000E+00"))</f>
        <v xml:space="preserve">    - 9.449E-02</v>
      </c>
    </row>
    <row r="125" spans="1:1">
      <c r="A125" t="str">
        <f>CONCATENATE("    - ",TEXT('DLC mass atten coeff'!E1031,"0.000E+00"))</f>
        <v xml:space="preserve">    - 8.466E-02</v>
      </c>
    </row>
    <row r="126" spans="1:1">
      <c r="A126" t="str">
        <f>CONCATENATE("    - ",TEXT('DLC mass atten coeff'!E1032,"0.000E+00"))</f>
        <v xml:space="preserve">    - 7.732E-02</v>
      </c>
    </row>
    <row r="127" spans="1:1">
      <c r="A127" t="str">
        <f>CONCATENATE("    - ",TEXT('DLC mass atten coeff'!E1033,"0.000E+00"))</f>
        <v xml:space="preserve">    - 7.150E-02</v>
      </c>
    </row>
    <row r="128" spans="1:1">
      <c r="A128" t="str">
        <f>CONCATENATE("    - ",TEXT('DLC mass atten coeff'!E1034,"0.000E+00"))</f>
        <v xml:space="preserve">    - 6.280E-02</v>
      </c>
    </row>
    <row r="129" spans="1:1">
      <c r="A129" t="str">
        <f>CONCATENATE("    - ",TEXT('DLC mass atten coeff'!E1035,"0.000E+00"))</f>
        <v xml:space="preserve">    - 5.645E-02</v>
      </c>
    </row>
    <row r="130" spans="1:1">
      <c r="A130" t="str">
        <f>CONCATENATE("    - ",TEXT('DLC mass atten coeff'!E1036,"0.000E+00"))</f>
        <v xml:space="preserve">    - 4.590E-02</v>
      </c>
    </row>
    <row r="131" spans="1:1">
      <c r="A131" t="str">
        <f>CONCATENATE("    - ",TEXT('DLC mass atten coeff'!E1037,"0.000E+00"))</f>
        <v xml:space="preserve">    - 3.931E-02</v>
      </c>
    </row>
    <row r="132" spans="1:1">
      <c r="A132" t="str">
        <f>CONCATENATE("    - ",TEXT('DLC mass atten coeff'!E1038,"0.000E+00"))</f>
        <v xml:space="preserve">    - 3.132E-02</v>
      </c>
    </row>
    <row r="133" spans="1:1">
      <c r="A133" t="str">
        <f>CONCATENATE("    - ",TEXT('DLC mass atten coeff'!E1039,"0.000E+00"))</f>
        <v xml:space="preserve">    - 2.658E-02</v>
      </c>
    </row>
    <row r="134" spans="1:1">
      <c r="A134" t="str">
        <f>CONCATENATE("    - ",TEXT('DLC mass atten coeff'!E1040,"0.000E+00"))</f>
        <v xml:space="preserve">    - 2.342E-02</v>
      </c>
    </row>
    <row r="135" spans="1:1">
      <c r="A135" t="str">
        <f>CONCATENATE("    - ",TEXT('DLC mass atten coeff'!E1041,"0.000E+00"))</f>
        <v xml:space="preserve">    - 2.116E-02</v>
      </c>
    </row>
    <row r="136" spans="1:1">
      <c r="A136" t="str">
        <f>CONCATENATE("    - ",TEXT('DLC mass atten coeff'!E1042,"0.000E+00"))</f>
        <v xml:space="preserve">    - 1.814E-02</v>
      </c>
    </row>
    <row r="137" spans="1:1">
      <c r="A137" t="str">
        <f>CONCATENATE("    - ",TEXT('DLC mass atten coeff'!E1043,"0.000E+00"))</f>
        <v xml:space="preserve">    - 1.623E-02</v>
      </c>
    </row>
    <row r="138" spans="1:1">
      <c r="A138" t="str">
        <f>CONCATENATE("    - ",TEXT('DLC mass atten coeff'!E1044,"0.000E+00"))</f>
        <v xml:space="preserve">    - 1.356E-02</v>
      </c>
    </row>
    <row r="139" spans="1:1">
      <c r="A139" t="str">
        <f>CONCATENATE("    - ",TEXT('DLC mass atten coeff'!E1045,"0.000E+00"))</f>
        <v xml:space="preserve">    - 1.223E-02</v>
      </c>
    </row>
    <row r="140" spans="1:1">
      <c r="A140" t="str">
        <f>CONCATENATE("    - ",TEXT('DLC mass atten coeff'!E1046,"0.000E+00"))</f>
        <v xml:space="preserve">    - 1.097E-02</v>
      </c>
    </row>
    <row r="141" spans="1:1">
      <c r="A141" t="str">
        <f>CONCATENATE('DLC mass atten coeff'!F1018,":")</f>
        <v>boron:</v>
      </c>
    </row>
    <row r="142" spans="1:1">
      <c r="A142" s="18" t="str">
        <f>CONCATENATE("  density: ",VLOOKUP(A141,densities!$A$5:$B$110,2,FALSE))</f>
        <v xml:space="preserve">  density: 2.370E+00</v>
      </c>
    </row>
    <row r="143" spans="1:1" ht="16">
      <c r="A143" s="19" t="s">
        <v>1559</v>
      </c>
    </row>
    <row r="144" spans="1:1">
      <c r="A144" s="19" t="s">
        <v>1553</v>
      </c>
    </row>
    <row r="145" spans="1:1">
      <c r="A145" s="19" t="s">
        <v>1554</v>
      </c>
    </row>
    <row r="146" spans="1:1">
      <c r="A146" s="21" t="s">
        <v>1860</v>
      </c>
    </row>
    <row r="147" spans="1:1">
      <c r="A147" s="19" t="s">
        <v>1555</v>
      </c>
    </row>
    <row r="148" spans="1:1">
      <c r="A148" t="str">
        <f>CONCATENATE("    - ",TEXT('DLC mass atten coeff'!F1019,"0.000E+00"))</f>
        <v xml:space="preserve">    - 1.182E+00</v>
      </c>
    </row>
    <row r="149" spans="1:1">
      <c r="A149" t="str">
        <f>CONCATENATE("    - ",TEXT('DLC mass atten coeff'!F1020,"0.000E+00"))</f>
        <v xml:space="preserve">    - 4.407E-01</v>
      </c>
    </row>
    <row r="150" spans="1:1">
      <c r="A150" t="str">
        <f>CONCATENATE("    - ",TEXT('DLC mass atten coeff'!F1021,"0.000E+00"))</f>
        <v xml:space="preserve">    - 2.746E-01</v>
      </c>
    </row>
    <row r="151" spans="1:1">
      <c r="A151" t="str">
        <f>CONCATENATE("    - ",TEXT('DLC mass atten coeff'!F1022,"0.000E+00"))</f>
        <v xml:space="preserve">    - 1.930E-01</v>
      </c>
    </row>
    <row r="152" spans="1:1">
      <c r="A152" t="str">
        <f>CONCATENATE("    - ",TEXT('DLC mass atten coeff'!F1023,"0.000E+00"))</f>
        <v xml:space="preserve">    - 1.714E-01</v>
      </c>
    </row>
    <row r="153" spans="1:1">
      <c r="A153" t="str">
        <f>CONCATENATE("    - ",TEXT('DLC mass atten coeff'!F1024,"0.000E+00"))</f>
        <v xml:space="preserve">    - 1.612E-01</v>
      </c>
    </row>
    <row r="154" spans="1:1">
      <c r="A154" t="str">
        <f>CONCATENATE("    - ",TEXT('DLC mass atten coeff'!F1025,"0.000E+00"))</f>
        <v xml:space="preserve">    - 1.546E-01</v>
      </c>
    </row>
    <row r="155" spans="1:1">
      <c r="A155" t="str">
        <f>CONCATENATE("    - ",TEXT('DLC mass atten coeff'!F1026,"0.000E+00"))</f>
        <v xml:space="preserve">    - 1.450E-01</v>
      </c>
    </row>
    <row r="156" spans="1:1">
      <c r="A156" t="str">
        <f>CONCATENATE("    - ",TEXT('DLC mass atten coeff'!F1027,"0.000E+00"))</f>
        <v xml:space="preserve">    - 1.377E-01</v>
      </c>
    </row>
    <row r="157" spans="1:1">
      <c r="A157" t="str">
        <f>CONCATENATE("    - ",TEXT('DLC mass atten coeff'!F1028,"0.000E+00"))</f>
        <v xml:space="preserve">    - 1.237E-01</v>
      </c>
    </row>
    <row r="158" spans="1:1">
      <c r="A158" t="str">
        <f>CONCATENATE("    - ",TEXT('DLC mass atten coeff'!F1029,"0.000E+00"))</f>
        <v xml:space="preserve">    - 1.132E-01</v>
      </c>
    </row>
    <row r="159" spans="1:1">
      <c r="A159" t="str">
        <f>CONCATENATE("    - ",TEXT('DLC mass atten coeff'!F1030,"0.000E+00"))</f>
        <v xml:space="preserve">    - 9.845E-02</v>
      </c>
    </row>
    <row r="160" spans="1:1">
      <c r="A160" t="str">
        <f>CONCATENATE("    - ",TEXT('DLC mass atten coeff'!F1031,"0.000E+00"))</f>
        <v xml:space="preserve">    - 8.819E-02</v>
      </c>
    </row>
    <row r="161" spans="1:1">
      <c r="A161" t="str">
        <f>CONCATENATE("    - ",TEXT('DLC mass atten coeff'!F1032,"0.000E+00"))</f>
        <v xml:space="preserve">    - 8.055E-02</v>
      </c>
    </row>
    <row r="162" spans="1:1">
      <c r="A162" t="str">
        <f>CONCATENATE("    - ",TEXT('DLC mass atten coeff'!F1033,"0.000E+00"))</f>
        <v xml:space="preserve">    - 7.448E-02</v>
      </c>
    </row>
    <row r="163" spans="1:1">
      <c r="A163" t="str">
        <f>CONCATENATE("    - ",TEXT('DLC mass atten coeff'!F1034,"0.000E+00"))</f>
        <v xml:space="preserve">    - 6.546E-02</v>
      </c>
    </row>
    <row r="164" spans="1:1">
      <c r="A164" t="str">
        <f>CONCATENATE("    - ",TEXT('DLC mass atten coeff'!F1035,"0.000E+00"))</f>
        <v xml:space="preserve">    - 5.883E-02</v>
      </c>
    </row>
    <row r="165" spans="1:1">
      <c r="A165" t="str">
        <f>CONCATENATE("    - ",TEXT('DLC mass atten coeff'!F1036,"0.000E+00"))</f>
        <v xml:space="preserve">    - 4.785E-02</v>
      </c>
    </row>
    <row r="166" spans="1:1">
      <c r="A166" t="str">
        <f>CONCATENATE("    - ",TEXT('DLC mass atten coeff'!F1037,"0.000E+00"))</f>
        <v xml:space="preserve">    - 4.102E-02</v>
      </c>
    </row>
    <row r="167" spans="1:1">
      <c r="A167" t="str">
        <f>CONCATENATE("    - ",TEXT('DLC mass atten coeff'!F1038,"0.000E+00"))</f>
        <v xml:space="preserve">    - 3.277E-02</v>
      </c>
    </row>
    <row r="168" spans="1:1">
      <c r="A168" t="str">
        <f>CONCATENATE("    - ",TEXT('DLC mass atten coeff'!F1039,"0.000E+00"))</f>
        <v xml:space="preserve">    - 2.793E-02</v>
      </c>
    </row>
    <row r="169" spans="1:1">
      <c r="A169" t="str">
        <f>CONCATENATE("    - ",TEXT('DLC mass atten coeff'!F1040,"0.000E+00"))</f>
        <v xml:space="preserve">    - 2.471E-02</v>
      </c>
    </row>
    <row r="170" spans="1:1">
      <c r="A170" t="str">
        <f>CONCATENATE("    - ",TEXT('DLC mass atten coeff'!F1041,"0.000E+00"))</f>
        <v xml:space="preserve">    - 2.242E-02</v>
      </c>
    </row>
    <row r="171" spans="1:1">
      <c r="A171" t="str">
        <f>CONCATENATE("    - ",TEXT('DLC mass atten coeff'!F1042,"0.000E+00"))</f>
        <v xml:space="preserve">    - 1.940E-02</v>
      </c>
    </row>
    <row r="172" spans="1:1">
      <c r="A172" t="str">
        <f>CONCATENATE("    - ",TEXT('DLC mass atten coeff'!F1043,"0.000E+00"))</f>
        <v xml:space="preserve">    - 1.750E-02</v>
      </c>
    </row>
    <row r="173" spans="1:1">
      <c r="A173" t="str">
        <f>CONCATENATE("    - ",TEXT('DLC mass atten coeff'!F1044,"0.000E+00"))</f>
        <v xml:space="preserve">    - 1.491E-02</v>
      </c>
    </row>
    <row r="174" spans="1:1">
      <c r="A174" t="str">
        <f>CONCATENATE("    - ",TEXT('DLC mass atten coeff'!F1045,"0.000E+00"))</f>
        <v xml:space="preserve">    - 1.365E-02</v>
      </c>
    </row>
    <row r="175" spans="1:1">
      <c r="A175" t="str">
        <f>CONCATENATE("    - ",TEXT('DLC mass atten coeff'!F1046,"0.000E+00"))</f>
        <v xml:space="preserve">    - 1.252E-02</v>
      </c>
    </row>
    <row r="176" spans="1:1">
      <c r="A176" t="str">
        <f>CONCATENATE('DLC mass atten coeff'!G1018,":")</f>
        <v>carbon:</v>
      </c>
    </row>
    <row r="177" spans="1:1">
      <c r="A177" s="18" t="str">
        <f>CONCATENATE("  density: ",VLOOKUP(A176,densities!$A$5:$B$110,2,FALSE))</f>
        <v xml:space="preserve">  density: 1.700E+00</v>
      </c>
    </row>
    <row r="178" spans="1:1" ht="16">
      <c r="A178" s="19" t="s">
        <v>1560</v>
      </c>
    </row>
    <row r="179" spans="1:1">
      <c r="A179" s="19" t="s">
        <v>1553</v>
      </c>
    </row>
    <row r="180" spans="1:1">
      <c r="A180" s="19" t="s">
        <v>1554</v>
      </c>
    </row>
    <row r="181" spans="1:1">
      <c r="A181" s="21" t="s">
        <v>1860</v>
      </c>
    </row>
    <row r="182" spans="1:1">
      <c r="A182" s="19" t="s">
        <v>1555</v>
      </c>
    </row>
    <row r="183" spans="1:1">
      <c r="A183" t="str">
        <f>CONCATENATE("    - ",TEXT('DLC mass atten coeff'!G1019,"0.000E+00"))</f>
        <v xml:space="preserve">    - 2.268E+00</v>
      </c>
    </row>
    <row r="184" spans="1:1">
      <c r="A184" t="str">
        <f>CONCATENATE("    - ",TEXT('DLC mass atten coeff'!G1020,"0.000E+00"))</f>
        <v xml:space="preserve">    - 7.476E-01</v>
      </c>
    </row>
    <row r="185" spans="1:1">
      <c r="A185" t="str">
        <f>CONCATENATE("    - ",TEXT('DLC mass atten coeff'!G1021,"0.000E+00"))</f>
        <v xml:space="preserve">    - 4.035E-01</v>
      </c>
    </row>
    <row r="186" spans="1:1">
      <c r="A186" t="str">
        <f>CONCATENATE("    - ",TEXT('DLC mass atten coeff'!G1022,"0.000E+00"))</f>
        <v xml:space="preserve">    - 2.368E-01</v>
      </c>
    </row>
    <row r="187" spans="1:1">
      <c r="A187" t="str">
        <f>CONCATENATE("    - ",TEXT('DLC mass atten coeff'!G1023,"0.000E+00"))</f>
        <v xml:space="preserve">    - 1.960E-01</v>
      </c>
    </row>
    <row r="188" spans="1:1">
      <c r="A188" t="str">
        <f>CONCATENATE("    - ",TEXT('DLC mass atten coeff'!G1024,"0.000E+00"))</f>
        <v xml:space="preserve">    - 1.794E-01</v>
      </c>
    </row>
    <row r="189" spans="1:1">
      <c r="A189" t="str">
        <f>CONCATENATE("    - ",TEXT('DLC mass atten coeff'!G1025,"0.000E+00"))</f>
        <v xml:space="preserve">    - 1.698E-01</v>
      </c>
    </row>
    <row r="190" spans="1:1">
      <c r="A190" t="str">
        <f>CONCATENATE("    - ",TEXT('DLC mass atten coeff'!G1026,"0.000E+00"))</f>
        <v xml:space="preserve">    - 1.578E-01</v>
      </c>
    </row>
    <row r="191" spans="1:1">
      <c r="A191" t="str">
        <f>CONCATENATE("    - ",TEXT('DLC mass atten coeff'!G1027,"0.000E+00"))</f>
        <v xml:space="preserve">    - 1.493E-01</v>
      </c>
    </row>
    <row r="192" spans="1:1">
      <c r="A192" t="str">
        <f>CONCATENATE("    - ",TEXT('DLC mass atten coeff'!G1028,"0.000E+00"))</f>
        <v xml:space="preserve">    - 1.338E-01</v>
      </c>
    </row>
    <row r="193" spans="1:1">
      <c r="A193" t="str">
        <f>CONCATENATE("    - ",TEXT('DLC mass atten coeff'!G1029,"0.000E+00"))</f>
        <v xml:space="preserve">    - 1.223E-01</v>
      </c>
    </row>
    <row r="194" spans="1:1">
      <c r="A194" t="str">
        <f>CONCATENATE("    - ",TEXT('DLC mass atten coeff'!G1030,"0.000E+00"))</f>
        <v xml:space="preserve">    - 1.063E-01</v>
      </c>
    </row>
    <row r="195" spans="1:1">
      <c r="A195" t="str">
        <f>CONCATENATE("    - ",TEXT('DLC mass atten coeff'!G1031,"0.000E+00"))</f>
        <v xml:space="preserve">    - 9.527E-02</v>
      </c>
    </row>
    <row r="196" spans="1:1">
      <c r="A196" t="str">
        <f>CONCATENATE("    - ",TEXT('DLC mass atten coeff'!G1032,"0.000E+00"))</f>
        <v xml:space="preserve">    - 8.700E-02</v>
      </c>
    </row>
    <row r="197" spans="1:1">
      <c r="A197" t="str">
        <f>CONCATENATE("    - ",TEXT('DLC mass atten coeff'!G1033,"0.000E+00"))</f>
        <v xml:space="preserve">    - 8.047E-02</v>
      </c>
    </row>
    <row r="198" spans="1:1">
      <c r="A198" t="str">
        <f>CONCATENATE("    - ",TEXT('DLC mass atten coeff'!G1034,"0.000E+00"))</f>
        <v xml:space="preserve">    - 7.070E-02</v>
      </c>
    </row>
    <row r="199" spans="1:1">
      <c r="A199" t="str">
        <f>CONCATENATE("    - ",TEXT('DLC mass atten coeff'!G1035,"0.000E+00"))</f>
        <v xml:space="preserve">    - 6.352E-02</v>
      </c>
    </row>
    <row r="200" spans="1:1">
      <c r="A200" t="str">
        <f>CONCATENATE("    - ",TEXT('DLC mass atten coeff'!G1036,"0.000E+00"))</f>
        <v xml:space="preserve">    - 5.167E-02</v>
      </c>
    </row>
    <row r="201" spans="1:1">
      <c r="A201" t="str">
        <f>CONCATENATE("    - ",TEXT('DLC mass atten coeff'!G1037,"0.000E+00"))</f>
        <v xml:space="preserve">    - 4.435E-02</v>
      </c>
    </row>
    <row r="202" spans="1:1">
      <c r="A202" t="str">
        <f>CONCATENATE("    - ",TEXT('DLC mass atten coeff'!G1038,"0.000E+00"))</f>
        <v xml:space="preserve">    - 3.555E-02</v>
      </c>
    </row>
    <row r="203" spans="1:1">
      <c r="A203" t="str">
        <f>CONCATENATE("    - ",TEXT('DLC mass atten coeff'!G1039,"0.000E+00"))</f>
        <v xml:space="preserve">    - 3.040E-02</v>
      </c>
    </row>
    <row r="204" spans="1:1">
      <c r="A204" t="str">
        <f>CONCATENATE("    - ",TEXT('DLC mass atten coeff'!G1040,"0.000E+00"))</f>
        <v xml:space="preserve">    - 2.701E-02</v>
      </c>
    </row>
    <row r="205" spans="1:1">
      <c r="A205" t="str">
        <f>CONCATENATE("    - ",TEXT('DLC mass atten coeff'!G1041,"0.000E+00"))</f>
        <v xml:space="preserve">    - 2.463E-02</v>
      </c>
    </row>
    <row r="206" spans="1:1">
      <c r="A206" t="str">
        <f>CONCATENATE("    - ",TEXT('DLC mass atten coeff'!G1042,"0.000E+00"))</f>
        <v xml:space="preserve">    - 2.148E-02</v>
      </c>
    </row>
    <row r="207" spans="1:1">
      <c r="A207" t="str">
        <f>CONCATENATE("    - ",TEXT('DLC mass atten coeff'!G1043,"0.000E+00"))</f>
        <v xml:space="preserve">    - 1.954E-02</v>
      </c>
    </row>
    <row r="208" spans="1:1">
      <c r="A208" t="str">
        <f>CONCATENATE("    - ",TEXT('DLC mass atten coeff'!G1044,"0.000E+00"))</f>
        <v xml:space="preserve">    - 1.693E-02</v>
      </c>
    </row>
    <row r="209" spans="1:1">
      <c r="A209" t="str">
        <f>CONCATENATE("    - ",TEXT('DLC mass atten coeff'!G1045,"0.000E+00"))</f>
        <v xml:space="preserve">    - 1.571E-02</v>
      </c>
    </row>
    <row r="210" spans="1:1">
      <c r="A210" t="str">
        <f>CONCATENATE("    - ",TEXT('DLC mass atten coeff'!G1046,"0.000E+00"))</f>
        <v xml:space="preserve">    - 1.468E-02</v>
      </c>
    </row>
    <row r="211" spans="1:1">
      <c r="A211" t="str">
        <f>CONCATENATE('DLC mass atten coeff'!H1018,":")</f>
        <v>nitrogen:</v>
      </c>
    </row>
    <row r="212" spans="1:1">
      <c r="A212" s="18" t="str">
        <f>CONCATENATE("  density: ",VLOOKUP(A211,densities!$A$5:$B$110,2,FALSE))</f>
        <v xml:space="preserve">  density: 1.165E-03</v>
      </c>
    </row>
    <row r="213" spans="1:1" ht="16">
      <c r="A213" s="19" t="s">
        <v>1561</v>
      </c>
    </row>
    <row r="214" spans="1:1">
      <c r="A214" s="19" t="s">
        <v>1553</v>
      </c>
    </row>
    <row r="215" spans="1:1">
      <c r="A215" s="19" t="s">
        <v>1554</v>
      </c>
    </row>
    <row r="216" spans="1:1">
      <c r="A216" s="21" t="s">
        <v>1860</v>
      </c>
    </row>
    <row r="217" spans="1:1">
      <c r="A217" s="19" t="s">
        <v>1555</v>
      </c>
    </row>
    <row r="218" spans="1:1">
      <c r="A218" t="str">
        <f>CONCATENATE("    - ",TEXT('DLC mass atten coeff'!H1019,"0.000E+00"))</f>
        <v xml:space="preserve">    - 3.736E+00</v>
      </c>
    </row>
    <row r="219" spans="1:1">
      <c r="A219" t="str">
        <f>CONCATENATE("    - ",TEXT('DLC mass atten coeff'!H1020,"0.000E+00"))</f>
        <v xml:space="preserve">    - 1.156E+00</v>
      </c>
    </row>
    <row r="220" spans="1:1">
      <c r="A220" t="str">
        <f>CONCATENATE("    - ",TEXT('DLC mass atten coeff'!H1021,"0.000E+00"))</f>
        <v xml:space="preserve">    - 5.667E-01</v>
      </c>
    </row>
    <row r="221" spans="1:1">
      <c r="A221" t="str">
        <f>CONCATENATE("    - ",TEXT('DLC mass atten coeff'!H1022,"0.000E+00"))</f>
        <v xml:space="preserve">    - 2.807E-01</v>
      </c>
    </row>
    <row r="222" spans="1:1">
      <c r="A222" t="str">
        <f>CONCATENATE("    - ",TEXT('DLC mass atten coeff'!H1023,"0.000E+00"))</f>
        <v xml:space="preserve">    - 2.133E-01</v>
      </c>
    </row>
    <row r="223" spans="1:1">
      <c r="A223" t="str">
        <f>CONCATENATE("    - ",TEXT('DLC mass atten coeff'!H1024,"0.000E+00"))</f>
        <v xml:space="preserve">    - 1.877E-01</v>
      </c>
    </row>
    <row r="224" spans="1:1">
      <c r="A224" t="str">
        <f>CONCATENATE("    - ",TEXT('DLC mass atten coeff'!H1025,"0.000E+00"))</f>
        <v xml:space="preserve">    - 1.743E-01</v>
      </c>
    </row>
    <row r="225" spans="1:1">
      <c r="A225" t="str">
        <f>CONCATENATE("    - ",TEXT('DLC mass atten coeff'!H1026,"0.000E+00"))</f>
        <v xml:space="preserve">    - 1.596E-01</v>
      </c>
    </row>
    <row r="226" spans="1:1">
      <c r="A226" t="str">
        <f>CONCATENATE("    - ",TEXT('DLC mass atten coeff'!H1027,"0.000E+00"))</f>
        <v xml:space="preserve">    - 1.501E-01</v>
      </c>
    </row>
    <row r="227" spans="1:1">
      <c r="A227" t="str">
        <f>CONCATENATE("    - ",TEXT('DLC mass atten coeff'!H1028,"0.000E+00"))</f>
        <v xml:space="preserve">    - 1.340E-01</v>
      </c>
    </row>
    <row r="228" spans="1:1">
      <c r="A228" t="str">
        <f>CONCATENATE("    - ",TEXT('DLC mass atten coeff'!H1029,"0.000E+00"))</f>
        <v xml:space="preserve">    - 1.225E-01</v>
      </c>
    </row>
    <row r="229" spans="1:1">
      <c r="A229" t="str">
        <f>CONCATENATE("    - ",TEXT('DLC mass atten coeff'!H1030,"0.000E+00"))</f>
        <v xml:space="preserve">    - 1.064E-01</v>
      </c>
    </row>
    <row r="230" spans="1:1">
      <c r="A230" t="str">
        <f>CONCATENATE("    - ",TEXT('DLC mass atten coeff'!H1031,"0.000E+00"))</f>
        <v xml:space="preserve">    - 9.535E-02</v>
      </c>
    </row>
    <row r="231" spans="1:1">
      <c r="A231" t="str">
        <f>CONCATENATE("    - ",TEXT('DLC mass atten coeff'!H1032,"0.000E+00"))</f>
        <v xml:space="preserve">    - 8.703E-02</v>
      </c>
    </row>
    <row r="232" spans="1:1">
      <c r="A232" t="str">
        <f>CONCATENATE("    - ",TEXT('DLC mass atten coeff'!H1033,"0.000E+00"))</f>
        <v xml:space="preserve">    - 8.049E-02</v>
      </c>
    </row>
    <row r="233" spans="1:1">
      <c r="A233" t="str">
        <f>CONCATENATE("    - ",TEXT('DLC mass atten coeff'!H1034,"0.000E+00"))</f>
        <v xml:space="preserve">    - 7.073E-02</v>
      </c>
    </row>
    <row r="234" spans="1:1">
      <c r="A234" t="str">
        <f>CONCATENATE("    - ",TEXT('DLC mass atten coeff'!H1035,"0.000E+00"))</f>
        <v xml:space="preserve">    - 6.355E-02</v>
      </c>
    </row>
    <row r="235" spans="1:1">
      <c r="A235" t="str">
        <f>CONCATENATE("    - ",TEXT('DLC mass atten coeff'!H1036,"0.000E+00"))</f>
        <v xml:space="preserve">    - 5.173E-02</v>
      </c>
    </row>
    <row r="236" spans="1:1">
      <c r="A236" t="str">
        <f>CONCATENATE("    - ",TEXT('DLC mass atten coeff'!H1037,"0.000E+00"))</f>
        <v xml:space="preserve">    - 4.444E-02</v>
      </c>
    </row>
    <row r="237" spans="1:1">
      <c r="A237" t="str">
        <f>CONCATENATE("    - ",TEXT('DLC mass atten coeff'!H1038,"0.000E+00"))</f>
        <v xml:space="preserve">    - 3.571E-02</v>
      </c>
    </row>
    <row r="238" spans="1:1">
      <c r="A238" t="str">
        <f>CONCATENATE("    - ",TEXT('DLC mass atten coeff'!H1039,"0.000E+00"))</f>
        <v xml:space="preserve">    - 3.066E-02</v>
      </c>
    </row>
    <row r="239" spans="1:1">
      <c r="A239" t="str">
        <f>CONCATENATE("    - ",TEXT('DLC mass atten coeff'!H1040,"0.000E+00"))</f>
        <v xml:space="preserve">    - 2.736E-02</v>
      </c>
    </row>
    <row r="240" spans="1:1">
      <c r="A240" t="str">
        <f>CONCATENATE("    - ",TEXT('DLC mass atten coeff'!H1041,"0.000E+00"))</f>
        <v xml:space="preserve">    - 2.505E-02</v>
      </c>
    </row>
    <row r="241" spans="1:1">
      <c r="A241" t="str">
        <f>CONCATENATE("    - ",TEXT('DLC mass atten coeff'!H1042,"0.000E+00"))</f>
        <v xml:space="preserve">    - 2.203E-02</v>
      </c>
    </row>
    <row r="242" spans="1:1">
      <c r="A242" t="str">
        <f>CONCATENATE("    - ",TEXT('DLC mass atten coeff'!H1043,"0.000E+00"))</f>
        <v xml:space="preserve">    - 2.019E-02</v>
      </c>
    </row>
    <row r="243" spans="1:1">
      <c r="A243" t="str">
        <f>CONCATENATE("    - ",TEXT('DLC mass atten coeff'!H1044,"0.000E+00"))</f>
        <v xml:space="preserve">    - 1.778E-02</v>
      </c>
    </row>
    <row r="244" spans="1:1">
      <c r="A244" t="str">
        <f>CONCATENATE("    - ",TEXT('DLC mass atten coeff'!H1045,"0.000E+00"))</f>
        <v xml:space="preserve">    - 1.669E-02</v>
      </c>
    </row>
    <row r="245" spans="1:1">
      <c r="A245" t="str">
        <f>CONCATENATE("    - ",TEXT('DLC mass atten coeff'!H1046,"0.000E+00"))</f>
        <v xml:space="preserve">    - 1.584E-02</v>
      </c>
    </row>
    <row r="246" spans="1:1">
      <c r="A246" t="str">
        <f>CONCATENATE('DLC mass atten coeff'!I1018,":")</f>
        <v>oxygen:</v>
      </c>
    </row>
    <row r="247" spans="1:1">
      <c r="A247" s="18" t="str">
        <f>CONCATENATE("  density: ",VLOOKUP(A246,densities!$A$5:$B$110,2,FALSE))</f>
        <v xml:space="preserve">  density: 1.332E-03</v>
      </c>
    </row>
    <row r="248" spans="1:1" ht="16">
      <c r="A248" s="19" t="s">
        <v>1562</v>
      </c>
    </row>
    <row r="249" spans="1:1">
      <c r="A249" s="19" t="s">
        <v>1553</v>
      </c>
    </row>
    <row r="250" spans="1:1">
      <c r="A250" s="19" t="s">
        <v>1554</v>
      </c>
    </row>
    <row r="251" spans="1:1">
      <c r="A251" s="21" t="s">
        <v>1860</v>
      </c>
    </row>
    <row r="252" spans="1:1">
      <c r="A252" s="19" t="s">
        <v>1555</v>
      </c>
    </row>
    <row r="253" spans="1:1">
      <c r="A253" t="str">
        <f>CONCATENATE("    - ",TEXT('DLC mass atten coeff'!I1019,"0.000E+00"))</f>
        <v xml:space="preserve">    - 5.758E+00</v>
      </c>
    </row>
    <row r="254" spans="1:1">
      <c r="A254" t="str">
        <f>CONCATENATE("    - ",TEXT('DLC mass atten coeff'!I1020,"0.000E+00"))</f>
        <v xml:space="preserve">    - 1.731E+00</v>
      </c>
    </row>
    <row r="255" spans="1:1">
      <c r="A255" t="str">
        <f>CONCATENATE("    - ",TEXT('DLC mass atten coeff'!I1021,"0.000E+00"))</f>
        <v xml:space="preserve">    - 7.985E-01</v>
      </c>
    </row>
    <row r="256" spans="1:1">
      <c r="A256" t="str">
        <f>CONCATENATE("    - ",TEXT('DLC mass atten coeff'!I1022,"0.000E+00"))</f>
        <v xml:space="preserve">    - 3.440E-01</v>
      </c>
    </row>
    <row r="257" spans="1:1">
      <c r="A257" t="str">
        <f>CONCATENATE("    - ",TEXT('DLC mass atten coeff'!I1023,"0.000E+00"))</f>
        <v xml:space="preserve">    - 2.382E-01</v>
      </c>
    </row>
    <row r="258" spans="1:1">
      <c r="A258" t="str">
        <f>CONCATENATE("    - ",TEXT('DLC mass atten coeff'!I1024,"0.000E+00"))</f>
        <v xml:space="preserve">    - 1.997E-01</v>
      </c>
    </row>
    <row r="259" spans="1:1">
      <c r="A259" t="str">
        <f>CONCATENATE("    - ",TEXT('DLC mass atten coeff'!I1025,"0.000E+00"))</f>
        <v xml:space="preserve">    - 1.811E-01</v>
      </c>
    </row>
    <row r="260" spans="1:1">
      <c r="A260" t="str">
        <f>CONCATENATE("    - ",TEXT('DLC mass atten coeff'!I1026,"0.000E+00"))</f>
        <v xml:space="preserve">    - 1.622E-01</v>
      </c>
    </row>
    <row r="261" spans="1:1">
      <c r="A261" t="str">
        <f>CONCATENATE("    - ",TEXT('DLC mass atten coeff'!I1027,"0.000E+00"))</f>
        <v xml:space="preserve">    - 1.514E-01</v>
      </c>
    </row>
    <row r="262" spans="1:1">
      <c r="A262" t="str">
        <f>CONCATENATE("    - ",TEXT('DLC mass atten coeff'!I1028,"0.000E+00"))</f>
        <v xml:space="preserve">    - 1.344E-01</v>
      </c>
    </row>
    <row r="263" spans="1:1">
      <c r="A263" t="str">
        <f>CONCATENATE("    - ",TEXT('DLC mass atten coeff'!I1029,"0.000E+00"))</f>
        <v xml:space="preserve">    - 1.227E-01</v>
      </c>
    </row>
    <row r="264" spans="1:1">
      <c r="A264" t="str">
        <f>CONCATENATE("    - ",TEXT('DLC mass atten coeff'!I1030,"0.000E+00"))</f>
        <v xml:space="preserve">    - 1.066E-01</v>
      </c>
    </row>
    <row r="265" spans="1:1">
      <c r="A265" t="str">
        <f>CONCATENATE("    - ",TEXT('DLC mass atten coeff'!I1031,"0.000E+00"))</f>
        <v xml:space="preserve">    - 9.538E-02</v>
      </c>
    </row>
    <row r="266" spans="1:1">
      <c r="A266" t="str">
        <f>CONCATENATE("    - ",TEXT('DLC mass atten coeff'!I1032,"0.000E+00"))</f>
        <v xml:space="preserve">    - 8.708E-02</v>
      </c>
    </row>
    <row r="267" spans="1:1">
      <c r="A267" t="str">
        <f>CONCATENATE("    - ",TEXT('DLC mass atten coeff'!I1033,"0.000E+00"))</f>
        <v xml:space="preserve">    - 8.056E-02</v>
      </c>
    </row>
    <row r="268" spans="1:1">
      <c r="A268" t="str">
        <f>CONCATENATE("    - ",TEXT('DLC mass atten coeff'!I1034,"0.000E+00"))</f>
        <v xml:space="preserve">    - 7.077E-02</v>
      </c>
    </row>
    <row r="269" spans="1:1">
      <c r="A269" t="str">
        <f>CONCATENATE("    - ",TEXT('DLC mass atten coeff'!I1035,"0.000E+00"))</f>
        <v xml:space="preserve">    - 6.362E-02</v>
      </c>
    </row>
    <row r="270" spans="1:1">
      <c r="A270" t="str">
        <f>CONCATENATE("    - ",TEXT('DLC mass atten coeff'!I1036,"0.000E+00"))</f>
        <v xml:space="preserve">    - 5.178E-02</v>
      </c>
    </row>
    <row r="271" spans="1:1">
      <c r="A271" t="str">
        <f>CONCATENATE("    - ",TEXT('DLC mass atten coeff'!I1037,"0.000E+00"))</f>
        <v xml:space="preserve">    - 4.450E-02</v>
      </c>
    </row>
    <row r="272" spans="1:1">
      <c r="A272" t="str">
        <f>CONCATENATE("    - ",TEXT('DLC mass atten coeff'!I1038,"0.000E+00"))</f>
        <v xml:space="preserve">    - 3.589E-02</v>
      </c>
    </row>
    <row r="273" spans="1:1">
      <c r="A273" t="str">
        <f>CONCATENATE("    - ",TEXT('DLC mass atten coeff'!I1039,"0.000E+00"))</f>
        <v xml:space="preserve">    - 3.093E-02</v>
      </c>
    </row>
    <row r="274" spans="1:1">
      <c r="A274" t="str">
        <f>CONCATENATE("    - ",TEXT('DLC mass atten coeff'!I1040,"0.000E+00"))</f>
        <v xml:space="preserve">    - 2.770E-02</v>
      </c>
    </row>
    <row r="275" spans="1:1">
      <c r="A275" t="str">
        <f>CONCATENATE("    - ",TEXT('DLC mass atten coeff'!I1041,"0.000E+00"))</f>
        <v xml:space="preserve">    - 2.546E-02</v>
      </c>
    </row>
    <row r="276" spans="1:1">
      <c r="A276" t="str">
        <f>CONCATENATE("    - ",TEXT('DLC mass atten coeff'!I1042,"0.000E+00"))</f>
        <v xml:space="preserve">    - 2.258E-02</v>
      </c>
    </row>
    <row r="277" spans="1:1">
      <c r="A277" t="str">
        <f>CONCATENATE("    - ",TEXT('DLC mass atten coeff'!I1043,"0.000E+00"))</f>
        <v xml:space="preserve">    - 2.084E-02</v>
      </c>
    </row>
    <row r="278" spans="1:1">
      <c r="A278" t="str">
        <f>CONCATENATE("    - ",TEXT('DLC mass atten coeff'!I1044,"0.000E+00"))</f>
        <v xml:space="preserve">    - 1.861E-02</v>
      </c>
    </row>
    <row r="279" spans="1:1">
      <c r="A279" t="str">
        <f>CONCATENATE("    - ",TEXT('DLC mass atten coeff'!I1045,"0.000E+00"))</f>
        <v xml:space="preserve">    - 1.766E-02</v>
      </c>
    </row>
    <row r="280" spans="1:1">
      <c r="A280" t="str">
        <f>CONCATENATE("    - ",TEXT('DLC mass atten coeff'!I1046,"0.000E+00"))</f>
        <v xml:space="preserve">    - 1.702E-02</v>
      </c>
    </row>
    <row r="281" spans="1:1">
      <c r="A281" t="str">
        <f>CONCATENATE('DLC mass atten coeff'!J1018,":")</f>
        <v>fluorine:</v>
      </c>
    </row>
    <row r="282" spans="1:1">
      <c r="A282" s="18" t="str">
        <f>CONCATENATE("  density: ",VLOOKUP(A281,densities!$A$5:$B$110,2,FALSE))</f>
        <v xml:space="preserve">  density: 1.580E-03</v>
      </c>
    </row>
    <row r="283" spans="1:1" ht="16">
      <c r="A283" s="19" t="s">
        <v>1563</v>
      </c>
    </row>
    <row r="284" spans="1:1">
      <c r="A284" s="19" t="s">
        <v>1553</v>
      </c>
    </row>
    <row r="285" spans="1:1">
      <c r="A285" s="19" t="s">
        <v>1554</v>
      </c>
    </row>
    <row r="286" spans="1:1">
      <c r="A286" s="21" t="s">
        <v>1860</v>
      </c>
    </row>
    <row r="287" spans="1:1">
      <c r="A287" s="19" t="s">
        <v>1555</v>
      </c>
    </row>
    <row r="288" spans="1:1">
      <c r="A288" t="str">
        <f>CONCATENATE("    - ",TEXT('DLC mass atten coeff'!J1019,"0.000E+00"))</f>
        <v xml:space="preserve">    - 7.965E+00</v>
      </c>
    </row>
    <row r="289" spans="1:1">
      <c r="A289" t="str">
        <f>CONCATENATE("    - ",TEXT('DLC mass atten coeff'!J1020,"0.000E+00"))</f>
        <v xml:space="preserve">    - 2.363E+00</v>
      </c>
    </row>
    <row r="290" spans="1:1">
      <c r="A290" t="str">
        <f>CONCATENATE("    - ",TEXT('DLC mass atten coeff'!J1021,"0.000E+00"))</f>
        <v xml:space="preserve">    - 1.051E+00</v>
      </c>
    </row>
    <row r="291" spans="1:1">
      <c r="A291" t="str">
        <f>CONCATENATE("    - ",TEXT('DLC mass atten coeff'!J1022,"0.000E+00"))</f>
        <v xml:space="preserve">    - 4.074E-01</v>
      </c>
    </row>
    <row r="292" spans="1:1">
      <c r="A292" t="str">
        <f>CONCATENATE("    - ",TEXT('DLC mass atten coeff'!J1023,"0.000E+00"))</f>
        <v xml:space="preserve">    - 2.581E-01</v>
      </c>
    </row>
    <row r="293" spans="1:1">
      <c r="A293" t="str">
        <f>CONCATENATE("    - ",TEXT('DLC mass atten coeff'!J1024,"0.000E+00"))</f>
        <v xml:space="preserve">    - 2.050E-01</v>
      </c>
    </row>
    <row r="294" spans="1:1">
      <c r="A294" t="str">
        <f>CONCATENATE("    - ",TEXT('DLC mass atten coeff'!J1025,"0.000E+00"))</f>
        <v xml:space="preserve">    - 1.803E-01</v>
      </c>
    </row>
    <row r="295" spans="1:1">
      <c r="A295" t="str">
        <f>CONCATENATE("    - ",TEXT('DLC mass atten coeff'!J1026,"0.000E+00"))</f>
        <v xml:space="preserve">    - 1.571E-01</v>
      </c>
    </row>
    <row r="296" spans="1:1">
      <c r="A296" t="str">
        <f>CONCATENATE("    - ",TEXT('DLC mass atten coeff'!J1027,"0.000E+00"))</f>
        <v xml:space="preserve">    - 1.452E-01</v>
      </c>
    </row>
    <row r="297" spans="1:1">
      <c r="A297" t="str">
        <f>CONCATENATE("    - ",TEXT('DLC mass atten coeff'!J1028,"0.000E+00"))</f>
        <v xml:space="preserve">    - 1.278E-01</v>
      </c>
    </row>
    <row r="298" spans="1:1">
      <c r="A298" t="str">
        <f>CONCATENATE("    - ",TEXT('DLC mass atten coeff'!J1029,"0.000E+00"))</f>
        <v xml:space="preserve">    - 1.164E-01</v>
      </c>
    </row>
    <row r="299" spans="1:1">
      <c r="A299" t="str">
        <f>CONCATENATE("    - ",TEXT('DLC mass atten coeff'!J1030,"0.000E+00"))</f>
        <v xml:space="preserve">    - 1.010E-01</v>
      </c>
    </row>
    <row r="300" spans="1:1">
      <c r="A300" t="str">
        <f>CONCATENATE("    - ",TEXT('DLC mass atten coeff'!J1031,"0.000E+00"))</f>
        <v xml:space="preserve">    - 9.039E-02</v>
      </c>
    </row>
    <row r="301" spans="1:1">
      <c r="A301" t="str">
        <f>CONCATENATE("    - ",TEXT('DLC mass atten coeff'!J1032,"0.000E+00"))</f>
        <v xml:space="preserve">    - 8.254E-02</v>
      </c>
    </row>
    <row r="302" spans="1:1">
      <c r="A302" t="str">
        <f>CONCATENATE("    - ",TEXT('DLC mass atten coeff'!J1033,"0.000E+00"))</f>
        <v xml:space="preserve">    - 7.632E-02</v>
      </c>
    </row>
    <row r="303" spans="1:1">
      <c r="A303" t="str">
        <f>CONCATENATE("    - ",TEXT('DLC mass atten coeff'!J1034,"0.000E+00"))</f>
        <v xml:space="preserve">    - 6.705E-02</v>
      </c>
    </row>
    <row r="304" spans="1:1">
      <c r="A304" t="str">
        <f>CONCATENATE("    - ",TEXT('DLC mass atten coeff'!J1035,"0.000E+00"))</f>
        <v xml:space="preserve">    - 6.026E-02</v>
      </c>
    </row>
    <row r="305" spans="1:1">
      <c r="A305" t="str">
        <f>CONCATENATE("    - ",TEXT('DLC mass atten coeff'!J1036,"0.000E+00"))</f>
        <v xml:space="preserve">    - 4.905E-02</v>
      </c>
    </row>
    <row r="306" spans="1:1">
      <c r="A306" t="str">
        <f>CONCATENATE("    - ",TEXT('DLC mass atten coeff'!J1037,"0.000E+00"))</f>
        <v xml:space="preserve">    - 4.220E-02</v>
      </c>
    </row>
    <row r="307" spans="1:1">
      <c r="A307" t="str">
        <f>CONCATENATE("    - ",TEXT('DLC mass atten coeff'!J1038,"0.000E+00"))</f>
        <v xml:space="preserve">    - 3.415E-02</v>
      </c>
    </row>
    <row r="308" spans="1:1">
      <c r="A308" t="str">
        <f>CONCATENATE("    - ",TEXT('DLC mass atten coeff'!J1039,"0.000E+00"))</f>
        <v xml:space="preserve">    - 2.953E-02</v>
      </c>
    </row>
    <row r="309" spans="1:1">
      <c r="A309" t="str">
        <f>CONCATENATE("    - ",TEXT('DLC mass atten coeff'!J1040,"0.000E+00"))</f>
        <v xml:space="preserve">    - 2.657E-02</v>
      </c>
    </row>
    <row r="310" spans="1:1">
      <c r="A310" t="str">
        <f>CONCATENATE("    - ",TEXT('DLC mass atten coeff'!J1041,"0.000E+00"))</f>
        <v xml:space="preserve">    - 2.451E-02</v>
      </c>
    </row>
    <row r="311" spans="1:1">
      <c r="A311" t="str">
        <f>CONCATENATE("    - ",TEXT('DLC mass atten coeff'!J1042,"0.000E+00"))</f>
        <v xml:space="preserve">    - 2.190E-02</v>
      </c>
    </row>
    <row r="312" spans="1:1">
      <c r="A312" t="str">
        <f>CONCATENATE("    - ",TEXT('DLC mass atten coeff'!J1043,"0.000E+00"))</f>
        <v xml:space="preserve">    - 2.034E-02</v>
      </c>
    </row>
    <row r="313" spans="1:1">
      <c r="A313" t="str">
        <f>CONCATENATE("    - ",TEXT('DLC mass atten coeff'!J1044,"0.000E+00"))</f>
        <v xml:space="preserve">    - 1.842E-02</v>
      </c>
    </row>
    <row r="314" spans="1:1">
      <c r="A314" t="str">
        <f>CONCATENATE("    - ",TEXT('DLC mass atten coeff'!J1045,"0.000E+00"))</f>
        <v xml:space="preserve">    - 1.765E-02</v>
      </c>
    </row>
    <row r="315" spans="1:1">
      <c r="A315" t="str">
        <f>CONCATENATE("    - ",TEXT('DLC mass atten coeff'!J1046,"0.000E+00"))</f>
        <v xml:space="preserve">    - 1.722E-02</v>
      </c>
    </row>
    <row r="316" spans="1:1">
      <c r="A316" t="str">
        <f>CONCATENATE('DLC mass atten coeff'!K1018,":")</f>
        <v>neon:</v>
      </c>
    </row>
    <row r="317" spans="1:1">
      <c r="A317" s="18" t="str">
        <f>CONCATENATE("  density: ",VLOOKUP(A316,densities!$A$5:$B$110,2,FALSE))</f>
        <v xml:space="preserve">  density: 8.385E-04</v>
      </c>
    </row>
    <row r="318" spans="1:1" ht="16">
      <c r="A318" s="19" t="s">
        <v>1564</v>
      </c>
    </row>
    <row r="319" spans="1:1">
      <c r="A319" s="19" t="s">
        <v>1553</v>
      </c>
    </row>
    <row r="320" spans="1:1">
      <c r="A320" s="19" t="s">
        <v>1554</v>
      </c>
    </row>
    <row r="321" spans="1:1">
      <c r="A321" s="21" t="s">
        <v>1860</v>
      </c>
    </row>
    <row r="322" spans="1:1">
      <c r="A322" s="19" t="s">
        <v>1555</v>
      </c>
    </row>
    <row r="323" spans="1:1">
      <c r="A323" t="str">
        <f>CONCATENATE("    - ",TEXT('DLC mass atten coeff'!K1019,"0.000E+00"))</f>
        <v xml:space="preserve">    - 1.164E+01</v>
      </c>
    </row>
    <row r="324" spans="1:1">
      <c r="A324" t="str">
        <f>CONCATENATE("    - ",TEXT('DLC mass atten coeff'!K1020,"0.000E+00"))</f>
        <v xml:space="preserve">    - 3.441E+00</v>
      </c>
    </row>
    <row r="325" spans="1:1">
      <c r="A325" t="str">
        <f>CONCATENATE("    - ",TEXT('DLC mass atten coeff'!K1021,"0.000E+00"))</f>
        <v xml:space="preserve">    - 1.498E+00</v>
      </c>
    </row>
    <row r="326" spans="1:1">
      <c r="A326" t="str">
        <f>CONCATENATE("    - ",TEXT('DLC mass atten coeff'!K1022,"0.000E+00"))</f>
        <v xml:space="preserve">    - 5.376E-01</v>
      </c>
    </row>
    <row r="327" spans="1:1">
      <c r="A327" t="str">
        <f>CONCATENATE("    - ",TEXT('DLC mass atten coeff'!K1023,"0.000E+00"))</f>
        <v xml:space="preserve">    - 3.146E-01</v>
      </c>
    </row>
    <row r="328" spans="1:1">
      <c r="A328" t="str">
        <f>CONCATENATE("    - ",TEXT('DLC mass atten coeff'!K1024,"0.000E+00"))</f>
        <v xml:space="preserve">    - 2.362E-01</v>
      </c>
    </row>
    <row r="329" spans="1:1">
      <c r="A329" t="str">
        <f>CONCATENATE("    - ",TEXT('DLC mass atten coeff'!K1025,"0.000E+00"))</f>
        <v xml:space="preserve">    - 2.007E-01</v>
      </c>
    </row>
    <row r="330" spans="1:1">
      <c r="A330" t="str">
        <f>CONCATENATE("    - ",TEXT('DLC mass atten coeff'!K1026,"0.000E+00"))</f>
        <v xml:space="preserve">    - 1.691E-01</v>
      </c>
    </row>
    <row r="331" spans="1:1">
      <c r="A331" t="str">
        <f>CONCATENATE("    - ",TEXT('DLC mass atten coeff'!K1027,"0.000E+00"))</f>
        <v xml:space="preserve">    - 1.542E-01</v>
      </c>
    </row>
    <row r="332" spans="1:1">
      <c r="A332" t="str">
        <f>CONCATENATE("    - ",TEXT('DLC mass atten coeff'!K1028,"0.000E+00"))</f>
        <v xml:space="preserve">    - 1.343E-01</v>
      </c>
    </row>
    <row r="333" spans="1:1">
      <c r="A333" t="str">
        <f>CONCATENATE("    - ",TEXT('DLC mass atten coeff'!K1029,"0.000E+00"))</f>
        <v xml:space="preserve">    - 1.221E-01</v>
      </c>
    </row>
    <row r="334" spans="1:1">
      <c r="A334" t="str">
        <f>CONCATENATE("    - ",TEXT('DLC mass atten coeff'!K1030,"0.000E+00"))</f>
        <v xml:space="preserve">    - 1.057E-01</v>
      </c>
    </row>
    <row r="335" spans="1:1">
      <c r="A335" t="str">
        <f>CONCATENATE("    - ",TEXT('DLC mass atten coeff'!K1031,"0.000E+00"))</f>
        <v xml:space="preserve">    - 9.461E-02</v>
      </c>
    </row>
    <row r="336" spans="1:1">
      <c r="A336" t="str">
        <f>CONCATENATE("    - ",TEXT('DLC mass atten coeff'!K1032,"0.000E+00"))</f>
        <v xml:space="preserve">    - 8.636E-02</v>
      </c>
    </row>
    <row r="337" spans="1:1">
      <c r="A337" t="str">
        <f>CONCATENATE("    - ",TEXT('DLC mass atten coeff'!K1033,"0.000E+00"))</f>
        <v xml:space="preserve">    - 7.987E-02</v>
      </c>
    </row>
    <row r="338" spans="1:1">
      <c r="A338" t="str">
        <f>CONCATENATE("    - ",TEXT('DLC mass atten coeff'!K1034,"0.000E+00"))</f>
        <v xml:space="preserve">    - 7.015E-02</v>
      </c>
    </row>
    <row r="339" spans="1:1">
      <c r="A339" t="str">
        <f>CONCATENATE("    - ",TEXT('DLC mass atten coeff'!K1035,"0.000E+00"))</f>
        <v xml:space="preserve">    - 6.303E-02</v>
      </c>
    </row>
    <row r="340" spans="1:1">
      <c r="A340" t="str">
        <f>CONCATENATE("    - ",TEXT('DLC mass atten coeff'!K1036,"0.000E+00"))</f>
        <v xml:space="preserve">    - 5.135E-02</v>
      </c>
    </row>
    <row r="341" spans="1:1">
      <c r="A341" t="str">
        <f>CONCATENATE("    - ",TEXT('DLC mass atten coeff'!K1037,"0.000E+00"))</f>
        <v xml:space="preserve">    - 4.423E-02</v>
      </c>
    </row>
    <row r="342" spans="1:1">
      <c r="A342" t="str">
        <f>CONCATENATE("    - ",TEXT('DLC mass atten coeff'!K1038,"0.000E+00"))</f>
        <v xml:space="preserve">    - 3.588E-02</v>
      </c>
    </row>
    <row r="343" spans="1:1">
      <c r="A343" t="str">
        <f>CONCATENATE("    - ",TEXT('DLC mass atten coeff'!K1039,"0.000E+00"))</f>
        <v xml:space="preserve">    - 3.115E-02</v>
      </c>
    </row>
    <row r="344" spans="1:1">
      <c r="A344" t="str">
        <f>CONCATENATE("    - ",TEXT('DLC mass atten coeff'!K1040,"0.000E+00"))</f>
        <v xml:space="preserve">    - 2.811E-02</v>
      </c>
    </row>
    <row r="345" spans="1:1">
      <c r="A345" t="str">
        <f>CONCATENATE("    - ",TEXT('DLC mass atten coeff'!K1041,"0.000E+00"))</f>
        <v xml:space="preserve">    - 2.605E-02</v>
      </c>
    </row>
    <row r="346" spans="1:1">
      <c r="A346" t="str">
        <f>CONCATENATE("    - ",TEXT('DLC mass atten coeff'!K1042,"0.000E+00"))</f>
        <v xml:space="preserve">    - 2.343E-02</v>
      </c>
    </row>
    <row r="347" spans="1:1">
      <c r="A347" t="str">
        <f>CONCATENATE("    - ",TEXT('DLC mass atten coeff'!K1043,"0.000E+00"))</f>
        <v xml:space="preserve">    - 2.192E-02</v>
      </c>
    </row>
    <row r="348" spans="1:1">
      <c r="A348" t="str">
        <f>CONCATENATE("    - ",TEXT('DLC mass atten coeff'!K1044,"0.000E+00"))</f>
        <v xml:space="preserve">    - 2.008E-02</v>
      </c>
    </row>
    <row r="349" spans="1:1">
      <c r="A349" t="str">
        <f>CONCATENATE("    - ",TEXT('DLC mass atten coeff'!K1045,"0.000E+00"))</f>
        <v xml:space="preserve">    - 1.942E-02</v>
      </c>
    </row>
    <row r="350" spans="1:1">
      <c r="A350" t="str">
        <f>CONCATENATE("    - ",TEXT('DLC mass atten coeff'!K1046,"0.000E+00"))</f>
        <v xml:space="preserve">    - 1.915E-02</v>
      </c>
    </row>
    <row r="351" spans="1:1">
      <c r="A351" t="str">
        <f>CONCATENATE('DLC mass atten coeff'!L1018,":")</f>
        <v>sodium:</v>
      </c>
    </row>
    <row r="352" spans="1:1">
      <c r="A352" s="18" t="str">
        <f>CONCATENATE("  density: ",VLOOKUP(A351,densities!$A$5:$B$110,2,FALSE))</f>
        <v xml:space="preserve">  density: 9.710E-01</v>
      </c>
    </row>
    <row r="353" spans="1:1" ht="16">
      <c r="A353" s="19" t="s">
        <v>1565</v>
      </c>
    </row>
    <row r="354" spans="1:1">
      <c r="A354" s="19" t="s">
        <v>1553</v>
      </c>
    </row>
    <row r="355" spans="1:1">
      <c r="A355" s="19" t="s">
        <v>1554</v>
      </c>
    </row>
    <row r="356" spans="1:1">
      <c r="A356" s="21" t="s">
        <v>1860</v>
      </c>
    </row>
    <row r="357" spans="1:1">
      <c r="A357" s="19" t="s">
        <v>1555</v>
      </c>
    </row>
    <row r="358" spans="1:1">
      <c r="A358" t="str">
        <f>CONCATENATE("    - ",TEXT('DLC mass atten coeff'!L1019,"0.000E+00"))</f>
        <v xml:space="preserve">    - 1.520E+01</v>
      </c>
    </row>
    <row r="359" spans="1:1">
      <c r="A359" t="str">
        <f>CONCATENATE("    - ",TEXT('DLC mass atten coeff'!L1020,"0.000E+00"))</f>
        <v xml:space="preserve">    - 4.498E+00</v>
      </c>
    </row>
    <row r="360" spans="1:1">
      <c r="A360" t="str">
        <f>CONCATENATE("    - ",TEXT('DLC mass atten coeff'!L1021,"0.000E+00"))</f>
        <v xml:space="preserve">    - 1.934E+00</v>
      </c>
    </row>
    <row r="361" spans="1:1">
      <c r="A361" t="str">
        <f>CONCATENATE("    - ",TEXT('DLC mass atten coeff'!L1022,"0.000E+00"))</f>
        <v xml:space="preserve">    - 6.576E-01</v>
      </c>
    </row>
    <row r="362" spans="1:1">
      <c r="A362" t="str">
        <f>CONCATENATE("    - ",TEXT('DLC mass atten coeff'!L1023,"0.000E+00"))</f>
        <v xml:space="preserve">    - 3.595E-01</v>
      </c>
    </row>
    <row r="363" spans="1:1">
      <c r="A363" t="str">
        <f>CONCATENATE("    - ",TEXT('DLC mass atten coeff'!L1024,"0.000E+00"))</f>
        <v xml:space="preserve">    - 2.555E-01</v>
      </c>
    </row>
    <row r="364" spans="1:1">
      <c r="A364" t="str">
        <f>CONCATENATE("    - ",TEXT('DLC mass atten coeff'!L1025,"0.000E+00"))</f>
        <v xml:space="preserve">    - 2.091E-01</v>
      </c>
    </row>
    <row r="365" spans="1:1">
      <c r="A365" t="str">
        <f>CONCATENATE("    - ",TEXT('DLC mass atten coeff'!L1026,"0.000E+00"))</f>
        <v xml:space="preserve">    - 1.693E-01</v>
      </c>
    </row>
    <row r="366" spans="1:1">
      <c r="A366" t="str">
        <f>CONCATENATE("    - ",TEXT('DLC mass atten coeff'!L1027,"0.000E+00"))</f>
        <v xml:space="preserve">    - 1.518E-01</v>
      </c>
    </row>
    <row r="367" spans="1:1">
      <c r="A367" t="str">
        <f>CONCATENATE("    - ",TEXT('DLC mass atten coeff'!L1028,"0.000E+00"))</f>
        <v xml:space="preserve">    - 1.305E-01</v>
      </c>
    </row>
    <row r="368" spans="1:1">
      <c r="A368" t="str">
        <f>CONCATENATE("    - ",TEXT('DLC mass atten coeff'!L1029,"0.000E+00"))</f>
        <v xml:space="preserve">    - 1.181E-01</v>
      </c>
    </row>
    <row r="369" spans="1:1">
      <c r="A369" t="str">
        <f>CONCATENATE("    - ",TEXT('DLC mass atten coeff'!L1030,"0.000E+00"))</f>
        <v xml:space="preserve">    - 1.021E-01</v>
      </c>
    </row>
    <row r="370" spans="1:1">
      <c r="A370" t="str">
        <f>CONCATENATE("    - ",TEXT('DLC mass atten coeff'!L1031,"0.000E+00"))</f>
        <v xml:space="preserve">    - 9.136E-02</v>
      </c>
    </row>
    <row r="371" spans="1:1">
      <c r="A371" t="str">
        <f>CONCATENATE("    - ",TEXT('DLC mass atten coeff'!L1032,"0.000E+00"))</f>
        <v xml:space="preserve">    - 8.339E-02</v>
      </c>
    </row>
    <row r="372" spans="1:1">
      <c r="A372" t="str">
        <f>CONCATENATE("    - ",TEXT('DLC mass atten coeff'!L1033,"0.000E+00"))</f>
        <v xml:space="preserve">    - 7.711E-02</v>
      </c>
    </row>
    <row r="373" spans="1:1">
      <c r="A373" t="str">
        <f>CONCATENATE("    - ",TEXT('DLC mass atten coeff'!L1034,"0.000E+00"))</f>
        <v xml:space="preserve">    - 6.774E-02</v>
      </c>
    </row>
    <row r="374" spans="1:1">
      <c r="A374" t="str">
        <f>CONCATENATE("    - ",TEXT('DLC mass atten coeff'!L1035,"0.000E+00"))</f>
        <v xml:space="preserve">    - 6.087E-02</v>
      </c>
    </row>
    <row r="375" spans="1:1">
      <c r="A375" t="str">
        <f>CONCATENATE("    - ",TEXT('DLC mass atten coeff'!L1036,"0.000E+00"))</f>
        <v xml:space="preserve">    - 4.958E-02</v>
      </c>
    </row>
    <row r="376" spans="1:1">
      <c r="A376" t="str">
        <f>CONCATENATE("    - ",TEXT('DLC mass atten coeff'!L1037,"0.000E+00"))</f>
        <v xml:space="preserve">    - 4.274E-02</v>
      </c>
    </row>
    <row r="377" spans="1:1">
      <c r="A377" t="str">
        <f>CONCATENATE("    - ",TEXT('DLC mass atten coeff'!L1038,"0.000E+00"))</f>
        <v xml:space="preserve">    - 3.478E-02</v>
      </c>
    </row>
    <row r="378" spans="1:1">
      <c r="A378" t="str">
        <f>CONCATENATE("    - ",TEXT('DLC mass atten coeff'!L1039,"0.000E+00"))</f>
        <v xml:space="preserve">    - 3.031E-02</v>
      </c>
    </row>
    <row r="379" spans="1:1">
      <c r="A379" t="str">
        <f>CONCATENATE("    - ",TEXT('DLC mass atten coeff'!L1040,"0.000E+00"))</f>
        <v xml:space="preserve">    - 2.747E-02</v>
      </c>
    </row>
    <row r="380" spans="1:1">
      <c r="A380" t="str">
        <f>CONCATENATE("    - ",TEXT('DLC mass atten coeff'!L1041,"0.000E+00"))</f>
        <v xml:space="preserve">    - 2.553E-02</v>
      </c>
    </row>
    <row r="381" spans="1:1">
      <c r="A381" t="str">
        <f>CONCATENATE("    - ",TEXT('DLC mass atten coeff'!L1042,"0.000E+00"))</f>
        <v xml:space="preserve">    - 2.314E-02</v>
      </c>
    </row>
    <row r="382" spans="1:1">
      <c r="A382" t="str">
        <f>CONCATENATE("    - ",TEXT('DLC mass atten coeff'!L1043,"0.000E+00"))</f>
        <v xml:space="preserve">    - 2.176E-02</v>
      </c>
    </row>
    <row r="383" spans="1:1">
      <c r="A383" t="str">
        <f>CONCATENATE("    - ",TEXT('DLC mass atten coeff'!L1044,"0.000E+00"))</f>
        <v xml:space="preserve">    - 2.018E-02</v>
      </c>
    </row>
    <row r="384" spans="1:1">
      <c r="A384" t="str">
        <f>CONCATENATE("    - ",TEXT('DLC mass atten coeff'!L1045,"0.000E+00"))</f>
        <v xml:space="preserve">    - 1.966E-02</v>
      </c>
    </row>
    <row r="385" spans="1:1">
      <c r="A385" t="str">
        <f>CONCATENATE("    - ",TEXT('DLC mass atten coeff'!L1046,"0.000E+00"))</f>
        <v xml:space="preserve">    - 1.958E-02</v>
      </c>
    </row>
    <row r="386" spans="1:1">
      <c r="A386" t="str">
        <f>CONCATENATE('DLC mass atten coeff'!M1018,":")</f>
        <v>magnesium:</v>
      </c>
    </row>
    <row r="387" spans="1:1">
      <c r="A387" s="18" t="str">
        <f>CONCATENATE("  density: ",VLOOKUP(A386,densities!$A$5:$B$110,2,FALSE))</f>
        <v xml:space="preserve">  density: 1.740E+00</v>
      </c>
    </row>
    <row r="388" spans="1:1" ht="16">
      <c r="A388" s="19" t="s">
        <v>1566</v>
      </c>
    </row>
    <row r="389" spans="1:1">
      <c r="A389" s="19" t="s">
        <v>1553</v>
      </c>
    </row>
    <row r="390" spans="1:1">
      <c r="A390" s="19" t="s">
        <v>1554</v>
      </c>
    </row>
    <row r="391" spans="1:1">
      <c r="A391" s="21" t="s">
        <v>1860</v>
      </c>
    </row>
    <row r="392" spans="1:1">
      <c r="A392" s="19" t="s">
        <v>1555</v>
      </c>
    </row>
    <row r="393" spans="1:1">
      <c r="A393" t="str">
        <f>CONCATENATE("    - ",TEXT('DLC mass atten coeff'!M1019,"0.000E+00"))</f>
        <v xml:space="preserve">    - 2.063E+01</v>
      </c>
    </row>
    <row r="394" spans="1:1">
      <c r="A394" t="str">
        <f>CONCATENATE("    - ",TEXT('DLC mass atten coeff'!M1020,"0.000E+00"))</f>
        <v xml:space="preserve">    - 6.124E+00</v>
      </c>
    </row>
    <row r="395" spans="1:1">
      <c r="A395" t="str">
        <f>CONCATENATE("    - ",TEXT('DLC mass atten coeff'!M1021,"0.000E+00"))</f>
        <v xml:space="preserve">    - 2.616E+00</v>
      </c>
    </row>
    <row r="396" spans="1:1">
      <c r="A396" t="str">
        <f>CONCATENATE("    - ",TEXT('DLC mass atten coeff'!M1022,"0.000E+00"))</f>
        <v xml:space="preserve">    - 8.562E-01</v>
      </c>
    </row>
    <row r="397" spans="1:1">
      <c r="A397" t="str">
        <f>CONCATENATE("    - ",TEXT('DLC mass atten coeff'!M1023,"0.000E+00"))</f>
        <v xml:space="preserve">    - 4.431E-01</v>
      </c>
    </row>
    <row r="398" spans="1:1">
      <c r="A398" t="str">
        <f>CONCATENATE("    - ",TEXT('DLC mass atten coeff'!M1024,"0.000E+00"))</f>
        <v xml:space="preserve">    - 2.993E-01</v>
      </c>
    </row>
    <row r="399" spans="1:1">
      <c r="A399" t="str">
        <f>CONCATENATE("    - ",TEXT('DLC mass atten coeff'!M1025,"0.000E+00"))</f>
        <v xml:space="preserve">    - 2.357E-01</v>
      </c>
    </row>
    <row r="400" spans="1:1">
      <c r="A400" t="str">
        <f>CONCATENATE("    - ",TEXT('DLC mass atten coeff'!M1026,"0.000E+00"))</f>
        <v xml:space="preserve">    - 1.827E-01</v>
      </c>
    </row>
    <row r="401" spans="1:1">
      <c r="A401" t="str">
        <f>CONCATENATE("    - ",TEXT('DLC mass atten coeff'!M1027,"0.000E+00"))</f>
        <v xml:space="preserve">    - 1.605E-01</v>
      </c>
    </row>
    <row r="402" spans="1:1">
      <c r="A402" t="str">
        <f>CONCATENATE("    - ",TEXT('DLC mass atten coeff'!M1028,"0.000E+00"))</f>
        <v xml:space="preserve">    - 1.357E-01</v>
      </c>
    </row>
    <row r="403" spans="1:1">
      <c r="A403" t="str">
        <f>CONCATENATE("    - ",TEXT('DLC mass atten coeff'!M1029,"0.000E+00"))</f>
        <v xml:space="preserve">    - 1.224E-01</v>
      </c>
    </row>
    <row r="404" spans="1:1">
      <c r="A404" t="str">
        <f>CONCATENATE("    - ",TEXT('DLC mass atten coeff'!M1030,"0.000E+00"))</f>
        <v xml:space="preserve">    - 1.055E-01</v>
      </c>
    </row>
    <row r="405" spans="1:1">
      <c r="A405" t="str">
        <f>CONCATENATE("    - ",TEXT('DLC mass atten coeff'!M1031,"0.000E+00"))</f>
        <v xml:space="preserve">    - 9.434E-02</v>
      </c>
    </row>
    <row r="406" spans="1:1">
      <c r="A406" t="str">
        <f>CONCATENATE("    - ",TEXT('DLC mass atten coeff'!M1032,"0.000E+00"))</f>
        <v xml:space="preserve">    - 8.608E-02</v>
      </c>
    </row>
    <row r="407" spans="1:1">
      <c r="A407" t="str">
        <f>CONCATENATE("    - ",TEXT('DLC mass atten coeff'!M1033,"0.000E+00"))</f>
        <v xml:space="preserve">    - 7.960E-02</v>
      </c>
    </row>
    <row r="408" spans="1:1">
      <c r="A408" t="str">
        <f>CONCATENATE("    - ",TEXT('DLC mass atten coeff'!M1034,"0.000E+00"))</f>
        <v xml:space="preserve">    - 6.990E-02</v>
      </c>
    </row>
    <row r="409" spans="1:1">
      <c r="A409" t="str">
        <f>CONCATENATE("    - ",TEXT('DLC mass atten coeff'!M1035,"0.000E+00"))</f>
        <v xml:space="preserve">    - 6.283E-02</v>
      </c>
    </row>
    <row r="410" spans="1:1">
      <c r="A410" t="str">
        <f>CONCATENATE("    - ",TEXT('DLC mass atten coeff'!M1036,"0.000E+00"))</f>
        <v xml:space="preserve">    - 5.118E-02</v>
      </c>
    </row>
    <row r="411" spans="1:1">
      <c r="A411" t="str">
        <f>CONCATENATE("    - ",TEXT('DLC mass atten coeff'!M1037,"0.000E+00"))</f>
        <v xml:space="preserve">    - 4.415E-02</v>
      </c>
    </row>
    <row r="412" spans="1:1">
      <c r="A412" t="str">
        <f>CONCATENATE("    - ",TEXT('DLC mass atten coeff'!M1038,"0.000E+00"))</f>
        <v xml:space="preserve">    - 3.604E-02</v>
      </c>
    </row>
    <row r="413" spans="1:1">
      <c r="A413" t="str">
        <f>CONCATENATE("    - ",TEXT('DLC mass atten coeff'!M1039,"0.000E+00"))</f>
        <v xml:space="preserve">    - 3.153E-02</v>
      </c>
    </row>
    <row r="414" spans="1:1">
      <c r="A414" t="str">
        <f>CONCATENATE("    - ",TEXT('DLC mass atten coeff'!M1040,"0.000E+00"))</f>
        <v xml:space="preserve">    - 2.866E-02</v>
      </c>
    </row>
    <row r="415" spans="1:1">
      <c r="A415" t="str">
        <f>CONCATENATE("    - ",TEXT('DLC mass atten coeff'!M1041,"0.000E+00"))</f>
        <v xml:space="preserve">    - 2.675E-02</v>
      </c>
    </row>
    <row r="416" spans="1:1">
      <c r="A416" t="str">
        <f>CONCATENATE("    - ",TEXT('DLC mass atten coeff'!M1042,"0.000E+00"))</f>
        <v xml:space="preserve">    - 2.439E-02</v>
      </c>
    </row>
    <row r="417" spans="1:1">
      <c r="A417" t="str">
        <f>CONCATENATE("    - ",TEXT('DLC mass atten coeff'!M1043,"0.000E+00"))</f>
        <v xml:space="preserve">    - 2.308E-02</v>
      </c>
    </row>
    <row r="418" spans="1:1">
      <c r="A418" t="str">
        <f>CONCATENATE("    - ",TEXT('DLC mass atten coeff'!M1044,"0.000E+00"))</f>
        <v xml:space="preserve">    - 2.163E-02</v>
      </c>
    </row>
    <row r="419" spans="1:1">
      <c r="A419" t="str">
        <f>CONCATENATE("    - ",TEXT('DLC mass atten coeff'!M1045,"0.000E+00"))</f>
        <v xml:space="preserve">    - 2.123E-02</v>
      </c>
    </row>
    <row r="420" spans="1:1">
      <c r="A420" t="str">
        <f>CONCATENATE("    - ",TEXT('DLC mass atten coeff'!M1046,"0.000E+00"))</f>
        <v xml:space="preserve">    - 2.134E-02</v>
      </c>
    </row>
    <row r="421" spans="1:1">
      <c r="A421" t="str">
        <f>CONCATENATE('DLC mass atten coeff'!N1018,":")</f>
        <v>aluminum:</v>
      </c>
    </row>
    <row r="422" spans="1:1">
      <c r="A422" s="18" t="str">
        <f>CONCATENATE("  density: ",VLOOKUP(A421,densities!$A$5:$B$110,2,FALSE))</f>
        <v xml:space="preserve">  density: 2.699E+00</v>
      </c>
    </row>
    <row r="423" spans="1:1" ht="16">
      <c r="A423" s="19" t="s">
        <v>1567</v>
      </c>
    </row>
    <row r="424" spans="1:1">
      <c r="A424" s="19" t="s">
        <v>1553</v>
      </c>
    </row>
    <row r="425" spans="1:1">
      <c r="A425" s="19" t="s">
        <v>1554</v>
      </c>
    </row>
    <row r="426" spans="1:1">
      <c r="A426" s="21" t="s">
        <v>1860</v>
      </c>
    </row>
    <row r="427" spans="1:1">
      <c r="A427" s="19" t="s">
        <v>1555</v>
      </c>
    </row>
    <row r="428" spans="1:1">
      <c r="A428" t="str">
        <f>CONCATENATE("    - ",TEXT('DLC mass atten coeff'!N1019,"0.000E+00"))</f>
        <v xml:space="preserve">    - 2.575E+01</v>
      </c>
    </row>
    <row r="429" spans="1:1">
      <c r="A429" t="str">
        <f>CONCATENATE("    - ",TEXT('DLC mass atten coeff'!N1020,"0.000E+00"))</f>
        <v xml:space="preserve">    - 7.697E+00</v>
      </c>
    </row>
    <row r="430" spans="1:1">
      <c r="A430" t="str">
        <f>CONCATENATE("    - ",TEXT('DLC mass atten coeff'!N1021,"0.000E+00"))</f>
        <v xml:space="preserve">    - 3.279E+00</v>
      </c>
    </row>
    <row r="431" spans="1:1">
      <c r="A431" t="str">
        <f>CONCATENATE("    - ",TEXT('DLC mass atten coeff'!N1022,"0.000E+00"))</f>
        <v xml:space="preserve">    - 1.045E+00</v>
      </c>
    </row>
    <row r="432" spans="1:1">
      <c r="A432" t="str">
        <f>CONCATENATE("    - ",TEXT('DLC mass atten coeff'!N1023,"0.000E+00"))</f>
        <v xml:space="preserve">    - 5.184E-01</v>
      </c>
    </row>
    <row r="433" spans="1:1">
      <c r="A433" t="str">
        <f>CONCATENATE("    - ",TEXT('DLC mass atten coeff'!N1024,"0.000E+00"))</f>
        <v xml:space="preserve">    - 3.347E-01</v>
      </c>
    </row>
    <row r="434" spans="1:1">
      <c r="A434" t="str">
        <f>CONCATENATE("    - ",TEXT('DLC mass atten coeff'!N1025,"0.000E+00"))</f>
        <v xml:space="preserve">    - 2.539E-01</v>
      </c>
    </row>
    <row r="435" spans="1:1">
      <c r="A435" t="str">
        <f>CONCATENATE("    - ",TEXT('DLC mass atten coeff'!N1026,"0.000E+00"))</f>
        <v xml:space="preserve">    - 1.880E-01</v>
      </c>
    </row>
    <row r="436" spans="1:1">
      <c r="A436" t="str">
        <f>CONCATENATE("    - ",TEXT('DLC mass atten coeff'!N1027,"0.000E+00"))</f>
        <v xml:space="preserve">    - 1.614E-01</v>
      </c>
    </row>
    <row r="437" spans="1:1">
      <c r="A437" t="str">
        <f>CONCATENATE("    - ",TEXT('DLC mass atten coeff'!N1028,"0.000E+00"))</f>
        <v xml:space="preserve">    - 1.337E-01</v>
      </c>
    </row>
    <row r="438" spans="1:1">
      <c r="A438" t="str">
        <f>CONCATENATE("    - ",TEXT('DLC mass atten coeff'!N1029,"0.000E+00"))</f>
        <v xml:space="preserve">    - 1.199E-01</v>
      </c>
    </row>
    <row r="439" spans="1:1">
      <c r="A439" t="str">
        <f>CONCATENATE("    - ",TEXT('DLC mass atten coeff'!N1030,"0.000E+00"))</f>
        <v xml:space="preserve">    - 1.031E-01</v>
      </c>
    </row>
    <row r="440" spans="1:1">
      <c r="A440" t="str">
        <f>CONCATENATE("    - ",TEXT('DLC mass atten coeff'!N1031,"0.000E+00"))</f>
        <v xml:space="preserve">    - 9.213E-02</v>
      </c>
    </row>
    <row r="441" spans="1:1">
      <c r="A441" t="str">
        <f>CONCATENATE("    - ",TEXT('DLC mass atten coeff'!N1032,"0.000E+00"))</f>
        <v xml:space="preserve">    - 8.403E-02</v>
      </c>
    </row>
    <row r="442" spans="1:1">
      <c r="A442" t="str">
        <f>CONCATENATE("    - ",TEXT('DLC mass atten coeff'!N1033,"0.000E+00"))</f>
        <v xml:space="preserve">    - 7.769E-02</v>
      </c>
    </row>
    <row r="443" spans="1:1">
      <c r="A443" t="str">
        <f>CONCATENATE("    - ",TEXT('DLC mass atten coeff'!N1034,"0.000E+00"))</f>
        <v xml:space="preserve">    - 6.821E-02</v>
      </c>
    </row>
    <row r="444" spans="1:1">
      <c r="A444" t="str">
        <f>CONCATENATE("    - ",TEXT('DLC mass atten coeff'!N1035,"0.000E+00"))</f>
        <v xml:space="preserve">    - 6.132E-02</v>
      </c>
    </row>
    <row r="445" spans="1:1">
      <c r="A445" t="str">
        <f>CONCATENATE("    - ",TEXT('DLC mass atten coeff'!N1036,"0.000E+00"))</f>
        <v xml:space="preserve">    - 4.995E-02</v>
      </c>
    </row>
    <row r="446" spans="1:1">
      <c r="A446" t="str">
        <f>CONCATENATE("    - ",TEXT('DLC mass atten coeff'!N1037,"0.000E+00"))</f>
        <v xml:space="preserve">    - 4.316E-02</v>
      </c>
    </row>
    <row r="447" spans="1:1">
      <c r="A447" t="str">
        <f>CONCATENATE("    - ",TEXT('DLC mass atten coeff'!N1038,"0.000E+00"))</f>
        <v xml:space="preserve">    - 3.533E-02</v>
      </c>
    </row>
    <row r="448" spans="1:1">
      <c r="A448" t="str">
        <f>CONCATENATE("    - ",TEXT('DLC mass atten coeff'!N1039,"0.000E+00"))</f>
        <v xml:space="preserve">    - 3.101E-02</v>
      </c>
    </row>
    <row r="449" spans="1:1">
      <c r="A449" t="str">
        <f>CONCATENATE("    - ",TEXT('DLC mass atten coeff'!N1040,"0.000E+00"))</f>
        <v xml:space="preserve">    - 2.829E-02</v>
      </c>
    </row>
    <row r="450" spans="1:1">
      <c r="A450" t="str">
        <f>CONCATENATE("    - ",TEXT('DLC mass atten coeff'!N1041,"0.000E+00"))</f>
        <v xml:space="preserve">    - 2.649E-02</v>
      </c>
    </row>
    <row r="451" spans="1:1">
      <c r="A451" t="str">
        <f>CONCATENATE("    - ",TEXT('DLC mass atten coeff'!N1042,"0.000E+00"))</f>
        <v xml:space="preserve">    - 2.432E-02</v>
      </c>
    </row>
    <row r="452" spans="1:1">
      <c r="A452" t="str">
        <f>CONCATENATE("    - ",TEXT('DLC mass atten coeff'!N1043,"0.000E+00"))</f>
        <v xml:space="preserve">    - 2.313E-02</v>
      </c>
    </row>
    <row r="453" spans="1:1">
      <c r="A453" t="str">
        <f>CONCATENATE("    - ",TEXT('DLC mass atten coeff'!N1044,"0.000E+00"))</f>
        <v xml:space="preserve">    - 2.191E-02</v>
      </c>
    </row>
    <row r="454" spans="1:1">
      <c r="A454" t="str">
        <f>CONCATENATE("    - ",TEXT('DLC mass atten coeff'!N1045,"0.000E+00"))</f>
        <v xml:space="preserve">    - 2.164E-02</v>
      </c>
    </row>
    <row r="455" spans="1:1">
      <c r="A455" t="str">
        <f>CONCATENATE("    - ",TEXT('DLC mass atten coeff'!N1046,"0.000E+00"))</f>
        <v xml:space="preserve">    - 2.192E-02</v>
      </c>
    </row>
    <row r="456" spans="1:1">
      <c r="A456" t="str">
        <f>CONCATENATE('DLC mass atten coeff'!O1018,":")</f>
        <v>silicon:</v>
      </c>
    </row>
    <row r="457" spans="1:1">
      <c r="A457" s="18" t="str">
        <f>CONCATENATE("  density: ",VLOOKUP(A456,densities!$A$5:$B$110,2,FALSE))</f>
        <v xml:space="preserve">  density: 2.330E+00</v>
      </c>
    </row>
    <row r="458" spans="1:1" ht="16">
      <c r="A458" s="19" t="s">
        <v>1568</v>
      </c>
    </row>
    <row r="459" spans="1:1">
      <c r="A459" s="19" t="s">
        <v>1553</v>
      </c>
    </row>
    <row r="460" spans="1:1">
      <c r="A460" s="19" t="s">
        <v>1554</v>
      </c>
    </row>
    <row r="461" spans="1:1">
      <c r="A461" s="21" t="s">
        <v>1860</v>
      </c>
    </row>
    <row r="462" spans="1:1">
      <c r="A462" s="19" t="s">
        <v>1555</v>
      </c>
    </row>
    <row r="463" spans="1:1">
      <c r="A463" t="str">
        <f>CONCATENATE("    - ",TEXT('DLC mass atten coeff'!O1019,"0.000E+00"))</f>
        <v xml:space="preserve">    - 3.334E+01</v>
      </c>
    </row>
    <row r="464" spans="1:1">
      <c r="A464" t="str">
        <f>CONCATENATE("    - ",TEXT('DLC mass atten coeff'!O1020,"0.000E+00"))</f>
        <v xml:space="preserve">    - 1.004E+01</v>
      </c>
    </row>
    <row r="465" spans="1:1">
      <c r="A465" t="str">
        <f>CONCATENATE("    - ",TEXT('DLC mass atten coeff'!O1021,"0.000E+00"))</f>
        <v xml:space="preserve">    - 4.275E+00</v>
      </c>
    </row>
    <row r="466" spans="1:1">
      <c r="A466" t="str">
        <f>CONCATENATE("    - ",TEXT('DLC mass atten coeff'!O1022,"0.000E+00"))</f>
        <v xml:space="preserve">    - 1.340E+00</v>
      </c>
    </row>
    <row r="467" spans="1:1">
      <c r="A467" t="str">
        <f>CONCATENATE("    - ",TEXT('DLC mass atten coeff'!O1023,"0.000E+00"))</f>
        <v xml:space="preserve">    - 6.425E-01</v>
      </c>
    </row>
    <row r="468" spans="1:1">
      <c r="A468" t="str">
        <f>CONCATENATE("    - ",TEXT('DLC mass atten coeff'!O1024,"0.000E+00"))</f>
        <v xml:space="preserve">    - 3.993E-01</v>
      </c>
    </row>
    <row r="469" spans="1:1">
      <c r="A469" t="str">
        <f>CONCATENATE("    - ",TEXT('DLC mass atten coeff'!O1025,"0.000E+00"))</f>
        <v xml:space="preserve">    - 2.927E-01</v>
      </c>
    </row>
    <row r="470" spans="1:1">
      <c r="A470" t="str">
        <f>CONCATENATE("    - ",TEXT('DLC mass atten coeff'!O1026,"0.000E+00"))</f>
        <v xml:space="preserve">    - 2.065E-01</v>
      </c>
    </row>
    <row r="471" spans="1:1">
      <c r="A471" t="str">
        <f>CONCATENATE("    - ",TEXT('DLC mass atten coeff'!O1027,"0.000E+00"))</f>
        <v xml:space="preserve">    - 1.729E-01</v>
      </c>
    </row>
    <row r="472" spans="1:1">
      <c r="A472" t="str">
        <f>CONCATENATE("    - ",TEXT('DLC mass atten coeff'!O1028,"0.000E+00"))</f>
        <v xml:space="preserve">    - 1.399E-01</v>
      </c>
    </row>
    <row r="473" spans="1:1">
      <c r="A473" t="str">
        <f>CONCATENATE("    - ",TEXT('DLC mass atten coeff'!O1029,"0.000E+00"))</f>
        <v xml:space="preserve">    - 1.247E-01</v>
      </c>
    </row>
    <row r="474" spans="1:1">
      <c r="A474" t="str">
        <f>CONCATENATE("    - ",TEXT('DLC mass atten coeff'!O1030,"0.000E+00"))</f>
        <v xml:space="preserve">    - 1.069E-01</v>
      </c>
    </row>
    <row r="475" spans="1:1">
      <c r="A475" t="str">
        <f>CONCATENATE("    - ",TEXT('DLC mass atten coeff'!O1031,"0.000E+00"))</f>
        <v xml:space="preserve">    - 9.542E-02</v>
      </c>
    </row>
    <row r="476" spans="1:1">
      <c r="A476" t="str">
        <f>CONCATENATE("    - ",TEXT('DLC mass atten coeff'!O1032,"0.000E+00"))</f>
        <v xml:space="preserve">    - 8.698E-02</v>
      </c>
    </row>
    <row r="477" spans="1:1">
      <c r="A477" t="str">
        <f>CONCATENATE("    - ",TEXT('DLC mass atten coeff'!O1033,"0.000E+00"))</f>
        <v xml:space="preserve">    - 8.041E-02</v>
      </c>
    </row>
    <row r="478" spans="1:1">
      <c r="A478" t="str">
        <f>CONCATENATE("    - ",TEXT('DLC mass atten coeff'!O1034,"0.000E+00"))</f>
        <v xml:space="preserve">    - 7.058E-02</v>
      </c>
    </row>
    <row r="479" spans="1:1">
      <c r="A479" t="str">
        <f>CONCATENATE("    - ",TEXT('DLC mass atten coeff'!O1035,"0.000E+00"))</f>
        <v xml:space="preserve">    - 6.344E-02</v>
      </c>
    </row>
    <row r="480" spans="1:1">
      <c r="A480" t="str">
        <f>CONCATENATE("    - ",TEXT('DLC mass atten coeff'!O1036,"0.000E+00"))</f>
        <v xml:space="preserve">    - 5.171E-02</v>
      </c>
    </row>
    <row r="481" spans="1:1">
      <c r="A481" t="str">
        <f>CONCATENATE("    - ",TEXT('DLC mass atten coeff'!O1037,"0.000E+00"))</f>
        <v xml:space="preserve">    - 4.469E-02</v>
      </c>
    </row>
    <row r="482" spans="1:1">
      <c r="A482" t="str">
        <f>CONCATENATE("    - ",TEXT('DLC mass atten coeff'!O1038,"0.000E+00"))</f>
        <v xml:space="preserve">    - 3.670E-02</v>
      </c>
    </row>
    <row r="483" spans="1:1">
      <c r="A483" t="str">
        <f>CONCATENATE("    - ",TEXT('DLC mass atten coeff'!O1039,"0.000E+00"))</f>
        <v xml:space="preserve">    - 3.233E-02</v>
      </c>
    </row>
    <row r="484" spans="1:1">
      <c r="A484" t="str">
        <f>CONCATENATE("    - ",TEXT('DLC mass atten coeff'!O1040,"0.000E+00"))</f>
        <v xml:space="preserve">    - 2.960E-02</v>
      </c>
    </row>
    <row r="485" spans="1:1">
      <c r="A485" t="str">
        <f>CONCATENATE("    - ",TEXT('DLC mass atten coeff'!O1041,"0.000E+00"))</f>
        <v xml:space="preserve">    - 2.781E-02</v>
      </c>
    </row>
    <row r="486" spans="1:1">
      <c r="A486" t="str">
        <f>CONCATENATE("    - ",TEXT('DLC mass atten coeff'!O1042,"0.000E+00"))</f>
        <v xml:space="preserve">    - 2.568E-02</v>
      </c>
    </row>
    <row r="487" spans="1:1">
      <c r="A487" t="str">
        <f>CONCATENATE("    - ",TEXT('DLC mass atten coeff'!O1043,"0.000E+00"))</f>
        <v xml:space="preserve">    - 2.457E-02</v>
      </c>
    </row>
    <row r="488" spans="1:1">
      <c r="A488" t="str">
        <f>CONCATENATE("    - ",TEXT('DLC mass atten coeff'!O1044,"0.000E+00"))</f>
        <v xml:space="preserve">    - 2.347E-02</v>
      </c>
    </row>
    <row r="489" spans="1:1">
      <c r="A489" t="str">
        <f>CONCATENATE("    - ",TEXT('DLC mass atten coeff'!O1045,"0.000E+00"))</f>
        <v xml:space="preserve">    - 2.334E-02</v>
      </c>
    </row>
    <row r="490" spans="1:1">
      <c r="A490" t="str">
        <f>CONCATENATE("    - ",TEXT('DLC mass atten coeff'!O1046,"0.000E+00"))</f>
        <v xml:space="preserve">    - 2.381E-02</v>
      </c>
    </row>
    <row r="491" spans="1:1">
      <c r="A491" t="str">
        <f>CONCATENATE('DLC mass atten coeff'!P1018,":")</f>
        <v>phosphorus:</v>
      </c>
    </row>
    <row r="492" spans="1:1">
      <c r="A492" s="18" t="str">
        <f>CONCATENATE("  density: ",VLOOKUP(A491,densities!$A$5:$B$110,2,FALSE))</f>
        <v xml:space="preserve">  density: 2.200E+00</v>
      </c>
    </row>
    <row r="493" spans="1:1" ht="16">
      <c r="A493" s="19" t="s">
        <v>1569</v>
      </c>
    </row>
    <row r="494" spans="1:1">
      <c r="A494" s="19" t="s">
        <v>1553</v>
      </c>
    </row>
    <row r="495" spans="1:1">
      <c r="A495" s="19" t="s">
        <v>1554</v>
      </c>
    </row>
    <row r="496" spans="1:1">
      <c r="A496" s="21" t="s">
        <v>1860</v>
      </c>
    </row>
    <row r="497" spans="1:1">
      <c r="A497" s="19" t="s">
        <v>1555</v>
      </c>
    </row>
    <row r="498" spans="1:1">
      <c r="A498" t="str">
        <f>CONCATENATE("    - ",TEXT('DLC mass atten coeff'!P1019,"0.000E+00"))</f>
        <v xml:space="preserve">    - 3.978E+01</v>
      </c>
    </row>
    <row r="499" spans="1:1">
      <c r="A499" t="str">
        <f>CONCATENATE("    - ",TEXT('DLC mass atten coeff'!P1020,"0.000E+00"))</f>
        <v xml:space="preserve">    - 1.207E+01</v>
      </c>
    </row>
    <row r="500" spans="1:1">
      <c r="A500" t="str">
        <f>CONCATENATE("    - ",TEXT('DLC mass atten coeff'!P1021,"0.000E+00"))</f>
        <v xml:space="preserve">    - 5.148E+00</v>
      </c>
    </row>
    <row r="501" spans="1:1">
      <c r="A501" t="str">
        <f>CONCATENATE("    - ",TEXT('DLC mass atten coeff'!P1022,"0.000E+00"))</f>
        <v xml:space="preserve">    - 1.596E+00</v>
      </c>
    </row>
    <row r="502" spans="1:1">
      <c r="A502" t="str">
        <f>CONCATENATE("    - ",TEXT('DLC mass atten coeff'!P1023,"0.000E+00"))</f>
        <v xml:space="preserve">    - 7.459E-01</v>
      </c>
    </row>
    <row r="503" spans="1:1">
      <c r="A503" t="str">
        <f>CONCATENATE("    - ",TEXT('DLC mass atten coeff'!P1024,"0.000E+00"))</f>
        <v xml:space="preserve">    - 4.489E-01</v>
      </c>
    </row>
    <row r="504" spans="1:1">
      <c r="A504" t="str">
        <f>CONCATENATE("    - ",TEXT('DLC mass atten coeff'!P1025,"0.000E+00"))</f>
        <v xml:space="preserve">    - 3.188E-01</v>
      </c>
    </row>
    <row r="505" spans="1:1">
      <c r="A505" t="str">
        <f>CONCATENATE("    - ",TEXT('DLC mass atten coeff'!P1026,"0.000E+00"))</f>
        <v xml:space="preserve">    - 2.146E-01</v>
      </c>
    </row>
    <row r="506" spans="1:1">
      <c r="A506" t="str">
        <f>CONCATENATE("    - ",TEXT('DLC mass atten coeff'!P1027,"0.000E+00"))</f>
        <v xml:space="preserve">    - 1.749E-01</v>
      </c>
    </row>
    <row r="507" spans="1:1">
      <c r="A507" t="str">
        <f>CONCATENATE("    - ",TEXT('DLC mass atten coeff'!P1028,"0.000E+00"))</f>
        <v xml:space="preserve">    - 1.379E-01</v>
      </c>
    </row>
    <row r="508" spans="1:1">
      <c r="A508" t="str">
        <f>CONCATENATE("    - ",TEXT('DLC mass atten coeff'!P1029,"0.000E+00"))</f>
        <v xml:space="preserve">    - 1.219E-01</v>
      </c>
    </row>
    <row r="509" spans="1:1">
      <c r="A509" t="str">
        <f>CONCATENATE("    - ",TEXT('DLC mass atten coeff'!P1030,"0.000E+00"))</f>
        <v xml:space="preserve">    - 1.041E-01</v>
      </c>
    </row>
    <row r="510" spans="1:1">
      <c r="A510" t="str">
        <f>CONCATENATE("    - ",TEXT('DLC mass atten coeff'!P1031,"0.000E+00"))</f>
        <v xml:space="preserve">    - 9.279E-02</v>
      </c>
    </row>
    <row r="511" spans="1:1">
      <c r="A511" t="str">
        <f>CONCATENATE("    - ",TEXT('DLC mass atten coeff'!P1032,"0.000E+00"))</f>
        <v xml:space="preserve">    - 8.458E-02</v>
      </c>
    </row>
    <row r="512" spans="1:1">
      <c r="A512" t="str">
        <f>CONCATENATE("    - ",TEXT('DLC mass atten coeff'!P1033,"0.000E+00"))</f>
        <v xml:space="preserve">    - 7.815E-02</v>
      </c>
    </row>
    <row r="513" spans="1:1">
      <c r="A513" t="str">
        <f>CONCATENATE("    - ",TEXT('DLC mass atten coeff'!P1034,"0.000E+00"))</f>
        <v xml:space="preserve">    - 6.859E-02</v>
      </c>
    </row>
    <row r="514" spans="1:1">
      <c r="A514" t="str">
        <f>CONCATENATE("    - ",TEXT('DLC mass atten coeff'!P1035,"0.000E+00"))</f>
        <v xml:space="preserve">    - 6.164E-02</v>
      </c>
    </row>
    <row r="515" spans="1:1">
      <c r="A515" t="str">
        <f>CONCATENATE("    - ",TEXT('DLC mass atten coeff'!P1036,"0.000E+00"))</f>
        <v xml:space="preserve">    - 5.027E-02</v>
      </c>
    </row>
    <row r="516" spans="1:1">
      <c r="A516" t="str">
        <f>CONCATENATE("    - ",TEXT('DLC mass atten coeff'!P1037,"0.000E+00"))</f>
        <v xml:space="preserve">    - 4.348E-02</v>
      </c>
    </row>
    <row r="517" spans="1:1">
      <c r="A517" t="str">
        <f>CONCATENATE("    - ",TEXT('DLC mass atten coeff'!P1038,"0.000E+00"))</f>
        <v xml:space="preserve">    - 3.580E-02</v>
      </c>
    </row>
    <row r="518" spans="1:1">
      <c r="A518" t="str">
        <f>CONCATENATE("    - ",TEXT('DLC mass atten coeff'!P1039,"0.000E+00"))</f>
        <v xml:space="preserve">    - 3.165E-02</v>
      </c>
    </row>
    <row r="519" spans="1:1">
      <c r="A519" t="str">
        <f>CONCATENATE("    - ",TEXT('DLC mass atten coeff'!P1040,"0.000E+00"))</f>
        <v xml:space="preserve">    - 2.908E-02</v>
      </c>
    </row>
    <row r="520" spans="1:1">
      <c r="A520" t="str">
        <f>CONCATENATE("    - ",TEXT('DLC mass atten coeff'!P1041,"0.000E+00"))</f>
        <v xml:space="preserve">    - 2.741E-02</v>
      </c>
    </row>
    <row r="521" spans="1:1">
      <c r="A521" t="str">
        <f>CONCATENATE("    - ",TEXT('DLC mass atten coeff'!P1042,"0.000E+00"))</f>
        <v xml:space="preserve">    - 2.547E-02</v>
      </c>
    </row>
    <row r="522" spans="1:1">
      <c r="A522" t="str">
        <f>CONCATENATE("    - ",TEXT('DLC mass atten coeff'!P1043,"0.000E+00"))</f>
        <v xml:space="preserve">    - 2.447E-02</v>
      </c>
    </row>
    <row r="523" spans="1:1">
      <c r="A523" t="str">
        <f>CONCATENATE("    - ",TEXT('DLC mass atten coeff'!P1044,"0.000E+00"))</f>
        <v xml:space="preserve">    - 2.360E-02</v>
      </c>
    </row>
    <row r="524" spans="1:1">
      <c r="A524" t="str">
        <f>CONCATENATE("    - ",TEXT('DLC mass atten coeff'!P1045,"0.000E+00"))</f>
        <v xml:space="preserve">    - 2.359E-02</v>
      </c>
    </row>
    <row r="525" spans="1:1">
      <c r="A525" t="str">
        <f>CONCATENATE("    - ",TEXT('DLC mass atten coeff'!P1046,"0.000E+00"))</f>
        <v xml:space="preserve">    - 2.422E-02</v>
      </c>
    </row>
    <row r="526" spans="1:1">
      <c r="A526" t="str">
        <f>CONCATENATE('DLC mass atten coeff'!Q1018,":")</f>
        <v>sulfur:</v>
      </c>
    </row>
    <row r="527" spans="1:1">
      <c r="A527" s="18" t="str">
        <f>CONCATENATE("  density: ",VLOOKUP(A526,densities!$A$5:$B$110,2,FALSE))</f>
        <v xml:space="preserve">  density: 2.000E+00</v>
      </c>
    </row>
    <row r="528" spans="1:1" ht="16">
      <c r="A528" s="19" t="s">
        <v>1570</v>
      </c>
    </row>
    <row r="529" spans="1:1">
      <c r="A529" s="19" t="s">
        <v>1553</v>
      </c>
    </row>
    <row r="530" spans="1:1">
      <c r="A530" s="19" t="s">
        <v>1554</v>
      </c>
    </row>
    <row r="531" spans="1:1">
      <c r="A531" s="21" t="s">
        <v>1860</v>
      </c>
    </row>
    <row r="532" spans="1:1">
      <c r="A532" s="19" t="s">
        <v>1555</v>
      </c>
    </row>
    <row r="533" spans="1:1">
      <c r="A533" t="str">
        <f>CONCATENATE("    - ",TEXT('DLC mass atten coeff'!Q1019,"0.000E+00"))</f>
        <v xml:space="preserve">    - 4.950E+01</v>
      </c>
    </row>
    <row r="534" spans="1:1">
      <c r="A534" t="str">
        <f>CONCATENATE("    - ",TEXT('DLC mass atten coeff'!Q1020,"0.000E+00"))</f>
        <v xml:space="preserve">    - 1.513E+01</v>
      </c>
    </row>
    <row r="535" spans="1:1">
      <c r="A535" t="str">
        <f>CONCATENATE("    - ",TEXT('DLC mass atten coeff'!Q1021,"0.000E+00"))</f>
        <v xml:space="preserve">    - 6.475E+00</v>
      </c>
    </row>
    <row r="536" spans="1:1">
      <c r="A536" t="str">
        <f>CONCATENATE("    - ",TEXT('DLC mass atten coeff'!Q1022,"0.000E+00"))</f>
        <v xml:space="preserve">    - 1.993E+00</v>
      </c>
    </row>
    <row r="537" spans="1:1">
      <c r="A537" t="str">
        <f>CONCATENATE("    - ",TEXT('DLC mass atten coeff'!Q1023,"0.000E+00"))</f>
        <v xml:space="preserve">    - 9.144E-01</v>
      </c>
    </row>
    <row r="538" spans="1:1">
      <c r="A538" t="str">
        <f>CONCATENATE("    - ",TEXT('DLC mass atten coeff'!Q1024,"0.000E+00"))</f>
        <v xml:space="preserve">    - 5.358E-01</v>
      </c>
    </row>
    <row r="539" spans="1:1">
      <c r="A539" t="str">
        <f>CONCATENATE("    - ",TEXT('DLC mass atten coeff'!Q1025,"0.000E+00"))</f>
        <v xml:space="preserve">    - 3.701E-01</v>
      </c>
    </row>
    <row r="540" spans="1:1">
      <c r="A540" t="str">
        <f>CONCATENATE("    - ",TEXT('DLC mass atten coeff'!Q1026,"0.000E+00"))</f>
        <v xml:space="preserve">    - 2.381E-01</v>
      </c>
    </row>
    <row r="541" spans="1:1">
      <c r="A541" t="str">
        <f>CONCATENATE("    - ",TEXT('DLC mass atten coeff'!Q1027,"0.000E+00"))</f>
        <v xml:space="preserve">    - 1.886E-01</v>
      </c>
    </row>
    <row r="542" spans="1:1">
      <c r="A542" t="str">
        <f>CONCATENATE("    - ",TEXT('DLC mass atten coeff'!Q1028,"0.000E+00"))</f>
        <v xml:space="preserve">    - 1.444E-01</v>
      </c>
    </row>
    <row r="543" spans="1:1">
      <c r="A543" t="str">
        <f>CONCATENATE("    - ",TEXT('DLC mass atten coeff'!Q1029,"0.000E+00"))</f>
        <v xml:space="preserve">    - 1.267E-01</v>
      </c>
    </row>
    <row r="544" spans="1:1">
      <c r="A544" t="str">
        <f>CONCATENATE("    - ",TEXT('DLC mass atten coeff'!Q1030,"0.000E+00"))</f>
        <v xml:space="preserve">    - 1.075E-01</v>
      </c>
    </row>
    <row r="545" spans="1:1">
      <c r="A545" t="str">
        <f>CONCATENATE("    - ",TEXT('DLC mass atten coeff'!Q1031,"0.000E+00"))</f>
        <v xml:space="preserve">    - 9.574E-02</v>
      </c>
    </row>
    <row r="546" spans="1:1">
      <c r="A546" t="str">
        <f>CONCATENATE("    - ",TEXT('DLC mass atten coeff'!Q1032,"0.000E+00"))</f>
        <v xml:space="preserve">    - 8.722E-02</v>
      </c>
    </row>
    <row r="547" spans="1:1">
      <c r="A547" t="str">
        <f>CONCATENATE("    - ",TEXT('DLC mass atten coeff'!Q1033,"0.000E+00"))</f>
        <v xml:space="preserve">    - 8.059E-02</v>
      </c>
    </row>
    <row r="548" spans="1:1">
      <c r="A548" t="str">
        <f>CONCATENATE("    - ",TEXT('DLC mass atten coeff'!Q1034,"0.000E+00"))</f>
        <v xml:space="preserve">    - 7.071E-02</v>
      </c>
    </row>
    <row r="549" spans="1:1">
      <c r="A549" t="str">
        <f>CONCATENATE("    - ",TEXT('DLC mass atten coeff'!Q1035,"0.000E+00"))</f>
        <v xml:space="preserve">    - 6.353E-02</v>
      </c>
    </row>
    <row r="550" spans="1:1">
      <c r="A550" t="str">
        <f>CONCATENATE("    - ",TEXT('DLC mass atten coeff'!Q1036,"0.000E+00"))</f>
        <v xml:space="preserve">    - 5.181E-02</v>
      </c>
    </row>
    <row r="551" spans="1:1">
      <c r="A551" t="str">
        <f>CONCATENATE("    - ",TEXT('DLC mass atten coeff'!Q1037,"0.000E+00"))</f>
        <v xml:space="preserve">    - 4.487E-02</v>
      </c>
    </row>
    <row r="552" spans="1:1">
      <c r="A552" t="str">
        <f>CONCATENATE("    - ",TEXT('DLC mass atten coeff'!Q1038,"0.000E+00"))</f>
        <v xml:space="preserve">    - 3.706E-02</v>
      </c>
    </row>
    <row r="553" spans="1:1">
      <c r="A553" t="str">
        <f>CONCATENATE("    - ",TEXT('DLC mass atten coeff'!Q1039,"0.000E+00"))</f>
        <v xml:space="preserve">    - 3.287E-02</v>
      </c>
    </row>
    <row r="554" spans="1:1">
      <c r="A554" t="str">
        <f>CONCATENATE("    - ",TEXT('DLC mass atten coeff'!Q1040,"0.000E+00"))</f>
        <v xml:space="preserve">    - 3.031E-02</v>
      </c>
    </row>
    <row r="555" spans="1:1">
      <c r="A555" t="str">
        <f>CONCATENATE("    - ",TEXT('DLC mass atten coeff'!Q1041,"0.000E+00"))</f>
        <v xml:space="preserve">    - 2.866E-02</v>
      </c>
    </row>
    <row r="556" spans="1:1">
      <c r="A556" t="str">
        <f>CONCATENATE("    - ",TEXT('DLC mass atten coeff'!Q1042,"0.000E+00"))</f>
        <v xml:space="preserve">    - 2.677E-02</v>
      </c>
    </row>
    <row r="557" spans="1:1">
      <c r="A557" t="str">
        <f>CONCATENATE("    - ",TEXT('DLC mass atten coeff'!Q1043,"0.000E+00"))</f>
        <v xml:space="preserve">    - 2.585E-02</v>
      </c>
    </row>
    <row r="558" spans="1:1">
      <c r="A558" t="str">
        <f>CONCATENATE("    - ",TEXT('DLC mass atten coeff'!Q1044,"0.000E+00"))</f>
        <v xml:space="preserve">    - 2.512E-02</v>
      </c>
    </row>
    <row r="559" spans="1:1">
      <c r="A559" t="str">
        <f>CONCATENATE("    - ",TEXT('DLC mass atten coeff'!Q1045,"0.000E+00"))</f>
        <v xml:space="preserve">    - 2.525E-02</v>
      </c>
    </row>
    <row r="560" spans="1:1">
      <c r="A560" t="str">
        <f>CONCATENATE("    - ",TEXT('DLC mass atten coeff'!Q1046,"0.000E+00"))</f>
        <v xml:space="preserve">    - 2.609E-02</v>
      </c>
    </row>
    <row r="561" spans="1:1">
      <c r="A561" t="str">
        <f>CONCATENATE('DLC mass atten coeff'!R1018,":")</f>
        <v>chlorine:</v>
      </c>
    </row>
    <row r="562" spans="1:1">
      <c r="A562" s="18" t="str">
        <f>CONCATENATE("  density: ",VLOOKUP(A561,densities!$A$5:$B$110,2,FALSE))</f>
        <v xml:space="preserve">  density: 2.995E-03</v>
      </c>
    </row>
    <row r="563" spans="1:1" ht="16">
      <c r="A563" s="19" t="s">
        <v>1571</v>
      </c>
    </row>
    <row r="564" spans="1:1">
      <c r="A564" s="19" t="s">
        <v>1553</v>
      </c>
    </row>
    <row r="565" spans="1:1">
      <c r="A565" s="19" t="s">
        <v>1554</v>
      </c>
    </row>
    <row r="566" spans="1:1">
      <c r="A566" s="21" t="s">
        <v>1860</v>
      </c>
    </row>
    <row r="567" spans="1:1">
      <c r="A567" s="19" t="s">
        <v>1555</v>
      </c>
    </row>
    <row r="568" spans="1:1">
      <c r="A568" t="str">
        <f>CONCATENATE("    - ",TEXT('DLC mass atten coeff'!R1019,"0.000E+00"))</f>
        <v xml:space="preserve">    - 5.659E+01</v>
      </c>
    </row>
    <row r="569" spans="1:1">
      <c r="A569" t="str">
        <f>CONCATENATE("    - ",TEXT('DLC mass atten coeff'!R1020,"0.000E+00"))</f>
        <v xml:space="preserve">    - 1.745E+01</v>
      </c>
    </row>
    <row r="570" spans="1:1">
      <c r="A570" t="str">
        <f>CONCATENATE("    - ",TEXT('DLC mass atten coeff'!R1021,"0.000E+00"))</f>
        <v xml:space="preserve">    - 7.492E+00</v>
      </c>
    </row>
    <row r="571" spans="1:1">
      <c r="A571" t="str">
        <f>CONCATENATE("    - ",TEXT('DLC mass atten coeff'!R1022,"0.000E+00"))</f>
        <v xml:space="preserve">    - 2.299E+00</v>
      </c>
    </row>
    <row r="572" spans="1:1">
      <c r="A572" t="str">
        <f>CONCATENATE("    - ",TEXT('DLC mass atten coeff'!R1023,"0.000E+00"))</f>
        <v xml:space="preserve">    - 1.039E+00</v>
      </c>
    </row>
    <row r="573" spans="1:1">
      <c r="A573" t="str">
        <f>CONCATENATE("    - ",TEXT('DLC mass atten coeff'!R1024,"0.000E+00"))</f>
        <v xml:space="preserve">    - 5.959E-01</v>
      </c>
    </row>
    <row r="574" spans="1:1">
      <c r="A574" t="str">
        <f>CONCATENATE("    - ",TEXT('DLC mass atten coeff'!R1025,"0.000E+00"))</f>
        <v xml:space="preserve">    - 4.019E-01</v>
      </c>
    </row>
    <row r="575" spans="1:1">
      <c r="A575" t="str">
        <f>CONCATENATE("    - ",TEXT('DLC mass atten coeff'!R1026,"0.000E+00"))</f>
        <v xml:space="preserve">    - 2.476E-01</v>
      </c>
    </row>
    <row r="576" spans="1:1">
      <c r="A576" t="str">
        <f>CONCATENATE("    - ",TEXT('DLC mass atten coeff'!R1027,"0.000E+00"))</f>
        <v xml:space="preserve">    - 1.906E-01</v>
      </c>
    </row>
    <row r="577" spans="1:1">
      <c r="A577" t="str">
        <f>CONCATENATE("    - ",TEXT('DLC mass atten coeff'!R1028,"0.000E+00"))</f>
        <v xml:space="preserve">    - 1.414E-01</v>
      </c>
    </row>
    <row r="578" spans="1:1">
      <c r="A578" t="str">
        <f>CONCATENATE("    - ",TEXT('DLC mass atten coeff'!R1029,"0.000E+00"))</f>
        <v xml:space="preserve">    - 1.228E-01</v>
      </c>
    </row>
    <row r="579" spans="1:1">
      <c r="A579" t="str">
        <f>CONCATENATE("    - ",TEXT('DLC mass atten coeff'!R1030,"0.000E+00"))</f>
        <v xml:space="preserve">    - 1.037E-01</v>
      </c>
    </row>
    <row r="580" spans="1:1">
      <c r="A580" t="str">
        <f>CONCATENATE("    - ",TEXT('DLC mass atten coeff'!R1031,"0.000E+00"))</f>
        <v xml:space="preserve">    - 9.214E-02</v>
      </c>
    </row>
    <row r="581" spans="1:1">
      <c r="A581" t="str">
        <f>CONCATENATE("    - ",TEXT('DLC mass atten coeff'!R1032,"0.000E+00"))</f>
        <v xml:space="preserve">    - 8.388E-02</v>
      </c>
    </row>
    <row r="582" spans="1:1">
      <c r="A582" t="str">
        <f>CONCATENATE("    - ",TEXT('DLC mass atten coeff'!R1033,"0.000E+00"))</f>
        <v xml:space="preserve">    - 7.747E-02</v>
      </c>
    </row>
    <row r="583" spans="1:1">
      <c r="A583" t="str">
        <f>CONCATENATE("    - ",TEXT('DLC mass atten coeff'!R1034,"0.000E+00"))</f>
        <v xml:space="preserve">    - 6.796E-02</v>
      </c>
    </row>
    <row r="584" spans="1:1">
      <c r="A584" t="str">
        <f>CONCATENATE("    - ",TEXT('DLC mass atten coeff'!R1035,"0.000E+00"))</f>
        <v xml:space="preserve">    - 6.107E-02</v>
      </c>
    </row>
    <row r="585" spans="1:1">
      <c r="A585" t="str">
        <f>CONCATENATE("    - ",TEXT('DLC mass atten coeff'!R1036,"0.000E+00"))</f>
        <v xml:space="preserve">    - 4.981E-02</v>
      </c>
    </row>
    <row r="586" spans="1:1">
      <c r="A586" t="str">
        <f>CONCATENATE("    - ",TEXT('DLC mass atten coeff'!R1037,"0.000E+00"))</f>
        <v xml:space="preserve">    - 4.317E-02</v>
      </c>
    </row>
    <row r="587" spans="1:1">
      <c r="A587" t="str">
        <f>CONCATENATE("    - ",TEXT('DLC mass atten coeff'!R1038,"0.000E+00"))</f>
        <v xml:space="preserve">    - 3.577E-02</v>
      </c>
    </row>
    <row r="588" spans="1:1">
      <c r="A588" t="str">
        <f>CONCATENATE("    - ",TEXT('DLC mass atten coeff'!R1039,"0.000E+00"))</f>
        <v xml:space="preserve">    - 3.182E-02</v>
      </c>
    </row>
    <row r="589" spans="1:1">
      <c r="A589" t="str">
        <f>CONCATENATE("    - ",TEXT('DLC mass atten coeff'!R1040,"0.000E+00"))</f>
        <v xml:space="preserve">    - 2.944E-02</v>
      </c>
    </row>
    <row r="590" spans="1:1">
      <c r="A590" t="str">
        <f>CONCATENATE("    - ",TEXT('DLC mass atten coeff'!R1041,"0.000E+00"))</f>
        <v xml:space="preserve">    - 2.792E-02</v>
      </c>
    </row>
    <row r="591" spans="1:1">
      <c r="A591" t="str">
        <f>CONCATENATE("    - ",TEXT('DLC mass atten coeff'!R1042,"0.000E+00"))</f>
        <v xml:space="preserve">    - 2.623E-02</v>
      </c>
    </row>
    <row r="592" spans="1:1">
      <c r="A592" t="str">
        <f>CONCATENATE("    - ",TEXT('DLC mass atten coeff'!R1043,"0.000E+00"))</f>
        <v xml:space="preserve">    - 2.543E-02</v>
      </c>
    </row>
    <row r="593" spans="1:1">
      <c r="A593" t="str">
        <f>CONCATENATE("    - ",TEXT('DLC mass atten coeff'!R1044,"0.000E+00"))</f>
        <v xml:space="preserve">    - 2.491E-02</v>
      </c>
    </row>
    <row r="594" spans="1:1">
      <c r="A594" t="str">
        <f>CONCATENATE("    - ",TEXT('DLC mass atten coeff'!R1045,"0.000E+00"))</f>
        <v xml:space="preserve">    - 2.516E-02</v>
      </c>
    </row>
    <row r="595" spans="1:1">
      <c r="A595" t="str">
        <f>CONCATENATE("    - ",TEXT('DLC mass atten coeff'!R1046,"0.000E+00"))</f>
        <v xml:space="preserve">    - 2.614E-02</v>
      </c>
    </row>
    <row r="596" spans="1:1">
      <c r="A596" t="str">
        <f>CONCATENATE('DLC mass atten coeff'!S1018,":")</f>
        <v>argon:</v>
      </c>
    </row>
    <row r="597" spans="1:1">
      <c r="A597" s="18" t="str">
        <f>CONCATENATE("  density: ",VLOOKUP(A596,densities!$A$5:$B$110,2,FALSE))</f>
        <v xml:space="preserve">  density: 1.662E-03</v>
      </c>
    </row>
    <row r="598" spans="1:1" ht="16">
      <c r="A598" s="19" t="s">
        <v>1572</v>
      </c>
    </row>
    <row r="599" spans="1:1">
      <c r="A599" s="19" t="s">
        <v>1553</v>
      </c>
    </row>
    <row r="600" spans="1:1">
      <c r="A600" s="19" t="s">
        <v>1554</v>
      </c>
    </row>
    <row r="601" spans="1:1">
      <c r="A601" s="21" t="s">
        <v>1860</v>
      </c>
    </row>
    <row r="602" spans="1:1">
      <c r="A602" s="19" t="s">
        <v>1555</v>
      </c>
    </row>
    <row r="603" spans="1:1">
      <c r="A603" t="str">
        <f>CONCATENATE("    - ",TEXT('DLC mass atten coeff'!S1019,"0.000E+00"))</f>
        <v xml:space="preserve">    - 6.249E+01</v>
      </c>
    </row>
    <row r="604" spans="1:1">
      <c r="A604" t="str">
        <f>CONCATENATE("    - ",TEXT('DLC mass atten coeff'!S1020,"0.000E+00"))</f>
        <v xml:space="preserve">    - 1.943E+01</v>
      </c>
    </row>
    <row r="605" spans="1:1">
      <c r="A605" t="str">
        <f>CONCATENATE("    - ",TEXT('DLC mass atten coeff'!S1021,"0.000E+00"))</f>
        <v xml:space="preserve">    - 8.375E+00</v>
      </c>
    </row>
    <row r="606" spans="1:1">
      <c r="A606" t="str">
        <f>CONCATENATE("    - ",TEXT('DLC mass atten coeff'!S1022,"0.000E+00"))</f>
        <v xml:space="preserve">    - 2.566E+00</v>
      </c>
    </row>
    <row r="607" spans="1:1">
      <c r="A607" t="str">
        <f>CONCATENATE("    - ",TEXT('DLC mass atten coeff'!S1023,"0.000E+00"))</f>
        <v xml:space="preserve">    - 1.148E+00</v>
      </c>
    </row>
    <row r="608" spans="1:1">
      <c r="A608" t="str">
        <f>CONCATENATE("    - ",TEXT('DLC mass atten coeff'!S1024,"0.000E+00"))</f>
        <v xml:space="preserve">    - 6.470E-01</v>
      </c>
    </row>
    <row r="609" spans="1:1">
      <c r="A609" t="str">
        <f>CONCATENATE("    - ",TEXT('DLC mass atten coeff'!S1025,"0.000E+00"))</f>
        <v xml:space="preserve">    - 4.273E-01</v>
      </c>
    </row>
    <row r="610" spans="1:1">
      <c r="A610" t="str">
        <f>CONCATENATE("    - ",TEXT('DLC mass atten coeff'!S1026,"0.000E+00"))</f>
        <v xml:space="preserve">    - 2.531E-01</v>
      </c>
    </row>
    <row r="611" spans="1:1">
      <c r="A611" t="str">
        <f>CONCATENATE("    - ",TEXT('DLC mass atten coeff'!S1027,"0.000E+00"))</f>
        <v xml:space="preserve">    - 1.893E-01</v>
      </c>
    </row>
    <row r="612" spans="1:1">
      <c r="A612" t="str">
        <f>CONCATENATE("    - ",TEXT('DLC mass atten coeff'!S1028,"0.000E+00"))</f>
        <v xml:space="preserve">    - 1.359E-01</v>
      </c>
    </row>
    <row r="613" spans="1:1">
      <c r="A613" t="str">
        <f>CONCATENATE("    - ",TEXT('DLC mass atten coeff'!S1029,"0.000E+00"))</f>
        <v xml:space="preserve">    - 1.166E-01</v>
      </c>
    </row>
    <row r="614" spans="1:1">
      <c r="A614" t="str">
        <f>CONCATENATE("    - ",TEXT('DLC mass atten coeff'!S1030,"0.000E+00"))</f>
        <v xml:space="preserve">    - 9.773E-02</v>
      </c>
    </row>
    <row r="615" spans="1:1">
      <c r="A615" t="str">
        <f>CONCATENATE("    - ",TEXT('DLC mass atten coeff'!S1031,"0.000E+00"))</f>
        <v xml:space="preserve">    - 8.672E-02</v>
      </c>
    </row>
    <row r="616" spans="1:1">
      <c r="A616" t="str">
        <f>CONCATENATE("    - ",TEXT('DLC mass atten coeff'!S1032,"0.000E+00"))</f>
        <v xml:space="preserve">    - 7.890E-02</v>
      </c>
    </row>
    <row r="617" spans="1:1">
      <c r="A617" t="str">
        <f>CONCATENATE("    - ",TEXT('DLC mass atten coeff'!S1033,"0.000E+00"))</f>
        <v xml:space="preserve">    - 7.286E-02</v>
      </c>
    </row>
    <row r="618" spans="1:1">
      <c r="A618" t="str">
        <f>CONCATENATE("    - ",TEXT('DLC mass atten coeff'!S1034,"0.000E+00"))</f>
        <v xml:space="preserve">    - 6.389E-02</v>
      </c>
    </row>
    <row r="619" spans="1:1">
      <c r="A619" t="str">
        <f>CONCATENATE("    - ",TEXT('DLC mass atten coeff'!S1035,"0.000E+00"))</f>
        <v xml:space="preserve">    - 5.740E-02</v>
      </c>
    </row>
    <row r="620" spans="1:1">
      <c r="A620" t="str">
        <f>CONCATENATE("    - ",TEXT('DLC mass atten coeff'!S1036,"0.000E+00"))</f>
        <v xml:space="preserve">    - 4.682E-02</v>
      </c>
    </row>
    <row r="621" spans="1:1">
      <c r="A621" t="str">
        <f>CONCATENATE("    - ",TEXT('DLC mass atten coeff'!S1037,"0.000E+00"))</f>
        <v xml:space="preserve">    - 4.062E-02</v>
      </c>
    </row>
    <row r="622" spans="1:1">
      <c r="A622" t="str">
        <f>CONCATENATE("    - ",TEXT('DLC mass atten coeff'!S1038,"0.000E+00"))</f>
        <v xml:space="preserve">    - 3.375E-02</v>
      </c>
    </row>
    <row r="623" spans="1:1">
      <c r="A623" t="str">
        <f>CONCATENATE("    - ",TEXT('DLC mass atten coeff'!S1039,"0.000E+00"))</f>
        <v xml:space="preserve">    - 3.013E-02</v>
      </c>
    </row>
    <row r="624" spans="1:1">
      <c r="A624" t="str">
        <f>CONCATENATE("    - ",TEXT('DLC mass atten coeff'!S1040,"0.000E+00"))</f>
        <v xml:space="preserve">    - 2.797E-02</v>
      </c>
    </row>
    <row r="625" spans="1:1">
      <c r="A625" t="str">
        <f>CONCATENATE("    - ",TEXT('DLC mass atten coeff'!S1041,"0.000E+00"))</f>
        <v xml:space="preserve">    - 2.660E-02</v>
      </c>
    </row>
    <row r="626" spans="1:1">
      <c r="A626" t="str">
        <f>CONCATENATE("    - ",TEXT('DLC mass atten coeff'!S1042,"0.000E+00"))</f>
        <v xml:space="preserve">    - 2.512E-02</v>
      </c>
    </row>
    <row r="627" spans="1:1">
      <c r="A627" t="str">
        <f>CONCATENATE("    - ",TEXT('DLC mass atten coeff'!S1043,"0.000E+00"))</f>
        <v xml:space="preserve">    - 2.446E-02</v>
      </c>
    </row>
    <row r="628" spans="1:1">
      <c r="A628" t="str">
        <f>CONCATENATE("    - ",TEXT('DLC mass atten coeff'!S1044,"0.000E+00"))</f>
        <v xml:space="preserve">    - 2.414E-02</v>
      </c>
    </row>
    <row r="629" spans="1:1">
      <c r="A629" t="str">
        <f>CONCATENATE("    - ",TEXT('DLC mass atten coeff'!S1045,"0.000E+00"))</f>
        <v xml:space="preserve">    - 2.449E-02</v>
      </c>
    </row>
    <row r="630" spans="1:1">
      <c r="A630" t="str">
        <f>CONCATENATE("    - ",TEXT('DLC mass atten coeff'!S1046,"0.000E+00"))</f>
        <v xml:space="preserve">    - 2.558E-02</v>
      </c>
    </row>
    <row r="631" spans="1:1">
      <c r="A631" t="str">
        <f>CONCATENATE('DLC mass atten coeff'!T1018,":")</f>
        <v>potassium:</v>
      </c>
    </row>
    <row r="632" spans="1:1">
      <c r="A632" s="18" t="str">
        <f>CONCATENATE("  density: ",VLOOKUP(A631,densities!$A$5:$B$110,2,FALSE))</f>
        <v xml:space="preserve">  density: 8.620E-01</v>
      </c>
    </row>
    <row r="633" spans="1:1" ht="16">
      <c r="A633" s="19" t="s">
        <v>1573</v>
      </c>
    </row>
    <row r="634" spans="1:1">
      <c r="A634" s="19" t="s">
        <v>1553</v>
      </c>
    </row>
    <row r="635" spans="1:1">
      <c r="A635" s="19" t="s">
        <v>1554</v>
      </c>
    </row>
    <row r="636" spans="1:1">
      <c r="A636" s="21" t="s">
        <v>1860</v>
      </c>
    </row>
    <row r="637" spans="1:1">
      <c r="A637" s="19" t="s">
        <v>1555</v>
      </c>
    </row>
    <row r="638" spans="1:1">
      <c r="A638" t="str">
        <f>CONCATENATE("    - ",TEXT('DLC mass atten coeff'!T1019,"0.000E+00"))</f>
        <v xml:space="preserve">    - 7.832E+01</v>
      </c>
    </row>
    <row r="639" spans="1:1">
      <c r="A639" t="str">
        <f>CONCATENATE("    - ",TEXT('DLC mass atten coeff'!T1020,"0.000E+00"))</f>
        <v xml:space="preserve">    - 2.457E+01</v>
      </c>
    </row>
    <row r="640" spans="1:1">
      <c r="A640" t="str">
        <f>CONCATENATE("    - ",TEXT('DLC mass atten coeff'!T1021,"0.000E+00"))</f>
        <v xml:space="preserve">    - 1.063E+01</v>
      </c>
    </row>
    <row r="641" spans="1:1">
      <c r="A641" t="str">
        <f>CONCATENATE("    - ",TEXT('DLC mass atten coeff'!T1022,"0.000E+00"))</f>
        <v xml:space="preserve">    - 3.260E+00</v>
      </c>
    </row>
    <row r="642" spans="1:1">
      <c r="A642" t="str">
        <f>CONCATENATE("    - ",TEXT('DLC mass atten coeff'!T1023,"0.000E+00"))</f>
        <v xml:space="preserve">    - 1.447E+00</v>
      </c>
    </row>
    <row r="643" spans="1:1">
      <c r="A643" t="str">
        <f>CONCATENATE("    - ",TEXT('DLC mass atten coeff'!T1024,"0.000E+00"))</f>
        <v xml:space="preserve">    - 8.042E-01</v>
      </c>
    </row>
    <row r="644" spans="1:1">
      <c r="A644" t="str">
        <f>CONCATENATE("    - ",TEXT('DLC mass atten coeff'!T1025,"0.000E+00"))</f>
        <v xml:space="preserve">    - 5.220E-01</v>
      </c>
    </row>
    <row r="645" spans="1:1">
      <c r="A645" t="str">
        <f>CONCATENATE("    - ",TEXT('DLC mass atten coeff'!T1026,"0.000E+00"))</f>
        <v xml:space="preserve">    - 2.981E-01</v>
      </c>
    </row>
    <row r="646" spans="1:1">
      <c r="A646" t="str">
        <f>CONCATENATE("    - ",TEXT('DLC mass atten coeff'!T1027,"0.000E+00"))</f>
        <v xml:space="preserve">    - 2.168E-01</v>
      </c>
    </row>
    <row r="647" spans="1:1">
      <c r="A647" t="str">
        <f>CONCATENATE("    - ",TEXT('DLC mass atten coeff'!T1028,"0.000E+00"))</f>
        <v xml:space="preserve">    - 1.501E-01</v>
      </c>
    </row>
    <row r="648" spans="1:1">
      <c r="A648" t="str">
        <f>CONCATENATE("    - ",TEXT('DLC mass atten coeff'!T1029,"0.000E+00"))</f>
        <v xml:space="preserve">    - 1.273E-01</v>
      </c>
    </row>
    <row r="649" spans="1:1">
      <c r="A649" t="str">
        <f>CONCATENATE("    - ",TEXT('DLC mass atten coeff'!T1030,"0.000E+00"))</f>
        <v xml:space="preserve">    - 1.059E-01</v>
      </c>
    </row>
    <row r="650" spans="1:1">
      <c r="A650" t="str">
        <f>CONCATENATE("    - ",TEXT('DLC mass atten coeff'!T1031,"0.000E+00"))</f>
        <v xml:space="preserve">    - 9.373E-02</v>
      </c>
    </row>
    <row r="651" spans="1:1">
      <c r="A651" t="str">
        <f>CONCATENATE("    - ",TEXT('DLC mass atten coeff'!T1032,"0.000E+00"))</f>
        <v xml:space="preserve">    - 8.520E-02</v>
      </c>
    </row>
    <row r="652" spans="1:1">
      <c r="A652" t="str">
        <f>CONCATENATE("    - ",TEXT('DLC mass atten coeff'!T1033,"0.000E+00"))</f>
        <v xml:space="preserve">    - 7.864E-02</v>
      </c>
    </row>
    <row r="653" spans="1:1">
      <c r="A653" t="str">
        <f>CONCATENATE("    - ",TEXT('DLC mass atten coeff'!T1034,"0.000E+00"))</f>
        <v xml:space="preserve">    - 6.894E-02</v>
      </c>
    </row>
    <row r="654" spans="1:1">
      <c r="A654" t="str">
        <f>CONCATENATE("    - ",TEXT('DLC mass atten coeff'!T1035,"0.000E+00"))</f>
        <v xml:space="preserve">    - 6.192E-02</v>
      </c>
    </row>
    <row r="655" spans="1:1">
      <c r="A655" t="str">
        <f>CONCATENATE("    - ",TEXT('DLC mass atten coeff'!T1036,"0.000E+00"))</f>
        <v xml:space="preserve">    - 5.053E-02</v>
      </c>
    </row>
    <row r="656" spans="1:1">
      <c r="A656" t="str">
        <f>CONCATENATE("    - ",TEXT('DLC mass atten coeff'!T1037,"0.000E+00"))</f>
        <v xml:space="preserve">    - 4.388E-02</v>
      </c>
    </row>
    <row r="657" spans="1:1">
      <c r="A657" t="str">
        <f>CONCATENATE("    - ",TEXT('DLC mass atten coeff'!T1038,"0.000E+00"))</f>
        <v xml:space="preserve">    - 3.657E-02</v>
      </c>
    </row>
    <row r="658" spans="1:1">
      <c r="A658" t="str">
        <f>CONCATENATE("    - ",TEXT('DLC mass atten coeff'!T1039,"0.000E+00"))</f>
        <v xml:space="preserve">    - 3.274E-02</v>
      </c>
    </row>
    <row r="659" spans="1:1">
      <c r="A659" t="str">
        <f>CONCATENATE("    - ",TEXT('DLC mass atten coeff'!T1040,"0.000E+00"))</f>
        <v xml:space="preserve">    - 3.047E-02</v>
      </c>
    </row>
    <row r="660" spans="1:1">
      <c r="A660" t="str">
        <f>CONCATENATE("    - ",TEXT('DLC mass atten coeff'!T1041,"0.000E+00"))</f>
        <v xml:space="preserve">    - 2.908E-02</v>
      </c>
    </row>
    <row r="661" spans="1:1">
      <c r="A661" t="str">
        <f>CONCATENATE("    - ",TEXT('DLC mass atten coeff'!T1042,"0.000E+00"))</f>
        <v xml:space="preserve">    - 2.761E-02</v>
      </c>
    </row>
    <row r="662" spans="1:1">
      <c r="A662" t="str">
        <f>CONCATENATE("    - ",TEXT('DLC mass atten coeff'!T1043,"0.000E+00"))</f>
        <v xml:space="preserve">    - 2.699E-02</v>
      </c>
    </row>
    <row r="663" spans="1:1">
      <c r="A663" t="str">
        <f>CONCATENATE("    - ",TEXT('DLC mass atten coeff'!T1044,"0.000E+00"))</f>
        <v xml:space="preserve">    - 2.682E-02</v>
      </c>
    </row>
    <row r="664" spans="1:1">
      <c r="A664" t="str">
        <f>CONCATENATE("    - ",TEXT('DLC mass atten coeff'!T1045,"0.000E+00"))</f>
        <v xml:space="preserve">    - 2.733E-02</v>
      </c>
    </row>
    <row r="665" spans="1:1">
      <c r="A665" t="str">
        <f>CONCATENATE("    - ",TEXT('DLC mass atten coeff'!T1046,"0.000E+00"))</f>
        <v xml:space="preserve">    - 2.866E-02</v>
      </c>
    </row>
    <row r="666" spans="1:1">
      <c r="A666" t="str">
        <f>CONCATENATE('DLC mass atten coeff'!U1018,":")</f>
        <v>calcium:</v>
      </c>
    </row>
    <row r="667" spans="1:1">
      <c r="A667" s="18" t="str">
        <f>CONCATENATE("  density: ",VLOOKUP(A666,densities!$A$5:$B$110,2,FALSE))</f>
        <v xml:space="preserve">  density: 1.550E+00</v>
      </c>
    </row>
    <row r="668" spans="1:1" ht="16">
      <c r="A668" s="19" t="s">
        <v>1574</v>
      </c>
    </row>
    <row r="669" spans="1:1">
      <c r="A669" s="19" t="s">
        <v>1553</v>
      </c>
    </row>
    <row r="670" spans="1:1">
      <c r="A670" s="19" t="s">
        <v>1554</v>
      </c>
    </row>
    <row r="671" spans="1:1">
      <c r="A671" s="21" t="s">
        <v>1860</v>
      </c>
    </row>
    <row r="672" spans="1:1">
      <c r="A672" s="19" t="s">
        <v>1555</v>
      </c>
    </row>
    <row r="673" spans="1:1">
      <c r="A673" t="str">
        <f>CONCATENATE("    - ",TEXT('DLC mass atten coeff'!U1019,"0.000E+00"))</f>
        <v xml:space="preserve">    - 9.259E+01</v>
      </c>
    </row>
    <row r="674" spans="1:1">
      <c r="A674" t="str">
        <f>CONCATENATE("    - ",TEXT('DLC mass atten coeff'!U1020,"0.000E+00"))</f>
        <v xml:space="preserve">    - 2.929E+01</v>
      </c>
    </row>
    <row r="675" spans="1:1">
      <c r="A675" t="str">
        <f>CONCATENATE("    - ",TEXT('DLC mass atten coeff'!U1021,"0.000E+00"))</f>
        <v xml:space="preserve">    - 1.273E+01</v>
      </c>
    </row>
    <row r="676" spans="1:1">
      <c r="A676" t="str">
        <f>CONCATENATE("    - ",TEXT('DLC mass atten coeff'!U1022,"0.000E+00"))</f>
        <v xml:space="preserve">    - 3.909E+00</v>
      </c>
    </row>
    <row r="677" spans="1:1">
      <c r="A677" t="str">
        <f>CONCATENATE("    - ",TEXT('DLC mass atten coeff'!U1023,"0.000E+00"))</f>
        <v xml:space="preserve">    - 1.726E+00</v>
      </c>
    </row>
    <row r="678" spans="1:1">
      <c r="A678" t="str">
        <f>CONCATENATE("    - ",TEXT('DLC mass atten coeff'!U1024,"0.000E+00"))</f>
        <v xml:space="preserve">    - 9.483E-01</v>
      </c>
    </row>
    <row r="679" spans="1:1">
      <c r="A679" t="str">
        <f>CONCATENATE("    - ",TEXT('DLC mass atten coeff'!U1025,"0.000E+00"))</f>
        <v xml:space="preserve">    - 6.067E-01</v>
      </c>
    </row>
    <row r="680" spans="1:1">
      <c r="A680" t="str">
        <f>CONCATENATE("    - ",TEXT('DLC mass atten coeff'!U1026,"0.000E+00"))</f>
        <v xml:space="preserve">    - 3.355E-01</v>
      </c>
    </row>
    <row r="681" spans="1:1">
      <c r="A681" t="str">
        <f>CONCATENATE("    - ",TEXT('DLC mass atten coeff'!U1027,"0.000E+00"))</f>
        <v xml:space="preserve">    - 2.374E-01</v>
      </c>
    </row>
    <row r="682" spans="1:1">
      <c r="A682" t="str">
        <f>CONCATENATE("    - ",TEXT('DLC mass atten coeff'!U1028,"0.000E+00"))</f>
        <v xml:space="preserve">    - 1.583E-01</v>
      </c>
    </row>
    <row r="683" spans="1:1">
      <c r="A683" t="str">
        <f>CONCATENATE("    - ",TEXT('DLC mass atten coeff'!U1029,"0.000E+00"))</f>
        <v xml:space="preserve">    - 1.324E-01</v>
      </c>
    </row>
    <row r="684" spans="1:1">
      <c r="A684" t="str">
        <f>CONCATENATE("    - ",TEXT('DLC mass atten coeff'!U1030,"0.000E+00"))</f>
        <v xml:space="preserve">    - 1.092E-01</v>
      </c>
    </row>
    <row r="685" spans="1:1">
      <c r="A685" t="str">
        <f>CONCATENATE("    - ",TEXT('DLC mass atten coeff'!U1031,"0.000E+00"))</f>
        <v xml:space="preserve">    - 9.648E-02</v>
      </c>
    </row>
    <row r="686" spans="1:1">
      <c r="A686" t="str">
        <f>CONCATENATE("    - ",TEXT('DLC mass atten coeff'!U1032,"0.000E+00"))</f>
        <v xml:space="preserve">    - 8.761E-02</v>
      </c>
    </row>
    <row r="687" spans="1:1">
      <c r="A687" t="str">
        <f>CONCATENATE("    - ",TEXT('DLC mass atten coeff'!U1033,"0.000E+00"))</f>
        <v xml:space="preserve">    - 8.083E-02</v>
      </c>
    </row>
    <row r="688" spans="1:1">
      <c r="A688" t="str">
        <f>CONCATENATE("    - ",TEXT('DLC mass atten coeff'!U1034,"0.000E+00"))</f>
        <v xml:space="preserve">    - 7.083E-02</v>
      </c>
    </row>
    <row r="689" spans="1:1">
      <c r="A689" t="str">
        <f>CONCATENATE("    - ",TEXT('DLC mass atten coeff'!U1035,"0.000E+00"))</f>
        <v xml:space="preserve">    - 6.361E-02</v>
      </c>
    </row>
    <row r="690" spans="1:1">
      <c r="A690" t="str">
        <f>CONCATENATE("    - ",TEXT('DLC mass atten coeff'!U1036,"0.000E+00"))</f>
        <v xml:space="preserve">    - 5.191E-02</v>
      </c>
    </row>
    <row r="691" spans="1:1">
      <c r="A691" t="str">
        <f>CONCATENATE("    - ",TEXT('DLC mass atten coeff'!U1037,"0.000E+00"))</f>
        <v xml:space="preserve">    - 4.512E-02</v>
      </c>
    </row>
    <row r="692" spans="1:1">
      <c r="A692" t="str">
        <f>CONCATENATE("    - ",TEXT('DLC mass atten coeff'!U1038,"0.000E+00"))</f>
        <v xml:space="preserve">    - 3.771E-02</v>
      </c>
    </row>
    <row r="693" spans="1:1">
      <c r="A693" t="str">
        <f>CONCATENATE("    - ",TEXT('DLC mass atten coeff'!U1039,"0.000E+00"))</f>
        <v xml:space="preserve">    - 3.386E-02</v>
      </c>
    </row>
    <row r="694" spans="1:1">
      <c r="A694" t="str">
        <f>CONCATENATE("    - ",TEXT('DLC mass atten coeff'!U1040,"0.000E+00"))</f>
        <v xml:space="preserve">    - 3.163E-02</v>
      </c>
    </row>
    <row r="695" spans="1:1">
      <c r="A695" t="str">
        <f>CONCATENATE("    - ",TEXT('DLC mass atten coeff'!U1041,"0.000E+00"))</f>
        <v xml:space="preserve">    - 3.027E-02</v>
      </c>
    </row>
    <row r="696" spans="1:1">
      <c r="A696" t="str">
        <f>CONCATENATE("    - ",TEXT('DLC mass atten coeff'!U1042,"0.000E+00"))</f>
        <v xml:space="preserve">    - 2.887E-02</v>
      </c>
    </row>
    <row r="697" spans="1:1">
      <c r="A697" t="str">
        <f>CONCATENATE("    - ",TEXT('DLC mass atten coeff'!U1043,"0.000E+00"))</f>
        <v xml:space="preserve">    - 2.834E-02</v>
      </c>
    </row>
    <row r="698" spans="1:1">
      <c r="A698" t="str">
        <f>CONCATENATE("    - ",TEXT('DLC mass atten coeff'!U1044,"0.000E+00"))</f>
        <v xml:space="preserve">    - 2.833E-02</v>
      </c>
    </row>
    <row r="699" spans="1:1">
      <c r="A699" t="str">
        <f>CONCATENATE("    - ",TEXT('DLC mass atten coeff'!U1045,"0.000E+00"))</f>
        <v xml:space="preserve">    - 2.899E-02</v>
      </c>
    </row>
    <row r="700" spans="1:1">
      <c r="A700" t="str">
        <f>CONCATENATE("    - ",TEXT('DLC mass atten coeff'!U1046,"0.000E+00"))</f>
        <v xml:space="preserve">    - 3.055E-02</v>
      </c>
    </row>
    <row r="701" spans="1:1">
      <c r="A701" t="str">
        <f>CONCATENATE('DLC mass atten coeff'!V1018,":")</f>
        <v>scandium:</v>
      </c>
    </row>
    <row r="702" spans="1:1">
      <c r="A702" s="18" t="str">
        <f>CONCATENATE("  density: ",VLOOKUP(A701,densities!$A$5:$B$110,2,FALSE))</f>
        <v xml:space="preserve">  density: 2.989E+00</v>
      </c>
    </row>
    <row r="703" spans="1:1" ht="16">
      <c r="A703" s="19" t="s">
        <v>1575</v>
      </c>
    </row>
    <row r="704" spans="1:1">
      <c r="A704" s="19" t="s">
        <v>1553</v>
      </c>
    </row>
    <row r="705" spans="1:1">
      <c r="A705" s="19" t="s">
        <v>1554</v>
      </c>
    </row>
    <row r="706" spans="1:1">
      <c r="A706" s="21" t="s">
        <v>1860</v>
      </c>
    </row>
    <row r="707" spans="1:1">
      <c r="A707" s="19" t="s">
        <v>1555</v>
      </c>
    </row>
    <row r="708" spans="1:1">
      <c r="A708" t="str">
        <f>CONCATENATE("    - ",TEXT('DLC mass atten coeff'!V1019,"0.000E+00"))</f>
        <v xml:space="preserve">    - 9.872E+01</v>
      </c>
    </row>
    <row r="709" spans="1:1">
      <c r="A709" t="str">
        <f>CONCATENATE("    - ",TEXT('DLC mass atten coeff'!V1020,"0.000E+00"))</f>
        <v xml:space="preserve">    - 3.152E+01</v>
      </c>
    </row>
    <row r="710" spans="1:1">
      <c r="A710" t="str">
        <f>CONCATENATE("    - ",TEXT('DLC mass atten coeff'!V1021,"0.000E+00"))</f>
        <v xml:space="preserve">    - 1.376E+01</v>
      </c>
    </row>
    <row r="711" spans="1:1">
      <c r="A711" t="str">
        <f>CONCATENATE("    - ",TEXT('DLC mass atten coeff'!V1022,"0.000E+00"))</f>
        <v xml:space="preserve">    - 4.237E+00</v>
      </c>
    </row>
    <row r="712" spans="1:1">
      <c r="A712" t="str">
        <f>CONCATENATE("    - ",TEXT('DLC mass atten coeff'!V1023,"0.000E+00"))</f>
        <v xml:space="preserve">    - 1.864E+00</v>
      </c>
    </row>
    <row r="713" spans="1:1">
      <c r="A713" t="str">
        <f>CONCATENATE("    - ",TEXT('DLC mass atten coeff'!V1024,"0.000E+00"))</f>
        <v xml:space="preserve">    - 1.015E+00</v>
      </c>
    </row>
    <row r="714" spans="1:1">
      <c r="A714" t="str">
        <f>CONCATENATE("    - ",TEXT('DLC mass atten coeff'!V1025,"0.000E+00"))</f>
        <v xml:space="preserve">    - 6.415E-01</v>
      </c>
    </row>
    <row r="715" spans="1:1">
      <c r="A715" t="str">
        <f>CONCATENATE("    - ",TEXT('DLC mass atten coeff'!V1026,"0.000E+00"))</f>
        <v xml:space="preserve">    - 3.446E-01</v>
      </c>
    </row>
    <row r="716" spans="1:1">
      <c r="A716" t="str">
        <f>CONCATENATE("    - ",TEXT('DLC mass atten coeff'!V1027,"0.000E+00"))</f>
        <v xml:space="preserve">    - 2.377E-01</v>
      </c>
    </row>
    <row r="717" spans="1:1">
      <c r="A717" t="str">
        <f>CONCATENATE("    - ",TEXT('DLC mass atten coeff'!V1028,"0.000E+00"))</f>
        <v xml:space="preserve">    - 1.527E-01</v>
      </c>
    </row>
    <row r="718" spans="1:1">
      <c r="A718" t="str">
        <f>CONCATENATE("    - ",TEXT('DLC mass atten coeff'!V1029,"0.000E+00"))</f>
        <v xml:space="preserve">    - 1.257E-01</v>
      </c>
    </row>
    <row r="719" spans="1:1">
      <c r="A719" t="str">
        <f>CONCATENATE("    - ",TEXT('DLC mass atten coeff'!V1030,"0.000E+00"))</f>
        <v xml:space="preserve">    - 1.028E-01</v>
      </c>
    </row>
    <row r="720" spans="1:1">
      <c r="A720" t="str">
        <f>CONCATENATE("    - ",TEXT('DLC mass atten coeff'!V1031,"0.000E+00"))</f>
        <v xml:space="preserve">    - 9.055E-02</v>
      </c>
    </row>
    <row r="721" spans="1:1">
      <c r="A721" t="str">
        <f>CONCATENATE("    - ",TEXT('DLC mass atten coeff'!V1032,"0.000E+00"))</f>
        <v xml:space="preserve">    - 8.215E-02</v>
      </c>
    </row>
    <row r="722" spans="1:1">
      <c r="A722" t="str">
        <f>CONCATENATE("    - ",TEXT('DLC mass atten coeff'!V1033,"0.000E+00"))</f>
        <v xml:space="preserve">    - 7.574E-02</v>
      </c>
    </row>
    <row r="723" spans="1:1">
      <c r="A723" t="str">
        <f>CONCATENATE("    - ",TEXT('DLC mass atten coeff'!V1034,"0.000E+00"))</f>
        <v xml:space="preserve">    - 6.635E-02</v>
      </c>
    </row>
    <row r="724" spans="1:1">
      <c r="A724" t="str">
        <f>CONCATENATE("    - ",TEXT('DLC mass atten coeff'!V1035,"0.000E+00"))</f>
        <v xml:space="preserve">    - 5.957E-02</v>
      </c>
    </row>
    <row r="725" spans="1:1">
      <c r="A725" t="str">
        <f>CONCATENATE("    - ",TEXT('DLC mass atten coeff'!V1036,"0.000E+00"))</f>
        <v xml:space="preserve">    - 4.862E-02</v>
      </c>
    </row>
    <row r="726" spans="1:1">
      <c r="A726" t="str">
        <f>CONCATENATE("    - ",TEXT('DLC mass atten coeff'!V1037,"0.000E+00"))</f>
        <v xml:space="preserve">    - 4.231E-02</v>
      </c>
    </row>
    <row r="727" spans="1:1">
      <c r="A727" t="str">
        <f>CONCATENATE("    - ",TEXT('DLC mass atten coeff'!V1038,"0.000E+00"))</f>
        <v xml:space="preserve">    - 3.545E-02</v>
      </c>
    </row>
    <row r="728" spans="1:1">
      <c r="A728" t="str">
        <f>CONCATENATE("    - ",TEXT('DLC mass atten coeff'!V1039,"0.000E+00"))</f>
        <v xml:space="preserve">    - 3.193E-02</v>
      </c>
    </row>
    <row r="729" spans="1:1">
      <c r="A729" t="str">
        <f>CONCATENATE("    - ",TEXT('DLC mass atten coeff'!V1040,"0.000E+00"))</f>
        <v xml:space="preserve">    - 2.992E-02</v>
      </c>
    </row>
    <row r="730" spans="1:1">
      <c r="A730" t="str">
        <f>CONCATENATE("    - ",TEXT('DLC mass atten coeff'!V1041,"0.000E+00"))</f>
        <v xml:space="preserve">    - 2.872E-02</v>
      </c>
    </row>
    <row r="731" spans="1:1">
      <c r="A731" t="str">
        <f>CONCATENATE("    - ",TEXT('DLC mass atten coeff'!V1042,"0.000E+00"))</f>
        <v xml:space="preserve">    - 2.752E-02</v>
      </c>
    </row>
    <row r="732" spans="1:1">
      <c r="A732" t="str">
        <f>CONCATENATE("    - ",TEXT('DLC mass atten coeff'!V1043,"0.000E+00"))</f>
        <v xml:space="preserve">    - 2.711E-02</v>
      </c>
    </row>
    <row r="733" spans="1:1">
      <c r="A733" t="str">
        <f>CONCATENATE("    - ",TEXT('DLC mass atten coeff'!V1044,"0.000E+00"))</f>
        <v xml:space="preserve">    - 2.728E-02</v>
      </c>
    </row>
    <row r="734" spans="1:1">
      <c r="A734" t="str">
        <f>CONCATENATE("    - ",TEXT('DLC mass atten coeff'!V1045,"0.000E+00"))</f>
        <v xml:space="preserve">    - 2.800E-02</v>
      </c>
    </row>
    <row r="735" spans="1:1">
      <c r="A735" t="str">
        <f>CONCATENATE("    - ",TEXT('DLC mass atten coeff'!V1046,"0.000E+00"))</f>
        <v xml:space="preserve">    - 2.963E-02</v>
      </c>
    </row>
    <row r="736" spans="1:1">
      <c r="A736" t="str">
        <f>CONCATENATE('DLC mass atten coeff'!W1018,":")</f>
        <v>titanium:</v>
      </c>
    </row>
    <row r="737" spans="1:1">
      <c r="A737" s="18" t="str">
        <f>CONCATENATE("  density: ",VLOOKUP(A736,densities!$A$5:$B$110,2,FALSE))</f>
        <v xml:space="preserve">  density: 4.540E+00</v>
      </c>
    </row>
    <row r="738" spans="1:1" ht="16">
      <c r="A738" s="19" t="s">
        <v>1576</v>
      </c>
    </row>
    <row r="739" spans="1:1">
      <c r="A739" s="19" t="s">
        <v>1553</v>
      </c>
    </row>
    <row r="740" spans="1:1">
      <c r="A740" s="19" t="s">
        <v>1554</v>
      </c>
    </row>
    <row r="741" spans="1:1">
      <c r="A741" s="21" t="s">
        <v>1860</v>
      </c>
    </row>
    <row r="742" spans="1:1">
      <c r="A742" s="19" t="s">
        <v>1555</v>
      </c>
    </row>
    <row r="743" spans="1:1">
      <c r="A743" t="str">
        <f>CONCATENATE("    - ",TEXT('DLC mass atten coeff'!W1019,"0.000E+00"))</f>
        <v xml:space="preserve">    - 1.099E+02</v>
      </c>
    </row>
    <row r="744" spans="1:1">
      <c r="A744" t="str">
        <f>CONCATENATE("    - ",TEXT('DLC mass atten coeff'!W1020,"0.000E+00"))</f>
        <v xml:space="preserve">    - 3.535E+01</v>
      </c>
    </row>
    <row r="745" spans="1:1">
      <c r="A745" t="str">
        <f>CONCATENATE("    - ",TEXT('DLC mass atten coeff'!W1021,"0.000E+00"))</f>
        <v xml:space="preserve">    - 1.550E+01</v>
      </c>
    </row>
    <row r="746" spans="1:1">
      <c r="A746" t="str">
        <f>CONCATENATE("    - ",TEXT('DLC mass atten coeff'!W1022,"0.000E+00"))</f>
        <v xml:space="preserve">    - 4.789E+00</v>
      </c>
    </row>
    <row r="747" spans="1:1">
      <c r="A747" t="str">
        <f>CONCATENATE("    - ",TEXT('DLC mass atten coeff'!W1023,"0.000E+00"))</f>
        <v xml:space="preserve">    - 2.101E+00</v>
      </c>
    </row>
    <row r="748" spans="1:1">
      <c r="A748" t="str">
        <f>CONCATENATE("    - ",TEXT('DLC mass atten coeff'!W1024,"0.000E+00"))</f>
        <v xml:space="preserve">    - 1.137E+00</v>
      </c>
    </row>
    <row r="749" spans="1:1">
      <c r="A749" t="str">
        <f>CONCATENATE("    - ",TEXT('DLC mass atten coeff'!W1025,"0.000E+00"))</f>
        <v xml:space="preserve">    - 7.111E-01</v>
      </c>
    </row>
    <row r="750" spans="1:1">
      <c r="A750" t="str">
        <f>CONCATENATE("    - ",TEXT('DLC mass atten coeff'!W1026,"0.000E+00"))</f>
        <v xml:space="preserve">    - 3.726E-01</v>
      </c>
    </row>
    <row r="751" spans="1:1">
      <c r="A751" t="str">
        <f>CONCATENATE("    - ",TEXT('DLC mass atten coeff'!W1027,"0.000E+00"))</f>
        <v xml:space="preserve">    - 2.508E-01</v>
      </c>
    </row>
    <row r="752" spans="1:1">
      <c r="A752" t="str">
        <f>CONCATENATE("    - ",TEXT('DLC mass atten coeff'!W1028,"0.000E+00"))</f>
        <v xml:space="preserve">    - 1.551E-01</v>
      </c>
    </row>
    <row r="753" spans="1:1">
      <c r="A753" t="str">
        <f>CONCATENATE("    - ",TEXT('DLC mass atten coeff'!W1029,"0.000E+00"))</f>
        <v xml:space="preserve">    - 1.258E-01</v>
      </c>
    </row>
    <row r="754" spans="1:1">
      <c r="A754" t="str">
        <f>CONCATENATE("    - ",TEXT('DLC mass atten coeff'!W1030,"0.000E+00"))</f>
        <v xml:space="preserve">    - 1.017E-01</v>
      </c>
    </row>
    <row r="755" spans="1:1">
      <c r="A755" t="str">
        <f>CONCATENATE("    - ",TEXT('DLC mass atten coeff'!W1031,"0.000E+00"))</f>
        <v xml:space="preserve">    - 8.934E-02</v>
      </c>
    </row>
    <row r="756" spans="1:1">
      <c r="A756" t="str">
        <f>CONCATENATE("    - ",TEXT('DLC mass atten coeff'!W1032,"0.000E+00"))</f>
        <v xml:space="preserve">    - 8.096E-02</v>
      </c>
    </row>
    <row r="757" spans="1:1">
      <c r="A757" t="str">
        <f>CONCATENATE("    - ",TEXT('DLC mass atten coeff'!W1033,"0.000E+00"))</f>
        <v xml:space="preserve">    - 7.460E-02</v>
      </c>
    </row>
    <row r="758" spans="1:1">
      <c r="A758" t="str">
        <f>CONCATENATE("    - ",TEXT('DLC mass atten coeff'!W1034,"0.000E+00"))</f>
        <v xml:space="preserve">    - 6.531E-02</v>
      </c>
    </row>
    <row r="759" spans="1:1">
      <c r="A759" t="str">
        <f>CONCATENATE("    - ",TEXT('DLC mass atten coeff'!W1035,"0.000E+00"))</f>
        <v xml:space="preserve">    - 5.863E-02</v>
      </c>
    </row>
    <row r="760" spans="1:1">
      <c r="A760" t="str">
        <f>CONCATENATE("    - ",TEXT('DLC mass atten coeff'!W1036,"0.000E+00"))</f>
        <v xml:space="preserve">    - 4.785E-02</v>
      </c>
    </row>
    <row r="761" spans="1:1">
      <c r="A761" t="str">
        <f>CONCATENATE("    - ",TEXT('DLC mass atten coeff'!W1037,"0.000E+00"))</f>
        <v xml:space="preserve">    - 4.168E-02</v>
      </c>
    </row>
    <row r="762" spans="1:1">
      <c r="A762" t="str">
        <f>CONCATENATE("    - ",TEXT('DLC mass atten coeff'!W1038,"0.000E+00"))</f>
        <v xml:space="preserve">    - 3.502E-02</v>
      </c>
    </row>
    <row r="763" spans="1:1">
      <c r="A763" t="str">
        <f>CONCATENATE("    - ",TEXT('DLC mass atten coeff'!W1039,"0.000E+00"))</f>
        <v xml:space="preserve">    - 3.165E-02</v>
      </c>
    </row>
    <row r="764" spans="1:1">
      <c r="A764" t="str">
        <f>CONCATENATE("    - ",TEXT('DLC mass atten coeff'!W1040,"0.000E+00"))</f>
        <v xml:space="preserve">    - 2.974E-02</v>
      </c>
    </row>
    <row r="765" spans="1:1">
      <c r="A765" t="str">
        <f>CONCATENATE("    - ",TEXT('DLC mass atten coeff'!W1041,"0.000E+00"))</f>
        <v xml:space="preserve">    - 2.862E-02</v>
      </c>
    </row>
    <row r="766" spans="1:1">
      <c r="A766" t="str">
        <f>CONCATENATE("    - ",TEXT('DLC mass atten coeff'!W1042,"0.000E+00"))</f>
        <v xml:space="preserve">    - 2.753E-02</v>
      </c>
    </row>
    <row r="767" spans="1:1">
      <c r="A767" t="str">
        <f>CONCATENATE("    - ",TEXT('DLC mass atten coeff'!W1043,"0.000E+00"))</f>
        <v xml:space="preserve">    - 2.723E-02</v>
      </c>
    </row>
    <row r="768" spans="1:1">
      <c r="A768" t="str">
        <f>CONCATENATE("    - ",TEXT('DLC mass atten coeff'!W1044,"0.000E+00"))</f>
        <v xml:space="preserve">    - 2.758E-02</v>
      </c>
    </row>
    <row r="769" spans="1:1">
      <c r="A769" t="str">
        <f>CONCATENATE("    - ",TEXT('DLC mass atten coeff'!W1045,"0.000E+00"))</f>
        <v xml:space="preserve">    - 2.840E-02</v>
      </c>
    </row>
    <row r="770" spans="1:1">
      <c r="A770" t="str">
        <f>CONCATENATE("    - ",TEXT('DLC mass atten coeff'!W1046,"0.000E+00"))</f>
        <v xml:space="preserve">    - 3.017E-02</v>
      </c>
    </row>
    <row r="771" spans="1:1">
      <c r="A771" t="str">
        <f>CONCATENATE('DLC mass atten coeff'!X1018,":")</f>
        <v>vanadium:</v>
      </c>
    </row>
    <row r="772" spans="1:1">
      <c r="A772" s="18" t="str">
        <f>CONCATENATE("  density: ",VLOOKUP(A771,densities!$A$5:$B$110,2,FALSE))</f>
        <v xml:space="preserve">  density: 6.110E+00</v>
      </c>
    </row>
    <row r="773" spans="1:1" ht="16">
      <c r="A773" s="19" t="s">
        <v>1577</v>
      </c>
    </row>
    <row r="774" spans="1:1">
      <c r="A774" s="19" t="s">
        <v>1553</v>
      </c>
    </row>
    <row r="775" spans="1:1">
      <c r="A775" s="19" t="s">
        <v>1554</v>
      </c>
    </row>
    <row r="776" spans="1:1">
      <c r="A776" s="21" t="s">
        <v>1860</v>
      </c>
    </row>
    <row r="777" spans="1:1">
      <c r="A777" s="19" t="s">
        <v>1555</v>
      </c>
    </row>
    <row r="778" spans="1:1">
      <c r="A778" t="str">
        <f>CONCATENATE("    - ",TEXT('DLC mass atten coeff'!X1019,"0.000E+00"))</f>
        <v xml:space="preserve">    - 1.209E+02</v>
      </c>
    </row>
    <row r="779" spans="1:1">
      <c r="A779" t="str">
        <f>CONCATENATE("    - ",TEXT('DLC mass atten coeff'!X1020,"0.000E+00"))</f>
        <v xml:space="preserve">    - 3.928E+01</v>
      </c>
    </row>
    <row r="780" spans="1:1">
      <c r="A780" t="str">
        <f>CONCATENATE("    - ",TEXT('DLC mass atten coeff'!X1021,"0.000E+00"))</f>
        <v xml:space="preserve">    - 1.731E+01</v>
      </c>
    </row>
    <row r="781" spans="1:1">
      <c r="A781" t="str">
        <f>CONCATENATE("    - ",TEXT('DLC mass atten coeff'!X1022,"0.000E+00"))</f>
        <v xml:space="preserve">    - 5.371E+00</v>
      </c>
    </row>
    <row r="782" spans="1:1">
      <c r="A782" t="str">
        <f>CONCATENATE("    - ",TEXT('DLC mass atten coeff'!X1023,"0.000E+00"))</f>
        <v xml:space="preserve">    - 2.355E+00</v>
      </c>
    </row>
    <row r="783" spans="1:1">
      <c r="A783" t="str">
        <f>CONCATENATE("    - ",TEXT('DLC mass atten coeff'!X1024,"0.000E+00"))</f>
        <v xml:space="preserve">    - 1.267E+00</v>
      </c>
    </row>
    <row r="784" spans="1:1">
      <c r="A784" t="str">
        <f>CONCATENATE("    - ",TEXT('DLC mass atten coeff'!X1025,"0.000E+00"))</f>
        <v xml:space="preserve">    - 7.855E-01</v>
      </c>
    </row>
    <row r="785" spans="1:1">
      <c r="A785" t="str">
        <f>CONCATENATE("    - ",TEXT('DLC mass atten coeff'!X1026,"0.000E+00"))</f>
        <v xml:space="preserve">    - 4.026E-01</v>
      </c>
    </row>
    <row r="786" spans="1:1">
      <c r="A786" t="str">
        <f>CONCATENATE("    - ",TEXT('DLC mass atten coeff'!X1027,"0.000E+00"))</f>
        <v xml:space="preserve">    - 2.649E-01</v>
      </c>
    </row>
    <row r="787" spans="1:1">
      <c r="A787" t="str">
        <f>CONCATENATE("    - ",TEXT('DLC mass atten coeff'!X1028,"0.000E+00"))</f>
        <v xml:space="preserve">    - 1.577E-01</v>
      </c>
    </row>
    <row r="788" spans="1:1">
      <c r="A788" t="str">
        <f>CONCATENATE("    - ",TEXT('DLC mass atten coeff'!X1029,"0.000E+00"))</f>
        <v xml:space="preserve">    - 1.258E-01</v>
      </c>
    </row>
    <row r="789" spans="1:1">
      <c r="A789" t="str">
        <f>CONCATENATE("    - ",TEXT('DLC mass atten coeff'!X1030,"0.000E+00"))</f>
        <v xml:space="preserve">    - 1.007E-01</v>
      </c>
    </row>
    <row r="790" spans="1:1">
      <c r="A790" t="str">
        <f>CONCATENATE("    - ",TEXT('DLC mass atten coeff'!X1031,"0.000E+00"))</f>
        <v xml:space="preserve">    - 8.809E-02</v>
      </c>
    </row>
    <row r="791" spans="1:1">
      <c r="A791" t="str">
        <f>CONCATENATE("    - ",TEXT('DLC mass atten coeff'!X1032,"0.000E+00"))</f>
        <v xml:space="preserve">    - 7.972E-02</v>
      </c>
    </row>
    <row r="792" spans="1:1">
      <c r="A792" t="str">
        <f>CONCATENATE("    - ",TEXT('DLC mass atten coeff'!X1033,"0.000E+00"))</f>
        <v xml:space="preserve">    - 7.341E-02</v>
      </c>
    </row>
    <row r="793" spans="1:1">
      <c r="A793" t="str">
        <f>CONCATENATE("    - ",TEXT('DLC mass atten coeff'!X1034,"0.000E+00"))</f>
        <v xml:space="preserve">    - 6.423E-02</v>
      </c>
    </row>
    <row r="794" spans="1:1">
      <c r="A794" t="str">
        <f>CONCATENATE("    - ",TEXT('DLC mass atten coeff'!X1035,"0.000E+00"))</f>
        <v xml:space="preserve">    - 5.764E-02</v>
      </c>
    </row>
    <row r="795" spans="1:1">
      <c r="A795" t="str">
        <f>CONCATENATE("    - ",TEXT('DLC mass atten coeff'!X1036,"0.000E+00"))</f>
        <v xml:space="preserve">    - 4.704E-02</v>
      </c>
    </row>
    <row r="796" spans="1:1">
      <c r="A796" t="str">
        <f>CONCATENATE("    - ",TEXT('DLC mass atten coeff'!X1037,"0.000E+00"))</f>
        <v xml:space="preserve">    - 4.102E-02</v>
      </c>
    </row>
    <row r="797" spans="1:1">
      <c r="A797" t="str">
        <f>CONCATENATE("    - ",TEXT('DLC mass atten coeff'!X1038,"0.000E+00"))</f>
        <v xml:space="preserve">    - 3.456E-02</v>
      </c>
    </row>
    <row r="798" spans="1:1">
      <c r="A798" t="str">
        <f>CONCATENATE("    - ",TEXT('DLC mass atten coeff'!X1039,"0.000E+00"))</f>
        <v xml:space="preserve">    - 3.133E-02</v>
      </c>
    </row>
    <row r="799" spans="1:1">
      <c r="A799" t="str">
        <f>CONCATENATE("    - ",TEXT('DLC mass atten coeff'!X1040,"0.000E+00"))</f>
        <v xml:space="preserve">    - 2.953E-02</v>
      </c>
    </row>
    <row r="800" spans="1:1">
      <c r="A800" t="str">
        <f>CONCATENATE("    - ",TEXT('DLC mass atten coeff'!X1041,"0.000E+00"))</f>
        <v xml:space="preserve">    - 2.848E-02</v>
      </c>
    </row>
    <row r="801" spans="1:1">
      <c r="A801" t="str">
        <f>CONCATENATE("    - ",TEXT('DLC mass atten coeff'!X1042,"0.000E+00"))</f>
        <v xml:space="preserve">    - 2.754E-02</v>
      </c>
    </row>
    <row r="802" spans="1:1">
      <c r="A802" t="str">
        <f>CONCATENATE("    - ",TEXT('DLC mass atten coeff'!X1043,"0.000E+00"))</f>
        <v xml:space="preserve">    - 2.733E-02</v>
      </c>
    </row>
    <row r="803" spans="1:1">
      <c r="A803" t="str">
        <f>CONCATENATE("    - ",TEXT('DLC mass atten coeff'!X1044,"0.000E+00"))</f>
        <v xml:space="preserve">    - 2.782E-02</v>
      </c>
    </row>
    <row r="804" spans="1:1">
      <c r="A804" t="str">
        <f>CONCATENATE("    - ",TEXT('DLC mass atten coeff'!X1045,"0.000E+00"))</f>
        <v xml:space="preserve">    - 2.873E-02</v>
      </c>
    </row>
    <row r="805" spans="1:1">
      <c r="A805" t="str">
        <f>CONCATENATE("    - ",TEXT('DLC mass atten coeff'!X1046,"0.000E+00"))</f>
        <v xml:space="preserve">    - 3.064E-02</v>
      </c>
    </row>
    <row r="806" spans="1:1">
      <c r="A806" t="str">
        <f>CONCATENATE('DLC mass atten coeff'!Y1018,":")</f>
        <v>chromium:</v>
      </c>
    </row>
    <row r="807" spans="1:1">
      <c r="A807" s="18" t="str">
        <f>CONCATENATE("  density: ",VLOOKUP(A806,densities!$A$5:$B$110,2,FALSE))</f>
        <v xml:space="preserve">  density: 7.180E+00</v>
      </c>
    </row>
    <row r="808" spans="1:1" ht="16">
      <c r="A808" s="19" t="s">
        <v>1578</v>
      </c>
    </row>
    <row r="809" spans="1:1">
      <c r="A809" s="19" t="s">
        <v>1553</v>
      </c>
    </row>
    <row r="810" spans="1:1">
      <c r="A810" s="19" t="s">
        <v>1554</v>
      </c>
    </row>
    <row r="811" spans="1:1">
      <c r="A811" s="21" t="s">
        <v>1860</v>
      </c>
    </row>
    <row r="812" spans="1:1">
      <c r="A812" s="19" t="s">
        <v>1555</v>
      </c>
    </row>
    <row r="813" spans="1:1">
      <c r="A813" t="str">
        <f>CONCATENATE("    - ",TEXT('DLC mass atten coeff'!Y1019,"0.000E+00"))</f>
        <v xml:space="preserve">    - 1.377E+02</v>
      </c>
    </row>
    <row r="814" spans="1:1">
      <c r="A814" t="str">
        <f>CONCATENATE("    - ",TEXT('DLC mass atten coeff'!Y1020,"0.000E+00"))</f>
        <v xml:space="preserve">    - 4.512E+01</v>
      </c>
    </row>
    <row r="815" spans="1:1">
      <c r="A815" t="str">
        <f>CONCATENATE("    - ",TEXT('DLC mass atten coeff'!Y1021,"0.000E+00"))</f>
        <v xml:space="preserve">    - 1.998E+01</v>
      </c>
    </row>
    <row r="816" spans="1:1">
      <c r="A816" t="str">
        <f>CONCATENATE("    - ",TEXT('DLC mass atten coeff'!Y1022,"0.000E+00"))</f>
        <v xml:space="preserve">    - 6.221E+00</v>
      </c>
    </row>
    <row r="817" spans="1:1">
      <c r="A817" t="str">
        <f>CONCATENATE("    - ",TEXT('DLC mass atten coeff'!Y1023,"0.000E+00"))</f>
        <v xml:space="preserve">    - 2.725E+00</v>
      </c>
    </row>
    <row r="818" spans="1:1">
      <c r="A818" t="str">
        <f>CONCATENATE("    - ",TEXT('DLC mass atten coeff'!Y1024,"0.000E+00"))</f>
        <v xml:space="preserve">    - 1.462E+00</v>
      </c>
    </row>
    <row r="819" spans="1:1">
      <c r="A819" t="str">
        <f>CONCATENATE("    - ",TEXT('DLC mass atten coeff'!Y1025,"0.000E+00"))</f>
        <v xml:space="preserve">    - 8.998E-01</v>
      </c>
    </row>
    <row r="820" spans="1:1">
      <c r="A820" t="str">
        <f>CONCATENATE("    - ",TEXT('DLC mass atten coeff'!Y1026,"0.000E+00"))</f>
        <v xml:space="preserve">    - 4.523E-01</v>
      </c>
    </row>
    <row r="821" spans="1:1">
      <c r="A821" t="str">
        <f>CONCATENATE("    - ",TEXT('DLC mass atten coeff'!Y1027,"0.000E+00"))</f>
        <v xml:space="preserve">    - 2.917E-01</v>
      </c>
    </row>
    <row r="822" spans="1:1">
      <c r="A822" t="str">
        <f>CONCATENATE("    - ",TEXT('DLC mass atten coeff'!Y1028,"0.000E+00"))</f>
        <v xml:space="preserve">    - 1.674E-01</v>
      </c>
    </row>
    <row r="823" spans="1:1">
      <c r="A823" t="str">
        <f>CONCATENATE("    - ",TEXT('DLC mass atten coeff'!Y1029,"0.000E+00"))</f>
        <v xml:space="preserve">    - 1.312E-01</v>
      </c>
    </row>
    <row r="824" spans="1:1">
      <c r="A824" t="str">
        <f>CONCATENATE("    - ",TEXT('DLC mass atten coeff'!Y1030,"0.000E+00"))</f>
        <v xml:space="preserve">    - 1.037E-01</v>
      </c>
    </row>
    <row r="825" spans="1:1">
      <c r="A825" t="str">
        <f>CONCATENATE("    - ",TEXT('DLC mass atten coeff'!Y1031,"0.000E+00"))</f>
        <v xml:space="preserve">    - 9.040E-02</v>
      </c>
    </row>
    <row r="826" spans="1:1">
      <c r="A826" t="str">
        <f>CONCATENATE("    - ",TEXT('DLC mass atten coeff'!Y1032,"0.000E+00"))</f>
        <v xml:space="preserve">    - 8.168E-02</v>
      </c>
    </row>
    <row r="827" spans="1:1">
      <c r="A827" t="str">
        <f>CONCATENATE("    - ",TEXT('DLC mass atten coeff'!Y1033,"0.000E+00"))</f>
        <v xml:space="preserve">    - 7.518E-02</v>
      </c>
    </row>
    <row r="828" spans="1:1">
      <c r="A828" t="str">
        <f>CONCATENATE("    - ",TEXT('DLC mass atten coeff'!Y1034,"0.000E+00"))</f>
        <v xml:space="preserve">    - 6.572E-02</v>
      </c>
    </row>
    <row r="829" spans="1:1">
      <c r="A829" t="str">
        <f>CONCATENATE("    - ",TEXT('DLC mass atten coeff'!Y1035,"0.000E+00"))</f>
        <v xml:space="preserve">    - 5.897E-02</v>
      </c>
    </row>
    <row r="830" spans="1:1">
      <c r="A830" t="str">
        <f>CONCATENATE("    - ",TEXT('DLC mass atten coeff'!Y1036,"0.000E+00"))</f>
        <v xml:space="preserve">    - 4.814E-02</v>
      </c>
    </row>
    <row r="831" spans="1:1">
      <c r="A831" t="str">
        <f>CONCATENATE("    - ",TEXT('DLC mass atten coeff'!Y1037,"0.000E+00"))</f>
        <v xml:space="preserve">    - 4.200E-02</v>
      </c>
    </row>
    <row r="832" spans="1:1">
      <c r="A832" t="str">
        <f>CONCATENATE("    - ",TEXT('DLC mass atten coeff'!Y1038,"0.000E+00"))</f>
        <v xml:space="preserve">    - 3.549E-02</v>
      </c>
    </row>
    <row r="833" spans="1:1">
      <c r="A833" t="str">
        <f>CONCATENATE("    - ",TEXT('DLC mass atten coeff'!Y1039,"0.000E+00"))</f>
        <v xml:space="preserve">    - 3.227E-02</v>
      </c>
    </row>
    <row r="834" spans="1:1">
      <c r="A834" t="str">
        <f>CONCATENATE("    - ",TEXT('DLC mass atten coeff'!Y1040,"0.000E+00"))</f>
        <v xml:space="preserve">    - 3.050E-02</v>
      </c>
    </row>
    <row r="835" spans="1:1">
      <c r="A835" t="str">
        <f>CONCATENATE("    - ",TEXT('DLC mass atten coeff'!Y1041,"0.000E+00"))</f>
        <v xml:space="preserve">    - 2.950E-02</v>
      </c>
    </row>
    <row r="836" spans="1:1">
      <c r="A836" t="str">
        <f>CONCATENATE("    - ",TEXT('DLC mass atten coeff'!Y1042,"0.000E+00"))</f>
        <v xml:space="preserve">    - 2.864E-02</v>
      </c>
    </row>
    <row r="837" spans="1:1">
      <c r="A837" t="str">
        <f>CONCATENATE("    - ",TEXT('DLC mass atten coeff'!Y1043,"0.000E+00"))</f>
        <v xml:space="preserve">    - 2.850E-02</v>
      </c>
    </row>
    <row r="838" spans="1:1">
      <c r="A838" t="str">
        <f>CONCATENATE("    - ",TEXT('DLC mass atten coeff'!Y1044,"0.000E+00"))</f>
        <v xml:space="preserve">    - 2.916E-02</v>
      </c>
    </row>
    <row r="839" spans="1:1">
      <c r="A839" t="str">
        <f>CONCATENATE("    - ",TEXT('DLC mass atten coeff'!Y1045,"0.000E+00"))</f>
        <v xml:space="preserve">    - 3.022E-02</v>
      </c>
    </row>
    <row r="840" spans="1:1">
      <c r="A840" t="str">
        <f>CONCATENATE("    - ",TEXT('DLC mass atten coeff'!Y1046,"0.000E+00"))</f>
        <v xml:space="preserve">    - 3.232E-02</v>
      </c>
    </row>
    <row r="841" spans="1:1">
      <c r="A841" t="str">
        <f>CONCATENATE('DLC mass atten coeff'!Z1018,":")</f>
        <v>manganese:</v>
      </c>
    </row>
    <row r="842" spans="1:1">
      <c r="A842" s="18" t="str">
        <f>CONCATENATE("  density: ",VLOOKUP(A841,densities!$A$5:$B$110,2,FALSE))</f>
        <v xml:space="preserve">  density: 7.440E+00</v>
      </c>
    </row>
    <row r="843" spans="1:1" ht="16">
      <c r="A843" s="19" t="s">
        <v>1579</v>
      </c>
    </row>
    <row r="844" spans="1:1">
      <c r="A844" s="19" t="s">
        <v>1553</v>
      </c>
    </row>
    <row r="845" spans="1:1">
      <c r="A845" s="19" t="s">
        <v>1554</v>
      </c>
    </row>
    <row r="846" spans="1:1">
      <c r="A846" s="21" t="s">
        <v>1860</v>
      </c>
    </row>
    <row r="847" spans="1:1">
      <c r="A847" s="19" t="s">
        <v>1555</v>
      </c>
    </row>
    <row r="848" spans="1:1">
      <c r="A848" t="str">
        <f>CONCATENATE("    - ",TEXT('DLC mass atten coeff'!Z1019,"0.000E+00"))</f>
        <v xml:space="preserve">    - 1.504E+02</v>
      </c>
    </row>
    <row r="849" spans="1:1">
      <c r="A849" t="str">
        <f>CONCATENATE("    - ",TEXT('DLC mass atten coeff'!Z1020,"0.000E+00"))</f>
        <v xml:space="preserve">    - 4.965E+01</v>
      </c>
    </row>
    <row r="850" spans="1:1">
      <c r="A850" t="str">
        <f>CONCATENATE("    - ",TEXT('DLC mass atten coeff'!Z1021,"0.000E+00"))</f>
        <v xml:space="preserve">    - 2.211E+01</v>
      </c>
    </row>
    <row r="851" spans="1:1">
      <c r="A851" t="str">
        <f>CONCATENATE("    - ",TEXT('DLC mass atten coeff'!Z1022,"0.000E+00"))</f>
        <v xml:space="preserve">    - 6.917E+00</v>
      </c>
    </row>
    <row r="852" spans="1:1">
      <c r="A852" t="str">
        <f>CONCATENATE("    - ",TEXT('DLC mass atten coeff'!Z1023,"0.000E+00"))</f>
        <v xml:space="preserve">    - 3.031E+00</v>
      </c>
    </row>
    <row r="853" spans="1:1">
      <c r="A853" t="str">
        <f>CONCATENATE("    - ",TEXT('DLC mass atten coeff'!Z1024,"0.000E+00"))</f>
        <v xml:space="preserve">    - 1.621E+00</v>
      </c>
    </row>
    <row r="854" spans="1:1">
      <c r="A854" t="str">
        <f>CONCATENATE("    - ",TEXT('DLC mass atten coeff'!Z1025,"0.000E+00"))</f>
        <v xml:space="preserve">    - 9.922E-01</v>
      </c>
    </row>
    <row r="855" spans="1:1">
      <c r="A855" t="str">
        <f>CONCATENATE("    - ",TEXT('DLC mass atten coeff'!Z1026,"0.000E+00"))</f>
        <v xml:space="preserve">    - 4.903E-01</v>
      </c>
    </row>
    <row r="856" spans="1:1">
      <c r="A856" t="str">
        <f>CONCATENATE("    - ",TEXT('DLC mass atten coeff'!Z1027,"0.000E+00"))</f>
        <v xml:space="preserve">    - 3.102E-01</v>
      </c>
    </row>
    <row r="857" spans="1:1">
      <c r="A857" t="str">
        <f>CONCATENATE("    - ",TEXT('DLC mass atten coeff'!Z1028,"0.000E+00"))</f>
        <v xml:space="preserve">    - 1.715E-01</v>
      </c>
    </row>
    <row r="858" spans="1:1">
      <c r="A858" t="str">
        <f>CONCATENATE("    - ",TEXT('DLC mass atten coeff'!Z1029,"0.000E+00"))</f>
        <v xml:space="preserve">    - 1.321E-01</v>
      </c>
    </row>
    <row r="859" spans="1:1">
      <c r="A859" t="str">
        <f>CONCATENATE("    - ",TEXT('DLC mass atten coeff'!Z1030,"0.000E+00"))</f>
        <v xml:space="preserve">    - 1.030E-01</v>
      </c>
    </row>
    <row r="860" spans="1:1">
      <c r="A860" t="str">
        <f>CONCATENATE("    - ",TEXT('DLC mass atten coeff'!Z1031,"0.000E+00"))</f>
        <v xml:space="preserve">    - 8.950E-02</v>
      </c>
    </row>
    <row r="861" spans="1:1">
      <c r="A861" t="str">
        <f>CONCATENATE("    - ",TEXT('DLC mass atten coeff'!Z1032,"0.000E+00"))</f>
        <v xml:space="preserve">    - 8.073E-02</v>
      </c>
    </row>
    <row r="862" spans="1:1">
      <c r="A862" t="str">
        <f>CONCATENATE("    - ",TEXT('DLC mass atten coeff'!Z1033,"0.000E+00"))</f>
        <v xml:space="preserve">    - 7.424E-02</v>
      </c>
    </row>
    <row r="863" spans="1:1">
      <c r="A863" t="str">
        <f>CONCATENATE("    - ",TEXT('DLC mass atten coeff'!Z1034,"0.000E+00"))</f>
        <v xml:space="preserve">    - 6.487E-02</v>
      </c>
    </row>
    <row r="864" spans="1:1">
      <c r="A864" t="str">
        <f>CONCATENATE("    - ",TEXT('DLC mass atten coeff'!Z1035,"0.000E+00"))</f>
        <v xml:space="preserve">    - 5.817E-02</v>
      </c>
    </row>
    <row r="865" spans="1:1">
      <c r="A865" t="str">
        <f>CONCATENATE("    - ",TEXT('DLC mass atten coeff'!Z1036,"0.000E+00"))</f>
        <v xml:space="preserve">    - 4.749E-02</v>
      </c>
    </row>
    <row r="866" spans="1:1">
      <c r="A866" t="str">
        <f>CONCATENATE("    - ",TEXT('DLC mass atten coeff'!Z1037,"0.000E+00"))</f>
        <v xml:space="preserve">    - 4.148E-02</v>
      </c>
    </row>
    <row r="867" spans="1:1">
      <c r="A867" t="str">
        <f>CONCATENATE("    - ",TEXT('DLC mass atten coeff'!Z1038,"0.000E+00"))</f>
        <v xml:space="preserve">    - 3.514E-02</v>
      </c>
    </row>
    <row r="868" spans="1:1">
      <c r="A868" t="str">
        <f>CONCATENATE("    - ",TEXT('DLC mass atten coeff'!Z1039,"0.000E+00"))</f>
        <v xml:space="preserve">    - 3.204E-02</v>
      </c>
    </row>
    <row r="869" spans="1:1">
      <c r="A869" t="str">
        <f>CONCATENATE("    - ",TEXT('DLC mass atten coeff'!Z1040,"0.000E+00"))</f>
        <v xml:space="preserve">    - 3.038E-02</v>
      </c>
    </row>
    <row r="870" spans="1:1">
      <c r="A870" t="str">
        <f>CONCATENATE("    - ",TEXT('DLC mass atten coeff'!Z1041,"0.000E+00"))</f>
        <v xml:space="preserve">    - 2.945E-02</v>
      </c>
    </row>
    <row r="871" spans="1:1">
      <c r="A871" t="str">
        <f>CONCATENATE("    - ",TEXT('DLC mass atten coeff'!Z1042,"0.000E+00"))</f>
        <v xml:space="preserve">    - 2.870E-02</v>
      </c>
    </row>
    <row r="872" spans="1:1">
      <c r="A872" t="str">
        <f>CONCATENATE("    - ",TEXT('DLC mass atten coeff'!Z1043,"0.000E+00"))</f>
        <v xml:space="preserve">    - 2.866E-02</v>
      </c>
    </row>
    <row r="873" spans="1:1">
      <c r="A873" t="str">
        <f>CONCATENATE("    - ",TEXT('DLC mass atten coeff'!Z1044,"0.000E+00"))</f>
        <v xml:space="preserve">    - 2.947E-02</v>
      </c>
    </row>
    <row r="874" spans="1:1">
      <c r="A874" t="str">
        <f>CONCATENATE("    - ",TEXT('DLC mass atten coeff'!Z1045,"0.000E+00"))</f>
        <v xml:space="preserve">    - 3.064E-02</v>
      </c>
    </row>
    <row r="875" spans="1:1">
      <c r="A875" t="str">
        <f>CONCATENATE("    - ",TEXT('DLC mass atten coeff'!Z1046,"0.000E+00"))</f>
        <v xml:space="preserve">    - 3.287E-02</v>
      </c>
    </row>
    <row r="876" spans="1:1">
      <c r="A876" t="str">
        <f>CONCATENATE('DLC mass atten coeff'!AA1018,":")</f>
        <v>iron:</v>
      </c>
    </row>
    <row r="877" spans="1:1">
      <c r="A877" s="18" t="str">
        <f>CONCATENATE("  density: ",VLOOKUP(A876,densities!$A$5:$B$110,2,FALSE))</f>
        <v xml:space="preserve">  density: 7.874E+00</v>
      </c>
    </row>
    <row r="878" spans="1:1" ht="16">
      <c r="A878" s="19" t="s">
        <v>1580</v>
      </c>
    </row>
    <row r="879" spans="1:1">
      <c r="A879" s="19" t="s">
        <v>1553</v>
      </c>
    </row>
    <row r="880" spans="1:1">
      <c r="A880" s="19" t="s">
        <v>1554</v>
      </c>
    </row>
    <row r="881" spans="1:1">
      <c r="A881" s="21" t="s">
        <v>1860</v>
      </c>
    </row>
    <row r="882" spans="1:1">
      <c r="A882" s="19" t="s">
        <v>1555</v>
      </c>
    </row>
    <row r="883" spans="1:1">
      <c r="A883" t="str">
        <f>CONCATENATE("    - ",TEXT('DLC mass atten coeff'!AA1019,"0.000E+00"))</f>
        <v xml:space="preserve">    - 1.696E+02</v>
      </c>
    </row>
    <row r="884" spans="1:1">
      <c r="A884" t="str">
        <f>CONCATENATE("    - ",TEXT('DLC mass atten coeff'!AA1020,"0.000E+00"))</f>
        <v xml:space="preserve">    - 5.641E+01</v>
      </c>
    </row>
    <row r="885" spans="1:1">
      <c r="A885" t="str">
        <f>CONCATENATE("    - ",TEXT('DLC mass atten coeff'!AA1021,"0.000E+00"))</f>
        <v xml:space="preserve">    - 2.522E+01</v>
      </c>
    </row>
    <row r="886" spans="1:1">
      <c r="A886" t="str">
        <f>CONCATENATE("    - ",TEXT('DLC mass atten coeff'!AA1022,"0.000E+00"))</f>
        <v xml:space="preserve">    - 7.930E+00</v>
      </c>
    </row>
    <row r="887" spans="1:1">
      <c r="A887" t="str">
        <f>CONCATENATE("    - ",TEXT('DLC mass atten coeff'!AA1023,"0.000E+00"))</f>
        <v xml:space="preserve">    - 3.478E+00</v>
      </c>
    </row>
    <row r="888" spans="1:1">
      <c r="A888" t="str">
        <f>CONCATENATE("    - ",TEXT('DLC mass atten coeff'!AA1024,"0.000E+00"))</f>
        <v xml:space="preserve">    - 1.854E+00</v>
      </c>
    </row>
    <row r="889" spans="1:1">
      <c r="A889" t="str">
        <f>CONCATENATE("    - ",TEXT('DLC mass atten coeff'!AA1025,"0.000E+00"))</f>
        <v xml:space="preserve">    - 1.131E+00</v>
      </c>
    </row>
    <row r="890" spans="1:1">
      <c r="A890" t="str">
        <f>CONCATENATE("    - ",TEXT('DLC mass atten coeff'!AA1026,"0.000E+00"))</f>
        <v xml:space="preserve">    - 5.510E-01</v>
      </c>
    </row>
    <row r="891" spans="1:1">
      <c r="A891" t="str">
        <f>CONCATENATE("    - ",TEXT('DLC mass atten coeff'!AA1027,"0.000E+00"))</f>
        <v xml:space="preserve">    - 3.425E-01</v>
      </c>
    </row>
    <row r="892" spans="1:1">
      <c r="A892" t="str">
        <f>CONCATENATE("    - ",TEXT('DLC mass atten coeff'!AA1028,"0.000E+00"))</f>
        <v xml:space="preserve">    - 1.829E-01</v>
      </c>
    </row>
    <row r="893" spans="1:1">
      <c r="A893" t="str">
        <f>CONCATENATE("    - ",TEXT('DLC mass atten coeff'!AA1029,"0.000E+00"))</f>
        <v xml:space="preserve">    - 1.383E-01</v>
      </c>
    </row>
    <row r="894" spans="1:1">
      <c r="A894" t="str">
        <f>CONCATENATE("    - ",TEXT('DLC mass atten coeff'!AA1030,"0.000E+00"))</f>
        <v xml:space="preserve">    - 1.064E-01</v>
      </c>
    </row>
    <row r="895" spans="1:1">
      <c r="A895" t="str">
        <f>CONCATENATE("    - ",TEXT('DLC mass atten coeff'!AA1031,"0.000E+00"))</f>
        <v xml:space="preserve">    - 9.200E-02</v>
      </c>
    </row>
    <row r="896" spans="1:1">
      <c r="A896" t="str">
        <f>CONCATENATE("    - ",TEXT('DLC mass atten coeff'!AA1032,"0.000E+00"))</f>
        <v xml:space="preserve">    - 8.282E-02</v>
      </c>
    </row>
    <row r="897" spans="1:1">
      <c r="A897" t="str">
        <f>CONCATENATE("    - ",TEXT('DLC mass atten coeff'!AA1033,"0.000E+00"))</f>
        <v xml:space="preserve">    - 7.611E-02</v>
      </c>
    </row>
    <row r="898" spans="1:1">
      <c r="A898" t="str">
        <f>CONCATENATE("    - ",TEXT('DLC mass atten coeff'!AA1034,"0.000E+00"))</f>
        <v xml:space="preserve">    - 6.644E-02</v>
      </c>
    </row>
    <row r="899" spans="1:1">
      <c r="A899" t="str">
        <f>CONCATENATE("    - ",TEXT('DLC mass atten coeff'!AA1035,"0.000E+00"))</f>
        <v xml:space="preserve">    - 5.957E-02</v>
      </c>
    </row>
    <row r="900" spans="1:1">
      <c r="A900" t="str">
        <f>CONCATENATE("    - ",TEXT('DLC mass atten coeff'!AA1036,"0.000E+00"))</f>
        <v xml:space="preserve">    - 4.862E-02</v>
      </c>
    </row>
    <row r="901" spans="1:1">
      <c r="A901" t="str">
        <f>CONCATENATE("    - ",TEXT('DLC mass atten coeff'!AA1037,"0.000E+00"))</f>
        <v xml:space="preserve">    - 4.250E-02</v>
      </c>
    </row>
    <row r="902" spans="1:1">
      <c r="A902" t="str">
        <f>CONCATENATE("    - ",TEXT('DLC mass atten coeff'!AA1038,"0.000E+00"))</f>
        <v xml:space="preserve">    - 3.611E-02</v>
      </c>
    </row>
    <row r="903" spans="1:1">
      <c r="A903" t="str">
        <f>CONCATENATE("    - ",TEXT('DLC mass atten coeff'!AA1039,"0.000E+00"))</f>
        <v xml:space="preserve">    - 3.303E-02</v>
      </c>
    </row>
    <row r="904" spans="1:1">
      <c r="A904" t="str">
        <f>CONCATENATE("    - ",TEXT('DLC mass atten coeff'!AA1040,"0.000E+00"))</f>
        <v xml:space="preserve">    - 3.139E-02</v>
      </c>
    </row>
    <row r="905" spans="1:1">
      <c r="A905" t="str">
        <f>CONCATENATE("    - ",TEXT('DLC mass atten coeff'!AA1041,"0.000E+00"))</f>
        <v xml:space="preserve">    - 3.050E-02</v>
      </c>
    </row>
    <row r="906" spans="1:1">
      <c r="A906" t="str">
        <f>CONCATENATE("    - ",TEXT('DLC mass atten coeff'!AA1042,"0.000E+00"))</f>
        <v xml:space="preserve">    - 2.985E-02</v>
      </c>
    </row>
    <row r="907" spans="1:1">
      <c r="A907" t="str">
        <f>CONCATENATE("    - ",TEXT('DLC mass atten coeff'!AA1043,"0.000E+00"))</f>
        <v xml:space="preserve">    - 2.989E-02</v>
      </c>
    </row>
    <row r="908" spans="1:1">
      <c r="A908" t="str">
        <f>CONCATENATE("    - ",TEXT('DLC mass atten coeff'!AA1044,"0.000E+00"))</f>
        <v xml:space="preserve">    - 3.088E-02</v>
      </c>
    </row>
    <row r="909" spans="1:1">
      <c r="A909" t="str">
        <f>CONCATENATE("    - ",TEXT('DLC mass atten coeff'!AA1045,"0.000E+00"))</f>
        <v xml:space="preserve">    - 3.220E-02</v>
      </c>
    </row>
    <row r="910" spans="1:1">
      <c r="A910" t="str">
        <f>CONCATENATE("    - ",TEXT('DLC mass atten coeff'!AA1046,"0.000E+00"))</f>
        <v xml:space="preserve">    - 3.465E-02</v>
      </c>
    </row>
    <row r="911" spans="1:1">
      <c r="A911" t="str">
        <f>CONCATENATE('DLC mass atten coeff'!AB1018,":")</f>
        <v>cobalt:</v>
      </c>
    </row>
    <row r="912" spans="1:1">
      <c r="A912" s="18" t="str">
        <f>CONCATENATE("  density: ",VLOOKUP(A911,densities!$A$5:$B$110,2,FALSE))</f>
        <v xml:space="preserve">  density: 8.900E+00</v>
      </c>
    </row>
    <row r="913" spans="1:1" ht="16">
      <c r="A913" s="19" t="s">
        <v>1581</v>
      </c>
    </row>
    <row r="914" spans="1:1">
      <c r="A914" s="19" t="s">
        <v>1553</v>
      </c>
    </row>
    <row r="915" spans="1:1">
      <c r="A915" s="19" t="s">
        <v>1554</v>
      </c>
    </row>
    <row r="916" spans="1:1">
      <c r="A916" s="21" t="s">
        <v>1860</v>
      </c>
    </row>
    <row r="917" spans="1:1">
      <c r="A917" s="19" t="s">
        <v>1555</v>
      </c>
    </row>
    <row r="918" spans="1:1">
      <c r="A918" t="str">
        <f>CONCATENATE("    - ",TEXT('DLC mass atten coeff'!AB1019,"0.000E+00"))</f>
        <v xml:space="preserve">    - 1.829E+02</v>
      </c>
    </row>
    <row r="919" spans="1:1">
      <c r="A919" t="str">
        <f>CONCATENATE("    - ",TEXT('DLC mass atten coeff'!AB1020,"0.000E+00"))</f>
        <v xml:space="preserve">    - 6.130E+01</v>
      </c>
    </row>
    <row r="920" spans="1:1">
      <c r="A920" t="str">
        <f>CONCATENATE("    - ",TEXT('DLC mass atten coeff'!AB1021,"0.000E+00"))</f>
        <v xml:space="preserve">    - 2.754E+01</v>
      </c>
    </row>
    <row r="921" spans="1:1">
      <c r="A921" t="str">
        <f>CONCATENATE("    - ",TEXT('DLC mass atten coeff'!AB1022,"0.000E+00"))</f>
        <v xml:space="preserve">    - 8.703E+00</v>
      </c>
    </row>
    <row r="922" spans="1:1">
      <c r="A922" t="str">
        <f>CONCATENATE("    - ",TEXT('DLC mass atten coeff'!AB1023,"0.000E+00"))</f>
        <v xml:space="preserve">    - 3.821E+00</v>
      </c>
    </row>
    <row r="923" spans="1:1">
      <c r="A923" t="str">
        <f>CONCATENATE("    - ",TEXT('DLC mass atten coeff'!AB1024,"0.000E+00"))</f>
        <v xml:space="preserve">    - 2.036E+00</v>
      </c>
    </row>
    <row r="924" spans="1:1">
      <c r="A924" t="str">
        <f>CONCATENATE("    - ",TEXT('DLC mass atten coeff'!AB1025,"0.000E+00"))</f>
        <v xml:space="preserve">    - 1.236E+00</v>
      </c>
    </row>
    <row r="925" spans="1:1">
      <c r="A925" t="str">
        <f>CONCATENATE("    - ",TEXT('DLC mass atten coeff'!AB1026,"0.000E+00"))</f>
        <v xml:space="preserve">    - 5.948E-01</v>
      </c>
    </row>
    <row r="926" spans="1:1">
      <c r="A926" t="str">
        <f>CONCATENATE("    - ",TEXT('DLC mass atten coeff'!AB1027,"0.000E+00"))</f>
        <v xml:space="preserve">    - 3.640E-01</v>
      </c>
    </row>
    <row r="927" spans="1:1">
      <c r="A927" t="str">
        <f>CONCATENATE("    - ",TEXT('DLC mass atten coeff'!AB1028,"0.000E+00"))</f>
        <v xml:space="preserve">    - 1.881E-01</v>
      </c>
    </row>
    <row r="928" spans="1:1">
      <c r="A928" t="str">
        <f>CONCATENATE("    - ",TEXT('DLC mass atten coeff'!AB1029,"0.000E+00"))</f>
        <v xml:space="preserve">    - 1.395E-01</v>
      </c>
    </row>
    <row r="929" spans="1:1">
      <c r="A929" t="str">
        <f>CONCATENATE("    - ",TEXT('DLC mass atten coeff'!AB1030,"0.000E+00"))</f>
        <v xml:space="preserve">    - 1.057E-01</v>
      </c>
    </row>
    <row r="930" spans="1:1">
      <c r="A930" t="str">
        <f>CONCATENATE("    - ",TEXT('DLC mass atten coeff'!AB1031,"0.000E+00"))</f>
        <v xml:space="preserve">    - 9.098E-02</v>
      </c>
    </row>
    <row r="931" spans="1:1">
      <c r="A931" t="str">
        <f>CONCATENATE("    - ",TEXT('DLC mass atten coeff'!AB1032,"0.000E+00"))</f>
        <v xml:space="preserve">    - 8.178E-02</v>
      </c>
    </row>
    <row r="932" spans="1:1">
      <c r="A932" t="str">
        <f>CONCATENATE("    - ",TEXT('DLC mass atten coeff'!AB1033,"0.000E+00"))</f>
        <v xml:space="preserve">    - 7.505E-02</v>
      </c>
    </row>
    <row r="933" spans="1:1">
      <c r="A933" t="str">
        <f>CONCATENATE("    - ",TEXT('DLC mass atten coeff'!AB1034,"0.000E+00"))</f>
        <v xml:space="preserve">    - 6.546E-02</v>
      </c>
    </row>
    <row r="934" spans="1:1">
      <c r="A934" t="str">
        <f>CONCATENATE("    - ",TEXT('DLC mass atten coeff'!AB1035,"0.000E+00"))</f>
        <v xml:space="preserve">    - 5.867E-02</v>
      </c>
    </row>
    <row r="935" spans="1:1">
      <c r="A935" t="str">
        <f>CONCATENATE("    - ",TEXT('DLC mass atten coeff'!AB1036,"0.000E+00"))</f>
        <v xml:space="preserve">    - 4.789E-02</v>
      </c>
    </row>
    <row r="936" spans="1:1">
      <c r="A936" t="str">
        <f>CONCATENATE("    - ",TEXT('DLC mass atten coeff'!AB1037,"0.000E+00"))</f>
        <v xml:space="preserve">    - 4.189E-02</v>
      </c>
    </row>
    <row r="937" spans="1:1">
      <c r="A937" t="str">
        <f>CONCATENATE("    - ",TEXT('DLC mass atten coeff'!AB1038,"0.000E+00"))</f>
        <v xml:space="preserve">    - 3.569E-02</v>
      </c>
    </row>
    <row r="938" spans="1:1">
      <c r="A938" t="str">
        <f>CONCATENATE("    - ",TEXT('DLC mass atten coeff'!AB1039,"0.000E+00"))</f>
        <v xml:space="preserve">    - 3.274E-02</v>
      </c>
    </row>
    <row r="939" spans="1:1">
      <c r="A939" t="str">
        <f>CONCATENATE("    - ",TEXT('DLC mass atten coeff'!AB1040,"0.000E+00"))</f>
        <v xml:space="preserve">    - 3.119E-02</v>
      </c>
    </row>
    <row r="940" spans="1:1">
      <c r="A940" t="str">
        <f>CONCATENATE("    - ",TEXT('DLC mass atten coeff'!AB1041,"0.000E+00"))</f>
        <v xml:space="preserve">    - 3.039E-02</v>
      </c>
    </row>
    <row r="941" spans="1:1">
      <c r="A941" t="str">
        <f>CONCATENATE("    - ",TEXT('DLC mass atten coeff'!AB1042,"0.000E+00"))</f>
        <v xml:space="preserve">    - 2.985E-02</v>
      </c>
    </row>
    <row r="942" spans="1:1">
      <c r="A942" t="str">
        <f>CONCATENATE("    - ",TEXT('DLC mass atten coeff'!AB1043,"0.000E+00"))</f>
        <v xml:space="preserve">    - 2.997E-02</v>
      </c>
    </row>
    <row r="943" spans="1:1">
      <c r="A943" t="str">
        <f>CONCATENATE("    - ",TEXT('DLC mass atten coeff'!AB1044,"0.000E+00"))</f>
        <v xml:space="preserve">    - 3.111E-02</v>
      </c>
    </row>
    <row r="944" spans="1:1">
      <c r="A944" t="str">
        <f>CONCATENATE("    - ",TEXT('DLC mass atten coeff'!AB1045,"0.000E+00"))</f>
        <v xml:space="preserve">    - 3.252E-02</v>
      </c>
    </row>
    <row r="945" spans="1:1">
      <c r="A945" t="str">
        <f>CONCATENATE("    - ",TEXT('DLC mass atten coeff'!AB1046,"0.000E+00"))</f>
        <v xml:space="preserve">    - 3.508E-02</v>
      </c>
    </row>
    <row r="946" spans="1:1">
      <c r="A946" t="str">
        <f>CONCATENATE('DLC mass atten coeff'!AC1018,":")</f>
        <v>nickel:</v>
      </c>
    </row>
    <row r="947" spans="1:1">
      <c r="A947" s="18" t="str">
        <f>CONCATENATE("  density: ",VLOOKUP(A946,densities!$A$5:$B$110,2,FALSE))</f>
        <v xml:space="preserve">  density: 8.902E+00</v>
      </c>
    </row>
    <row r="948" spans="1:1" ht="16">
      <c r="A948" s="19" t="s">
        <v>1582</v>
      </c>
    </row>
    <row r="949" spans="1:1">
      <c r="A949" s="19" t="s">
        <v>1553</v>
      </c>
    </row>
    <row r="950" spans="1:1">
      <c r="A950" s="19" t="s">
        <v>1554</v>
      </c>
    </row>
    <row r="951" spans="1:1">
      <c r="A951" s="21" t="s">
        <v>1860</v>
      </c>
    </row>
    <row r="952" spans="1:1">
      <c r="A952" s="19" t="s">
        <v>1555</v>
      </c>
    </row>
    <row r="953" spans="1:1">
      <c r="A953" t="str">
        <f>CONCATENATE("    - ",TEXT('DLC mass atten coeff'!AC1019,"0.000E+00"))</f>
        <v xml:space="preserve">    - 2.077E+02</v>
      </c>
    </row>
    <row r="954" spans="1:1">
      <c r="A954" t="str">
        <f>CONCATENATE("    - ",TEXT('DLC mass atten coeff'!AC1020,"0.000E+00"))</f>
        <v xml:space="preserve">    - 7.003E+01</v>
      </c>
    </row>
    <row r="955" spans="1:1">
      <c r="A955" t="str">
        <f>CONCATENATE("    - ",TEXT('DLC mass atten coeff'!AC1021,"0.000E+00"))</f>
        <v xml:space="preserve">    - 3.167E+01</v>
      </c>
    </row>
    <row r="956" spans="1:1">
      <c r="A956" t="str">
        <f>CONCATENATE("    - ",TEXT('DLC mass atten coeff'!AC1022,"0.000E+00"))</f>
        <v xml:space="preserve">    - 1.005E+01</v>
      </c>
    </row>
    <row r="957" spans="1:1">
      <c r="A957" t="str">
        <f>CONCATENATE("    - ",TEXT('DLC mass atten coeff'!AC1023,"0.000E+00"))</f>
        <v xml:space="preserve">    - 4.422E+00</v>
      </c>
    </row>
    <row r="958" spans="1:1">
      <c r="A958" t="str">
        <f>CONCATENATE("    - ",TEXT('DLC mass atten coeff'!AC1024,"0.000E+00"))</f>
        <v xml:space="preserve">    - 2.354E+00</v>
      </c>
    </row>
    <row r="959" spans="1:1">
      <c r="A959" t="str">
        <f>CONCATENATE("    - ",TEXT('DLC mass atten coeff'!AC1025,"0.000E+00"))</f>
        <v xml:space="preserve">    - 1.425E+00</v>
      </c>
    </row>
    <row r="960" spans="1:1">
      <c r="A960" t="str">
        <f>CONCATENATE("    - ",TEXT('DLC mass atten coeff'!AC1026,"0.000E+00"))</f>
        <v xml:space="preserve">    - 6.786E-01</v>
      </c>
    </row>
    <row r="961" spans="1:1">
      <c r="A961" t="str">
        <f>CONCATENATE("    - ",TEXT('DLC mass atten coeff'!AC1027,"0.000E+00"))</f>
        <v xml:space="preserve">    - 4.097E-01</v>
      </c>
    </row>
    <row r="962" spans="1:1">
      <c r="A962" t="str">
        <f>CONCATENATE("    - ",TEXT('DLC mass atten coeff'!AC1028,"0.000E+00"))</f>
        <v xml:space="preserve">    - 2.049E-01</v>
      </c>
    </row>
    <row r="963" spans="1:1">
      <c r="A963" t="str">
        <f>CONCATENATE("    - ",TEXT('DLC mass atten coeff'!AC1029,"0.000E+00"))</f>
        <v xml:space="preserve">    - 1.490E-01</v>
      </c>
    </row>
    <row r="964" spans="1:1">
      <c r="A964" t="str">
        <f>CONCATENATE("    - ",TEXT('DLC mass atten coeff'!AC1030,"0.000E+00"))</f>
        <v xml:space="preserve">    - 1.113E-01</v>
      </c>
    </row>
    <row r="965" spans="1:1">
      <c r="A965" t="str">
        <f>CONCATENATE("    - ",TEXT('DLC mass atten coeff'!AC1031,"0.000E+00"))</f>
        <v xml:space="preserve">    - 9.529E-02</v>
      </c>
    </row>
    <row r="966" spans="1:1">
      <c r="A966" t="str">
        <f>CONCATENATE("    - ",TEXT('DLC mass atten coeff'!AC1032,"0.000E+00"))</f>
        <v xml:space="preserve">    - 8.545E-02</v>
      </c>
    </row>
    <row r="967" spans="1:1">
      <c r="A967" t="str">
        <f>CONCATENATE("    - ",TEXT('DLC mass atten coeff'!AC1033,"0.000E+00"))</f>
        <v xml:space="preserve">    - 7.835E-02</v>
      </c>
    </row>
    <row r="968" spans="1:1">
      <c r="A968" t="str">
        <f>CONCATENATE("    - ",TEXT('DLC mass atten coeff'!AC1034,"0.000E+00"))</f>
        <v xml:space="preserve">    - 6.827E-02</v>
      </c>
    </row>
    <row r="969" spans="1:1">
      <c r="A969" t="str">
        <f>CONCATENATE("    - ",TEXT('DLC mass atten coeff'!AC1035,"0.000E+00"))</f>
        <v xml:space="preserve">    - 6.116E-02</v>
      </c>
    </row>
    <row r="970" spans="1:1">
      <c r="A970" t="str">
        <f>CONCATENATE("    - ",TEXT('DLC mass atten coeff'!AC1036,"0.000E+00"))</f>
        <v xml:space="preserve">    - 4.991E-02</v>
      </c>
    </row>
    <row r="971" spans="1:1">
      <c r="A971" t="str">
        <f>CONCATENATE("    - ",TEXT('DLC mass atten coeff'!AC1037,"0.000E+00"))</f>
        <v xml:space="preserve">    - 4.370E-02</v>
      </c>
    </row>
    <row r="972" spans="1:1">
      <c r="A972" t="str">
        <f>CONCATENATE("    - ",TEXT('DLC mass atten coeff'!AC1038,"0.000E+00"))</f>
        <v xml:space="preserve">    - 3.734E-02</v>
      </c>
    </row>
    <row r="973" spans="1:1">
      <c r="A973" t="str">
        <f>CONCATENATE("    - ",TEXT('DLC mass atten coeff'!AC1039,"0.000E+00"))</f>
        <v xml:space="preserve">    - 3.435E-02</v>
      </c>
    </row>
    <row r="974" spans="1:1">
      <c r="A974" t="str">
        <f>CONCATENATE("    - ",TEXT('DLC mass atten coeff'!AC1040,"0.000E+00"))</f>
        <v xml:space="preserve">    - 3.281E-02</v>
      </c>
    </row>
    <row r="975" spans="1:1">
      <c r="A975" t="str">
        <f>CONCATENATE("    - ",TEXT('DLC mass atten coeff'!AC1041,"0.000E+00"))</f>
        <v xml:space="preserve">    - 3.202E-02</v>
      </c>
    </row>
    <row r="976" spans="1:1">
      <c r="A976" t="str">
        <f>CONCATENATE("    - ",TEXT('DLC mass atten coeff'!AC1042,"0.000E+00"))</f>
        <v xml:space="preserve">    - 3.158E-02</v>
      </c>
    </row>
    <row r="977" spans="1:1">
      <c r="A977" t="str">
        <f>CONCATENATE("    - ",TEXT('DLC mass atten coeff'!AC1043,"0.000E+00"))</f>
        <v xml:space="preserve">    - 3.180E-02</v>
      </c>
    </row>
    <row r="978" spans="1:1">
      <c r="A978" t="str">
        <f>CONCATENATE("    - ",TEXT('DLC mass atten coeff'!AC1044,"0.000E+00"))</f>
        <v xml:space="preserve">    - 3.316E-02</v>
      </c>
    </row>
    <row r="979" spans="1:1">
      <c r="A979" t="str">
        <f>CONCATENATE("    - ",TEXT('DLC mass atten coeff'!AC1045,"0.000E+00"))</f>
        <v xml:space="preserve">    - 3.472E-02</v>
      </c>
    </row>
    <row r="980" spans="1:1">
      <c r="A980" t="str">
        <f>CONCATENATE("    - ",TEXT('DLC mass atten coeff'!AC1046,"0.000E+00"))</f>
        <v xml:space="preserve">    - 3.755E-02</v>
      </c>
    </row>
    <row r="981" spans="1:1">
      <c r="A981" t="str">
        <f>CONCATENATE('DLC mass atten coeff'!AD1018,":")</f>
        <v>copper:</v>
      </c>
    </row>
    <row r="982" spans="1:1">
      <c r="A982" s="18" t="str">
        <f>CONCATENATE("  density: ",VLOOKUP(A981,densities!$A$5:$B$110,2,FALSE))</f>
        <v xml:space="preserve">  density: 8.960E+00</v>
      </c>
    </row>
    <row r="983" spans="1:1" ht="16">
      <c r="A983" s="19" t="s">
        <v>1583</v>
      </c>
    </row>
    <row r="984" spans="1:1">
      <c r="A984" s="19" t="s">
        <v>1553</v>
      </c>
    </row>
    <row r="985" spans="1:1">
      <c r="A985" s="19" t="s">
        <v>1554</v>
      </c>
    </row>
    <row r="986" spans="1:1">
      <c r="A986" s="21" t="s">
        <v>1860</v>
      </c>
    </row>
    <row r="987" spans="1:1">
      <c r="A987" s="19" t="s">
        <v>1555</v>
      </c>
    </row>
    <row r="988" spans="1:1">
      <c r="A988" t="str">
        <f>CONCATENATE("    - ",TEXT('DLC mass atten coeff'!AD1019,"0.000E+00"))</f>
        <v xml:space="preserve">    - 2.146E+02</v>
      </c>
    </row>
    <row r="989" spans="1:1">
      <c r="A989" t="str">
        <f>CONCATENATE("    - ",TEXT('DLC mass atten coeff'!AD1020,"0.000E+00"))</f>
        <v xml:space="preserve">    - 7.325E+01</v>
      </c>
    </row>
    <row r="990" spans="1:1">
      <c r="A990" t="str">
        <f>CONCATENATE("    - ",TEXT('DLC mass atten coeff'!AD1021,"0.000E+00"))</f>
        <v xml:space="preserve">    - 3.325E+01</v>
      </c>
    </row>
    <row r="991" spans="1:1">
      <c r="A991" t="str">
        <f>CONCATENATE("    - ",TEXT('DLC mass atten coeff'!AD1022,"0.000E+00"))</f>
        <v xml:space="preserve">    - 1.062E+01</v>
      </c>
    </row>
    <row r="992" spans="1:1">
      <c r="A992" t="str">
        <f>CONCATENATE("    - ",TEXT('DLC mass atten coeff'!AD1023,"0.000E+00"))</f>
        <v xml:space="preserve">    - 4.680E+00</v>
      </c>
    </row>
    <row r="993" spans="1:1">
      <c r="A993" t="str">
        <f>CONCATENATE("    - ",TEXT('DLC mass atten coeff'!AD1024,"0.000E+00"))</f>
        <v xml:space="preserve">    - 2.490E+00</v>
      </c>
    </row>
    <row r="994" spans="1:1">
      <c r="A994" t="str">
        <f>CONCATENATE("    - ",TEXT('DLC mass atten coeff'!AD1025,"0.000E+00"))</f>
        <v xml:space="preserve">    - 1.504E+00</v>
      </c>
    </row>
    <row r="995" spans="1:1">
      <c r="A995" t="str">
        <f>CONCATENATE("    - ",TEXT('DLC mass atten coeff'!AD1026,"0.000E+00"))</f>
        <v xml:space="preserve">    - 7.097E-01</v>
      </c>
    </row>
    <row r="996" spans="1:1">
      <c r="A996" t="str">
        <f>CONCATENATE("    - ",TEXT('DLC mass atten coeff'!AD1027,"0.000E+00"))</f>
        <v xml:space="preserve">    - 4.232E-01</v>
      </c>
    </row>
    <row r="997" spans="1:1">
      <c r="A997" t="str">
        <f>CONCATENATE("    - ",TEXT('DLC mass atten coeff'!AD1028,"0.000E+00"))</f>
        <v xml:space="preserve">    - 2.053E-01</v>
      </c>
    </row>
    <row r="998" spans="1:1">
      <c r="A998" t="str">
        <f>CONCATENATE("    - ",TEXT('DLC mass atten coeff'!AD1029,"0.000E+00"))</f>
        <v xml:space="preserve">    - 1.466E-01</v>
      </c>
    </row>
    <row r="999" spans="1:1">
      <c r="A999" t="str">
        <f>CONCATENATE("    - ",TEXT('DLC mass atten coeff'!AD1030,"0.000E+00"))</f>
        <v xml:space="preserve">    - 1.076E-01</v>
      </c>
    </row>
    <row r="1000" spans="1:1">
      <c r="A1000" t="str">
        <f>CONCATENATE("    - ",TEXT('DLC mass atten coeff'!AD1031,"0.000E+00"))</f>
        <v xml:space="preserve">    - 9.170E-02</v>
      </c>
    </row>
    <row r="1001" spans="1:1">
      <c r="A1001" t="str">
        <f>CONCATENATE("    - ",TEXT('DLC mass atten coeff'!AD1032,"0.000E+00"))</f>
        <v xml:space="preserve">    - 8.204E-02</v>
      </c>
    </row>
    <row r="1002" spans="1:1">
      <c r="A1002" t="str">
        <f>CONCATENATE("    - ",TEXT('DLC mass atten coeff'!AD1033,"0.000E+00"))</f>
        <v xml:space="preserve">    - 7.513E-02</v>
      </c>
    </row>
    <row r="1003" spans="1:1">
      <c r="A1003" t="str">
        <f>CONCATENATE("    - ",TEXT('DLC mass atten coeff'!AD1034,"0.000E+00"))</f>
        <v xml:space="preserve">    - 6.540E-02</v>
      </c>
    </row>
    <row r="1004" spans="1:1">
      <c r="A1004" t="str">
        <f>CONCATENATE("    - ",TEXT('DLC mass atten coeff'!AD1035,"0.000E+00"))</f>
        <v xml:space="preserve">    - 5.856E-02</v>
      </c>
    </row>
    <row r="1005" spans="1:1">
      <c r="A1005" t="str">
        <f>CONCATENATE("    - ",TEXT('DLC mass atten coeff'!AD1036,"0.000E+00"))</f>
        <v xml:space="preserve">    - 4.780E-02</v>
      </c>
    </row>
    <row r="1006" spans="1:1">
      <c r="A1006" t="str">
        <f>CONCATENATE("    - ",TEXT('DLC mass atten coeff'!AD1037,"0.000E+00"))</f>
        <v xml:space="preserve">    - 4.188E-02</v>
      </c>
    </row>
    <row r="1007" spans="1:1">
      <c r="A1007" t="str">
        <f>CONCATENATE("    - ",TEXT('DLC mass atten coeff'!AD1038,"0.000E+00"))</f>
        <v xml:space="preserve">    - 3.588E-02</v>
      </c>
    </row>
    <row r="1008" spans="1:1">
      <c r="A1008" t="str">
        <f>CONCATENATE("    - ",TEXT('DLC mass atten coeff'!AD1039,"0.000E+00"))</f>
        <v xml:space="preserve">    - 3.309E-02</v>
      </c>
    </row>
    <row r="1009" spans="1:1">
      <c r="A1009" t="str">
        <f>CONCATENATE("    - ",TEXT('DLC mass atten coeff'!AD1040,"0.000E+00"))</f>
        <v xml:space="preserve">    - 3.169E-02</v>
      </c>
    </row>
    <row r="1010" spans="1:1">
      <c r="A1010" t="str">
        <f>CONCATENATE("    - ",TEXT('DLC mass atten coeff'!AD1041,"0.000E+00"))</f>
        <v xml:space="preserve">    - 3.102E-02</v>
      </c>
    </row>
    <row r="1011" spans="1:1">
      <c r="A1011" t="str">
        <f>CONCATENATE("    - ",TEXT('DLC mass atten coeff'!AD1042,"0.000E+00"))</f>
        <v xml:space="preserve">    - 3.068E-02</v>
      </c>
    </row>
    <row r="1012" spans="1:1">
      <c r="A1012" t="str">
        <f>CONCATENATE("    - ",TEXT('DLC mass atten coeff'!AD1043,"0.000E+00"))</f>
        <v xml:space="preserve">    - 3.099E-02</v>
      </c>
    </row>
    <row r="1013" spans="1:1">
      <c r="A1013" t="str">
        <f>CONCATENATE("    - ",TEXT('DLC mass atten coeff'!AD1044,"0.000E+00"))</f>
        <v xml:space="preserve">    - 3.243E-02</v>
      </c>
    </row>
    <row r="1014" spans="1:1">
      <c r="A1014" t="str">
        <f>CONCATENATE("    - ",TEXT('DLC mass atten coeff'!AD1045,"0.000E+00"))</f>
        <v xml:space="preserve">    - 3.404E-02</v>
      </c>
    </row>
    <row r="1015" spans="1:1">
      <c r="A1015" t="str">
        <f>CONCATENATE("    - ",TEXT('DLC mass atten coeff'!AD1046,"0.000E+00"))</f>
        <v xml:space="preserve">    - 3.690E-02</v>
      </c>
    </row>
    <row r="1016" spans="1:1">
      <c r="A1016" t="str">
        <f>CONCATENATE('DLC mass atten coeff'!AE1018,":")</f>
        <v>zinc:</v>
      </c>
    </row>
    <row r="1017" spans="1:1">
      <c r="A1017" s="18" t="str">
        <f>CONCATENATE("  density: ",VLOOKUP(A1016,densities!$A$5:$B$110,2,FALSE))</f>
        <v xml:space="preserve">  density: 7.133E+00</v>
      </c>
    </row>
    <row r="1018" spans="1:1" ht="16">
      <c r="A1018" s="19" t="s">
        <v>1584</v>
      </c>
    </row>
    <row r="1019" spans="1:1">
      <c r="A1019" s="19" t="s">
        <v>1553</v>
      </c>
    </row>
    <row r="1020" spans="1:1">
      <c r="A1020" s="19" t="s">
        <v>1554</v>
      </c>
    </row>
    <row r="1021" spans="1:1">
      <c r="A1021" s="21" t="s">
        <v>1860</v>
      </c>
    </row>
    <row r="1022" spans="1:1">
      <c r="A1022" s="19" t="s">
        <v>1555</v>
      </c>
    </row>
    <row r="1023" spans="1:1">
      <c r="A1023" t="str">
        <f>CONCATENATE("    - ",TEXT('DLC mass atten coeff'!AE1019,"0.000E+00"))</f>
        <v xml:space="preserve">    - 2.317E+02</v>
      </c>
    </row>
    <row r="1024" spans="1:1">
      <c r="A1024" t="str">
        <f>CONCATENATE("    - ",TEXT('DLC mass atten coeff'!AE1020,"0.000E+00"))</f>
        <v xml:space="preserve">    - 8.032E+01</v>
      </c>
    </row>
    <row r="1025" spans="1:1">
      <c r="A1025" t="str">
        <f>CONCATENATE("    - ",TEXT('DLC mass atten coeff'!AE1021,"0.000E+00"))</f>
        <v xml:space="preserve">    - 3.662E+01</v>
      </c>
    </row>
    <row r="1026" spans="1:1">
      <c r="A1026" t="str">
        <f>CONCATENATE("    - ",TEXT('DLC mass atten coeff'!AE1022,"0.000E+00"))</f>
        <v xml:space="preserve">    - 1.175E+01</v>
      </c>
    </row>
    <row r="1027" spans="1:1">
      <c r="A1027" t="str">
        <f>CONCATENATE("    - ",TEXT('DLC mass atten coeff'!AE1023,"0.000E+00"))</f>
        <v xml:space="preserve">    - 5.190E+00</v>
      </c>
    </row>
    <row r="1028" spans="1:1">
      <c r="A1028" t="str">
        <f>CONCATENATE("    - ",TEXT('DLC mass atten coeff'!AE1024,"0.000E+00"))</f>
        <v xml:space="preserve">    - 2.761E+00</v>
      </c>
    </row>
    <row r="1029" spans="1:1">
      <c r="A1029" t="str">
        <f>CONCATENATE("    - ",TEXT('DLC mass atten coeff'!AE1025,"0.000E+00"))</f>
        <v xml:space="preserve">    - 1.664E+00</v>
      </c>
    </row>
    <row r="1030" spans="1:1">
      <c r="A1030" t="str">
        <f>CONCATENATE("    - ",TEXT('DLC mass atten coeff'!AE1026,"0.000E+00"))</f>
        <v xml:space="preserve">    - 7.797E-01</v>
      </c>
    </row>
    <row r="1031" spans="1:1">
      <c r="A1031" t="str">
        <f>CONCATENATE("    - ",TEXT('DLC mass atten coeff'!AE1027,"0.000E+00"))</f>
        <v xml:space="preserve">    - 4.597E-01</v>
      </c>
    </row>
    <row r="1032" spans="1:1">
      <c r="A1032" t="str">
        <f>CONCATENATE("    - ",TEXT('DLC mass atten coeff'!AE1028,"0.000E+00"))</f>
        <v xml:space="preserve">    - 2.168E-01</v>
      </c>
    </row>
    <row r="1033" spans="1:1">
      <c r="A1033" t="str">
        <f>CONCATENATE("    - ",TEXT('DLC mass atten coeff'!AE1029,"0.000E+00"))</f>
        <v xml:space="preserve">    - 1.518E-01</v>
      </c>
    </row>
    <row r="1034" spans="1:1">
      <c r="A1034" t="str">
        <f>CONCATENATE("    - ",TEXT('DLC mass atten coeff'!AE1030,"0.000E+00"))</f>
        <v xml:space="preserve">    - 1.096E-01</v>
      </c>
    </row>
    <row r="1035" spans="1:1">
      <c r="A1035" t="str">
        <f>CONCATENATE("    - ",TEXT('DLC mass atten coeff'!AE1031,"0.000E+00"))</f>
        <v xml:space="preserve">    - 9.280E-02</v>
      </c>
    </row>
    <row r="1036" spans="1:1">
      <c r="A1036" t="str">
        <f>CONCATENATE("    - ",TEXT('DLC mass atten coeff'!AE1032,"0.000E+00"))</f>
        <v xml:space="preserve">    - 8.283E-02</v>
      </c>
    </row>
    <row r="1037" spans="1:1">
      <c r="A1037" t="str">
        <f>CONCATENATE("    - ",TEXT('DLC mass atten coeff'!AE1033,"0.000E+00"))</f>
        <v xml:space="preserve">    - 7.576E-02</v>
      </c>
    </row>
    <row r="1038" spans="1:1">
      <c r="A1038" t="str">
        <f>CONCATENATE("    - ",TEXT('DLC mass atten coeff'!AE1034,"0.000E+00"))</f>
        <v xml:space="preserve">    - 6.587E-02</v>
      </c>
    </row>
    <row r="1039" spans="1:1">
      <c r="A1039" t="str">
        <f>CONCATENATE("    - ",TEXT('DLC mass atten coeff'!AE1035,"0.000E+00"))</f>
        <v xml:space="preserve">    - 5.894E-02</v>
      </c>
    </row>
    <row r="1040" spans="1:1">
      <c r="A1040" t="str">
        <f>CONCATENATE("    - ",TEXT('DLC mass atten coeff'!AE1036,"0.000E+00"))</f>
        <v xml:space="preserve">    - 4.810E-02</v>
      </c>
    </row>
    <row r="1041" spans="1:1">
      <c r="A1041" t="str">
        <f>CONCATENATE("    - ",TEXT('DLC mass atten coeff'!AE1037,"0.000E+00"))</f>
        <v xml:space="preserve">    - 4.219E-02</v>
      </c>
    </row>
    <row r="1042" spans="1:1">
      <c r="A1042" t="str">
        <f>CONCATENATE("    - ",TEXT('DLC mass atten coeff'!AE1038,"0.000E+00"))</f>
        <v xml:space="preserve">    - 3.624E-02</v>
      </c>
    </row>
    <row r="1043" spans="1:1">
      <c r="A1043" t="str">
        <f>CONCATENATE("    - ",TEXT('DLC mass atten coeff'!AE1039,"0.000E+00"))</f>
        <v xml:space="preserve">    - 3.351E-02</v>
      </c>
    </row>
    <row r="1044" spans="1:1">
      <c r="A1044" t="str">
        <f>CONCATENATE("    - ",TEXT('DLC mass atten coeff'!AE1040,"0.000E+00"))</f>
        <v xml:space="preserve">    - 3.217E-02</v>
      </c>
    </row>
    <row r="1045" spans="1:1">
      <c r="A1045" t="str">
        <f>CONCATENATE("    - ",TEXT('DLC mass atten coeff'!AE1041,"0.000E+00"))</f>
        <v xml:space="preserve">    - 3.155E-02</v>
      </c>
    </row>
    <row r="1046" spans="1:1">
      <c r="A1046" t="str">
        <f>CONCATENATE("    - ",TEXT('DLC mass atten coeff'!AE1042,"0.000E+00"))</f>
        <v xml:space="preserve">    - 3.133E-02</v>
      </c>
    </row>
    <row r="1047" spans="1:1">
      <c r="A1047" t="str">
        <f>CONCATENATE("    - ",TEXT('DLC mass atten coeff'!AE1043,"0.000E+00"))</f>
        <v xml:space="preserve">    - 3.171E-02</v>
      </c>
    </row>
    <row r="1048" spans="1:1">
      <c r="A1048" t="str">
        <f>CONCATENATE("    - ",TEXT('DLC mass atten coeff'!AE1044,"0.000E+00"))</f>
        <v xml:space="preserve">    - 3.330E-02</v>
      </c>
    </row>
    <row r="1049" spans="1:1">
      <c r="A1049" t="str">
        <f>CONCATENATE("    - ",TEXT('DLC mass atten coeff'!AE1045,"0.000E+00"))</f>
        <v xml:space="preserve">    - 3.506E-02</v>
      </c>
    </row>
    <row r="1050" spans="1:1">
      <c r="A1050" t="str">
        <f>CONCATENATE("    - ",TEXT('DLC mass atten coeff'!AE1046,"0.000E+00"))</f>
        <v xml:space="preserve">    - 3.808E-02</v>
      </c>
    </row>
    <row r="1051" spans="1:1">
      <c r="A1051" t="str">
        <f>CONCATENATE('DLC mass atten coeff'!AF1018,":")</f>
        <v>gallium:</v>
      </c>
    </row>
    <row r="1052" spans="1:1">
      <c r="A1052" s="18" t="str">
        <f>CONCATENATE("  density: ",VLOOKUP(A1051,densities!$A$5:$B$110,2,FALSE))</f>
        <v xml:space="preserve">  density: 5.904E+00</v>
      </c>
    </row>
    <row r="1053" spans="1:1" ht="16">
      <c r="A1053" s="19" t="s">
        <v>1585</v>
      </c>
    </row>
    <row r="1054" spans="1:1">
      <c r="A1054" s="19" t="s">
        <v>1553</v>
      </c>
    </row>
    <row r="1055" spans="1:1">
      <c r="A1055" s="19" t="s">
        <v>1554</v>
      </c>
    </row>
    <row r="1056" spans="1:1">
      <c r="A1056" s="21" t="s">
        <v>1860</v>
      </c>
    </row>
    <row r="1057" spans="1:1">
      <c r="A1057" s="19" t="s">
        <v>1555</v>
      </c>
    </row>
    <row r="1058" spans="1:1">
      <c r="A1058" t="str">
        <f>CONCATENATE("    - ",TEXT('DLC mass atten coeff'!AF1019,"0.000E+00"))</f>
        <v xml:space="preserve">    - 3.273E+01</v>
      </c>
    </row>
    <row r="1059" spans="1:1">
      <c r="A1059" t="str">
        <f>CONCATENATE("    - ",TEXT('DLC mass atten coeff'!AF1020,"0.000E+00"))</f>
        <v xml:space="preserve">    - 8.450E+01</v>
      </c>
    </row>
    <row r="1060" spans="1:1">
      <c r="A1060" t="str">
        <f>CONCATENATE("    - ",TEXT('DLC mass atten coeff'!AF1021,"0.000E+00"))</f>
        <v xml:space="preserve">    - 3.869E+01</v>
      </c>
    </row>
    <row r="1061" spans="1:1">
      <c r="A1061" t="str">
        <f>CONCATENATE("    - ",TEXT('DLC mass atten coeff'!AF1022,"0.000E+00"))</f>
        <v xml:space="preserve">    - 1.249E+01</v>
      </c>
    </row>
    <row r="1062" spans="1:1">
      <c r="A1062" t="str">
        <f>CONCATENATE("    - ",TEXT('DLC mass atten coeff'!AF1023,"0.000E+00"))</f>
        <v xml:space="preserve">    - 5.526E+00</v>
      </c>
    </row>
    <row r="1063" spans="1:1">
      <c r="A1063" t="str">
        <f>CONCATENATE("    - ",TEXT('DLC mass atten coeff'!AF1024,"0.000E+00"))</f>
        <v xml:space="preserve">    - 2.940E+00</v>
      </c>
    </row>
    <row r="1064" spans="1:1">
      <c r="A1064" t="str">
        <f>CONCATENATE("    - ",TEXT('DLC mass atten coeff'!AF1025,"0.000E+00"))</f>
        <v xml:space="preserve">    - 1.770E+00</v>
      </c>
    </row>
    <row r="1065" spans="1:1">
      <c r="A1065" t="str">
        <f>CONCATENATE("    - ",TEXT('DLC mass atten coeff'!AF1026,"0.000E+00"))</f>
        <v xml:space="preserve">    - 8.239E-01</v>
      </c>
    </row>
    <row r="1066" spans="1:1">
      <c r="A1066" t="str">
        <f>CONCATENATE("    - ",TEXT('DLC mass atten coeff'!AF1027,"0.000E+00"))</f>
        <v xml:space="preserve">    - 4.810E-01</v>
      </c>
    </row>
    <row r="1067" spans="1:1">
      <c r="A1067" t="str">
        <f>CONCATENATE("    - ",TEXT('DLC mass atten coeff'!AF1028,"0.000E+00"))</f>
        <v xml:space="preserve">    - 2.207E-01</v>
      </c>
    </row>
    <row r="1068" spans="1:1">
      <c r="A1068" t="str">
        <f>CONCATENATE("    - ",TEXT('DLC mass atten coeff'!AF1029,"0.000E+00"))</f>
        <v xml:space="preserve">    - 1.516E-01</v>
      </c>
    </row>
    <row r="1069" spans="1:1">
      <c r="A1069" t="str">
        <f>CONCATENATE("    - ",TEXT('DLC mass atten coeff'!AF1030,"0.000E+00"))</f>
        <v xml:space="preserve">    - 1.076E-01</v>
      </c>
    </row>
    <row r="1070" spans="1:1">
      <c r="A1070" t="str">
        <f>CONCATENATE("    - ",TEXT('DLC mass atten coeff'!AF1031,"0.000E+00"))</f>
        <v xml:space="preserve">    - 9.057E-02</v>
      </c>
    </row>
    <row r="1071" spans="1:1">
      <c r="A1071" t="str">
        <f>CONCATENATE("    - ",TEXT('DLC mass atten coeff'!AF1032,"0.000E+00"))</f>
        <v xml:space="preserve">    - 8.061E-02</v>
      </c>
    </row>
    <row r="1072" spans="1:1">
      <c r="A1072" t="str">
        <f>CONCATENATE("    - ",TEXT('DLC mass atten coeff'!AF1033,"0.000E+00"))</f>
        <v xml:space="preserve">    - 7.364E-02</v>
      </c>
    </row>
    <row r="1073" spans="1:1">
      <c r="A1073" t="str">
        <f>CONCATENATE("    - ",TEXT('DLC mass atten coeff'!AF1034,"0.000E+00"))</f>
        <v xml:space="preserve">    - 6.394E-02</v>
      </c>
    </row>
    <row r="1074" spans="1:1">
      <c r="A1074" t="str">
        <f>CONCATENATE("    - ",TEXT('DLC mass atten coeff'!AF1035,"0.000E+00"))</f>
        <v xml:space="preserve">    - 5.719E-02</v>
      </c>
    </row>
    <row r="1075" spans="1:1">
      <c r="A1075" t="str">
        <f>CONCATENATE("    - ",TEXT('DLC mass atten coeff'!AF1036,"0.000E+00"))</f>
        <v xml:space="preserve">    - 4.666E-02</v>
      </c>
    </row>
    <row r="1076" spans="1:1">
      <c r="A1076" t="str">
        <f>CONCATENATE("    - ",TEXT('DLC mass atten coeff'!AF1037,"0.000E+00"))</f>
        <v xml:space="preserve">    - 4.096E-02</v>
      </c>
    </row>
    <row r="1077" spans="1:1">
      <c r="A1077" t="str">
        <f>CONCATENATE("    - ",TEXT('DLC mass atten coeff'!AF1038,"0.000E+00"))</f>
        <v xml:space="preserve">    - 3.527E-02</v>
      </c>
    </row>
    <row r="1078" spans="1:1">
      <c r="A1078" t="str">
        <f>CONCATENATE("    - ",TEXT('DLC mass atten coeff'!AF1039,"0.000E+00"))</f>
        <v xml:space="preserve">    - 3.271E-02</v>
      </c>
    </row>
    <row r="1079" spans="1:1">
      <c r="A1079" t="str">
        <f>CONCATENATE("    - ",TEXT('DLC mass atten coeff'!AF1040,"0.000E+00"))</f>
        <v xml:space="preserve">    - 3.149E-02</v>
      </c>
    </row>
    <row r="1080" spans="1:1">
      <c r="A1080" t="str">
        <f>CONCATENATE("    - ",TEXT('DLC mass atten coeff'!AF1041,"0.000E+00"))</f>
        <v xml:space="preserve">    - 3.092E-02</v>
      </c>
    </row>
    <row r="1081" spans="1:1">
      <c r="A1081" t="str">
        <f>CONCATENATE("    - ",TEXT('DLC mass atten coeff'!AF1042,"0.000E+00"))</f>
        <v xml:space="preserve">    - 3.080E-02</v>
      </c>
    </row>
    <row r="1082" spans="1:1">
      <c r="A1082" t="str">
        <f>CONCATENATE("    - ",TEXT('DLC mass atten coeff'!AF1043,"0.000E+00"))</f>
        <v xml:space="preserve">    - 3.125E-02</v>
      </c>
    </row>
    <row r="1083" spans="1:1">
      <c r="A1083" t="str">
        <f>CONCATENATE("    - ",TEXT('DLC mass atten coeff'!AF1044,"0.000E+00"))</f>
        <v xml:space="preserve">    - 3.295E-02</v>
      </c>
    </row>
    <row r="1084" spans="1:1">
      <c r="A1084" t="str">
        <f>CONCATENATE("    - ",TEXT('DLC mass atten coeff'!AF1045,"0.000E+00"))</f>
        <v xml:space="preserve">    - 3.476E-02</v>
      </c>
    </row>
    <row r="1085" spans="1:1">
      <c r="A1085" t="str">
        <f>CONCATENATE("    - ",TEXT('DLC mass atten coeff'!AF1046,"0.000E+00"))</f>
        <v xml:space="preserve">    - 3.785E-02</v>
      </c>
    </row>
    <row r="1086" spans="1:1">
      <c r="A1086" t="str">
        <f>CONCATENATE('DLC mass atten coeff'!AG1018,":")</f>
        <v>germanium:</v>
      </c>
    </row>
    <row r="1087" spans="1:1">
      <c r="A1087" s="18" t="str">
        <f>CONCATENATE("  density: ",VLOOKUP(A1086,densities!$A$5:$B$110,2,FALSE))</f>
        <v xml:space="preserve">  density: 5.323E+00</v>
      </c>
    </row>
    <row r="1088" spans="1:1" ht="16">
      <c r="A1088" s="19" t="s">
        <v>1586</v>
      </c>
    </row>
    <row r="1089" spans="1:1">
      <c r="A1089" s="19" t="s">
        <v>1553</v>
      </c>
    </row>
    <row r="1090" spans="1:1">
      <c r="A1090" s="19" t="s">
        <v>1554</v>
      </c>
    </row>
    <row r="1091" spans="1:1">
      <c r="A1091" s="21" t="s">
        <v>1860</v>
      </c>
    </row>
    <row r="1092" spans="1:1">
      <c r="A1092" s="19" t="s">
        <v>1555</v>
      </c>
    </row>
    <row r="1093" spans="1:1">
      <c r="A1093" t="str">
        <f>CONCATENATE("    - ",TEXT('DLC mass atten coeff'!AG1019,"0.000E+00"))</f>
        <v xml:space="preserve">    - 3.589E+01</v>
      </c>
    </row>
    <row r="1094" spans="1:1">
      <c r="A1094" t="str">
        <f>CONCATENATE("    - ",TEXT('DLC mass atten coeff'!AG1020,"0.000E+00"))</f>
        <v xml:space="preserve">    - 9.063E+01</v>
      </c>
    </row>
    <row r="1095" spans="1:1">
      <c r="A1095" t="str">
        <f>CONCATENATE("    - ",TEXT('DLC mass atten coeff'!AG1021,"0.000E+00"))</f>
        <v xml:space="preserve">    - 4.161E+01</v>
      </c>
    </row>
    <row r="1096" spans="1:1">
      <c r="A1096" t="str">
        <f>CONCATENATE("    - ",TEXT('DLC mass atten coeff'!AG1022,"0.000E+00"))</f>
        <v xml:space="preserve">    - 1.351E+01</v>
      </c>
    </row>
    <row r="1097" spans="1:1">
      <c r="A1097" t="str">
        <f>CONCATENATE("    - ",TEXT('DLC mass atten coeff'!AG1023,"0.000E+00"))</f>
        <v xml:space="preserve">    - 5.998E+00</v>
      </c>
    </row>
    <row r="1098" spans="1:1">
      <c r="A1098" t="str">
        <f>CONCATENATE("    - ",TEXT('DLC mass atten coeff'!AG1024,"0.000E+00"))</f>
        <v xml:space="preserve">    - 3.194E+00</v>
      </c>
    </row>
    <row r="1099" spans="1:1">
      <c r="A1099" t="str">
        <f>CONCATENATE("    - ",TEXT('DLC mass atten coeff'!AG1025,"0.000E+00"))</f>
        <v xml:space="preserve">    - 1.920E+00</v>
      </c>
    </row>
    <row r="1100" spans="1:1">
      <c r="A1100" t="str">
        <f>CONCATENATE("    - ",TEXT('DLC mass atten coeff'!AG1026,"0.000E+00"))</f>
        <v xml:space="preserve">    - 8.890E-01</v>
      </c>
    </row>
    <row r="1101" spans="1:1">
      <c r="A1101" t="str">
        <f>CONCATENATE("    - ",TEXT('DLC mass atten coeff'!AG1027,"0.000E+00"))</f>
        <v xml:space="preserve">    - 5.144E-01</v>
      </c>
    </row>
    <row r="1102" spans="1:1">
      <c r="A1102" t="str">
        <f>CONCATENATE("    - ",TEXT('DLC mass atten coeff'!AG1028,"0.000E+00"))</f>
        <v xml:space="preserve">    - 2.302E-01</v>
      </c>
    </row>
    <row r="1103" spans="1:1">
      <c r="A1103" t="str">
        <f>CONCATENATE("    - ",TEXT('DLC mass atten coeff'!AG1029,"0.000E+00"))</f>
        <v xml:space="preserve">    - 1.552E-01</v>
      </c>
    </row>
    <row r="1104" spans="1:1">
      <c r="A1104" t="str">
        <f>CONCATENATE("    - ",TEXT('DLC mass atten coeff'!AG1030,"0.000E+00"))</f>
        <v xml:space="preserve">    - 1.082E-01</v>
      </c>
    </row>
    <row r="1105" spans="1:1">
      <c r="A1105" t="str">
        <f>CONCATENATE("    - ",TEXT('DLC mass atten coeff'!AG1031,"0.000E+00"))</f>
        <v xml:space="preserve">    - 9.045E-02</v>
      </c>
    </row>
    <row r="1106" spans="1:1">
      <c r="A1106" t="str">
        <f>CONCATENATE("    - ",TEXT('DLC mass atten coeff'!AG1032,"0.000E+00"))</f>
        <v xml:space="preserve">    - 8.031E-02</v>
      </c>
    </row>
    <row r="1107" spans="1:1">
      <c r="A1107" t="str">
        <f>CONCATENATE("    - ",TEXT('DLC mass atten coeff'!AG1033,"0.000E+00"))</f>
        <v xml:space="preserve">    - 7.325E-02</v>
      </c>
    </row>
    <row r="1108" spans="1:1">
      <c r="A1108" t="str">
        <f>CONCATENATE("    - ",TEXT('DLC mass atten coeff'!AG1034,"0.000E+00"))</f>
        <v xml:space="preserve">    - 6.353E-02</v>
      </c>
    </row>
    <row r="1109" spans="1:1">
      <c r="A1109" t="str">
        <f>CONCATENATE("    - ",TEXT('DLC mass atten coeff'!AG1035,"0.000E+00"))</f>
        <v xml:space="preserve">    - 5.679E-02</v>
      </c>
    </row>
    <row r="1110" spans="1:1">
      <c r="A1110" t="str">
        <f>CONCATENATE("    - ",TEXT('DLC mass atten coeff'!AG1036,"0.000E+00"))</f>
        <v xml:space="preserve">    - 4.631E-02</v>
      </c>
    </row>
    <row r="1111" spans="1:1">
      <c r="A1111" t="str">
        <f>CONCATENATE("    - ",TEXT('DLC mass atten coeff'!AG1037,"0.000E+00"))</f>
        <v xml:space="preserve">    - 4.069E-02</v>
      </c>
    </row>
    <row r="1112" spans="1:1">
      <c r="A1112" t="str">
        <f>CONCATENATE("    - ",TEXT('DLC mass atten coeff'!AG1038,"0.000E+00"))</f>
        <v xml:space="preserve">    - 3.513E-02</v>
      </c>
    </row>
    <row r="1113" spans="1:1">
      <c r="A1113" t="str">
        <f>CONCATENATE("    - ",TEXT('DLC mass atten coeff'!AG1039,"0.000E+00"))</f>
        <v xml:space="preserve">    - 3.266E-02</v>
      </c>
    </row>
    <row r="1114" spans="1:1">
      <c r="A1114" t="str">
        <f>CONCATENATE("    - ",TEXT('DLC mass atten coeff'!AG1040,"0.000E+00"))</f>
        <v xml:space="preserve">    - 3.152E-02</v>
      </c>
    </row>
    <row r="1115" spans="1:1">
      <c r="A1115" t="str">
        <f>CONCATENATE("    - ",TEXT('DLC mass atten coeff'!AG1041,"0.000E+00"))</f>
        <v xml:space="preserve">    - 3.101E-02</v>
      </c>
    </row>
    <row r="1116" spans="1:1">
      <c r="A1116" t="str">
        <f>CONCATENATE("    - ",TEXT('DLC mass atten coeff'!AG1042,"0.000E+00"))</f>
        <v xml:space="preserve">    - 3.098E-02</v>
      </c>
    </row>
    <row r="1117" spans="1:1">
      <c r="A1117" t="str">
        <f>CONCATENATE("    - ",TEXT('DLC mass atten coeff'!AG1043,"0.000E+00"))</f>
        <v xml:space="preserve">    - 3.151E-02</v>
      </c>
    </row>
    <row r="1118" spans="1:1">
      <c r="A1118" t="str">
        <f>CONCATENATE("    - ",TEXT('DLC mass atten coeff'!AG1044,"0.000E+00"))</f>
        <v xml:space="preserve">    - 3.337E-02</v>
      </c>
    </row>
    <row r="1119" spans="1:1">
      <c r="A1119" t="str">
        <f>CONCATENATE("    - ",TEXT('DLC mass atten coeff'!AG1045,"0.000E+00"))</f>
        <v xml:space="preserve">    - 3.525E-02</v>
      </c>
    </row>
    <row r="1120" spans="1:1">
      <c r="A1120" t="str">
        <f>CONCATENATE("    - ",TEXT('DLC mass atten coeff'!AG1046,"0.000E+00"))</f>
        <v xml:space="preserve">    - 3.846E-02</v>
      </c>
    </row>
    <row r="1121" spans="1:1">
      <c r="A1121" t="str">
        <f>CONCATENATE('DLC mass atten coeff'!AH1018,":")</f>
        <v>arsenic:</v>
      </c>
    </row>
    <row r="1122" spans="1:1">
      <c r="A1122" s="18" t="str">
        <f>CONCATENATE("  density: ",VLOOKUP(A1121,densities!$A$5:$B$110,2,FALSE))</f>
        <v xml:space="preserve">  density: 5.730E+00</v>
      </c>
    </row>
    <row r="1123" spans="1:1" ht="16">
      <c r="A1123" s="19" t="s">
        <v>1587</v>
      </c>
    </row>
    <row r="1124" spans="1:1">
      <c r="A1124" s="19" t="s">
        <v>1553</v>
      </c>
    </row>
    <row r="1125" spans="1:1">
      <c r="A1125" s="19" t="s">
        <v>1554</v>
      </c>
    </row>
    <row r="1126" spans="1:1">
      <c r="A1126" s="21" t="s">
        <v>1860</v>
      </c>
    </row>
    <row r="1127" spans="1:1">
      <c r="A1127" s="19" t="s">
        <v>1555</v>
      </c>
    </row>
    <row r="1128" spans="1:1">
      <c r="A1128" t="str">
        <f>CONCATENATE("    - ",TEXT('DLC mass atten coeff'!AH1019,"0.000E+00"))</f>
        <v xml:space="preserve">    - 3.954E+01</v>
      </c>
    </row>
    <row r="1129" spans="1:1">
      <c r="A1129" t="str">
        <f>CONCATENATE("    - ",TEXT('DLC mass atten coeff'!AH1020,"0.000E+00"))</f>
        <v xml:space="preserve">    - 9.760E+01</v>
      </c>
    </row>
    <row r="1130" spans="1:1">
      <c r="A1130" t="str">
        <f>CONCATENATE("    - ",TEXT('DLC mass atten coeff'!AH1021,"0.000E+00"))</f>
        <v xml:space="preserve">    - 4.500E+01</v>
      </c>
    </row>
    <row r="1131" spans="1:1">
      <c r="A1131" t="str">
        <f>CONCATENATE("    - ",TEXT('DLC mass atten coeff'!AH1022,"0.000E+00"))</f>
        <v xml:space="preserve">    - 1.470E+01</v>
      </c>
    </row>
    <row r="1132" spans="1:1">
      <c r="A1132" t="str">
        <f>CONCATENATE("    - ",TEXT('DLC mass atten coeff'!AH1023,"0.000E+00"))</f>
        <v xml:space="preserve">    - 6.540E+00</v>
      </c>
    </row>
    <row r="1133" spans="1:1">
      <c r="A1133" t="str">
        <f>CONCATENATE("    - ",TEXT('DLC mass atten coeff'!AH1024,"0.000E+00"))</f>
        <v xml:space="preserve">    - 3.485E+00</v>
      </c>
    </row>
    <row r="1134" spans="1:1">
      <c r="A1134" t="str">
        <f>CONCATENATE("    - ",TEXT('DLC mass atten coeff'!AH1025,"0.000E+00"))</f>
        <v xml:space="preserve">    - 2.094E+00</v>
      </c>
    </row>
    <row r="1135" spans="1:1">
      <c r="A1135" t="str">
        <f>CONCATENATE("    - ",TEXT('DLC mass atten coeff'!AH1026,"0.000E+00"))</f>
        <v xml:space="preserve">    - 9.652E-01</v>
      </c>
    </row>
    <row r="1136" spans="1:1">
      <c r="A1136" t="str">
        <f>CONCATENATE("    - ",TEXT('DLC mass atten coeff'!AH1027,"0.000E+00"))</f>
        <v xml:space="preserve">    - 5.541E-01</v>
      </c>
    </row>
    <row r="1137" spans="1:1">
      <c r="A1137" t="str">
        <f>CONCATENATE("    - ",TEXT('DLC mass atten coeff'!AH1028,"0.000E+00"))</f>
        <v xml:space="preserve">    - 2.423E-01</v>
      </c>
    </row>
    <row r="1138" spans="1:1">
      <c r="A1138" t="str">
        <f>CONCATENATE("    - ",TEXT('DLC mass atten coeff'!AH1029,"0.000E+00"))</f>
        <v xml:space="preserve">    - 1.604E-01</v>
      </c>
    </row>
    <row r="1139" spans="1:1">
      <c r="A1139" t="str">
        <f>CONCATENATE("    - ",TEXT('DLC mass atten coeff'!AH1030,"0.000E+00"))</f>
        <v xml:space="preserve">    - 1.097E-01</v>
      </c>
    </row>
    <row r="1140" spans="1:1">
      <c r="A1140" t="str">
        <f>CONCATENATE("    - ",TEXT('DLC mass atten coeff'!AH1031,"0.000E+00"))</f>
        <v xml:space="preserve">    - 9.115E-02</v>
      </c>
    </row>
    <row r="1141" spans="1:1">
      <c r="A1141" t="str">
        <f>CONCATENATE("    - ",TEXT('DLC mass atten coeff'!AH1032,"0.000E+00"))</f>
        <v xml:space="preserve">    - 8.066E-02</v>
      </c>
    </row>
    <row r="1142" spans="1:1">
      <c r="A1142" t="str">
        <f>CONCATENATE("    - ",TEXT('DLC mass atten coeff'!AH1033,"0.000E+00"))</f>
        <v xml:space="preserve">    - 7.345E-02</v>
      </c>
    </row>
    <row r="1143" spans="1:1">
      <c r="A1143" t="str">
        <f>CONCATENATE("    - ",TEXT('DLC mass atten coeff'!AH1034,"0.000E+00"))</f>
        <v xml:space="preserve">    - 6.361E-02</v>
      </c>
    </row>
    <row r="1144" spans="1:1">
      <c r="A1144" t="str">
        <f>CONCATENATE("    - ",TEXT('DLC mass atten coeff'!AH1035,"0.000E+00"))</f>
        <v xml:space="preserve">    - 5.682E-02</v>
      </c>
    </row>
    <row r="1145" spans="1:1">
      <c r="A1145" t="str">
        <f>CONCATENATE("    - ",TEXT('DLC mass atten coeff'!AH1036,"0.000E+00"))</f>
        <v xml:space="preserve">    - 4.634E-02</v>
      </c>
    </row>
    <row r="1146" spans="1:1">
      <c r="A1146" t="str">
        <f>CONCATENATE("    - ",TEXT('DLC mass atten coeff'!AH1037,"0.000E+00"))</f>
        <v xml:space="preserve">    - 4.075E-02</v>
      </c>
    </row>
    <row r="1147" spans="1:1">
      <c r="A1147" t="str">
        <f>CONCATENATE("    - ",TEXT('DLC mass atten coeff'!AH1038,"0.000E+00"))</f>
        <v xml:space="preserve">    - 3.527E-02</v>
      </c>
    </row>
    <row r="1148" spans="1:1">
      <c r="A1148" t="str">
        <f>CONCATENATE("    - ",TEXT('DLC mass atten coeff'!AH1039,"0.000E+00"))</f>
        <v xml:space="preserve">    - 3.287E-02</v>
      </c>
    </row>
    <row r="1149" spans="1:1">
      <c r="A1149" t="str">
        <f>CONCATENATE("    - ",TEXT('DLC mass atten coeff'!AH1040,"0.000E+00"))</f>
        <v xml:space="preserve">    - 3.180E-02</v>
      </c>
    </row>
    <row r="1150" spans="1:1">
      <c r="A1150" t="str">
        <f>CONCATENATE("    - ",TEXT('DLC mass atten coeff'!AH1041,"0.000E+00"))</f>
        <v xml:space="preserve">    - 3.134E-02</v>
      </c>
    </row>
    <row r="1151" spans="1:1">
      <c r="A1151" t="str">
        <f>CONCATENATE("    - ",TEXT('DLC mass atten coeff'!AH1042,"0.000E+00"))</f>
        <v xml:space="preserve">    - 3.140E-02</v>
      </c>
    </row>
    <row r="1152" spans="1:1">
      <c r="A1152" t="str">
        <f>CONCATENATE("    - ",TEXT('DLC mass atten coeff'!AH1043,"0.000E+00"))</f>
        <v xml:space="preserve">    - 3.202E-02</v>
      </c>
    </row>
    <row r="1153" spans="1:1">
      <c r="A1153" t="str">
        <f>CONCATENATE("    - ",TEXT('DLC mass atten coeff'!AH1044,"0.000E+00"))</f>
        <v xml:space="preserve">    - 3.401E-02</v>
      </c>
    </row>
    <row r="1154" spans="1:1">
      <c r="A1154" t="str">
        <f>CONCATENATE("    - ",TEXT('DLC mass atten coeff'!AH1045,"0.000E+00"))</f>
        <v xml:space="preserve">    - 3.599E-02</v>
      </c>
    </row>
    <row r="1155" spans="1:1">
      <c r="A1155" t="str">
        <f>CONCATENATE("    - ",TEXT('DLC mass atten coeff'!AH1046,"0.000E+00"))</f>
        <v xml:space="preserve">    - 3.936E-02</v>
      </c>
    </row>
    <row r="1156" spans="1:1">
      <c r="A1156" t="str">
        <f>CONCATENATE('DLC mass atten coeff'!AI1018,":")</f>
        <v>selenium:</v>
      </c>
    </row>
    <row r="1157" spans="1:1">
      <c r="A1157" s="18" t="str">
        <f>CONCATENATE("  density: ",VLOOKUP(A1156,densities!$A$5:$B$110,2,FALSE))</f>
        <v xml:space="preserve">  density: 4.500E+00</v>
      </c>
    </row>
    <row r="1158" spans="1:1" ht="16">
      <c r="A1158" s="19" t="s">
        <v>1588</v>
      </c>
    </row>
    <row r="1159" spans="1:1">
      <c r="A1159" s="19" t="s">
        <v>1553</v>
      </c>
    </row>
    <row r="1160" spans="1:1">
      <c r="A1160" s="19" t="s">
        <v>1554</v>
      </c>
    </row>
    <row r="1161" spans="1:1">
      <c r="A1161" s="21" t="s">
        <v>1860</v>
      </c>
    </row>
    <row r="1162" spans="1:1">
      <c r="A1162" s="19" t="s">
        <v>1555</v>
      </c>
    </row>
    <row r="1163" spans="1:1">
      <c r="A1163" t="str">
        <f>CONCATENATE("    - ",TEXT('DLC mass atten coeff'!AI1019,"0.000E+00"))</f>
        <v xml:space="preserve">    - 4.249E+01</v>
      </c>
    </row>
    <row r="1164" spans="1:1">
      <c r="A1164" t="str">
        <f>CONCATENATE("    - ",TEXT('DLC mass atten coeff'!AI1020,"0.000E+00"))</f>
        <v xml:space="preserve">    - 1.022E+02</v>
      </c>
    </row>
    <row r="1165" spans="1:1">
      <c r="A1165" t="str">
        <f>CONCATENATE("    - ",TEXT('DLC mass atten coeff'!AI1021,"0.000E+00"))</f>
        <v xml:space="preserve">    - 4.752E+01</v>
      </c>
    </row>
    <row r="1166" spans="1:1">
      <c r="A1166" t="str">
        <f>CONCATENATE("    - ",TEXT('DLC mass atten coeff'!AI1022,"0.000E+00"))</f>
        <v xml:space="preserve">    - 1.560E+01</v>
      </c>
    </row>
    <row r="1167" spans="1:1">
      <c r="A1167" t="str">
        <f>CONCATENATE("    - ",TEXT('DLC mass atten coeff'!AI1023,"0.000E+00"))</f>
        <v xml:space="preserve">    - 6.956E+00</v>
      </c>
    </row>
    <row r="1168" spans="1:1">
      <c r="A1168" t="str">
        <f>CONCATENATE("    - ",TEXT('DLC mass atten coeff'!AI1024,"0.000E+00"))</f>
        <v xml:space="preserve">    - 3.709E+00</v>
      </c>
    </row>
    <row r="1169" spans="1:1">
      <c r="A1169" t="str">
        <f>CONCATENATE("    - ",TEXT('DLC mass atten coeff'!AI1025,"0.000E+00"))</f>
        <v xml:space="preserve">    - 2.229E+00</v>
      </c>
    </row>
    <row r="1170" spans="1:1">
      <c r="A1170" t="str">
        <f>CONCATENATE("    - ",TEXT('DLC mass atten coeff'!AI1026,"0.000E+00"))</f>
        <v xml:space="preserve">    - 1.023E+00</v>
      </c>
    </row>
    <row r="1171" spans="1:1">
      <c r="A1171" t="str">
        <f>CONCATENATE("    - ",TEXT('DLC mass atten coeff'!AI1027,"0.000E+00"))</f>
        <v xml:space="preserve">    - 5.835E-01</v>
      </c>
    </row>
    <row r="1172" spans="1:1">
      <c r="A1172" t="str">
        <f>CONCATENATE("    - ",TEXT('DLC mass atten coeff'!AI1028,"0.000E+00"))</f>
        <v xml:space="preserve">    - 2.496E-01</v>
      </c>
    </row>
    <row r="1173" spans="1:1">
      <c r="A1173" t="str">
        <f>CONCATENATE("    - ",TEXT('DLC mass atten coeff'!AI1029,"0.000E+00"))</f>
        <v xml:space="preserve">    - 1.623E-01</v>
      </c>
    </row>
    <row r="1174" spans="1:1">
      <c r="A1174" t="str">
        <f>CONCATENATE("    - ",TEXT('DLC mass atten coeff'!AI1030,"0.000E+00"))</f>
        <v xml:space="preserve">    - 1.090E-01</v>
      </c>
    </row>
    <row r="1175" spans="1:1">
      <c r="A1175" t="str">
        <f>CONCATENATE("    - ",TEXT('DLC mass atten coeff'!AI1031,"0.000E+00"))</f>
        <v xml:space="preserve">    - 8.992E-02</v>
      </c>
    </row>
    <row r="1176" spans="1:1">
      <c r="A1176" t="str">
        <f>CONCATENATE("    - ",TEXT('DLC mass atten coeff'!AI1032,"0.000E+00"))</f>
        <v xml:space="preserve">    - 7.929E-02</v>
      </c>
    </row>
    <row r="1177" spans="1:1">
      <c r="A1177" t="str">
        <f>CONCATENATE("    - ",TEXT('DLC mass atten coeff'!AI1033,"0.000E+00"))</f>
        <v xml:space="preserve">    - 7.208E-02</v>
      </c>
    </row>
    <row r="1178" spans="1:1">
      <c r="A1178" t="str">
        <f>CONCATENATE("    - ",TEXT('DLC mass atten coeff'!AI1034,"0.000E+00"))</f>
        <v xml:space="preserve">    - 6.232E-02</v>
      </c>
    </row>
    <row r="1179" spans="1:1">
      <c r="A1179" t="str">
        <f>CONCATENATE("    - ",TEXT('DLC mass atten coeff'!AI1035,"0.000E+00"))</f>
        <v xml:space="preserve">    - 5.564E-02</v>
      </c>
    </row>
    <row r="1180" spans="1:1">
      <c r="A1180" t="str">
        <f>CONCATENATE("    - ",TEXT('DLC mass atten coeff'!AI1036,"0.000E+00"))</f>
        <v xml:space="preserve">    - 4.536E-02</v>
      </c>
    </row>
    <row r="1181" spans="1:1">
      <c r="A1181" t="str">
        <f>CONCATENATE("    - ",TEXT('DLC mass atten coeff'!AI1037,"0.000E+00"))</f>
        <v xml:space="preserve">    - 3.991E-02</v>
      </c>
    </row>
    <row r="1182" spans="1:1">
      <c r="A1182" t="str">
        <f>CONCATENATE("    - ",TEXT('DLC mass atten coeff'!AI1038,"0.000E+00"))</f>
        <v xml:space="preserve">    - 3.464E-02</v>
      </c>
    </row>
    <row r="1183" spans="1:1">
      <c r="A1183" t="str">
        <f>CONCATENATE("    - ",TEXT('DLC mass atten coeff'!AI1039,"0.000E+00"))</f>
        <v xml:space="preserve">    - 3.238E-02</v>
      </c>
    </row>
    <row r="1184" spans="1:1">
      <c r="A1184" t="str">
        <f>CONCATENATE("    - ",TEXT('DLC mass atten coeff'!AI1040,"0.000E+00"))</f>
        <v xml:space="preserve">    - 3.137E-02</v>
      </c>
    </row>
    <row r="1185" spans="1:1">
      <c r="A1185" t="str">
        <f>CONCATENATE("    - ",TEXT('DLC mass atten coeff'!AI1041,"0.000E+00"))</f>
        <v xml:space="preserve">    - 3.099E-02</v>
      </c>
    </row>
    <row r="1186" spans="1:1">
      <c r="A1186" t="str">
        <f>CONCATENATE("    - ",TEXT('DLC mass atten coeff'!AI1042,"0.000E+00"))</f>
        <v xml:space="preserve">    - 3.113E-02</v>
      </c>
    </row>
    <row r="1187" spans="1:1">
      <c r="A1187" t="str">
        <f>CONCATENATE("    - ",TEXT('DLC mass atten coeff'!AI1043,"0.000E+00"))</f>
        <v xml:space="preserve">    - 3.182E-02</v>
      </c>
    </row>
    <row r="1188" spans="1:1">
      <c r="A1188" t="str">
        <f>CONCATENATE("    - ",TEXT('DLC mass atten coeff'!AI1044,"0.000E+00"))</f>
        <v xml:space="preserve">    - 3.391E-02</v>
      </c>
    </row>
    <row r="1189" spans="1:1">
      <c r="A1189" t="str">
        <f>CONCATENATE("    - ",TEXT('DLC mass atten coeff'!AI1045,"0.000E+00"))</f>
        <v xml:space="preserve">    - 3.596E-02</v>
      </c>
    </row>
    <row r="1190" spans="1:1">
      <c r="A1190" t="str">
        <f>CONCATENATE("    - ",TEXT('DLC mass atten coeff'!AI1046,"0.000E+00"))</f>
        <v xml:space="preserve">    - 3.938E-02</v>
      </c>
    </row>
    <row r="1191" spans="1:1">
      <c r="A1191" t="str">
        <f>CONCATENATE('DLC mass atten coeff'!AJ1018,":")</f>
        <v>bromine:</v>
      </c>
    </row>
    <row r="1192" spans="1:1">
      <c r="A1192" s="18" t="str">
        <f>CONCATENATE("  density: ",VLOOKUP(A1191,densities!$A$5:$B$110,2,FALSE))</f>
        <v xml:space="preserve">  density: 7.072E-03</v>
      </c>
    </row>
    <row r="1193" spans="1:1" ht="16">
      <c r="A1193" s="19" t="s">
        <v>1589</v>
      </c>
    </row>
    <row r="1194" spans="1:1">
      <c r="A1194" s="19" t="s">
        <v>1553</v>
      </c>
    </row>
    <row r="1195" spans="1:1">
      <c r="A1195" s="19" t="s">
        <v>1554</v>
      </c>
    </row>
    <row r="1196" spans="1:1">
      <c r="A1196" s="21" t="s">
        <v>1860</v>
      </c>
    </row>
    <row r="1197" spans="1:1">
      <c r="A1197" s="19" t="s">
        <v>1555</v>
      </c>
    </row>
    <row r="1198" spans="1:1">
      <c r="A1198" t="str">
        <f>CONCATENATE("    - ",TEXT('DLC mass atten coeff'!AJ1019,"0.000E+00"))</f>
        <v xml:space="preserve">    - 4.737E+01</v>
      </c>
    </row>
    <row r="1199" spans="1:1">
      <c r="A1199" t="str">
        <f>CONCATENATE("    - ",TEXT('DLC mass atten coeff'!AJ1020,"0.000E+00"))</f>
        <v xml:space="preserve">    - 1.109E+02</v>
      </c>
    </row>
    <row r="1200" spans="1:1">
      <c r="A1200" t="str">
        <f>CONCATENATE("    - ",TEXT('DLC mass atten coeff'!AJ1021,"0.000E+00"))</f>
        <v xml:space="preserve">    - 5.195E+01</v>
      </c>
    </row>
    <row r="1201" spans="1:1">
      <c r="A1201" t="str">
        <f>CONCATENATE("    - ",TEXT('DLC mass atten coeff'!AJ1022,"0.000E+00"))</f>
        <v xml:space="preserve">    - 1.714E+01</v>
      </c>
    </row>
    <row r="1202" spans="1:1">
      <c r="A1202" t="str">
        <f>CONCATENATE("    - ",TEXT('DLC mass atten coeff'!AJ1023,"0.000E+00"))</f>
        <v xml:space="preserve">    - 7.657E+00</v>
      </c>
    </row>
    <row r="1203" spans="1:1">
      <c r="A1203" t="str">
        <f>CONCATENATE("    - ",TEXT('DLC mass atten coeff'!AJ1024,"0.000E+00"))</f>
        <v xml:space="preserve">    - 4.097E+00</v>
      </c>
    </row>
    <row r="1204" spans="1:1">
      <c r="A1204" t="str">
        <f>CONCATENATE("    - ",TEXT('DLC mass atten coeff'!AJ1025,"0.000E+00"))</f>
        <v xml:space="preserve">    - 2.462E+00</v>
      </c>
    </row>
    <row r="1205" spans="1:1">
      <c r="A1205" t="str">
        <f>CONCATENATE("    - ",TEXT('DLC mass atten coeff'!AJ1026,"0.000E+00"))</f>
        <v xml:space="preserve">    - 1.127E+00</v>
      </c>
    </row>
    <row r="1206" spans="1:1">
      <c r="A1206" t="str">
        <f>CONCATENATE("    - ",TEXT('DLC mass atten coeff'!AJ1027,"0.000E+00"))</f>
        <v xml:space="preserve">    - 6.387E-01</v>
      </c>
    </row>
    <row r="1207" spans="1:1">
      <c r="A1207" t="str">
        <f>CONCATENATE("    - ",TEXT('DLC mass atten coeff'!AJ1028,"0.000E+00"))</f>
        <v xml:space="preserve">    - 2.678E-01</v>
      </c>
    </row>
    <row r="1208" spans="1:1">
      <c r="A1208" t="str">
        <f>CONCATENATE("    - ",TEXT('DLC mass atten coeff'!AJ1029,"0.000E+00"))</f>
        <v xml:space="preserve">    - 1.711E-01</v>
      </c>
    </row>
    <row r="1209" spans="1:1">
      <c r="A1209" t="str">
        <f>CONCATENATE("    - ",TEXT('DLC mass atten coeff'!AJ1030,"0.000E+00"))</f>
        <v xml:space="preserve">    - 1.128E-01</v>
      </c>
    </row>
    <row r="1210" spans="1:1">
      <c r="A1210" t="str">
        <f>CONCATENATE("    - ",TEXT('DLC mass atten coeff'!AJ1031,"0.000E+00"))</f>
        <v xml:space="preserve">    - 9.227E-02</v>
      </c>
    </row>
    <row r="1211" spans="1:1">
      <c r="A1211" t="str">
        <f>CONCATENATE("    - ",TEXT('DLC mass atten coeff'!AJ1032,"0.000E+00"))</f>
        <v xml:space="preserve">    - 8.113E-02</v>
      </c>
    </row>
    <row r="1212" spans="1:1">
      <c r="A1212" t="str">
        <f>CONCATENATE("    - ",TEXT('DLC mass atten coeff'!AJ1033,"0.000E+00"))</f>
        <v xml:space="preserve">    - 7.363E-02</v>
      </c>
    </row>
    <row r="1213" spans="1:1">
      <c r="A1213" t="str">
        <f>CONCATENATE("    - ",TEXT('DLC mass atten coeff'!AJ1034,"0.000E+00"))</f>
        <v xml:space="preserve">    - 6.355E-02</v>
      </c>
    </row>
    <row r="1214" spans="1:1">
      <c r="A1214" t="str">
        <f>CONCATENATE("    - ",TEXT('DLC mass atten coeff'!AJ1035,"0.000E+00"))</f>
        <v xml:space="preserve">    - 5.669E-02</v>
      </c>
    </row>
    <row r="1215" spans="1:1">
      <c r="A1215" t="str">
        <f>CONCATENATE("    - ",TEXT('DLC mass atten coeff'!AJ1036,"0.000E+00"))</f>
        <v xml:space="preserve">    - 4.620E-02</v>
      </c>
    </row>
    <row r="1216" spans="1:1">
      <c r="A1216" t="str">
        <f>CONCATENATE("    - ",TEXT('DLC mass atten coeff'!AJ1037,"0.000E+00"))</f>
        <v xml:space="preserve">    - 4.069E-02</v>
      </c>
    </row>
    <row r="1217" spans="1:1">
      <c r="A1217" t="str">
        <f>CONCATENATE("    - ",TEXT('DLC mass atten coeff'!AJ1038,"0.000E+00"))</f>
        <v xml:space="preserve">    - 3.540E-02</v>
      </c>
    </row>
    <row r="1218" spans="1:1">
      <c r="A1218" t="str">
        <f>CONCATENATE("    - ",TEXT('DLC mass atten coeff'!AJ1039,"0.000E+00"))</f>
        <v xml:space="preserve">    - 3.317E-02</v>
      </c>
    </row>
    <row r="1219" spans="1:1">
      <c r="A1219" t="str">
        <f>CONCATENATE("    - ",TEXT('DLC mass atten coeff'!AJ1040,"0.000E+00"))</f>
        <v xml:space="preserve">    - 3.221E-02</v>
      </c>
    </row>
    <row r="1220" spans="1:1">
      <c r="A1220" t="str">
        <f>CONCATENATE("    - ",TEXT('DLC mass atten coeff'!AJ1041,"0.000E+00"))</f>
        <v xml:space="preserve">    - 3.188E-02</v>
      </c>
    </row>
    <row r="1221" spans="1:1">
      <c r="A1221" t="str">
        <f>CONCATENATE("    - ",TEXT('DLC mass atten coeff'!AJ1042,"0.000E+00"))</f>
        <v xml:space="preserve">    - 3.212E-02</v>
      </c>
    </row>
    <row r="1222" spans="1:1">
      <c r="A1222" t="str">
        <f>CONCATENATE("    - ",TEXT('DLC mass atten coeff'!AJ1043,"0.000E+00"))</f>
        <v xml:space="preserve">    - 3.289E-02</v>
      </c>
    </row>
    <row r="1223" spans="1:1">
      <c r="A1223" t="str">
        <f>CONCATENATE("    - ",TEXT('DLC mass atten coeff'!AJ1044,"0.000E+00"))</f>
        <v xml:space="preserve">    - 3.517E-02</v>
      </c>
    </row>
    <row r="1224" spans="1:1">
      <c r="A1224" t="str">
        <f>CONCATENATE("    - ",TEXT('DLC mass atten coeff'!AJ1045,"0.000E+00"))</f>
        <v xml:space="preserve">    - 3.734E-02</v>
      </c>
    </row>
    <row r="1225" spans="1:1">
      <c r="A1225" t="str">
        <f>CONCATENATE("    - ",TEXT('DLC mass atten coeff'!AJ1046,"0.000E+00"))</f>
        <v xml:space="preserve">    - 4.097E-02</v>
      </c>
    </row>
    <row r="1226" spans="1:1">
      <c r="A1226" t="str">
        <f>CONCATENATE('DLC mass atten coeff'!AK1018,":")</f>
        <v>krypton:</v>
      </c>
    </row>
    <row r="1227" spans="1:1">
      <c r="A1227" s="18" t="str">
        <f>CONCATENATE("  density: ",VLOOKUP(A1226,densities!$A$5:$B$110,2,FALSE))</f>
        <v xml:space="preserve">  density: 3.478E-03</v>
      </c>
    </row>
    <row r="1228" spans="1:1" ht="16">
      <c r="A1228" s="19" t="s">
        <v>1590</v>
      </c>
    </row>
    <row r="1229" spans="1:1">
      <c r="A1229" s="19" t="s">
        <v>1553</v>
      </c>
    </row>
    <row r="1230" spans="1:1">
      <c r="A1230" s="19" t="s">
        <v>1554</v>
      </c>
    </row>
    <row r="1231" spans="1:1">
      <c r="A1231" s="21" t="s">
        <v>1860</v>
      </c>
    </row>
    <row r="1232" spans="1:1">
      <c r="A1232" s="19" t="s">
        <v>1555</v>
      </c>
    </row>
    <row r="1233" spans="1:1">
      <c r="A1233" t="str">
        <f>CONCATENATE("    - ",TEXT('DLC mass atten coeff'!AK1019,"0.000E+00"))</f>
        <v xml:space="preserve">    - 5.079E+01</v>
      </c>
    </row>
    <row r="1234" spans="1:1">
      <c r="A1234" t="str">
        <f>CONCATENATE("    - ",TEXT('DLC mass atten coeff'!AK1020,"0.000E+00"))</f>
        <v xml:space="preserve">    - 1.157E+02</v>
      </c>
    </row>
    <row r="1235" spans="1:1">
      <c r="A1235" t="str">
        <f>CONCATENATE("    - ",TEXT('DLC mass atten coeff'!AK1021,"0.000E+00"))</f>
        <v xml:space="preserve">    - 5.476E+01</v>
      </c>
    </row>
    <row r="1236" spans="1:1">
      <c r="A1236" t="str">
        <f>CONCATENATE("    - ",TEXT('DLC mass atten coeff'!AK1022,"0.000E+00"))</f>
        <v xml:space="preserve">    - 1.813E+01</v>
      </c>
    </row>
    <row r="1237" spans="1:1">
      <c r="A1237" t="str">
        <f>CONCATENATE("    - ",TEXT('DLC mass atten coeff'!AK1023,"0.000E+00"))</f>
        <v xml:space="preserve">    - 8.138E+00</v>
      </c>
    </row>
    <row r="1238" spans="1:1">
      <c r="A1238" t="str">
        <f>CONCATENATE("    - ",TEXT('DLC mass atten coeff'!AK1024,"0.000E+00"))</f>
        <v xml:space="preserve">    - 4.352E+00</v>
      </c>
    </row>
    <row r="1239" spans="1:1">
      <c r="A1239" t="str">
        <f>CONCATENATE("    - ",TEXT('DLC mass atten coeff'!AK1025,"0.000E+00"))</f>
        <v xml:space="preserve">    - 2.615E+00</v>
      </c>
    </row>
    <row r="1240" spans="1:1">
      <c r="A1240" t="str">
        <f>CONCATENATE("    - ",TEXT('DLC mass atten coeff'!AK1026,"0.000E+00"))</f>
        <v xml:space="preserve">    - 1.193E+00</v>
      </c>
    </row>
    <row r="1241" spans="1:1">
      <c r="A1241" t="str">
        <f>CONCATENATE("    - ",TEXT('DLC mass atten coeff'!AK1027,"0.000E+00"))</f>
        <v xml:space="preserve">    - 6.732E-01</v>
      </c>
    </row>
    <row r="1242" spans="1:1">
      <c r="A1242" t="str">
        <f>CONCATENATE("    - ",TEXT('DLC mass atten coeff'!AK1028,"0.000E+00"))</f>
        <v xml:space="preserve">    - 2.770E-01</v>
      </c>
    </row>
    <row r="1243" spans="1:1">
      <c r="A1243" t="str">
        <f>CONCATENATE("    - ",TEXT('DLC mass atten coeff'!AK1029,"0.000E+00"))</f>
        <v xml:space="preserve">    - 1.741E-01</v>
      </c>
    </row>
    <row r="1244" spans="1:1">
      <c r="A1244" t="str">
        <f>CONCATENATE("    - ",TEXT('DLC mass atten coeff'!AK1030,"0.000E+00"))</f>
        <v xml:space="preserve">    - 1.126E-01</v>
      </c>
    </row>
    <row r="1245" spans="1:1">
      <c r="A1245" t="str">
        <f>CONCATENATE("    - ",TEXT('DLC mass atten coeff'!AK1031,"0.000E+00"))</f>
        <v xml:space="preserve">    - 9.141E-02</v>
      </c>
    </row>
    <row r="1246" spans="1:1">
      <c r="A1246" t="str">
        <f>CONCATENATE("    - ",TEXT('DLC mass atten coeff'!AK1032,"0.000E+00"))</f>
        <v xml:space="preserve">    - 8.007E-02</v>
      </c>
    </row>
    <row r="1247" spans="1:1">
      <c r="A1247" t="str">
        <f>CONCATENATE("    - ",TEXT('DLC mass atten coeff'!AK1033,"0.000E+00"))</f>
        <v xml:space="preserve">    - 7.253E-02</v>
      </c>
    </row>
    <row r="1248" spans="1:1">
      <c r="A1248" t="str">
        <f>CONCATENATE("    - ",TEXT('DLC mass atten coeff'!AK1034,"0.000E+00"))</f>
        <v xml:space="preserve">    - 6.249E-02</v>
      </c>
    </row>
    <row r="1249" spans="1:1">
      <c r="A1249" t="str">
        <f>CONCATENATE("    - ",TEXT('DLC mass atten coeff'!AK1035,"0.000E+00"))</f>
        <v xml:space="preserve">    - 5.570E-02</v>
      </c>
    </row>
    <row r="1250" spans="1:1">
      <c r="A1250" t="str">
        <f>CONCATENATE("    - ",TEXT('DLC mass atten coeff'!AK1036,"0.000E+00"))</f>
        <v xml:space="preserve">    - 4.538E-02</v>
      </c>
    </row>
    <row r="1251" spans="1:1">
      <c r="A1251" t="str">
        <f>CONCATENATE("    - ",TEXT('DLC mass atten coeff'!AK1037,"0.000E+00"))</f>
        <v xml:space="preserve">    - 4.000E-02</v>
      </c>
    </row>
    <row r="1252" spans="1:1">
      <c r="A1252" t="str">
        <f>CONCATENATE("    - ",TEXT('DLC mass atten coeff'!AK1038,"0.000E+00"))</f>
        <v xml:space="preserve">    - 3.489E-02</v>
      </c>
    </row>
    <row r="1253" spans="1:1">
      <c r="A1253" t="str">
        <f>CONCATENATE("    - ",TEXT('DLC mass atten coeff'!AK1039,"0.000E+00"))</f>
        <v xml:space="preserve">    - 3.276E-02</v>
      </c>
    </row>
    <row r="1254" spans="1:1">
      <c r="A1254" t="str">
        <f>CONCATENATE("    - ",TEXT('DLC mass atten coeff'!AK1040,"0.000E+00"))</f>
        <v xml:space="preserve">    - 3.188E-02</v>
      </c>
    </row>
    <row r="1255" spans="1:1">
      <c r="A1255" t="str">
        <f>CONCATENATE("    - ",TEXT('DLC mass atten coeff'!AK1041,"0.000E+00"))</f>
        <v xml:space="preserve">    - 3.161E-02</v>
      </c>
    </row>
    <row r="1256" spans="1:1">
      <c r="A1256" t="str">
        <f>CONCATENATE("    - ",TEXT('DLC mass atten coeff'!AK1042,"0.000E+00"))</f>
        <v xml:space="preserve">    - 3.194E-02</v>
      </c>
    </row>
    <row r="1257" spans="1:1">
      <c r="A1257" t="str">
        <f>CONCATENATE("    - ",TEXT('DLC mass atten coeff'!AK1043,"0.000E+00"))</f>
        <v xml:space="preserve">    - 3.276E-02</v>
      </c>
    </row>
    <row r="1258" spans="1:1">
      <c r="A1258" t="str">
        <f>CONCATENATE("    - ",TEXT('DLC mass atten coeff'!AK1044,"0.000E+00"))</f>
        <v xml:space="preserve">    - 3.514E-02</v>
      </c>
    </row>
    <row r="1259" spans="1:1">
      <c r="A1259" t="str">
        <f>CONCATENATE("    - ",TEXT('DLC mass atten coeff'!AK1045,"0.000E+00"))</f>
        <v xml:space="preserve">    - 3.737E-02</v>
      </c>
    </row>
    <row r="1260" spans="1:1">
      <c r="A1260" t="str">
        <f>CONCATENATE("    - ",TEXT('DLC mass atten coeff'!AK1046,"0.000E+00"))</f>
        <v xml:space="preserve">    - 4.108E-02</v>
      </c>
    </row>
    <row r="1261" spans="1:1">
      <c r="A1261" t="str">
        <f>CONCATENATE('DLC mass atten coeff'!AL1018,":")</f>
        <v>rubidium:</v>
      </c>
    </row>
    <row r="1262" spans="1:1">
      <c r="A1262" s="18" t="str">
        <f>CONCATENATE("  density: ",VLOOKUP(A1261,densities!$A$5:$B$110,2,FALSE))</f>
        <v xml:space="preserve">  density: 1.532E+00</v>
      </c>
    </row>
    <row r="1263" spans="1:1" ht="16">
      <c r="A1263" s="19" t="s">
        <v>1591</v>
      </c>
    </row>
    <row r="1264" spans="1:1">
      <c r="A1264" s="19" t="s">
        <v>1553</v>
      </c>
    </row>
    <row r="1265" spans="1:1">
      <c r="A1265" s="19" t="s">
        <v>1554</v>
      </c>
    </row>
    <row r="1266" spans="1:1">
      <c r="A1266" s="21" t="s">
        <v>1860</v>
      </c>
    </row>
    <row r="1267" spans="1:1">
      <c r="A1267" s="19" t="s">
        <v>1555</v>
      </c>
    </row>
    <row r="1268" spans="1:1">
      <c r="A1268" t="str">
        <f>CONCATENATE("    - ",TEXT('DLC mass atten coeff'!AL1019,"0.000E+00"))</f>
        <v xml:space="preserve">    - 5.582E+01</v>
      </c>
    </row>
    <row r="1269" spans="1:1">
      <c r="A1269" t="str">
        <f>CONCATENATE("    - ",TEXT('DLC mass atten coeff'!AL1020,"0.000E+00"))</f>
        <v xml:space="preserve">    - 1.797E+01</v>
      </c>
    </row>
    <row r="1270" spans="1:1">
      <c r="A1270" t="str">
        <f>CONCATENATE("    - ",TEXT('DLC mass atten coeff'!AL1021,"0.000E+00"))</f>
        <v xml:space="preserve">    - 5.905E+01</v>
      </c>
    </row>
    <row r="1271" spans="1:1">
      <c r="A1271" t="str">
        <f>CONCATENATE("    - ",TEXT('DLC mass atten coeff'!AL1022,"0.000E+00"))</f>
        <v xml:space="preserve">    - 1.967E+01</v>
      </c>
    </row>
    <row r="1272" spans="1:1">
      <c r="A1272" t="str">
        <f>CONCATENATE("    - ",TEXT('DLC mass atten coeff'!AL1023,"0.000E+00"))</f>
        <v xml:space="preserve">    - 8.846E+00</v>
      </c>
    </row>
    <row r="1273" spans="1:1">
      <c r="A1273" t="str">
        <f>CONCATENATE("    - ",TEXT('DLC mass atten coeff'!AL1024,"0.000E+00"))</f>
        <v xml:space="preserve">    - 4.738E+00</v>
      </c>
    </row>
    <row r="1274" spans="1:1">
      <c r="A1274" t="str">
        <f>CONCATENATE("    - ",TEXT('DLC mass atten coeff'!AL1025,"0.000E+00"))</f>
        <v xml:space="preserve">    - 2.848E+00</v>
      </c>
    </row>
    <row r="1275" spans="1:1">
      <c r="A1275" t="str">
        <f>CONCATENATE("    - ",TEXT('DLC mass atten coeff'!AL1026,"0.000E+00"))</f>
        <v xml:space="preserve">    - 1.297E+00</v>
      </c>
    </row>
    <row r="1276" spans="1:1">
      <c r="A1276" t="str">
        <f>CONCATENATE("    - ",TEXT('DLC mass atten coeff'!AL1027,"0.000E+00"))</f>
        <v xml:space="preserve">    - 7.282E-01</v>
      </c>
    </row>
    <row r="1277" spans="1:1">
      <c r="A1277" t="str">
        <f>CONCATENATE("    - ",TEXT('DLC mass atten coeff'!AL1028,"0.000E+00"))</f>
        <v xml:space="preserve">    - 2.946E-01</v>
      </c>
    </row>
    <row r="1278" spans="1:1">
      <c r="A1278" t="str">
        <f>CONCATENATE("    - ",TEXT('DLC mass atten coeff'!AL1029,"0.000E+00"))</f>
        <v xml:space="preserve">    - 1.821E-01</v>
      </c>
    </row>
    <row r="1279" spans="1:1">
      <c r="A1279" t="str">
        <f>CONCATENATE("    - ",TEXT('DLC mass atten coeff'!AL1030,"0.000E+00"))</f>
        <v xml:space="preserve">    - 1.156E-01</v>
      </c>
    </row>
    <row r="1280" spans="1:1">
      <c r="A1280" t="str">
        <f>CONCATENATE("    - ",TEXT('DLC mass atten coeff'!AL1031,"0.000E+00"))</f>
        <v xml:space="preserve">    - 9.311E-02</v>
      </c>
    </row>
    <row r="1281" spans="1:1">
      <c r="A1281" t="str">
        <f>CONCATENATE("    - ",TEXT('DLC mass atten coeff'!AL1032,"0.000E+00"))</f>
        <v xml:space="preserve">    - 8.124E-02</v>
      </c>
    </row>
    <row r="1282" spans="1:1">
      <c r="A1282" t="str">
        <f>CONCATENATE("    - ",TEXT('DLC mass atten coeff'!AL1033,"0.000E+00"))</f>
        <v xml:space="preserve">    - 7.344E-02</v>
      </c>
    </row>
    <row r="1283" spans="1:1">
      <c r="A1283" t="str">
        <f>CONCATENATE("    - ",TEXT('DLC mass atten coeff'!AL1034,"0.000E+00"))</f>
        <v xml:space="preserve">    - 6.316E-02</v>
      </c>
    </row>
    <row r="1284" spans="1:1">
      <c r="A1284" t="str">
        <f>CONCATENATE("    - ",TEXT('DLC mass atten coeff'!AL1035,"0.000E+00"))</f>
        <v xml:space="preserve">    - 5.625E-02</v>
      </c>
    </row>
    <row r="1285" spans="1:1">
      <c r="A1285" t="str">
        <f>CONCATENATE("    - ",TEXT('DLC mass atten coeff'!AL1036,"0.000E+00"))</f>
        <v xml:space="preserve">    - 4.580E-02</v>
      </c>
    </row>
    <row r="1286" spans="1:1">
      <c r="A1286" t="str">
        <f>CONCATENATE("    - ",TEXT('DLC mass atten coeff'!AL1037,"0.000E+00"))</f>
        <v xml:space="preserve">    - 4.040E-02</v>
      </c>
    </row>
    <row r="1287" spans="1:1">
      <c r="A1287" t="str">
        <f>CONCATENATE("    - ",TEXT('DLC mass atten coeff'!AL1038,"0.000E+00"))</f>
        <v xml:space="preserve">    - 3.532E-02</v>
      </c>
    </row>
    <row r="1288" spans="1:1">
      <c r="A1288" t="str">
        <f>CONCATENATE("    - ",TEXT('DLC mass atten coeff'!AL1039,"0.000E+00"))</f>
        <v xml:space="preserve">    - 3.325E-02</v>
      </c>
    </row>
    <row r="1289" spans="1:1">
      <c r="A1289" t="str">
        <f>CONCATENATE("    - ",TEXT('DLC mass atten coeff'!AL1040,"0.000E+00"))</f>
        <v xml:space="preserve">    - 3.242E-02</v>
      </c>
    </row>
    <row r="1290" spans="1:1">
      <c r="A1290" t="str">
        <f>CONCATENATE("    - ",TEXT('DLC mass atten coeff'!AL1041,"0.000E+00"))</f>
        <v xml:space="preserve">    - 3.221E-02</v>
      </c>
    </row>
    <row r="1291" spans="1:1">
      <c r="A1291" t="str">
        <f>CONCATENATE("    - ",TEXT('DLC mass atten coeff'!AL1042,"0.000E+00"))</f>
        <v xml:space="preserve">    - 3.262E-02</v>
      </c>
    </row>
    <row r="1292" spans="1:1">
      <c r="A1292" t="str">
        <f>CONCATENATE("    - ",TEXT('DLC mass atten coeff'!AL1043,"0.000E+00"))</f>
        <v xml:space="preserve">    - 3.352E-02</v>
      </c>
    </row>
    <row r="1293" spans="1:1">
      <c r="A1293" t="str">
        <f>CONCATENATE("    - ",TEXT('DLC mass atten coeff'!AL1044,"0.000E+00"))</f>
        <v xml:space="preserve">    - 3.605E-02</v>
      </c>
    </row>
    <row r="1294" spans="1:1">
      <c r="A1294" t="str">
        <f>CONCATENATE("    - ",TEXT('DLC mass atten coeff'!AL1045,"0.000E+00"))</f>
        <v xml:space="preserve">    - 3.841E-02</v>
      </c>
    </row>
    <row r="1295" spans="1:1">
      <c r="A1295" t="str">
        <f>CONCATENATE("    - ",TEXT('DLC mass atten coeff'!AL1046,"0.000E+00"))</f>
        <v xml:space="preserve">    - 4.229E-02</v>
      </c>
    </row>
    <row r="1296" spans="1:1">
      <c r="A1296" t="str">
        <f>CONCATENATE('DLC mass atten coeff'!AM1018,":")</f>
        <v>strontium:</v>
      </c>
    </row>
    <row r="1297" spans="1:1">
      <c r="A1297" s="18" t="str">
        <f>CONCATENATE("  density: ",VLOOKUP(A1296,densities!$A$5:$B$110,2,FALSE))</f>
        <v xml:space="preserve">  density: 2.540E+00</v>
      </c>
    </row>
    <row r="1298" spans="1:1" ht="16">
      <c r="A1298" s="19" t="s">
        <v>1592</v>
      </c>
    </row>
    <row r="1299" spans="1:1">
      <c r="A1299" s="19" t="s">
        <v>1553</v>
      </c>
    </row>
    <row r="1300" spans="1:1">
      <c r="A1300" s="19" t="s">
        <v>1554</v>
      </c>
    </row>
    <row r="1301" spans="1:1">
      <c r="A1301" s="21" t="s">
        <v>1860</v>
      </c>
    </row>
    <row r="1302" spans="1:1">
      <c r="A1302" s="19" t="s">
        <v>1555</v>
      </c>
    </row>
    <row r="1303" spans="1:1">
      <c r="A1303" t="str">
        <f>CONCATENATE("    - ",TEXT('DLC mass atten coeff'!AM1019,"0.000E+00"))</f>
        <v xml:space="preserve">    - 6.082E+01</v>
      </c>
    </row>
    <row r="1304" spans="1:1">
      <c r="A1304" t="str">
        <f>CONCATENATE("    - ",TEXT('DLC mass atten coeff'!AM1020,"0.000E+00"))</f>
        <v xml:space="preserve">    - 1.962E+01</v>
      </c>
    </row>
    <row r="1305" spans="1:1">
      <c r="A1305" t="str">
        <f>CONCATENATE("    - ",TEXT('DLC mass atten coeff'!AM1021,"0.000E+00"))</f>
        <v xml:space="preserve">    - 6.308E+01</v>
      </c>
    </row>
    <row r="1306" spans="1:1">
      <c r="A1306" t="str">
        <f>CONCATENATE("    - ",TEXT('DLC mass atten coeff'!AM1022,"0.000E+00"))</f>
        <v xml:space="preserve">    - 2.112E+01</v>
      </c>
    </row>
    <row r="1307" spans="1:1">
      <c r="A1307" t="str">
        <f>CONCATENATE("    - ",TEXT('DLC mass atten coeff'!AM1023,"0.000E+00"))</f>
        <v xml:space="preserve">    - 9.542E+00</v>
      </c>
    </row>
    <row r="1308" spans="1:1">
      <c r="A1308" t="str">
        <f>CONCATENATE("    - ",TEXT('DLC mass atten coeff'!AM1024,"0.000E+00"))</f>
        <v xml:space="preserve">    - 5.116E+00</v>
      </c>
    </row>
    <row r="1309" spans="1:1">
      <c r="A1309" t="str">
        <f>CONCATENATE("    - ",TEXT('DLC mass atten coeff'!AM1025,"0.000E+00"))</f>
        <v xml:space="preserve">    - 3.077E+00</v>
      </c>
    </row>
    <row r="1310" spans="1:1">
      <c r="A1310" t="str">
        <f>CONCATENATE("    - ",TEXT('DLC mass atten coeff'!AM1026,"0.000E+00"))</f>
        <v xml:space="preserve">    - 1.400E+00</v>
      </c>
    </row>
    <row r="1311" spans="1:1">
      <c r="A1311" t="str">
        <f>CONCATENATE("    - ",TEXT('DLC mass atten coeff'!AM1027,"0.000E+00"))</f>
        <v xml:space="preserve">    - 7.823E-01</v>
      </c>
    </row>
    <row r="1312" spans="1:1">
      <c r="A1312" t="str">
        <f>CONCATENATE("    - ",TEXT('DLC mass atten coeff'!AM1028,"0.000E+00"))</f>
        <v xml:space="preserve">    - 3.115E-01</v>
      </c>
    </row>
    <row r="1313" spans="1:1">
      <c r="A1313" t="str">
        <f>CONCATENATE("    - ",TEXT('DLC mass atten coeff'!AM1029,"0.000E+00"))</f>
        <v xml:space="preserve">    - 1.897E-01</v>
      </c>
    </row>
    <row r="1314" spans="1:1">
      <c r="A1314" t="str">
        <f>CONCATENATE("    - ",TEXT('DLC mass atten coeff'!AM1030,"0.000E+00"))</f>
        <v xml:space="preserve">    - 1.181E-01</v>
      </c>
    </row>
    <row r="1315" spans="1:1">
      <c r="A1315" t="str">
        <f>CONCATENATE("    - ",TEXT('DLC mass atten coeff'!AM1031,"0.000E+00"))</f>
        <v xml:space="preserve">    - 9.428E-02</v>
      </c>
    </row>
    <row r="1316" spans="1:1">
      <c r="A1316" t="str">
        <f>CONCATENATE("    - ",TEXT('DLC mass atten coeff'!AM1032,"0.000E+00"))</f>
        <v xml:space="preserve">    - 8.198E-02</v>
      </c>
    </row>
    <row r="1317" spans="1:1">
      <c r="A1317" t="str">
        <f>CONCATENATE("    - ",TEXT('DLC mass atten coeff'!AM1033,"0.000E+00"))</f>
        <v xml:space="preserve">    - 7.392E-02</v>
      </c>
    </row>
    <row r="1318" spans="1:1">
      <c r="A1318" t="str">
        <f>CONCATENATE("    - ",TEXT('DLC mass atten coeff'!AM1034,"0.000E+00"))</f>
        <v xml:space="preserve">    - 6.345E-02</v>
      </c>
    </row>
    <row r="1319" spans="1:1">
      <c r="A1319" t="str">
        <f>CONCATENATE("    - ",TEXT('DLC mass atten coeff'!AM1035,"0.000E+00"))</f>
        <v xml:space="preserve">    - 5.647E-02</v>
      </c>
    </row>
    <row r="1320" spans="1:1">
      <c r="A1320" t="str">
        <f>CONCATENATE("    - ",TEXT('DLC mass atten coeff'!AM1036,"0.000E+00"))</f>
        <v xml:space="preserve">    - 4.596E-02</v>
      </c>
    </row>
    <row r="1321" spans="1:1">
      <c r="A1321" t="str">
        <f>CONCATENATE("    - ",TEXT('DLC mass atten coeff'!AM1037,"0.000E+00"))</f>
        <v xml:space="preserve">    - 4.058E-02</v>
      </c>
    </row>
    <row r="1322" spans="1:1">
      <c r="A1322" t="str">
        <f>CONCATENATE("    - ",TEXT('DLC mass atten coeff'!AM1038,"0.000E+00"))</f>
        <v xml:space="preserve">    - 3.555E-02</v>
      </c>
    </row>
    <row r="1323" spans="1:1">
      <c r="A1323" t="str">
        <f>CONCATENATE("    - ",TEXT('DLC mass atten coeff'!AM1039,"0.000E+00"))</f>
        <v xml:space="preserve">    - 3.355E-02</v>
      </c>
    </row>
    <row r="1324" spans="1:1">
      <c r="A1324" t="str">
        <f>CONCATENATE("    - ",TEXT('DLC mass atten coeff'!AM1040,"0.000E+00"))</f>
        <v xml:space="preserve">    - 3.278E-02</v>
      </c>
    </row>
    <row r="1325" spans="1:1">
      <c r="A1325" t="str">
        <f>CONCATENATE("    - ",TEXT('DLC mass atten coeff'!AM1041,"0.000E+00"))</f>
        <v xml:space="preserve">    - 3.261E-02</v>
      </c>
    </row>
    <row r="1326" spans="1:1">
      <c r="A1326" t="str">
        <f>CONCATENATE("    - ",TEXT('DLC mass atten coeff'!AM1042,"0.000E+00"))</f>
        <v xml:space="preserve">    - 3.312E-02</v>
      </c>
    </row>
    <row r="1327" spans="1:1">
      <c r="A1327" t="str">
        <f>CONCATENATE("    - ",TEXT('DLC mass atten coeff'!AM1043,"0.000E+00"))</f>
        <v xml:space="preserve">    - 3.409E-02</v>
      </c>
    </row>
    <row r="1328" spans="1:1">
      <c r="A1328" t="str">
        <f>CONCATENATE("    - ",TEXT('DLC mass atten coeff'!AM1044,"0.000E+00"))</f>
        <v xml:space="preserve">    - 3.679E-02</v>
      </c>
    </row>
    <row r="1329" spans="1:1">
      <c r="A1329" t="str">
        <f>CONCATENATE("    - ",TEXT('DLC mass atten coeff'!AM1045,"0.000E+00"))</f>
        <v xml:space="preserve">    - 3.923E-02</v>
      </c>
    </row>
    <row r="1330" spans="1:1">
      <c r="A1330" t="str">
        <f>CONCATENATE("    - ",TEXT('DLC mass atten coeff'!AM1046,"0.000E+00"))</f>
        <v xml:space="preserve">    - 4.325E-02</v>
      </c>
    </row>
    <row r="1331" spans="1:1">
      <c r="A1331" t="str">
        <f>CONCATENATE('DLC mass atten coeff'!AN1018,":")</f>
        <v>yttrium:</v>
      </c>
    </row>
    <row r="1332" spans="1:1">
      <c r="A1332" s="18" t="str">
        <f>CONCATENATE("  density: ",VLOOKUP(A1331,densities!$A$5:$B$110,2,FALSE))</f>
        <v xml:space="preserve">  density: 4.469E+00</v>
      </c>
    </row>
    <row r="1333" spans="1:1" ht="16">
      <c r="A1333" s="19" t="s">
        <v>1593</v>
      </c>
    </row>
    <row r="1334" spans="1:1">
      <c r="A1334" s="19" t="s">
        <v>1553</v>
      </c>
    </row>
    <row r="1335" spans="1:1">
      <c r="A1335" s="19" t="s">
        <v>1554</v>
      </c>
    </row>
    <row r="1336" spans="1:1">
      <c r="A1336" s="21" t="s">
        <v>1860</v>
      </c>
    </row>
    <row r="1337" spans="1:1">
      <c r="A1337" s="19" t="s">
        <v>1555</v>
      </c>
    </row>
    <row r="1338" spans="1:1">
      <c r="A1338" t="str">
        <f>CONCATENATE("    - ",TEXT('DLC mass atten coeff'!AN1019,"0.000E+00"))</f>
        <v xml:space="preserve">    - 6.672E+01</v>
      </c>
    </row>
    <row r="1339" spans="1:1">
      <c r="A1339" t="str">
        <f>CONCATENATE("    - ",TEXT('DLC mass atten coeff'!AN1020,"0.000E+00"))</f>
        <v xml:space="preserve">    - 2.156E+01</v>
      </c>
    </row>
    <row r="1340" spans="1:1">
      <c r="A1340" t="str">
        <f>CONCATENATE("    - ",TEXT('DLC mass atten coeff'!AN1021,"0.000E+00"))</f>
        <v xml:space="preserve">    - 6.773E+01</v>
      </c>
    </row>
    <row r="1341" spans="1:1">
      <c r="A1341" t="str">
        <f>CONCATENATE("    - ",TEXT('DLC mass atten coeff'!AN1022,"0.000E+00"))</f>
        <v xml:space="preserve">    - 2.284E+01</v>
      </c>
    </row>
    <row r="1342" spans="1:1">
      <c r="A1342" t="str">
        <f>CONCATENATE("    - ",TEXT('DLC mass atten coeff'!AN1023,"0.000E+00"))</f>
        <v xml:space="preserve">    - 1.036E+01</v>
      </c>
    </row>
    <row r="1343" spans="1:1">
      <c r="A1343" t="str">
        <f>CONCATENATE("    - ",TEXT('DLC mass atten coeff'!AN1024,"0.000E+00"))</f>
        <v xml:space="preserve">    - 5.564E+00</v>
      </c>
    </row>
    <row r="1344" spans="1:1">
      <c r="A1344" t="str">
        <f>CONCATENATE("    - ",TEXT('DLC mass atten coeff'!AN1025,"0.000E+00"))</f>
        <v xml:space="preserve">    - 3.348E+00</v>
      </c>
    </row>
    <row r="1345" spans="1:1">
      <c r="A1345" t="str">
        <f>CONCATENATE("    - ",TEXT('DLC mass atten coeff'!AN1026,"0.000E+00"))</f>
        <v xml:space="preserve">    - 1.522E+00</v>
      </c>
    </row>
    <row r="1346" spans="1:1">
      <c r="A1346" t="str">
        <f>CONCATENATE("    - ",TEXT('DLC mass atten coeff'!AN1027,"0.000E+00"))</f>
        <v xml:space="preserve">    - 8.474E-01</v>
      </c>
    </row>
    <row r="1347" spans="1:1">
      <c r="A1347" t="str">
        <f>CONCATENATE("    - ",TEXT('DLC mass atten coeff'!AN1028,"0.000E+00"))</f>
        <v xml:space="preserve">    - 3.326E-01</v>
      </c>
    </row>
    <row r="1348" spans="1:1">
      <c r="A1348" t="str">
        <f>CONCATENATE("    - ",TEXT('DLC mass atten coeff'!AN1029,"0.000E+00"))</f>
        <v xml:space="preserve">    - 1.994E-01</v>
      </c>
    </row>
    <row r="1349" spans="1:1">
      <c r="A1349" t="str">
        <f>CONCATENATE("    - ",TEXT('DLC mass atten coeff'!AN1030,"0.000E+00"))</f>
        <v xml:space="preserve">    - 1.218E-01</v>
      </c>
    </row>
    <row r="1350" spans="1:1">
      <c r="A1350" t="str">
        <f>CONCATENATE("    - ",TEXT('DLC mass atten coeff'!AN1031,"0.000E+00"))</f>
        <v xml:space="preserve">    - 9.655E-02</v>
      </c>
    </row>
    <row r="1351" spans="1:1">
      <c r="A1351" t="str">
        <f>CONCATENATE("    - ",TEXT('DLC mass atten coeff'!AN1032,"0.000E+00"))</f>
        <v xml:space="preserve">    - 8.356E-02</v>
      </c>
    </row>
    <row r="1352" spans="1:1">
      <c r="A1352" t="str">
        <f>CONCATENATE("    - ",TEXT('DLC mass atten coeff'!AN1033,"0.000E+00"))</f>
        <v xml:space="preserve">    - 7.518E-02</v>
      </c>
    </row>
    <row r="1353" spans="1:1">
      <c r="A1353" t="str">
        <f>CONCATENATE("    - ",TEXT('DLC mass atten coeff'!AN1034,"0.000E+00"))</f>
        <v xml:space="preserve">    - 6.439E-02</v>
      </c>
    </row>
    <row r="1354" spans="1:1">
      <c r="A1354" t="str">
        <f>CONCATENATE("    - ",TEXT('DLC mass atten coeff'!AN1035,"0.000E+00"))</f>
        <v xml:space="preserve">    - 5.724E-02</v>
      </c>
    </row>
    <row r="1355" spans="1:1">
      <c r="A1355" t="str">
        <f>CONCATENATE("    - ",TEXT('DLC mass atten coeff'!AN1036,"0.000E+00"))</f>
        <v xml:space="preserve">    - 4.656E-02</v>
      </c>
    </row>
    <row r="1356" spans="1:1">
      <c r="A1356" t="str">
        <f>CONCATENATE("    - ",TEXT('DLC mass atten coeff'!AN1037,"0.000E+00"))</f>
        <v xml:space="preserve">    - 4.114E-02</v>
      </c>
    </row>
    <row r="1357" spans="1:1">
      <c r="A1357" t="str">
        <f>CONCATENATE("    - ",TEXT('DLC mass atten coeff'!AN1038,"0.000E+00"))</f>
        <v xml:space="preserve">    - 3.615E-02</v>
      </c>
    </row>
    <row r="1358" spans="1:1">
      <c r="A1358" t="str">
        <f>CONCATENATE("    - ",TEXT('DLC mass atten coeff'!AN1039,"0.000E+00"))</f>
        <v xml:space="preserve">    - 3.418E-02</v>
      </c>
    </row>
    <row r="1359" spans="1:1">
      <c r="A1359" t="str">
        <f>CONCATENATE("    - ",TEXT('DLC mass atten coeff'!AN1040,"0.000E+00"))</f>
        <v xml:space="preserve">    - 3.347E-02</v>
      </c>
    </row>
    <row r="1360" spans="1:1">
      <c r="A1360" t="str">
        <f>CONCATENATE("    - ",TEXT('DLC mass atten coeff'!AN1041,"0.000E+00"))</f>
        <v xml:space="preserve">    - 3.334E-02</v>
      </c>
    </row>
    <row r="1361" spans="1:1">
      <c r="A1361" t="str">
        <f>CONCATENATE("    - ",TEXT('DLC mass atten coeff'!AN1042,"0.000E+00"))</f>
        <v xml:space="preserve">    - 3.393E-02</v>
      </c>
    </row>
    <row r="1362" spans="1:1">
      <c r="A1362" t="str">
        <f>CONCATENATE("    - ",TEXT('DLC mass atten coeff'!AN1043,"0.000E+00"))</f>
        <v xml:space="preserve">    - 3.499E-02</v>
      </c>
    </row>
    <row r="1363" spans="1:1">
      <c r="A1363" t="str">
        <f>CONCATENATE("    - ",TEXT('DLC mass atten coeff'!AN1044,"0.000E+00"))</f>
        <v xml:space="preserve">    - 3.786E-02</v>
      </c>
    </row>
    <row r="1364" spans="1:1">
      <c r="A1364" t="str">
        <f>CONCATENATE("    - ",TEXT('DLC mass atten coeff'!AN1045,"0.000E+00"))</f>
        <v xml:space="preserve">    - 4.044E-02</v>
      </c>
    </row>
    <row r="1365" spans="1:1">
      <c r="A1365" t="str">
        <f>CONCATENATE("    - ",TEXT('DLC mass atten coeff'!AN1046,"0.000E+00"))</f>
        <v xml:space="preserve">    - 4.466E-02</v>
      </c>
    </row>
    <row r="1366" spans="1:1">
      <c r="A1366" t="str">
        <f>CONCATENATE('DLC mass atten coeff'!AO1018,":")</f>
        <v>zirconium:</v>
      </c>
    </row>
    <row r="1367" spans="1:1">
      <c r="A1367" s="18" t="str">
        <f>CONCATENATE("  density: ",VLOOKUP(A1366,densities!$A$5:$B$110,2,FALSE))</f>
        <v xml:space="preserve">  density: 6.506E+00</v>
      </c>
    </row>
    <row r="1368" spans="1:1" ht="16">
      <c r="A1368" s="19" t="s">
        <v>1594</v>
      </c>
    </row>
    <row r="1369" spans="1:1">
      <c r="A1369" s="19" t="s">
        <v>1553</v>
      </c>
    </row>
    <row r="1370" spans="1:1">
      <c r="A1370" s="19" t="s">
        <v>1554</v>
      </c>
    </row>
    <row r="1371" spans="1:1">
      <c r="A1371" s="21" t="s">
        <v>1860</v>
      </c>
    </row>
    <row r="1372" spans="1:1">
      <c r="A1372" s="19" t="s">
        <v>1555</v>
      </c>
    </row>
    <row r="1373" spans="1:1">
      <c r="A1373" t="str">
        <f>CONCATENATE("    - ",TEXT('DLC mass atten coeff'!AO1019,"0.000E+00"))</f>
        <v xml:space="preserve">    - 7.212E+01</v>
      </c>
    </row>
    <row r="1374" spans="1:1">
      <c r="A1374" t="str">
        <f>CONCATENATE("    - ",TEXT('DLC mass atten coeff'!AO1020,"0.000E+00"))</f>
        <v xml:space="preserve">    - 2.335E+01</v>
      </c>
    </row>
    <row r="1375" spans="1:1">
      <c r="A1375" t="str">
        <f>CONCATENATE("    - ",TEXT('DLC mass atten coeff'!AO1021,"0.000E+00"))</f>
        <v xml:space="preserve">    - 7.151E+01</v>
      </c>
    </row>
    <row r="1376" spans="1:1">
      <c r="A1376" t="str">
        <f>CONCATENATE("    - ",TEXT('DLC mass atten coeff'!AO1022,"0.000E+00"))</f>
        <v xml:space="preserve">    - 2.438E+01</v>
      </c>
    </row>
    <row r="1377" spans="1:1">
      <c r="A1377" t="str">
        <f>CONCATENATE("    - ",TEXT('DLC mass atten coeff'!AO1023,"0.000E+00"))</f>
        <v xml:space="preserve">    - 1.109E+01</v>
      </c>
    </row>
    <row r="1378" spans="1:1">
      <c r="A1378" t="str">
        <f>CONCATENATE("    - ",TEXT('DLC mass atten coeff'!AO1024,"0.000E+00"))</f>
        <v xml:space="preserve">    - 5.966E+00</v>
      </c>
    </row>
    <row r="1379" spans="1:1">
      <c r="A1379" t="str">
        <f>CONCATENATE("    - ",TEXT('DLC mass atten coeff'!AO1025,"0.000E+00"))</f>
        <v xml:space="preserve">    - 3.592E+00</v>
      </c>
    </row>
    <row r="1380" spans="1:1">
      <c r="A1380" t="str">
        <f>CONCATENATE("    - ",TEXT('DLC mass atten coeff'!AO1026,"0.000E+00"))</f>
        <v xml:space="preserve">    - 1.631E+00</v>
      </c>
    </row>
    <row r="1381" spans="1:1">
      <c r="A1381" t="str">
        <f>CONCATENATE("    - ",TEXT('DLC mass atten coeff'!AO1027,"0.000E+00"))</f>
        <v xml:space="preserve">    - 9.061E-01</v>
      </c>
    </row>
    <row r="1382" spans="1:1">
      <c r="A1382" t="str">
        <f>CONCATENATE("    - ",TEXT('DLC mass atten coeff'!AO1028,"0.000E+00"))</f>
        <v xml:space="preserve">    - 3.509E-01</v>
      </c>
    </row>
    <row r="1383" spans="1:1">
      <c r="A1383" t="str">
        <f>CONCATENATE("    - ",TEXT('DLC mass atten coeff'!AO1029,"0.000E+00"))</f>
        <v xml:space="preserve">    - 2.075E-01</v>
      </c>
    </row>
    <row r="1384" spans="1:1">
      <c r="A1384" t="str">
        <f>CONCATENATE("    - ",TEXT('DLC mass atten coeff'!AO1030,"0.000E+00"))</f>
        <v xml:space="preserve">    - 1.244E-01</v>
      </c>
    </row>
    <row r="1385" spans="1:1">
      <c r="A1385" t="str">
        <f>CONCATENATE("    - ",TEXT('DLC mass atten coeff'!AO1031,"0.000E+00"))</f>
        <v xml:space="preserve">    - 9.764E-02</v>
      </c>
    </row>
    <row r="1386" spans="1:1">
      <c r="A1386" t="str">
        <f>CONCATENATE("    - ",TEXT('DLC mass atten coeff'!AO1032,"0.000E+00"))</f>
        <v xml:space="preserve">    - 8.420E-02</v>
      </c>
    </row>
    <row r="1387" spans="1:1">
      <c r="A1387" t="str">
        <f>CONCATENATE("    - ",TEXT('DLC mass atten coeff'!AO1033,"0.000E+00"))</f>
        <v xml:space="preserve">    - 7.560E-02</v>
      </c>
    </row>
    <row r="1388" spans="1:1">
      <c r="A1388" t="str">
        <f>CONCATENATE("    - ",TEXT('DLC mass atten coeff'!AO1034,"0.000E+00"))</f>
        <v xml:space="preserve">    - 6.459E-02</v>
      </c>
    </row>
    <row r="1389" spans="1:1">
      <c r="A1389" t="str">
        <f>CONCATENATE("    - ",TEXT('DLC mass atten coeff'!AO1035,"0.000E+00"))</f>
        <v xml:space="preserve">    - 5.736E-02</v>
      </c>
    </row>
    <row r="1390" spans="1:1">
      <c r="A1390" t="str">
        <f>CONCATENATE("    - ",TEXT('DLC mass atten coeff'!AO1036,"0.000E+00"))</f>
        <v xml:space="preserve">    - 4.663E-02</v>
      </c>
    </row>
    <row r="1391" spans="1:1">
      <c r="A1391" t="str">
        <f>CONCATENATE("    - ",TEXT('DLC mass atten coeff'!AO1037,"0.000E+00"))</f>
        <v xml:space="preserve">    - 4.123E-02</v>
      </c>
    </row>
    <row r="1392" spans="1:1">
      <c r="A1392" t="str">
        <f>CONCATENATE("    - ",TEXT('DLC mass atten coeff'!AO1038,"0.000E+00"))</f>
        <v xml:space="preserve">    - 3.630E-02</v>
      </c>
    </row>
    <row r="1393" spans="1:1">
      <c r="A1393" t="str">
        <f>CONCATENATE("    - ",TEXT('DLC mass atten coeff'!AO1039,"0.000E+00"))</f>
        <v xml:space="preserve">    - 3.441E-02</v>
      </c>
    </row>
    <row r="1394" spans="1:1">
      <c r="A1394" t="str">
        <f>CONCATENATE("    - ",TEXT('DLC mass atten coeff'!AO1040,"0.000E+00"))</f>
        <v xml:space="preserve">    - 3.376E-02</v>
      </c>
    </row>
    <row r="1395" spans="1:1">
      <c r="A1395" t="str">
        <f>CONCATENATE("    - ",TEXT('DLC mass atten coeff'!AO1041,"0.000E+00"))</f>
        <v xml:space="preserve">    - 3.367E-02</v>
      </c>
    </row>
    <row r="1396" spans="1:1">
      <c r="A1396" t="str">
        <f>CONCATENATE("    - ",TEXT('DLC mass atten coeff'!AO1042,"0.000E+00"))</f>
        <v xml:space="preserve">    - 3.435E-02</v>
      </c>
    </row>
    <row r="1397" spans="1:1">
      <c r="A1397" t="str">
        <f>CONCATENATE("    - ",TEXT('DLC mass atten coeff'!AO1043,"0.000E+00"))</f>
        <v xml:space="preserve">    - 3.549E-02</v>
      </c>
    </row>
    <row r="1398" spans="1:1">
      <c r="A1398" t="str">
        <f>CONCATENATE("    - ",TEXT('DLC mass atten coeff'!AO1044,"0.000E+00"))</f>
        <v xml:space="preserve">    - 3.851E-02</v>
      </c>
    </row>
    <row r="1399" spans="1:1">
      <c r="A1399" t="str">
        <f>CONCATENATE("    - ",TEXT('DLC mass atten coeff'!AO1045,"0.000E+00"))</f>
        <v xml:space="preserve">    - 4.118E-02</v>
      </c>
    </row>
    <row r="1400" spans="1:1">
      <c r="A1400" t="str">
        <f>CONCATENATE("    - ",TEXT('DLC mass atten coeff'!AO1046,"0.000E+00"))</f>
        <v xml:space="preserve">    - 4.553E-02</v>
      </c>
    </row>
    <row r="1401" spans="1:1">
      <c r="A1401" t="str">
        <f>CONCATENATE('DLC mass atten coeff'!AP1018,":")</f>
        <v>niobium:</v>
      </c>
    </row>
    <row r="1402" spans="1:1">
      <c r="A1402" s="18" t="str">
        <f>CONCATENATE("  density: ",VLOOKUP(A1401,densities!$A$5:$B$110,2,FALSE))</f>
        <v xml:space="preserve">  density: 8.570E+00</v>
      </c>
    </row>
    <row r="1403" spans="1:1" ht="16">
      <c r="A1403" s="19" t="s">
        <v>1595</v>
      </c>
    </row>
    <row r="1404" spans="1:1">
      <c r="A1404" s="19" t="s">
        <v>1553</v>
      </c>
    </row>
    <row r="1405" spans="1:1">
      <c r="A1405" s="19" t="s">
        <v>1554</v>
      </c>
    </row>
    <row r="1406" spans="1:1">
      <c r="A1406" s="21" t="s">
        <v>1860</v>
      </c>
    </row>
    <row r="1407" spans="1:1">
      <c r="A1407" s="19" t="s">
        <v>1555</v>
      </c>
    </row>
    <row r="1408" spans="1:1">
      <c r="A1408" t="str">
        <f>CONCATENATE("    - ",TEXT('DLC mass atten coeff'!AP1019,"0.000E+00"))</f>
        <v xml:space="preserve">    - 7.826E+01</v>
      </c>
    </row>
    <row r="1409" spans="1:1">
      <c r="A1409" t="str">
        <f>CONCATENATE("    - ",TEXT('DLC mass atten coeff'!AP1020,"0.000E+00"))</f>
        <v xml:space="preserve">    - 2.539E+01</v>
      </c>
    </row>
    <row r="1410" spans="1:1">
      <c r="A1410" t="str">
        <f>CONCATENATE("    - ",TEXT('DLC mass atten coeff'!AP1021,"0.000E+00"))</f>
        <v xml:space="preserve">    - 7.623E+01</v>
      </c>
    </row>
    <row r="1411" spans="1:1">
      <c r="A1411" t="str">
        <f>CONCATENATE("    - ",TEXT('DLC mass atten coeff'!AP1022,"0.000E+00"))</f>
        <v xml:space="preserve">    - 2.616E+01</v>
      </c>
    </row>
    <row r="1412" spans="1:1">
      <c r="A1412" t="str">
        <f>CONCATENATE("    - ",TEXT('DLC mass atten coeff'!AP1023,"0.000E+00"))</f>
        <v xml:space="preserve">    - 1.191E+01</v>
      </c>
    </row>
    <row r="1413" spans="1:1">
      <c r="A1413" t="str">
        <f>CONCATENATE("    - ",TEXT('DLC mass atten coeff'!AP1024,"0.000E+00"))</f>
        <v xml:space="preserve">    - 6.426E+00</v>
      </c>
    </row>
    <row r="1414" spans="1:1">
      <c r="A1414" t="str">
        <f>CONCATENATE("    - ",TEXT('DLC mass atten coeff'!AP1025,"0.000E+00"))</f>
        <v xml:space="preserve">    - 3.874E+00</v>
      </c>
    </row>
    <row r="1415" spans="1:1">
      <c r="A1415" t="str">
        <f>CONCATENATE("    - ",TEXT('DLC mass atten coeff'!AP1026,"0.000E+00"))</f>
        <v xml:space="preserve">    - 1.759E+00</v>
      </c>
    </row>
    <row r="1416" spans="1:1">
      <c r="A1416" t="str">
        <f>CONCATENATE("    - ",TEXT('DLC mass atten coeff'!AP1027,"0.000E+00"))</f>
        <v xml:space="preserve">    - 9.731E-01</v>
      </c>
    </row>
    <row r="1417" spans="1:1">
      <c r="A1417" t="str">
        <f>CONCATENATE("    - ",TEXT('DLC mass atten coeff'!AP1028,"0.000E+00"))</f>
        <v xml:space="preserve">    - 3.728E-01</v>
      </c>
    </row>
    <row r="1418" spans="1:1">
      <c r="A1418" t="str">
        <f>CONCATENATE("    - ",TEXT('DLC mass atten coeff'!AP1029,"0.000E+00"))</f>
        <v xml:space="preserve">    - 2.174E-01</v>
      </c>
    </row>
    <row r="1419" spans="1:1">
      <c r="A1419" t="str">
        <f>CONCATENATE("    - ",TEXT('DLC mass atten coeff'!AP1030,"0.000E+00"))</f>
        <v xml:space="preserve">    - 1.279E-01</v>
      </c>
    </row>
    <row r="1420" spans="1:1">
      <c r="A1420" t="str">
        <f>CONCATENATE("    - ",TEXT('DLC mass atten coeff'!AP1031,"0.000E+00"))</f>
        <v xml:space="preserve">    - 9.954E-02</v>
      </c>
    </row>
    <row r="1421" spans="1:1">
      <c r="A1421" t="str">
        <f>CONCATENATE("    - ",TEXT('DLC mass atten coeff'!AP1032,"0.000E+00"))</f>
        <v xml:space="preserve">    - 8.546E-02</v>
      </c>
    </row>
    <row r="1422" spans="1:1">
      <c r="A1422" t="str">
        <f>CONCATENATE("    - ",TEXT('DLC mass atten coeff'!AP1033,"0.000E+00"))</f>
        <v xml:space="preserve">    - 7.655E-02</v>
      </c>
    </row>
    <row r="1423" spans="1:1">
      <c r="A1423" t="str">
        <f>CONCATENATE("    - ",TEXT('DLC mass atten coeff'!AP1034,"0.000E+00"))</f>
        <v xml:space="preserve">    - 6.524E-02</v>
      </c>
    </row>
    <row r="1424" spans="1:1">
      <c r="A1424" t="str">
        <f>CONCATENATE("    - ",TEXT('DLC mass atten coeff'!AP1035,"0.000E+00"))</f>
        <v xml:space="preserve">    - 5.788E-02</v>
      </c>
    </row>
    <row r="1425" spans="1:1">
      <c r="A1425" t="str">
        <f>CONCATENATE("    - ",TEXT('DLC mass atten coeff'!AP1036,"0.000E+00"))</f>
        <v xml:space="preserve">    - 4.703E-02</v>
      </c>
    </row>
    <row r="1426" spans="1:1">
      <c r="A1426" t="str">
        <f>CONCATENATE("    - ",TEXT('DLC mass atten coeff'!AP1037,"0.000E+00"))</f>
        <v xml:space="preserve">    - 4.160E-02</v>
      </c>
    </row>
    <row r="1427" spans="1:1">
      <c r="A1427" t="str">
        <f>CONCATENATE("    - ",TEXT('DLC mass atten coeff'!AP1038,"0.000E+00"))</f>
        <v xml:space="preserve">    - 3.672E-02</v>
      </c>
    </row>
    <row r="1428" spans="1:1">
      <c r="A1428" t="str">
        <f>CONCATENATE("    - ",TEXT('DLC mass atten coeff'!AP1039,"0.000E+00"))</f>
        <v xml:space="preserve">    - 3.488E-02</v>
      </c>
    </row>
    <row r="1429" spans="1:1">
      <c r="A1429" t="str">
        <f>CONCATENATE("    - ",TEXT('DLC mass atten coeff'!AP1040,"0.000E+00"))</f>
        <v xml:space="preserve">    - 3.427E-02</v>
      </c>
    </row>
    <row r="1430" spans="1:1">
      <c r="A1430" t="str">
        <f>CONCATENATE("    - ",TEXT('DLC mass atten coeff'!AP1041,"0.000E+00"))</f>
        <v xml:space="preserve">    - 3.424E-02</v>
      </c>
    </row>
    <row r="1431" spans="1:1">
      <c r="A1431" t="str">
        <f>CONCATENATE("    - ",TEXT('DLC mass atten coeff'!AP1042,"0.000E+00"))</f>
        <v xml:space="preserve">    - 3.502E-02</v>
      </c>
    </row>
    <row r="1432" spans="1:1">
      <c r="A1432" t="str">
        <f>CONCATENATE("    - ",TEXT('DLC mass atten coeff'!AP1043,"0.000E+00"))</f>
        <v xml:space="preserve">    - 3.623E-02</v>
      </c>
    </row>
    <row r="1433" spans="1:1">
      <c r="A1433" t="str">
        <f>CONCATENATE("    - ",TEXT('DLC mass atten coeff'!AP1044,"0.000E+00"))</f>
        <v xml:space="preserve">    - 3.940E-02</v>
      </c>
    </row>
    <row r="1434" spans="1:1">
      <c r="A1434" t="str">
        <f>CONCATENATE("    - ",TEXT('DLC mass atten coeff'!AP1045,"0.000E+00"))</f>
        <v xml:space="preserve">    - 4.220E-02</v>
      </c>
    </row>
    <row r="1435" spans="1:1">
      <c r="A1435" t="str">
        <f>CONCATENATE("    - ",TEXT('DLC mass atten coeff'!AP1046,"0.000E+00"))</f>
        <v xml:space="preserve">    - 4.672E-02</v>
      </c>
    </row>
    <row r="1436" spans="1:1">
      <c r="A1436" t="str">
        <f>CONCATENATE('DLC mass atten coeff'!AQ1018,":")</f>
        <v>molybdenum:</v>
      </c>
    </row>
    <row r="1437" spans="1:1">
      <c r="A1437" s="18" t="str">
        <f>CONCATENATE("  density: ",VLOOKUP(A1436,densities!$A$5:$B$110,2,FALSE))</f>
        <v xml:space="preserve">  density: 1.022E+01</v>
      </c>
    </row>
    <row r="1438" spans="1:1" ht="16">
      <c r="A1438" s="19" t="s">
        <v>1596</v>
      </c>
    </row>
    <row r="1439" spans="1:1">
      <c r="A1439" s="19" t="s">
        <v>1553</v>
      </c>
    </row>
    <row r="1440" spans="1:1">
      <c r="A1440" s="19" t="s">
        <v>1554</v>
      </c>
    </row>
    <row r="1441" spans="1:1">
      <c r="A1441" s="21" t="s">
        <v>1860</v>
      </c>
    </row>
    <row r="1442" spans="1:1">
      <c r="A1442" s="19" t="s">
        <v>1555</v>
      </c>
    </row>
    <row r="1443" spans="1:1">
      <c r="A1443" t="str">
        <f>CONCATENATE("    - ",TEXT('DLC mass atten coeff'!AQ1019,"0.000E+00"))</f>
        <v xml:space="preserve">    - 8.358E+01</v>
      </c>
    </row>
    <row r="1444" spans="1:1">
      <c r="A1444" t="str">
        <f>CONCATENATE("    - ",TEXT('DLC mass atten coeff'!AQ1020,"0.000E+00"))</f>
        <v xml:space="preserve">    - 2.716E+01</v>
      </c>
    </row>
    <row r="1445" spans="1:1">
      <c r="A1445" t="str">
        <f>CONCATENATE("    - ",TEXT('DLC mass atten coeff'!AQ1021,"0.000E+00"))</f>
        <v xml:space="preserve">    - 7.862E+01</v>
      </c>
    </row>
    <row r="1446" spans="1:1">
      <c r="A1446" t="str">
        <f>CONCATENATE("    - ",TEXT('DLC mass atten coeff'!AQ1022,"0.000E+00"))</f>
        <v xml:space="preserve">    - 2.759E+01</v>
      </c>
    </row>
    <row r="1447" spans="1:1">
      <c r="A1447" t="str">
        <f>CONCATENATE("    - ",TEXT('DLC mass atten coeff'!AQ1023,"0.000E+00"))</f>
        <v xml:space="preserve">    - 1.261E+01</v>
      </c>
    </row>
    <row r="1448" spans="1:1">
      <c r="A1448" t="str">
        <f>CONCATENATE("    - ",TEXT('DLC mass atten coeff'!AQ1024,"0.000E+00"))</f>
        <v xml:space="preserve">    - 6.812E+00</v>
      </c>
    </row>
    <row r="1449" spans="1:1">
      <c r="A1449" t="str">
        <f>CONCATENATE("    - ",TEXT('DLC mass atten coeff'!AQ1025,"0.000E+00"))</f>
        <v xml:space="preserve">    - 4.110E+00</v>
      </c>
    </row>
    <row r="1450" spans="1:1">
      <c r="A1450" t="str">
        <f>CONCATENATE("    - ",TEXT('DLC mass atten coeff'!AQ1026,"0.000E+00"))</f>
        <v xml:space="preserve">    - 1.864E+00</v>
      </c>
    </row>
    <row r="1451" spans="1:1">
      <c r="A1451" t="str">
        <f>CONCATENATE("    - ",TEXT('DLC mass atten coeff'!AQ1027,"0.000E+00"))</f>
        <v xml:space="preserve">    - 1.031E+00</v>
      </c>
    </row>
    <row r="1452" spans="1:1">
      <c r="A1452" t="str">
        <f>CONCATENATE("    - ",TEXT('DLC mass atten coeff'!AQ1028,"0.000E+00"))</f>
        <v xml:space="preserve">    - 3.902E-01</v>
      </c>
    </row>
    <row r="1453" spans="1:1">
      <c r="A1453" t="str">
        <f>CONCATENATE("    - ",TEXT('DLC mass atten coeff'!AQ1029,"0.000E+00"))</f>
        <v xml:space="preserve">    - 2.246E-01</v>
      </c>
    </row>
    <row r="1454" spans="1:1">
      <c r="A1454" t="str">
        <f>CONCATENATE("    - ",TEXT('DLC mass atten coeff'!AQ1030,"0.000E+00"))</f>
        <v xml:space="preserve">    - 1.298E-01</v>
      </c>
    </row>
    <row r="1455" spans="1:1">
      <c r="A1455" t="str">
        <f>CONCATENATE("    - ",TEXT('DLC mass atten coeff'!AQ1031,"0.000E+00"))</f>
        <v xml:space="preserve">    - 1.001E-01</v>
      </c>
    </row>
    <row r="1456" spans="1:1">
      <c r="A1456" t="str">
        <f>CONCATENATE("    - ",TEXT('DLC mass atten coeff'!AQ1032,"0.000E+00"))</f>
        <v xml:space="preserve">    - 8.553E-02</v>
      </c>
    </row>
    <row r="1457" spans="1:1">
      <c r="A1457" t="str">
        <f>CONCATENATE("    - ",TEXT('DLC mass atten coeff'!AQ1033,"0.000E+00"))</f>
        <v xml:space="preserve">    - 7.638E-02</v>
      </c>
    </row>
    <row r="1458" spans="1:1">
      <c r="A1458" t="str">
        <f>CONCATENATE("    - ",TEXT('DLC mass atten coeff'!AQ1034,"0.000E+00"))</f>
        <v xml:space="preserve">    - 6.497E-02</v>
      </c>
    </row>
    <row r="1459" spans="1:1">
      <c r="A1459" t="str">
        <f>CONCATENATE("    - ",TEXT('DLC mass atten coeff'!AQ1035,"0.000E+00"))</f>
        <v xml:space="preserve">    - 5.757E-02</v>
      </c>
    </row>
    <row r="1460" spans="1:1">
      <c r="A1460" t="str">
        <f>CONCATENATE("    - ",TEXT('DLC mass atten coeff'!AQ1036,"0.000E+00"))</f>
        <v xml:space="preserve">    - 4.673E-02</v>
      </c>
    </row>
    <row r="1461" spans="1:1">
      <c r="A1461" t="str">
        <f>CONCATENATE("    - ",TEXT('DLC mass atten coeff'!AQ1037,"0.000E+00"))</f>
        <v xml:space="preserve">    - 4.138E-02</v>
      </c>
    </row>
    <row r="1462" spans="1:1">
      <c r="A1462" t="str">
        <f>CONCATENATE("    - ",TEXT('DLC mass atten coeff'!AQ1038,"0.000E+00"))</f>
        <v xml:space="preserve">    - 3.661E-02</v>
      </c>
    </row>
    <row r="1463" spans="1:1">
      <c r="A1463" t="str">
        <f>CONCATENATE("    - ",TEXT('DLC mass atten coeff'!AQ1039,"0.000E+00"))</f>
        <v xml:space="preserve">    - 3.485E-02</v>
      </c>
    </row>
    <row r="1464" spans="1:1">
      <c r="A1464" t="str">
        <f>CONCATENATE("    - ",TEXT('DLC mass atten coeff'!AQ1040,"0.000E+00"))</f>
        <v xml:space="preserve">    - 3.430E-02</v>
      </c>
    </row>
    <row r="1465" spans="1:1">
      <c r="A1465" t="str">
        <f>CONCATENATE("    - ",TEXT('DLC mass atten coeff'!AQ1041,"0.000E+00"))</f>
        <v xml:space="preserve">    - 3.433E-02</v>
      </c>
    </row>
    <row r="1466" spans="1:1">
      <c r="A1466" t="str">
        <f>CONCATENATE("    - ",TEXT('DLC mass atten coeff'!AQ1042,"0.000E+00"))</f>
        <v xml:space="preserve">    - 3.517E-02</v>
      </c>
    </row>
    <row r="1467" spans="1:1">
      <c r="A1467" t="str">
        <f>CONCATENATE("    - ",TEXT('DLC mass atten coeff'!AQ1043,"0.000E+00"))</f>
        <v xml:space="preserve">    - 3.645E-02</v>
      </c>
    </row>
    <row r="1468" spans="1:1">
      <c r="A1468" t="str">
        <f>CONCATENATE("    - ",TEXT('DLC mass atten coeff'!AQ1044,"0.000E+00"))</f>
        <v xml:space="preserve">    - 3.974E-02</v>
      </c>
    </row>
    <row r="1469" spans="1:1">
      <c r="A1469" t="str">
        <f>CONCATENATE("    - ",TEXT('DLC mass atten coeff'!AQ1045,"0.000E+00"))</f>
        <v xml:space="preserve">    - 4.261E-02</v>
      </c>
    </row>
    <row r="1470" spans="1:1">
      <c r="A1470" t="str">
        <f>CONCATENATE("    - ",TEXT('DLC mass atten coeff'!AQ1046,"0.000E+00"))</f>
        <v xml:space="preserve">    - 4.721E-02</v>
      </c>
    </row>
    <row r="1471" spans="1:1">
      <c r="A1471" t="str">
        <f>CONCATENATE('DLC mass atten coeff'!AR1018,":")</f>
        <v>technetium:</v>
      </c>
    </row>
    <row r="1472" spans="1:1">
      <c r="A1472" s="18" t="str">
        <f>CONCATENATE("  density: ",VLOOKUP(A1471,densities!$A$5:$B$110,2,FALSE))</f>
        <v xml:space="preserve">  density: 1.150E+01</v>
      </c>
    </row>
    <row r="1473" spans="1:1" ht="16">
      <c r="A1473" s="19" t="s">
        <v>1597</v>
      </c>
    </row>
    <row r="1474" spans="1:1">
      <c r="A1474" s="19" t="s">
        <v>1553</v>
      </c>
    </row>
    <row r="1475" spans="1:1">
      <c r="A1475" s="19" t="s">
        <v>1554</v>
      </c>
    </row>
    <row r="1476" spans="1:1">
      <c r="A1476" s="21" t="s">
        <v>1860</v>
      </c>
    </row>
    <row r="1477" spans="1:1">
      <c r="A1477" s="19" t="s">
        <v>1555</v>
      </c>
    </row>
    <row r="1478" spans="1:1">
      <c r="A1478" t="str">
        <f>CONCATENATE("    - ",TEXT('DLC mass atten coeff'!AR1019,"0.000E+00"))</f>
        <v xml:space="preserve">    - 9.009E+01</v>
      </c>
    </row>
    <row r="1479" spans="1:1">
      <c r="A1479" t="str">
        <f>CONCATENATE("    - ",TEXT('DLC mass atten coeff'!AR1020,"0.000E+00"))</f>
        <v xml:space="preserve">    - 2.935E+01</v>
      </c>
    </row>
    <row r="1480" spans="1:1">
      <c r="A1480" t="str">
        <f>CONCATENATE("    - ",TEXT('DLC mass atten coeff'!AR1021,"0.000E+00"))</f>
        <v xml:space="preserve">    - 1.314E+01</v>
      </c>
    </row>
    <row r="1481" spans="1:1">
      <c r="A1481" t="str">
        <f>CONCATENATE("    - ",TEXT('DLC mass atten coeff'!AR1022,"0.000E+00"))</f>
        <v xml:space="preserve">    - 2.940E+01</v>
      </c>
    </row>
    <row r="1482" spans="1:1">
      <c r="A1482" t="str">
        <f>CONCATENATE("    - ",TEXT('DLC mass atten coeff'!AR1023,"0.000E+00"))</f>
        <v xml:space="preserve">    - 1.346E+01</v>
      </c>
    </row>
    <row r="1483" spans="1:1">
      <c r="A1483" t="str">
        <f>CONCATENATE("    - ",TEXT('DLC mass atten coeff'!AR1024,"0.000E+00"))</f>
        <v xml:space="preserve">    - 7.289E+00</v>
      </c>
    </row>
    <row r="1484" spans="1:1">
      <c r="A1484" t="str">
        <f>CONCATENATE("    - ",TEXT('DLC mass atten coeff'!AR1025,"0.000E+00"))</f>
        <v xml:space="preserve">    - 4.400E+00</v>
      </c>
    </row>
    <row r="1485" spans="1:1">
      <c r="A1485" t="str">
        <f>CONCATENATE("    - ",TEXT('DLC mass atten coeff'!AR1026,"0.000E+00"))</f>
        <v xml:space="preserve">    - 1.997E+00</v>
      </c>
    </row>
    <row r="1486" spans="1:1">
      <c r="A1486" t="str">
        <f>CONCATENATE("    - ",TEXT('DLC mass atten coeff'!AR1027,"0.000E+00"))</f>
        <v xml:space="preserve">    - 1.101E+00</v>
      </c>
    </row>
    <row r="1487" spans="1:1">
      <c r="A1487" t="str">
        <f>CONCATENATE("    - ",TEXT('DLC mass atten coeff'!AR1028,"0.000E+00"))</f>
        <v xml:space="preserve">    - 4.129E-01</v>
      </c>
    </row>
    <row r="1488" spans="1:1">
      <c r="A1488" t="str">
        <f>CONCATENATE("    - ",TEXT('DLC mass atten coeff'!AR1029,"0.000E+00"))</f>
        <v xml:space="preserve">    - 2.349E-01</v>
      </c>
    </row>
    <row r="1489" spans="1:1">
      <c r="A1489" t="str">
        <f>CONCATENATE("    - ",TEXT('DLC mass atten coeff'!AR1030,"0.000E+00"))</f>
        <v xml:space="preserve">    - 1.334E-01</v>
      </c>
    </row>
    <row r="1490" spans="1:1">
      <c r="A1490" t="str">
        <f>CONCATENATE("    - ",TEXT('DLC mass atten coeff'!AR1031,"0.000E+00"))</f>
        <v xml:space="preserve">    - 1.018E-01</v>
      </c>
    </row>
    <row r="1491" spans="1:1">
      <c r="A1491" t="str">
        <f>CONCATENATE("    - ",TEXT('DLC mass atten coeff'!AR1032,"0.000E+00"))</f>
        <v xml:space="preserve">    - 8.655E-02</v>
      </c>
    </row>
    <row r="1492" spans="1:1">
      <c r="A1492" t="str">
        <f>CONCATENATE("    - ",TEXT('DLC mass atten coeff'!AR1033,"0.000E+00"))</f>
        <v xml:space="preserve">    - 7.716E-02</v>
      </c>
    </row>
    <row r="1493" spans="1:1">
      <c r="A1493" t="str">
        <f>CONCATENATE("    - ",TEXT('DLC mass atten coeff'!AR1034,"0.000E+00"))</f>
        <v xml:space="preserve">    - 6.543E-02</v>
      </c>
    </row>
    <row r="1494" spans="1:1">
      <c r="A1494" t="str">
        <f>CONCATENATE("    - ",TEXT('DLC mass atten coeff'!AR1035,"0.000E+00"))</f>
        <v xml:space="preserve">    - 5.792E-02</v>
      </c>
    </row>
    <row r="1495" spans="1:1">
      <c r="A1495" t="str">
        <f>CONCATENATE("    - ",TEXT('DLC mass atten coeff'!AR1036,"0.000E+00"))</f>
        <v xml:space="preserve">    - 4.699E-02</v>
      </c>
    </row>
    <row r="1496" spans="1:1">
      <c r="A1496" t="str">
        <f>CONCATENATE("    - ",TEXT('DLC mass atten coeff'!AR1037,"0.000E+00"))</f>
        <v xml:space="preserve">    - 4.163E-02</v>
      </c>
    </row>
    <row r="1497" spans="1:1">
      <c r="A1497" t="str">
        <f>CONCATENATE("    - ",TEXT('DLC mass atten coeff'!AR1038,"0.000E+00"))</f>
        <v xml:space="preserve">    - 3.690E-02</v>
      </c>
    </row>
    <row r="1498" spans="1:1">
      <c r="A1498" t="str">
        <f>CONCATENATE("    - ",TEXT('DLC mass atten coeff'!AR1039,"0.000E+00"))</f>
        <v xml:space="preserve">    - 3.521E-02</v>
      </c>
    </row>
    <row r="1499" spans="1:1">
      <c r="A1499" t="str">
        <f>CONCATENATE("    - ",TEXT('DLC mass atten coeff'!AR1040,"0.000E+00"))</f>
        <v xml:space="preserve">    - 3.473E-02</v>
      </c>
    </row>
    <row r="1500" spans="1:1">
      <c r="A1500" t="str">
        <f>CONCATENATE("    - ",TEXT('DLC mass atten coeff'!AR1041,"0.000E+00"))</f>
        <v xml:space="preserve">    - 3.479E-02</v>
      </c>
    </row>
    <row r="1501" spans="1:1">
      <c r="A1501" t="str">
        <f>CONCATENATE("    - ",TEXT('DLC mass atten coeff'!AR1042,"0.000E+00"))</f>
        <v xml:space="preserve">    - 3.572E-02</v>
      </c>
    </row>
    <row r="1502" spans="1:1">
      <c r="A1502" t="str">
        <f>CONCATENATE("    - ",TEXT('DLC mass atten coeff'!AR1043,"0.000E+00"))</f>
        <v xml:space="preserve">    - 3.707E-02</v>
      </c>
    </row>
    <row r="1503" spans="1:1">
      <c r="A1503" t="str">
        <f>CONCATENATE("    - ",TEXT('DLC mass atten coeff'!AR1044,"0.000E+00"))</f>
        <v xml:space="preserve">    - 4.051E-02</v>
      </c>
    </row>
    <row r="1504" spans="1:1">
      <c r="A1504" t="str">
        <f>CONCATENATE("    - ",TEXT('DLC mass atten coeff'!AR1045,"0.000E+00"))</f>
        <v xml:space="preserve">    - 4.349E-02</v>
      </c>
    </row>
    <row r="1505" spans="1:1">
      <c r="A1505" t="str">
        <f>CONCATENATE("    - ",TEXT('DLC mass atten coeff'!AR1046,"0.000E+00"))</f>
        <v xml:space="preserve">    - 4.825E-02</v>
      </c>
    </row>
    <row r="1506" spans="1:1">
      <c r="A1506" t="str">
        <f>CONCATENATE('DLC mass atten coeff'!AS1018,":")</f>
        <v>ruthenium:</v>
      </c>
    </row>
    <row r="1507" spans="1:1">
      <c r="A1507" s="18" t="str">
        <f>CONCATENATE("  density: ",VLOOKUP(A1506,densities!$A$5:$B$110,2,FALSE))</f>
        <v xml:space="preserve">  density: 1.241E+01</v>
      </c>
    </row>
    <row r="1508" spans="1:1" ht="16">
      <c r="A1508" s="19" t="s">
        <v>1598</v>
      </c>
    </row>
    <row r="1509" spans="1:1">
      <c r="A1509" s="19" t="s">
        <v>1553</v>
      </c>
    </row>
    <row r="1510" spans="1:1">
      <c r="A1510" s="19" t="s">
        <v>1554</v>
      </c>
    </row>
    <row r="1511" spans="1:1">
      <c r="A1511" s="21" t="s">
        <v>1860</v>
      </c>
    </row>
    <row r="1512" spans="1:1">
      <c r="A1512" s="19" t="s">
        <v>1555</v>
      </c>
    </row>
    <row r="1513" spans="1:1">
      <c r="A1513" t="str">
        <f>CONCATENATE("    - ",TEXT('DLC mass atten coeff'!AS1019,"0.000E+00"))</f>
        <v xml:space="preserve">    - 9.573E+01</v>
      </c>
    </row>
    <row r="1514" spans="1:1">
      <c r="A1514" t="str">
        <f>CONCATENATE("    - ",TEXT('DLC mass atten coeff'!AS1020,"0.000E+00"))</f>
        <v xml:space="preserve">    - 3.125E+01</v>
      </c>
    </row>
    <row r="1515" spans="1:1">
      <c r="A1515" t="str">
        <f>CONCATENATE("    - ",TEXT('DLC mass atten coeff'!AS1021,"0.000E+00"))</f>
        <v xml:space="preserve">    - 1.401E+01</v>
      </c>
    </row>
    <row r="1516" spans="1:1">
      <c r="A1516" t="str">
        <f>CONCATENATE("    - ",TEXT('DLC mass atten coeff'!AS1022,"0.000E+00"))</f>
        <v xml:space="preserve">    - 3.086E+01</v>
      </c>
    </row>
    <row r="1517" spans="1:1">
      <c r="A1517" t="str">
        <f>CONCATENATE("    - ",TEXT('DLC mass atten coeff'!AS1023,"0.000E+00"))</f>
        <v xml:space="preserve">    - 1.417E+01</v>
      </c>
    </row>
    <row r="1518" spans="1:1">
      <c r="A1518" t="str">
        <f>CONCATENATE("    - ",TEXT('DLC mass atten coeff'!AS1024,"0.000E+00"))</f>
        <v xml:space="preserve">    - 7.681E+00</v>
      </c>
    </row>
    <row r="1519" spans="1:1">
      <c r="A1519" t="str">
        <f>CONCATENATE("    - ",TEXT('DLC mass atten coeff'!AS1025,"0.000E+00"))</f>
        <v xml:space="preserve">    - 4.646E+00</v>
      </c>
    </row>
    <row r="1520" spans="1:1">
      <c r="A1520" t="str">
        <f>CONCATENATE("    - ",TEXT('DLC mass atten coeff'!AS1026,"0.000E+00"))</f>
        <v xml:space="preserve">    - 2.110E+00</v>
      </c>
    </row>
    <row r="1521" spans="1:1">
      <c r="A1521" t="str">
        <f>CONCATENATE("    - ",TEXT('DLC mass atten coeff'!AS1027,"0.000E+00"))</f>
        <v xml:space="preserve">    - 1.162E+00</v>
      </c>
    </row>
    <row r="1522" spans="1:1">
      <c r="A1522" t="str">
        <f>CONCATENATE("    - ",TEXT('DLC mass atten coeff'!AS1028,"0.000E+00"))</f>
        <v xml:space="preserve">    - 4.316E-01</v>
      </c>
    </row>
    <row r="1523" spans="1:1">
      <c r="A1523" t="str">
        <f>CONCATENATE("    - ",TEXT('DLC mass atten coeff'!AS1029,"0.000E+00"))</f>
        <v xml:space="preserve">    - 2.427E-01</v>
      </c>
    </row>
    <row r="1524" spans="1:1">
      <c r="A1524" t="str">
        <f>CONCATENATE("    - ",TEXT('DLC mass atten coeff'!AS1030,"0.000E+00"))</f>
        <v xml:space="preserve">    - 1.353E-01</v>
      </c>
    </row>
    <row r="1525" spans="1:1">
      <c r="A1525" t="str">
        <f>CONCATENATE("    - ",TEXT('DLC mass atten coeff'!AS1031,"0.000E+00"))</f>
        <v xml:space="preserve">    - 1.024E-01</v>
      </c>
    </row>
    <row r="1526" spans="1:1">
      <c r="A1526" t="str">
        <f>CONCATENATE("    - ",TEXT('DLC mass atten coeff'!AS1032,"0.000E+00"))</f>
        <v xml:space="preserve">    - 8.664E-02</v>
      </c>
    </row>
    <row r="1527" spans="1:1">
      <c r="A1527" t="str">
        <f>CONCATENATE("    - ",TEXT('DLC mass atten coeff'!AS1033,"0.000E+00"))</f>
        <v xml:space="preserve">    - 7.704E-02</v>
      </c>
    </row>
    <row r="1528" spans="1:1">
      <c r="A1528" t="str">
        <f>CONCATENATE("    - ",TEXT('DLC mass atten coeff'!AS1034,"0.000E+00"))</f>
        <v xml:space="preserve">    - 6.516E-02</v>
      </c>
    </row>
    <row r="1529" spans="1:1">
      <c r="A1529" t="str">
        <f>CONCATENATE("    - ",TEXT('DLC mass atten coeff'!AS1035,"0.000E+00"))</f>
        <v xml:space="preserve">    - 5.759E-02</v>
      </c>
    </row>
    <row r="1530" spans="1:1">
      <c r="A1530" t="str">
        <f>CONCATENATE("    - ",TEXT('DLC mass atten coeff'!AS1036,"0.000E+00"))</f>
        <v xml:space="preserve">    - 4.667E-02</v>
      </c>
    </row>
    <row r="1531" spans="1:1">
      <c r="A1531" t="str">
        <f>CONCATENATE("    - ",TEXT('DLC mass atten coeff'!AS1037,"0.000E+00"))</f>
        <v xml:space="preserve">    - 4.137E-02</v>
      </c>
    </row>
    <row r="1532" spans="1:1">
      <c r="A1532" t="str">
        <f>CONCATENATE("    - ",TEXT('DLC mass atten coeff'!AS1038,"0.000E+00"))</f>
        <v xml:space="preserve">    - 3.676E-02</v>
      </c>
    </row>
    <row r="1533" spans="1:1">
      <c r="A1533" t="str">
        <f>CONCATENATE("    - ",TEXT('DLC mass atten coeff'!AS1039,"0.000E+00"))</f>
        <v xml:space="preserve">    - 3.516E-02</v>
      </c>
    </row>
    <row r="1534" spans="1:1">
      <c r="A1534" t="str">
        <f>CONCATENATE("    - ",TEXT('DLC mass atten coeff'!AS1040,"0.000E+00"))</f>
        <v xml:space="preserve">    - 3.473E-02</v>
      </c>
    </row>
    <row r="1535" spans="1:1">
      <c r="A1535" t="str">
        <f>CONCATENATE("    - ",TEXT('DLC mass atten coeff'!AS1041,"0.000E+00"))</f>
        <v xml:space="preserve">    - 3.483E-02</v>
      </c>
    </row>
    <row r="1536" spans="1:1">
      <c r="A1536" t="str">
        <f>CONCATENATE("    - ",TEXT('DLC mass atten coeff'!AS1042,"0.000E+00"))</f>
        <v xml:space="preserve">    - 3.585E-02</v>
      </c>
    </row>
    <row r="1537" spans="1:1">
      <c r="A1537" t="str">
        <f>CONCATENATE("    - ",TEXT('DLC mass atten coeff'!AS1043,"0.000E+00"))</f>
        <v xml:space="preserve">    - 3.725E-02</v>
      </c>
    </row>
    <row r="1538" spans="1:1">
      <c r="A1538" t="str">
        <f>CONCATENATE("    - ",TEXT('DLC mass atten coeff'!AS1044,"0.000E+00"))</f>
        <v xml:space="preserve">    - 4.079E-02</v>
      </c>
    </row>
    <row r="1539" spans="1:1">
      <c r="A1539" t="str">
        <f>CONCATENATE("    - ",TEXT('DLC mass atten coeff'!AS1045,"0.000E+00"))</f>
        <v xml:space="preserve">    - 4.383E-02</v>
      </c>
    </row>
    <row r="1540" spans="1:1">
      <c r="A1540" t="str">
        <f>CONCATENATE("    - ",TEXT('DLC mass atten coeff'!AS1046,"0.000E+00"))</f>
        <v xml:space="preserve">    - 4.869E-02</v>
      </c>
    </row>
    <row r="1541" spans="1:1">
      <c r="A1541" t="str">
        <f>CONCATENATE('DLC mass atten coeff'!AT1018,":")</f>
        <v>rhodium:</v>
      </c>
    </row>
    <row r="1542" spans="1:1">
      <c r="A1542" s="18" t="str">
        <f>CONCATENATE("  density: ",VLOOKUP(A1541,densities!$A$5:$B$110,2,FALSE))</f>
        <v xml:space="preserve">  density: 1.241E+01</v>
      </c>
    </row>
    <row r="1543" spans="1:1" ht="16">
      <c r="A1543" s="19" t="s">
        <v>1599</v>
      </c>
    </row>
    <row r="1544" spans="1:1">
      <c r="A1544" s="19" t="s">
        <v>1553</v>
      </c>
    </row>
    <row r="1545" spans="1:1">
      <c r="A1545" s="19" t="s">
        <v>1554</v>
      </c>
    </row>
    <row r="1546" spans="1:1">
      <c r="A1546" s="21" t="s">
        <v>1860</v>
      </c>
    </row>
    <row r="1547" spans="1:1">
      <c r="A1547" s="19" t="s">
        <v>1555</v>
      </c>
    </row>
    <row r="1548" spans="1:1">
      <c r="A1548" t="str">
        <f>CONCATENATE("    - ",TEXT('DLC mass atten coeff'!AT1019,"0.000E+00"))</f>
        <v xml:space="preserve">    - 1.030E+02</v>
      </c>
    </row>
    <row r="1549" spans="1:1">
      <c r="A1549" t="str">
        <f>CONCATENATE("    - ",TEXT('DLC mass atten coeff'!AT1020,"0.000E+00"))</f>
        <v xml:space="preserve">    - 3.367E+01</v>
      </c>
    </row>
    <row r="1550" spans="1:1">
      <c r="A1550" t="str">
        <f>CONCATENATE("    - ",TEXT('DLC mass atten coeff'!AT1021,"0.000E+00"))</f>
        <v xml:space="preserve">    - 1.512E+01</v>
      </c>
    </row>
    <row r="1551" spans="1:1">
      <c r="A1551" t="str">
        <f>CONCATENATE("    - ",TEXT('DLC mass atten coeff'!AT1022,"0.000E+00"))</f>
        <v xml:space="preserve">    - 3.274E+01</v>
      </c>
    </row>
    <row r="1552" spans="1:1">
      <c r="A1552" t="str">
        <f>CONCATENATE("    - ",TEXT('DLC mass atten coeff'!AT1023,"0.000E+00"))</f>
        <v xml:space="preserve">    - 1.508E+01</v>
      </c>
    </row>
    <row r="1553" spans="1:1">
      <c r="A1553" t="str">
        <f>CONCATENATE("    - ",TEXT('DLC mass atten coeff'!AT1024,"0.000E+00"))</f>
        <v xml:space="preserve">    - 8.196E+00</v>
      </c>
    </row>
    <row r="1554" spans="1:1">
      <c r="A1554" t="str">
        <f>CONCATENATE("    - ",TEXT('DLC mass atten coeff'!AT1025,"0.000E+00"))</f>
        <v xml:space="preserve">    - 4.963E+00</v>
      </c>
    </row>
    <row r="1555" spans="1:1">
      <c r="A1555" t="str">
        <f>CONCATENATE("    - ",TEXT('DLC mass atten coeff'!AT1026,"0.000E+00"))</f>
        <v xml:space="preserve">    - 2.255E+00</v>
      </c>
    </row>
    <row r="1556" spans="1:1">
      <c r="A1556" t="str">
        <f>CONCATENATE("    - ",TEXT('DLC mass atten coeff'!AT1027,"0.000E+00"))</f>
        <v xml:space="preserve">    - 1.241E+00</v>
      </c>
    </row>
    <row r="1557" spans="1:1">
      <c r="A1557" t="str">
        <f>CONCATENATE("    - ",TEXT('DLC mass atten coeff'!AT1028,"0.000E+00"))</f>
        <v xml:space="preserve">    - 4.570E-01</v>
      </c>
    </row>
    <row r="1558" spans="1:1">
      <c r="A1558" t="str">
        <f>CONCATENATE("    - ",TEXT('DLC mass atten coeff'!AT1029,"0.000E+00"))</f>
        <v xml:space="preserve">    - 2.542E-01</v>
      </c>
    </row>
    <row r="1559" spans="1:1">
      <c r="A1559" t="str">
        <f>CONCATENATE("    - ",TEXT('DLC mass atten coeff'!AT1030,"0.000E+00"))</f>
        <v xml:space="preserve">    - 1.394E-01</v>
      </c>
    </row>
    <row r="1560" spans="1:1">
      <c r="A1560" t="str">
        <f>CONCATENATE("    - ",TEXT('DLC mass atten coeff'!AT1031,"0.000E+00"))</f>
        <v xml:space="preserve">    - 1.045E-01</v>
      </c>
    </row>
    <row r="1561" spans="1:1">
      <c r="A1561" t="str">
        <f>CONCATENATE("    - ",TEXT('DLC mass atten coeff'!AT1032,"0.000E+00"))</f>
        <v xml:space="preserve">    - 8.793E-02</v>
      </c>
    </row>
    <row r="1562" spans="1:1">
      <c r="A1562" t="str">
        <f>CONCATENATE("    - ",TEXT('DLC mass atten coeff'!AT1033,"0.000E+00"))</f>
        <v xml:space="preserve">    - 7.797E-02</v>
      </c>
    </row>
    <row r="1563" spans="1:1">
      <c r="A1563" t="str">
        <f>CONCATENATE("    - ",TEXT('DLC mass atten coeff'!AT1034,"0.000E+00"))</f>
        <v xml:space="preserve">    - 6.572E-02</v>
      </c>
    </row>
    <row r="1564" spans="1:1">
      <c r="A1564" t="str">
        <f>CONCATENATE("    - ",TEXT('DLC mass atten coeff'!AT1035,"0.000E+00"))</f>
        <v xml:space="preserve">    - 5.803E-02</v>
      </c>
    </row>
    <row r="1565" spans="1:1">
      <c r="A1565" t="str">
        <f>CONCATENATE("    - ",TEXT('DLC mass atten coeff'!AT1036,"0.000E+00"))</f>
        <v xml:space="preserve">    - 4.700E-02</v>
      </c>
    </row>
    <row r="1566" spans="1:1">
      <c r="A1566" t="str">
        <f>CONCATENATE("    - ",TEXT('DLC mass atten coeff'!AT1037,"0.000E+00"))</f>
        <v xml:space="preserve">    - 4.169E-02</v>
      </c>
    </row>
    <row r="1567" spans="1:1">
      <c r="A1567" t="str">
        <f>CONCATENATE("    - ",TEXT('DLC mass atten coeff'!AT1038,"0.000E+00"))</f>
        <v xml:space="preserve">    - 3.712E-02</v>
      </c>
    </row>
    <row r="1568" spans="1:1">
      <c r="A1568" t="str">
        <f>CONCATENATE("    - ",TEXT('DLC mass atten coeff'!AT1039,"0.000E+00"))</f>
        <v xml:space="preserve">    - 3.557E-02</v>
      </c>
    </row>
    <row r="1569" spans="1:1">
      <c r="A1569" t="str">
        <f>CONCATENATE("    - ",TEXT('DLC mass atten coeff'!AT1040,"0.000E+00"))</f>
        <v xml:space="preserve">    - 3.520E-02</v>
      </c>
    </row>
    <row r="1570" spans="1:1">
      <c r="A1570" t="str">
        <f>CONCATENATE("    - ",TEXT('DLC mass atten coeff'!AT1041,"0.000E+00"))</f>
        <v xml:space="preserve">    - 3.534E-02</v>
      </c>
    </row>
    <row r="1571" spans="1:1">
      <c r="A1571" t="str">
        <f>CONCATENATE("    - ",TEXT('DLC mass atten coeff'!AT1042,"0.000E+00"))</f>
        <v xml:space="preserve">    - 3.644E-02</v>
      </c>
    </row>
    <row r="1572" spans="1:1">
      <c r="A1572" t="str">
        <f>CONCATENATE("    - ",TEXT('DLC mass atten coeff'!AT1043,"0.000E+00"))</f>
        <v xml:space="preserve">    - 3.791E-02</v>
      </c>
    </row>
    <row r="1573" spans="1:1">
      <c r="A1573" t="str">
        <f>CONCATENATE("    - ",TEXT('DLC mass atten coeff'!AT1044,"0.000E+00"))</f>
        <v xml:space="preserve">    - 4.161E-02</v>
      </c>
    </row>
    <row r="1574" spans="1:1">
      <c r="A1574" t="str">
        <f>CONCATENATE("    - ",TEXT('DLC mass atten coeff'!AT1045,"0.000E+00"))</f>
        <v xml:space="preserve">    - 4.477E-02</v>
      </c>
    </row>
    <row r="1575" spans="1:1">
      <c r="A1575" t="str">
        <f>CONCATENATE("    - ",TEXT('DLC mass atten coeff'!AT1046,"0.000E+00"))</f>
        <v xml:space="preserve">    - 4.977E-02</v>
      </c>
    </row>
    <row r="1576" spans="1:1">
      <c r="A1576" t="str">
        <f>CONCATENATE('DLC mass atten coeff'!AU1018,":")</f>
        <v>palladium:</v>
      </c>
    </row>
    <row r="1577" spans="1:1">
      <c r="A1577" s="18" t="str">
        <f>CONCATENATE("  density: ",VLOOKUP(A1576,densities!$A$5:$B$110,2,FALSE))</f>
        <v xml:space="preserve">  density: 1.202E+01</v>
      </c>
    </row>
    <row r="1578" spans="1:1" ht="16">
      <c r="A1578" s="19" t="s">
        <v>1600</v>
      </c>
    </row>
    <row r="1579" spans="1:1">
      <c r="A1579" s="19" t="s">
        <v>1553</v>
      </c>
    </row>
    <row r="1580" spans="1:1">
      <c r="A1580" s="19" t="s">
        <v>1554</v>
      </c>
    </row>
    <row r="1581" spans="1:1">
      <c r="A1581" s="21" t="s">
        <v>1860</v>
      </c>
    </row>
    <row r="1582" spans="1:1">
      <c r="A1582" s="19" t="s">
        <v>1555</v>
      </c>
    </row>
    <row r="1583" spans="1:1">
      <c r="A1583" t="str">
        <f>CONCATENATE("    - ",TEXT('DLC mass atten coeff'!AU1019,"0.000E+00"))</f>
        <v xml:space="preserve">    - 1.086E+02</v>
      </c>
    </row>
    <row r="1584" spans="1:1">
      <c r="A1584" t="str">
        <f>CONCATENATE("    - ",TEXT('DLC mass atten coeff'!AU1020,"0.000E+00"))</f>
        <v xml:space="preserve">    - 3.562E+01</v>
      </c>
    </row>
    <row r="1585" spans="1:1">
      <c r="A1585" t="str">
        <f>CONCATENATE("    - ",TEXT('DLC mass atten coeff'!AU1021,"0.000E+00"))</f>
        <v xml:space="preserve">    - 1.600E+01</v>
      </c>
    </row>
    <row r="1586" spans="1:1">
      <c r="A1586" t="str">
        <f>CONCATENATE("    - ",TEXT('DLC mass atten coeff'!AU1022,"0.000E+00"))</f>
        <v xml:space="preserve">    - 3.407E+01</v>
      </c>
    </row>
    <row r="1587" spans="1:1">
      <c r="A1587" t="str">
        <f>CONCATENATE("    - ",TEXT('DLC mass atten coeff'!AU1023,"0.000E+00"))</f>
        <v xml:space="preserve">    - 1.577E+01</v>
      </c>
    </row>
    <row r="1588" spans="1:1">
      <c r="A1588" t="str">
        <f>CONCATENATE("    - ",TEXT('DLC mass atten coeff'!AU1024,"0.000E+00"))</f>
        <v xml:space="preserve">    - 8.590E+00</v>
      </c>
    </row>
    <row r="1589" spans="1:1">
      <c r="A1589" t="str">
        <f>CONCATENATE("    - ",TEXT('DLC mass atten coeff'!AU1025,"0.000E+00"))</f>
        <v xml:space="preserve">    - 5.210E+00</v>
      </c>
    </row>
    <row r="1590" spans="1:1">
      <c r="A1590" t="str">
        <f>CONCATENATE("    - ",TEXT('DLC mass atten coeff'!AU1026,"0.000E+00"))</f>
        <v xml:space="preserve">    - 2.368E+00</v>
      </c>
    </row>
    <row r="1591" spans="1:1">
      <c r="A1591" t="str">
        <f>CONCATENATE("    - ",TEXT('DLC mass atten coeff'!AU1027,"0.000E+00"))</f>
        <v xml:space="preserve">    - 1.302E+00</v>
      </c>
    </row>
    <row r="1592" spans="1:1">
      <c r="A1592" t="str">
        <f>CONCATENATE("    - ",TEXT('DLC mass atten coeff'!AU1028,"0.000E+00"))</f>
        <v xml:space="preserve">    - 4.759E-01</v>
      </c>
    </row>
    <row r="1593" spans="1:1">
      <c r="A1593" t="str">
        <f>CONCATENATE("    - ",TEXT('DLC mass atten coeff'!AU1029,"0.000E+00"))</f>
        <v xml:space="preserve">    - 2.621E-01</v>
      </c>
    </row>
    <row r="1594" spans="1:1">
      <c r="A1594" t="str">
        <f>CONCATENATE("    - ",TEXT('DLC mass atten coeff'!AU1030,"0.000E+00"))</f>
        <v xml:space="preserve">    - 1.412E-01</v>
      </c>
    </row>
    <row r="1595" spans="1:1">
      <c r="A1595" t="str">
        <f>CONCATENATE("    - ",TEXT('DLC mass atten coeff'!AU1031,"0.000E+00"))</f>
        <v xml:space="preserve">    - 1.049E-01</v>
      </c>
    </row>
    <row r="1596" spans="1:1">
      <c r="A1596" t="str">
        <f>CONCATENATE("    - ",TEXT('DLC mass atten coeff'!AU1032,"0.000E+00"))</f>
        <v xml:space="preserve">    - 8.785E-02</v>
      </c>
    </row>
    <row r="1597" spans="1:1">
      <c r="A1597" t="str">
        <f>CONCATENATE("    - ",TEXT('DLC mass atten coeff'!AU1033,"0.000E+00"))</f>
        <v xml:space="preserve">    - 7.762E-02</v>
      </c>
    </row>
    <row r="1598" spans="1:1">
      <c r="A1598" t="str">
        <f>CONCATENATE("    - ",TEXT('DLC mass atten coeff'!AU1034,"0.000E+00"))</f>
        <v xml:space="preserve">    - 6.530E-02</v>
      </c>
    </row>
    <row r="1599" spans="1:1">
      <c r="A1599" t="str">
        <f>CONCATENATE("    - ",TEXT('DLC mass atten coeff'!AU1035,"0.000E+00"))</f>
        <v xml:space="preserve">    - 5.756E-02</v>
      </c>
    </row>
    <row r="1600" spans="1:1">
      <c r="A1600" t="str">
        <f>CONCATENATE("    - ",TEXT('DLC mass atten coeff'!AU1036,"0.000E+00"))</f>
        <v xml:space="preserve">    - 4.657E-02</v>
      </c>
    </row>
    <row r="1601" spans="1:1">
      <c r="A1601" t="str">
        <f>CONCATENATE("    - ",TEXT('DLC mass atten coeff'!AU1037,"0.000E+00"))</f>
        <v xml:space="preserve">    - 4.133E-02</v>
      </c>
    </row>
    <row r="1602" spans="1:1">
      <c r="A1602" t="str">
        <f>CONCATENATE("    - ",TEXT('DLC mass atten coeff'!AU1038,"0.000E+00"))</f>
        <v xml:space="preserve">    - 3.688E-02</v>
      </c>
    </row>
    <row r="1603" spans="1:1">
      <c r="A1603" t="str">
        <f>CONCATENATE("    - ",TEXT('DLC mass atten coeff'!AU1039,"0.000E+00"))</f>
        <v xml:space="preserve">    - 3.540E-02</v>
      </c>
    </row>
    <row r="1604" spans="1:1">
      <c r="A1604" t="str">
        <f>CONCATENATE("    - ",TEXT('DLC mass atten coeff'!AU1040,"0.000E+00"))</f>
        <v xml:space="preserve">    - 3.509E-02</v>
      </c>
    </row>
    <row r="1605" spans="1:1">
      <c r="A1605" t="str">
        <f>CONCATENATE("    - ",TEXT('DLC mass atten coeff'!AU1041,"0.000E+00"))</f>
        <v xml:space="preserve">    - 3.529E-02</v>
      </c>
    </row>
    <row r="1606" spans="1:1">
      <c r="A1606" t="str">
        <f>CONCATENATE("    - ",TEXT('DLC mass atten coeff'!AU1042,"0.000E+00"))</f>
        <v xml:space="preserve">    - 3.645E-02</v>
      </c>
    </row>
    <row r="1607" spans="1:1">
      <c r="A1607" t="str">
        <f>CONCATENATE("    - ",TEXT('DLC mass atten coeff'!AU1043,"0.000E+00"))</f>
        <v xml:space="preserve">    - 3.796E-02</v>
      </c>
    </row>
    <row r="1608" spans="1:1">
      <c r="A1608" t="str">
        <f>CONCATENATE("    - ",TEXT('DLC mass atten coeff'!AU1044,"0.000E+00"))</f>
        <v xml:space="preserve">    - 4.177E-02</v>
      </c>
    </row>
    <row r="1609" spans="1:1">
      <c r="A1609" t="str">
        <f>CONCATENATE("    - ",TEXT('DLC mass atten coeff'!AU1045,"0.000E+00"))</f>
        <v xml:space="preserve">    - 4.497E-02</v>
      </c>
    </row>
    <row r="1610" spans="1:1">
      <c r="A1610" t="str">
        <f>CONCATENATE("    - ",TEXT('DLC mass atten coeff'!AU1046,"0.000E+00"))</f>
        <v xml:space="preserve">    - 5.002E-02</v>
      </c>
    </row>
    <row r="1611" spans="1:1">
      <c r="A1611" t="str">
        <f>CONCATENATE('DLC mass atten coeff'!AV1018,":")</f>
        <v>silver:</v>
      </c>
    </row>
    <row r="1612" spans="1:1">
      <c r="A1612" s="18" t="str">
        <f>CONCATENATE("  density: ",VLOOKUP(A1611,densities!$A$5:$B$110,2,FALSE))</f>
        <v xml:space="preserve">  density: 1.050E+01</v>
      </c>
    </row>
    <row r="1613" spans="1:1" ht="16">
      <c r="A1613" s="19" t="s">
        <v>1601</v>
      </c>
    </row>
    <row r="1614" spans="1:1">
      <c r="A1614" s="19" t="s">
        <v>1553</v>
      </c>
    </row>
    <row r="1615" spans="1:1">
      <c r="A1615" s="19" t="s">
        <v>1554</v>
      </c>
    </row>
    <row r="1616" spans="1:1">
      <c r="A1616" s="21" t="s">
        <v>1860</v>
      </c>
    </row>
    <row r="1617" spans="1:1">
      <c r="A1617" s="19" t="s">
        <v>1555</v>
      </c>
    </row>
    <row r="1618" spans="1:1">
      <c r="A1618" t="str">
        <f>CONCATENATE("    - ",TEXT('DLC mass atten coeff'!AV1019,"0.000E+00"))</f>
        <v xml:space="preserve">    - 1.168E+02</v>
      </c>
    </row>
    <row r="1619" spans="1:1">
      <c r="A1619" t="str">
        <f>CONCATENATE("    - ",TEXT('DLC mass atten coeff'!AV1020,"0.000E+00"))</f>
        <v xml:space="preserve">    - 3.839E+01</v>
      </c>
    </row>
    <row r="1620" spans="1:1">
      <c r="A1620" t="str">
        <f>CONCATENATE("    - ",TEXT('DLC mass atten coeff'!AV1021,"0.000E+00"))</f>
        <v xml:space="preserve">    - 1.727E+01</v>
      </c>
    </row>
    <row r="1621" spans="1:1">
      <c r="A1621" t="str">
        <f>CONCATENATE("    - ",TEXT('DLC mass atten coeff'!AV1022,"0.000E+00"))</f>
        <v xml:space="preserve">    - 3.608E+01</v>
      </c>
    </row>
    <row r="1622" spans="1:1">
      <c r="A1622" t="str">
        <f>CONCATENATE("    - ",TEXT('DLC mass atten coeff'!AV1023,"0.000E+00"))</f>
        <v xml:space="preserve">    - 1.680E+01</v>
      </c>
    </row>
    <row r="1623" spans="1:1">
      <c r="A1623" t="str">
        <f>CONCATENATE("    - ",TEXT('DLC mass atten coeff'!AV1024,"0.000E+00"))</f>
        <v xml:space="preserve">    - 9.173E+00</v>
      </c>
    </row>
    <row r="1624" spans="1:1">
      <c r="A1624" t="str">
        <f>CONCATENATE("    - ",TEXT('DLC mass atten coeff'!AV1025,"0.000E+00"))</f>
        <v xml:space="preserve">    - 5.568E+00</v>
      </c>
    </row>
    <row r="1625" spans="1:1">
      <c r="A1625" t="str">
        <f>CONCATENATE("    - ",TEXT('DLC mass atten coeff'!AV1026,"0.000E+00"))</f>
        <v xml:space="preserve">    - 2.532E+00</v>
      </c>
    </row>
    <row r="1626" spans="1:1">
      <c r="A1626" t="str">
        <f>CONCATENATE("    - ",TEXT('DLC mass atten coeff'!AV1027,"0.000E+00"))</f>
        <v xml:space="preserve">    - 1.391E+00</v>
      </c>
    </row>
    <row r="1627" spans="1:1">
      <c r="A1627" t="str">
        <f>CONCATENATE("    - ",TEXT('DLC mass atten coeff'!AV1028,"0.000E+00"))</f>
        <v xml:space="preserve">    - 5.053E-01</v>
      </c>
    </row>
    <row r="1628" spans="1:1">
      <c r="A1628" t="str">
        <f>CONCATENATE("    - ",TEXT('DLC mass atten coeff'!AV1029,"0.000E+00"))</f>
        <v xml:space="preserve">    - 2.756E-01</v>
      </c>
    </row>
    <row r="1629" spans="1:1">
      <c r="A1629" t="str">
        <f>CONCATENATE("    - ",TEXT('DLC mass atten coeff'!AV1030,"0.000E+00"))</f>
        <v xml:space="preserve">    - 1.461E-01</v>
      </c>
    </row>
    <row r="1630" spans="1:1">
      <c r="A1630" t="str">
        <f>CONCATENATE("    - ",TEXT('DLC mass atten coeff'!AV1031,"0.000E+00"))</f>
        <v xml:space="preserve">    - 1.075E-01</v>
      </c>
    </row>
    <row r="1631" spans="1:1">
      <c r="A1631" t="str">
        <f>CONCATENATE("    - ",TEXT('DLC mass atten coeff'!AV1032,"0.000E+00"))</f>
        <v xml:space="preserve">    - 8.955E-02</v>
      </c>
    </row>
    <row r="1632" spans="1:1">
      <c r="A1632" t="str">
        <f>CONCATENATE("    - ",TEXT('DLC mass atten coeff'!AV1033,"0.000E+00"))</f>
        <v xml:space="preserve">    - 7.890E-02</v>
      </c>
    </row>
    <row r="1633" spans="1:1">
      <c r="A1633" t="str">
        <f>CONCATENATE("    - ",TEXT('DLC mass atten coeff'!AV1034,"0.000E+00"))</f>
        <v xml:space="preserve">    - 6.613E-02</v>
      </c>
    </row>
    <row r="1634" spans="1:1">
      <c r="A1634" t="str">
        <f>CONCATENATE("    - ",TEXT('DLC mass atten coeff'!AV1035,"0.000E+00"))</f>
        <v xml:space="preserve">    - 5.823E-02</v>
      </c>
    </row>
    <row r="1635" spans="1:1">
      <c r="A1635" t="str">
        <f>CONCATENATE("    - ",TEXT('DLC mass atten coeff'!AV1036,"0.000E+00"))</f>
        <v xml:space="preserve">    - 4.706E-02</v>
      </c>
    </row>
    <row r="1636" spans="1:1">
      <c r="A1636" t="str">
        <f>CONCATENATE("    - ",TEXT('DLC mass atten coeff'!AV1037,"0.000E+00"))</f>
        <v xml:space="preserve">    - 4.179E-02</v>
      </c>
    </row>
    <row r="1637" spans="1:1">
      <c r="A1637" t="str">
        <f>CONCATENATE("    - ",TEXT('DLC mass atten coeff'!AV1038,"0.000E+00"))</f>
        <v xml:space="preserve">    - 3.737E-02</v>
      </c>
    </row>
    <row r="1638" spans="1:1">
      <c r="A1638" t="str">
        <f>CONCATENATE("    - ",TEXT('DLC mass atten coeff'!AV1039,"0.000E+00"))</f>
        <v xml:space="preserve">    - 3.594E-02</v>
      </c>
    </row>
    <row r="1639" spans="1:1">
      <c r="A1639" t="str">
        <f>CONCATENATE("    - ",TEXT('DLC mass atten coeff'!AV1040,"0.000E+00"))</f>
        <v xml:space="preserve">    - 3.568E-02</v>
      </c>
    </row>
    <row r="1640" spans="1:1">
      <c r="A1640" t="str">
        <f>CONCATENATE("    - ",TEXT('DLC mass atten coeff'!AV1041,"0.000E+00"))</f>
        <v xml:space="preserve">    - 3.593E-02</v>
      </c>
    </row>
    <row r="1641" spans="1:1">
      <c r="A1641" t="str">
        <f>CONCATENATE("    - ",TEXT('DLC mass atten coeff'!AV1042,"0.000E+00"))</f>
        <v xml:space="preserve">    - 3.717E-02</v>
      </c>
    </row>
    <row r="1642" spans="1:1">
      <c r="A1642" t="str">
        <f>CONCATENATE("    - ",TEXT('DLC mass atten coeff'!AV1043,"0.000E+00"))</f>
        <v xml:space="preserve">    - 3.876E-02</v>
      </c>
    </row>
    <row r="1643" spans="1:1">
      <c r="A1643" t="str">
        <f>CONCATENATE("    - ",TEXT('DLC mass atten coeff'!AV1044,"0.000E+00"))</f>
        <v xml:space="preserve">    - 4.272E-02</v>
      </c>
    </row>
    <row r="1644" spans="1:1">
      <c r="A1644" t="str">
        <f>CONCATENATE("    - ",TEXT('DLC mass atten coeff'!AV1045,"0.000E+00"))</f>
        <v xml:space="preserve">    - 4.605E-02</v>
      </c>
    </row>
    <row r="1645" spans="1:1">
      <c r="A1645" t="str">
        <f>CONCATENATE("    - ",TEXT('DLC mass atten coeff'!AV1046,"0.000E+00"))</f>
        <v xml:space="preserve">    - 5.129E-02</v>
      </c>
    </row>
    <row r="1646" spans="1:1">
      <c r="A1646" t="str">
        <f>CONCATENATE('DLC mass atten coeff'!AW1018,":")</f>
        <v>cadmium:</v>
      </c>
    </row>
    <row r="1647" spans="1:1">
      <c r="A1647" s="18" t="str">
        <f>CONCATENATE("  density: ",VLOOKUP(A1646,densities!$A$5:$B$110,2,FALSE))</f>
        <v xml:space="preserve">  density: 8.650E+00</v>
      </c>
    </row>
    <row r="1648" spans="1:1" ht="16">
      <c r="A1648" s="19" t="s">
        <v>1602</v>
      </c>
    </row>
    <row r="1649" spans="1:1">
      <c r="A1649" s="19" t="s">
        <v>1553</v>
      </c>
    </row>
    <row r="1650" spans="1:1">
      <c r="A1650" s="19" t="s">
        <v>1554</v>
      </c>
    </row>
    <row r="1651" spans="1:1">
      <c r="A1651" s="21" t="s">
        <v>1860</v>
      </c>
    </row>
    <row r="1652" spans="1:1">
      <c r="A1652" s="19" t="s">
        <v>1555</v>
      </c>
    </row>
    <row r="1653" spans="1:1">
      <c r="A1653" t="str">
        <f>CONCATENATE("    - ",TEXT('DLC mass atten coeff'!AW1019,"0.000E+00"))</f>
        <v xml:space="preserve">    - 1.219E+02</v>
      </c>
    </row>
    <row r="1654" spans="1:1">
      <c r="A1654" t="str">
        <f>CONCATENATE("    - ",TEXT('DLC mass atten coeff'!AW1020,"0.000E+00"))</f>
        <v xml:space="preserve">    - 4.018E+01</v>
      </c>
    </row>
    <row r="1655" spans="1:1">
      <c r="A1655" t="str">
        <f>CONCATENATE("    - ",TEXT('DLC mass atten coeff'!AW1021,"0.000E+00"))</f>
        <v xml:space="preserve">    - 1.809E+01</v>
      </c>
    </row>
    <row r="1656" spans="1:1">
      <c r="A1656" t="str">
        <f>CONCATENATE("    - ",TEXT('DLC mass atten coeff'!AW1022,"0.000E+00"))</f>
        <v xml:space="preserve">    - 3.704E+01</v>
      </c>
    </row>
    <row r="1657" spans="1:1">
      <c r="A1657" t="str">
        <f>CONCATENATE("    - ",TEXT('DLC mass atten coeff'!AW1023,"0.000E+00"))</f>
        <v xml:space="preserve">    - 1.739E+01</v>
      </c>
    </row>
    <row r="1658" spans="1:1">
      <c r="A1658" t="str">
        <f>CONCATENATE("    - ",TEXT('DLC mass atten coeff'!AW1024,"0.000E+00"))</f>
        <v xml:space="preserve">    - 9.504E+00</v>
      </c>
    </row>
    <row r="1659" spans="1:1">
      <c r="A1659" t="str">
        <f>CONCATENATE("    - ",TEXT('DLC mass atten coeff'!AW1025,"0.000E+00"))</f>
        <v xml:space="preserve">    - 5.774E+00</v>
      </c>
    </row>
    <row r="1660" spans="1:1">
      <c r="A1660" t="str">
        <f>CONCATENATE("    - ",TEXT('DLC mass atten coeff'!AW1026,"0.000E+00"))</f>
        <v xml:space="preserve">    - 2.630E+00</v>
      </c>
    </row>
    <row r="1661" spans="1:1">
      <c r="A1661" t="str">
        <f>CONCATENATE("    - ",TEXT('DLC mass atten coeff'!AW1027,"0.000E+00"))</f>
        <v xml:space="preserve">    - 1.444E+00</v>
      </c>
    </row>
    <row r="1662" spans="1:1">
      <c r="A1662" t="str">
        <f>CONCATENATE("    - ",TEXT('DLC mass atten coeff'!AW1028,"0.000E+00"))</f>
        <v xml:space="preserve">    - 5.213E-01</v>
      </c>
    </row>
    <row r="1663" spans="1:1">
      <c r="A1663" t="str">
        <f>CONCATENATE("    - ",TEXT('DLC mass atten coeff'!AW1029,"0.000E+00"))</f>
        <v xml:space="preserve">    - 2.818E-01</v>
      </c>
    </row>
    <row r="1664" spans="1:1">
      <c r="A1664" t="str">
        <f>CONCATENATE("    - ",TEXT('DLC mass atten coeff'!AW1030,"0.000E+00"))</f>
        <v xml:space="preserve">    - 1.471E-01</v>
      </c>
    </row>
    <row r="1665" spans="1:1">
      <c r="A1665" t="str">
        <f>CONCATENATE("    - ",TEXT('DLC mass atten coeff'!AW1031,"0.000E+00"))</f>
        <v xml:space="preserve">    - 1.071E-01</v>
      </c>
    </row>
    <row r="1666" spans="1:1">
      <c r="A1666" t="str">
        <f>CONCATENATE("    - ",TEXT('DLC mass atten coeff'!AW1032,"0.000E+00"))</f>
        <v xml:space="preserve">    - 8.878E-02</v>
      </c>
    </row>
    <row r="1667" spans="1:1">
      <c r="A1667" t="str">
        <f>CONCATENATE("    - ",TEXT('DLC mass atten coeff'!AW1033,"0.000E+00"))</f>
        <v xml:space="preserve">    - 7.799E-02</v>
      </c>
    </row>
    <row r="1668" spans="1:1">
      <c r="A1668" t="str">
        <f>CONCATENATE("    - ",TEXT('DLC mass atten coeff'!AW1034,"0.000E+00"))</f>
        <v xml:space="preserve">    - 6.518E-02</v>
      </c>
    </row>
    <row r="1669" spans="1:1">
      <c r="A1669" t="str">
        <f>CONCATENATE("    - ",TEXT('DLC mass atten coeff'!AW1035,"0.000E+00"))</f>
        <v xml:space="preserve">    - 5.729E-02</v>
      </c>
    </row>
    <row r="1670" spans="1:1">
      <c r="A1670" t="str">
        <f>CONCATENATE("    - ",TEXT('DLC mass atten coeff'!AW1036,"0.000E+00"))</f>
        <v xml:space="preserve">    - 4.625E-02</v>
      </c>
    </row>
    <row r="1671" spans="1:1">
      <c r="A1671" t="str">
        <f>CONCATENATE("    - ",TEXT('DLC mass atten coeff'!AW1037,"0.000E+00"))</f>
        <v xml:space="preserve">    - 4.109E-02</v>
      </c>
    </row>
    <row r="1672" spans="1:1">
      <c r="A1672" t="str">
        <f>CONCATENATE("    - ",TEXT('DLC mass atten coeff'!AW1038,"0.000E+00"))</f>
        <v xml:space="preserve">    - 3.681E-02</v>
      </c>
    </row>
    <row r="1673" spans="1:1">
      <c r="A1673" t="str">
        <f>CONCATENATE("    - ",TEXT('DLC mass atten coeff'!AW1039,"0.000E+00"))</f>
        <v xml:space="preserve">    - 3.547E-02</v>
      </c>
    </row>
    <row r="1674" spans="1:1">
      <c r="A1674" t="str">
        <f>CONCATENATE("    - ",TEXT('DLC mass atten coeff'!AW1040,"0.000E+00"))</f>
        <v xml:space="preserve">    - 3.527E-02</v>
      </c>
    </row>
    <row r="1675" spans="1:1">
      <c r="A1675" t="str">
        <f>CONCATENATE("    - ",TEXT('DLC mass atten coeff'!AW1041,"0.000E+00"))</f>
        <v xml:space="preserve">    - 3.555E-02</v>
      </c>
    </row>
    <row r="1676" spans="1:1">
      <c r="A1676" t="str">
        <f>CONCATENATE("    - ",TEXT('DLC mass atten coeff'!AW1042,"0.000E+00"))</f>
        <v xml:space="preserve">    - 3.685E-02</v>
      </c>
    </row>
    <row r="1677" spans="1:1">
      <c r="A1677" t="str">
        <f>CONCATENATE("    - ",TEXT('DLC mass atten coeff'!AW1043,"0.000E+00"))</f>
        <v xml:space="preserve">    - 3.848E-02</v>
      </c>
    </row>
    <row r="1678" spans="1:1">
      <c r="A1678" t="str">
        <f>CONCATENATE("    - ",TEXT('DLC mass atten coeff'!AW1044,"0.000E+00"))</f>
        <v xml:space="preserve">    - 4.249E-02</v>
      </c>
    </row>
    <row r="1679" spans="1:1">
      <c r="A1679" t="str">
        <f>CONCATENATE("    - ",TEXT('DLC mass atten coeff'!AW1045,"0.000E+00"))</f>
        <v xml:space="preserve">    - 4.584E-02</v>
      </c>
    </row>
    <row r="1680" spans="1:1">
      <c r="A1680" t="str">
        <f>CONCATENATE("    - ",TEXT('DLC mass atten coeff'!AW1046,"0.000E+00"))</f>
        <v xml:space="preserve">    - 5.108E-02</v>
      </c>
    </row>
    <row r="1681" spans="1:1">
      <c r="A1681" t="str">
        <f>CONCATENATE('DLC mass atten coeff'!AX1018,":")</f>
        <v>indium:</v>
      </c>
    </row>
    <row r="1682" spans="1:1">
      <c r="A1682" s="18" t="str">
        <f>CONCATENATE("  density: ",VLOOKUP(A1681,densities!$A$5:$B$110,2,FALSE))</f>
        <v xml:space="preserve">  density: 7.310E+00</v>
      </c>
    </row>
    <row r="1683" spans="1:1" ht="16">
      <c r="A1683" s="19" t="s">
        <v>1603</v>
      </c>
    </row>
    <row r="1684" spans="1:1">
      <c r="A1684" s="19" t="s">
        <v>1553</v>
      </c>
    </row>
    <row r="1685" spans="1:1">
      <c r="A1685" s="19" t="s">
        <v>1554</v>
      </c>
    </row>
    <row r="1686" spans="1:1">
      <c r="A1686" s="21" t="s">
        <v>1860</v>
      </c>
    </row>
    <row r="1687" spans="1:1">
      <c r="A1687" s="19" t="s">
        <v>1555</v>
      </c>
    </row>
    <row r="1688" spans="1:1">
      <c r="A1688" t="str">
        <f>CONCATENATE("    - ",TEXT('DLC mass atten coeff'!AX1019,"0.000E+00"))</f>
        <v xml:space="preserve">    - 1.296E+02</v>
      </c>
    </row>
    <row r="1689" spans="1:1">
      <c r="A1689" t="str">
        <f>CONCATENATE("    - ",TEXT('DLC mass atten coeff'!AX1020,"0.000E+00"))</f>
        <v xml:space="preserve">    - 4.281E+01</v>
      </c>
    </row>
    <row r="1690" spans="1:1">
      <c r="A1690" t="str">
        <f>CONCATENATE("    - ",TEXT('DLC mass atten coeff'!AX1021,"0.000E+00"))</f>
        <v xml:space="preserve">    - 1.930E+01</v>
      </c>
    </row>
    <row r="1691" spans="1:1">
      <c r="A1691" t="str">
        <f>CONCATENATE("    - ",TEXT('DLC mass atten coeff'!AX1022,"0.000E+00"))</f>
        <v xml:space="preserve">    - 3.886E+01</v>
      </c>
    </row>
    <row r="1692" spans="1:1">
      <c r="A1692" t="str">
        <f>CONCATENATE("    - ",TEXT('DLC mass atten coeff'!AX1023,"0.000E+00"))</f>
        <v xml:space="preserve">    - 1.832E+01</v>
      </c>
    </row>
    <row r="1693" spans="1:1">
      <c r="A1693" t="str">
        <f>CONCATENATE("    - ",TEXT('DLC mass atten coeff'!AX1024,"0.000E+00"))</f>
        <v xml:space="preserve">    - 1.002E+01</v>
      </c>
    </row>
    <row r="1694" spans="1:1">
      <c r="A1694" t="str">
        <f>CONCATENATE("    - ",TEXT('DLC mass atten coeff'!AX1025,"0.000E+00"))</f>
        <v xml:space="preserve">    - 6.098E+00</v>
      </c>
    </row>
    <row r="1695" spans="1:1">
      <c r="A1695" t="str">
        <f>CONCATENATE("    - ",TEXT('DLC mass atten coeff'!AX1026,"0.000E+00"))</f>
        <v xml:space="preserve">    - 2.782E+00</v>
      </c>
    </row>
    <row r="1696" spans="1:1">
      <c r="A1696" t="str">
        <f>CONCATENATE("    - ",TEXT('DLC mass atten coeff'!AX1027,"0.000E+00"))</f>
        <v xml:space="preserve">    - 1.526E+00</v>
      </c>
    </row>
    <row r="1697" spans="1:1">
      <c r="A1697" t="str">
        <f>CONCATENATE("    - ",TEXT('DLC mass atten coeff'!AX1028,"0.000E+00"))</f>
        <v xml:space="preserve">    - 5.481E-01</v>
      </c>
    </row>
    <row r="1698" spans="1:1">
      <c r="A1698" t="str">
        <f>CONCATENATE("    - ",TEXT('DLC mass atten coeff'!AX1029,"0.000E+00"))</f>
        <v xml:space="preserve">    - 2.939E-01</v>
      </c>
    </row>
    <row r="1699" spans="1:1">
      <c r="A1699" t="str">
        <f>CONCATENATE("    - ",TEXT('DLC mass atten coeff'!AX1030,"0.000E+00"))</f>
        <v xml:space="preserve">    - 1.510E-01</v>
      </c>
    </row>
    <row r="1700" spans="1:1">
      <c r="A1700" t="str">
        <f>CONCATENATE("    - ",TEXT('DLC mass atten coeff'!AX1031,"0.000E+00"))</f>
        <v xml:space="preserve">    - 1.090E-01</v>
      </c>
    </row>
    <row r="1701" spans="1:1">
      <c r="A1701" t="str">
        <f>CONCATENATE("    - ",TEXT('DLC mass atten coeff'!AX1032,"0.000E+00"))</f>
        <v xml:space="preserve">    - 8.980E-02</v>
      </c>
    </row>
    <row r="1702" spans="1:1">
      <c r="A1702" t="str">
        <f>CONCATENATE("    - ",TEXT('DLC mass atten coeff'!AX1033,"0.000E+00"))</f>
        <v xml:space="preserve">    - 7.865E-02</v>
      </c>
    </row>
    <row r="1703" spans="1:1">
      <c r="A1703" t="str">
        <f>CONCATENATE("    - ",TEXT('DLC mass atten coeff'!AX1034,"0.000E+00"))</f>
        <v xml:space="preserve">    - 6.548E-02</v>
      </c>
    </row>
    <row r="1704" spans="1:1">
      <c r="A1704" t="str">
        <f>CONCATENATE("    - ",TEXT('DLC mass atten coeff'!AX1035,"0.000E+00"))</f>
        <v xml:space="preserve">    - 5.747E-02</v>
      </c>
    </row>
    <row r="1705" spans="1:1">
      <c r="A1705" t="str">
        <f>CONCATENATE("    - ",TEXT('DLC mass atten coeff'!AX1036,"0.000E+00"))</f>
        <v xml:space="preserve">    - 4.634E-02</v>
      </c>
    </row>
    <row r="1706" spans="1:1">
      <c r="A1706" t="str">
        <f>CONCATENATE("    - ",TEXT('DLC mass atten coeff'!AX1037,"0.000E+00"))</f>
        <v xml:space="preserve">    - 4.120E-02</v>
      </c>
    </row>
    <row r="1707" spans="1:1">
      <c r="A1707" t="str">
        <f>CONCATENATE("    - ",TEXT('DLC mass atten coeff'!AX1038,"0.000E+00"))</f>
        <v xml:space="preserve">    - 3.698E-02</v>
      </c>
    </row>
    <row r="1708" spans="1:1">
      <c r="A1708" t="str">
        <f>CONCATENATE("    - ",TEXT('DLC mass atten coeff'!AX1039,"0.000E+00"))</f>
        <v xml:space="preserve">    - 3.570E-02</v>
      </c>
    </row>
    <row r="1709" spans="1:1">
      <c r="A1709" t="str">
        <f>CONCATENATE("    - ",TEXT('DLC mass atten coeff'!AX1040,"0.000E+00"))</f>
        <v xml:space="preserve">    - 3.554E-02</v>
      </c>
    </row>
    <row r="1710" spans="1:1">
      <c r="A1710" t="str">
        <f>CONCATENATE("    - ",TEXT('DLC mass atten coeff'!AX1041,"0.000E+00"))</f>
        <v xml:space="preserve">    - 3.588E-02</v>
      </c>
    </row>
    <row r="1711" spans="1:1">
      <c r="A1711" t="str">
        <f>CONCATENATE("    - ",TEXT('DLC mass atten coeff'!AX1042,"0.000E+00"))</f>
        <v xml:space="preserve">    - 3.724E-02</v>
      </c>
    </row>
    <row r="1712" spans="1:1">
      <c r="A1712" t="str">
        <f>CONCATENATE("    - ",TEXT('DLC mass atten coeff'!AX1043,"0.000E+00"))</f>
        <v xml:space="preserve">    - 3.893E-02</v>
      </c>
    </row>
    <row r="1713" spans="1:1">
      <c r="A1713" t="str">
        <f>CONCATENATE("    - ",TEXT('DLC mass atten coeff'!AX1044,"0.000E+00"))</f>
        <v xml:space="preserve">    - 4.307E-02</v>
      </c>
    </row>
    <row r="1714" spans="1:1">
      <c r="A1714" t="str">
        <f>CONCATENATE("    - ",TEXT('DLC mass atten coeff'!AX1045,"0.000E+00"))</f>
        <v xml:space="preserve">    - 4.650E-02</v>
      </c>
    </row>
    <row r="1715" spans="1:1">
      <c r="A1715" t="str">
        <f>CONCATENATE("    - ",TEXT('DLC mass atten coeff'!AX1046,"0.000E+00"))</f>
        <v xml:space="preserve">    - 5.186E-02</v>
      </c>
    </row>
    <row r="1716" spans="1:1">
      <c r="A1716" t="str">
        <f>CONCATENATE('DLC mass atten coeff'!AY1018,":")</f>
        <v>tin:</v>
      </c>
    </row>
    <row r="1717" spans="1:1">
      <c r="A1717" s="18" t="str">
        <f>CONCATENATE("  density: ",VLOOKUP(A1716,densities!$A$5:$B$110,2,FALSE))</f>
        <v xml:space="preserve">  density: 7.310E+00</v>
      </c>
    </row>
    <row r="1718" spans="1:1" ht="16">
      <c r="A1718" s="19" t="s">
        <v>1604</v>
      </c>
    </row>
    <row r="1719" spans="1:1">
      <c r="A1719" s="19" t="s">
        <v>1553</v>
      </c>
    </row>
    <row r="1720" spans="1:1">
      <c r="A1720" s="19" t="s">
        <v>1554</v>
      </c>
    </row>
    <row r="1721" spans="1:1">
      <c r="A1721" s="21" t="s">
        <v>1860</v>
      </c>
    </row>
    <row r="1722" spans="1:1">
      <c r="A1722" s="19" t="s">
        <v>1555</v>
      </c>
    </row>
    <row r="1723" spans="1:1">
      <c r="A1723" t="str">
        <f>CONCATENATE("    - ",TEXT('DLC mass atten coeff'!AY1019,"0.000E+00"))</f>
        <v xml:space="preserve">    - 1.359E+02</v>
      </c>
    </row>
    <row r="1724" spans="1:1">
      <c r="A1724" t="str">
        <f>CONCATENATE("    - ",TEXT('DLC mass atten coeff'!AY1020,"0.000E+00"))</f>
        <v xml:space="preserve">    - 4.499E+01</v>
      </c>
    </row>
    <row r="1725" spans="1:1">
      <c r="A1725" t="str">
        <f>CONCATENATE("    - ",TEXT('DLC mass atten coeff'!AY1021,"0.000E+00"))</f>
        <v xml:space="preserve">    - 2.030E+01</v>
      </c>
    </row>
    <row r="1726" spans="1:1">
      <c r="A1726" t="str">
        <f>CONCATENATE("    - ",TEXT('DLC mass atten coeff'!AY1022,"0.000E+00"))</f>
        <v xml:space="preserve">    - 4.058E+01</v>
      </c>
    </row>
    <row r="1727" spans="1:1">
      <c r="A1727" t="str">
        <f>CONCATENATE("    - ",TEXT('DLC mass atten coeff'!AY1023,"0.000E+00"))</f>
        <v xml:space="preserve">    - 1.902E+01</v>
      </c>
    </row>
    <row r="1728" spans="1:1">
      <c r="A1728" t="str">
        <f>CONCATENATE("    - ",TEXT('DLC mass atten coeff'!AY1024,"0.000E+00"))</f>
        <v xml:space="preserve">    - 1.041E+01</v>
      </c>
    </row>
    <row r="1729" spans="1:1">
      <c r="A1729" t="str">
        <f>CONCATENATE("    - ",TEXT('DLC mass atten coeff'!AY1025,"0.000E+00"))</f>
        <v xml:space="preserve">    - 6.355E+00</v>
      </c>
    </row>
    <row r="1730" spans="1:1">
      <c r="A1730" t="str">
        <f>CONCATENATE("    - ",TEXT('DLC mass atten coeff'!AY1026,"0.000E+00"))</f>
        <v xml:space="preserve">    - 2.901E+00</v>
      </c>
    </row>
    <row r="1731" spans="1:1">
      <c r="A1731" t="str">
        <f>CONCATENATE("    - ",TEXT('DLC mass atten coeff'!AY1027,"0.000E+00"))</f>
        <v xml:space="preserve">    - 1.592E+00</v>
      </c>
    </row>
    <row r="1732" spans="1:1">
      <c r="A1732" t="str">
        <f>CONCATENATE("    - ",TEXT('DLC mass atten coeff'!AY1028,"0.000E+00"))</f>
        <v xml:space="preserve">    - 5.690E-01</v>
      </c>
    </row>
    <row r="1733" spans="1:1">
      <c r="A1733" t="str">
        <f>CONCATENATE("    - ",TEXT('DLC mass atten coeff'!AY1029,"0.000E+00"))</f>
        <v xml:space="preserve">    - 3.026E-01</v>
      </c>
    </row>
    <row r="1734" spans="1:1">
      <c r="A1734" t="str">
        <f>CONCATENATE("    - ",TEXT('DLC mass atten coeff'!AY1030,"0.000E+00"))</f>
        <v xml:space="preserve">    - 1.532E-01</v>
      </c>
    </row>
    <row r="1735" spans="1:1">
      <c r="A1735" t="str">
        <f>CONCATENATE("    - ",TEXT('DLC mass atten coeff'!AY1031,"0.000E+00"))</f>
        <v xml:space="preserve">    - 1.095E-01</v>
      </c>
    </row>
    <row r="1736" spans="1:1">
      <c r="A1736" t="str">
        <f>CONCATENATE("    - ",TEXT('DLC mass atten coeff'!AY1032,"0.000E+00"))</f>
        <v xml:space="preserve">    - 8.976E-02</v>
      </c>
    </row>
    <row r="1737" spans="1:1">
      <c r="A1737" t="str">
        <f>CONCATENATE("    - ",TEXT('DLC mass atten coeff'!AY1033,"0.000E+00"))</f>
        <v xml:space="preserve">    - 7.831E-02</v>
      </c>
    </row>
    <row r="1738" spans="1:1">
      <c r="A1738" t="str">
        <f>CONCATENATE("    - ",TEXT('DLC mass atten coeff'!AY1034,"0.000E+00"))</f>
        <v xml:space="preserve">    - 6.503E-02</v>
      </c>
    </row>
    <row r="1739" spans="1:1">
      <c r="A1739" t="str">
        <f>CONCATENATE("    - ",TEXT('DLC mass atten coeff'!AY1035,"0.000E+00"))</f>
        <v xml:space="preserve">    - 5.696E-02</v>
      </c>
    </row>
    <row r="1740" spans="1:1">
      <c r="A1740" t="str">
        <f>CONCATENATE("    - ",TEXT('DLC mass atten coeff'!AY1036,"0.000E+00"))</f>
        <v xml:space="preserve">    - 4.588E-02</v>
      </c>
    </row>
    <row r="1741" spans="1:1">
      <c r="A1741" t="str">
        <f>CONCATENATE("    - ",TEXT('DLC mass atten coeff'!AY1037,"0.000E+00"))</f>
        <v xml:space="preserve">    - 4.081E-02</v>
      </c>
    </row>
    <row r="1742" spans="1:1">
      <c r="A1742" t="str">
        <f>CONCATENATE("    - ",TEXT('DLC mass atten coeff'!AY1038,"0.000E+00"))</f>
        <v xml:space="preserve">    - 3.670E-02</v>
      </c>
    </row>
    <row r="1743" spans="1:1">
      <c r="A1743" t="str">
        <f>CONCATENATE("    - ",TEXT('DLC mass atten coeff'!AY1039,"0.000E+00"))</f>
        <v xml:space="preserve">    - 3.550E-02</v>
      </c>
    </row>
    <row r="1744" spans="1:1">
      <c r="A1744" t="str">
        <f>CONCATENATE("    - ",TEXT('DLC mass atten coeff'!AY1040,"0.000E+00"))</f>
        <v xml:space="preserve">    - 3.539E-02</v>
      </c>
    </row>
    <row r="1745" spans="1:1">
      <c r="A1745" t="str">
        <f>CONCATENATE("    - ",TEXT('DLC mass atten coeff'!AY1041,"0.000E+00"))</f>
        <v xml:space="preserve">    - 3.576E-02</v>
      </c>
    </row>
    <row r="1746" spans="1:1">
      <c r="A1746" t="str">
        <f>CONCATENATE("    - ",TEXT('DLC mass atten coeff'!AY1042,"0.000E+00"))</f>
        <v xml:space="preserve">    - 3.717E-02</v>
      </c>
    </row>
    <row r="1747" spans="1:1">
      <c r="A1747" t="str">
        <f>CONCATENATE("    - ",TEXT('DLC mass atten coeff'!AY1043,"0.000E+00"))</f>
        <v xml:space="preserve">    - 3.891E-02</v>
      </c>
    </row>
    <row r="1748" spans="1:1">
      <c r="A1748" t="str">
        <f>CONCATENATE("    - ",TEXT('DLC mass atten coeff'!AY1044,"0.000E+00"))</f>
        <v xml:space="preserve">    - 4.312E-02</v>
      </c>
    </row>
    <row r="1749" spans="1:1">
      <c r="A1749" t="str">
        <f>CONCATENATE("    - ",TEXT('DLC mass atten coeff'!AY1045,"0.000E+00"))</f>
        <v xml:space="preserve">    - 4.659E-02</v>
      </c>
    </row>
    <row r="1750" spans="1:1">
      <c r="A1750" t="str">
        <f>CONCATENATE("    - ",TEXT('DLC mass atten coeff'!AY1046,"0.000E+00"))</f>
        <v xml:space="preserve">    - 5.200E-02</v>
      </c>
    </row>
    <row r="1751" spans="1:1">
      <c r="A1751" t="str">
        <f>CONCATENATE('DLC mass atten coeff'!AZ1018,":")</f>
        <v>antimony:</v>
      </c>
    </row>
    <row r="1752" spans="1:1">
      <c r="A1752" s="18" t="str">
        <f>CONCATENATE("  density: ",VLOOKUP(A1751,densities!$A$5:$B$110,2,FALSE))</f>
        <v xml:space="preserve">  density: 6.691E+00</v>
      </c>
    </row>
    <row r="1753" spans="1:1" ht="16">
      <c r="A1753" s="19" t="s">
        <v>1605</v>
      </c>
    </row>
    <row r="1754" spans="1:1">
      <c r="A1754" s="19" t="s">
        <v>1553</v>
      </c>
    </row>
    <row r="1755" spans="1:1">
      <c r="A1755" s="19" t="s">
        <v>1554</v>
      </c>
    </row>
    <row r="1756" spans="1:1">
      <c r="A1756" s="21" t="s">
        <v>1860</v>
      </c>
    </row>
    <row r="1757" spans="1:1">
      <c r="A1757" s="19" t="s">
        <v>1555</v>
      </c>
    </row>
    <row r="1758" spans="1:1">
      <c r="A1758" t="str">
        <f>CONCATENATE("    - ",TEXT('DLC mass atten coeff'!AZ1019,"0.000E+00"))</f>
        <v xml:space="preserve">    - 1.432E+02</v>
      </c>
    </row>
    <row r="1759" spans="1:1">
      <c r="A1759" t="str">
        <f>CONCATENATE("    - ",TEXT('DLC mass atten coeff'!AZ1020,"0.000E+00"))</f>
        <v xml:space="preserve">    - 4.754E+01</v>
      </c>
    </row>
    <row r="1760" spans="1:1">
      <c r="A1760" t="str">
        <f>CONCATENATE("    - ",TEXT('DLC mass atten coeff'!AZ1021,"0.000E+00"))</f>
        <v xml:space="preserve">    - 2.150E+01</v>
      </c>
    </row>
    <row r="1761" spans="1:1">
      <c r="A1761" t="str">
        <f>CONCATENATE("    - ",TEXT('DLC mass atten coeff'!AZ1022,"0.000E+00"))</f>
        <v xml:space="preserve">    - 6.974E+00</v>
      </c>
    </row>
    <row r="1762" spans="1:1">
      <c r="A1762" t="str">
        <f>CONCATENATE("    - ",TEXT('DLC mass atten coeff'!AZ1023,"0.000E+00"))</f>
        <v xml:space="preserve">    - 1.985E+01</v>
      </c>
    </row>
    <row r="1763" spans="1:1">
      <c r="A1763" t="str">
        <f>CONCATENATE("    - ",TEXT('DLC mass atten coeff'!AZ1024,"0.000E+00"))</f>
        <v xml:space="preserve">    - 1.090E+01</v>
      </c>
    </row>
    <row r="1764" spans="1:1">
      <c r="A1764" t="str">
        <f>CONCATENATE("    - ",TEXT('DLC mass atten coeff'!AZ1025,"0.000E+00"))</f>
        <v xml:space="preserve">    - 6.659E+00</v>
      </c>
    </row>
    <row r="1765" spans="1:1">
      <c r="A1765" t="str">
        <f>CONCATENATE("    - ",TEXT('DLC mass atten coeff'!AZ1026,"0.000E+00"))</f>
        <v xml:space="preserve">    - 3.045E+00</v>
      </c>
    </row>
    <row r="1766" spans="1:1">
      <c r="A1766" t="str">
        <f>CONCATENATE("    - ",TEXT('DLC mass atten coeff'!AZ1027,"0.000E+00"))</f>
        <v xml:space="preserve">    - 1.670E+00</v>
      </c>
    </row>
    <row r="1767" spans="1:1">
      <c r="A1767" t="str">
        <f>CONCATENATE("    - ",TEXT('DLC mass atten coeff'!AZ1028,"0.000E+00"))</f>
        <v xml:space="preserve">    - 5.946E-01</v>
      </c>
    </row>
    <row r="1768" spans="1:1">
      <c r="A1768" t="str">
        <f>CONCATENATE("    - ",TEXT('DLC mass atten coeff'!AZ1029,"0.000E+00"))</f>
        <v xml:space="preserve">    - 3.140E-01</v>
      </c>
    </row>
    <row r="1769" spans="1:1">
      <c r="A1769" t="str">
        <f>CONCATENATE("    - ",TEXT('DLC mass atten coeff'!AZ1030,"0.000E+00"))</f>
        <v xml:space="preserve">    - 1.567E-01</v>
      </c>
    </row>
    <row r="1770" spans="1:1">
      <c r="A1770" t="str">
        <f>CONCATENATE("    - ",TEXT('DLC mass atten coeff'!AZ1031,"0.000E+00"))</f>
        <v xml:space="preserve">    - 1.109E-01</v>
      </c>
    </row>
    <row r="1771" spans="1:1">
      <c r="A1771" t="str">
        <f>CONCATENATE("    - ",TEXT('DLC mass atten coeff'!AZ1032,"0.000E+00"))</f>
        <v xml:space="preserve">    - 9.042E-02</v>
      </c>
    </row>
    <row r="1772" spans="1:1">
      <c r="A1772" t="str">
        <f>CONCATENATE("    - ",TEXT('DLC mass atten coeff'!AZ1033,"0.000E+00"))</f>
        <v xml:space="preserve">    - 7.864E-02</v>
      </c>
    </row>
    <row r="1773" spans="1:1">
      <c r="A1773" t="str">
        <f>CONCATENATE("    - ",TEXT('DLC mass atten coeff'!AZ1034,"0.000E+00"))</f>
        <v xml:space="preserve">    - 6.504E-02</v>
      </c>
    </row>
    <row r="1774" spans="1:1">
      <c r="A1774" t="str">
        <f>CONCATENATE("    - ",TEXT('DLC mass atten coeff'!AZ1035,"0.000E+00"))</f>
        <v xml:space="preserve">    - 5.688E-02</v>
      </c>
    </row>
    <row r="1775" spans="1:1">
      <c r="A1775" t="str">
        <f>CONCATENATE("    - ",TEXT('DLC mass atten coeff'!AZ1036,"0.000E+00"))</f>
        <v xml:space="preserve">    - 4.576E-02</v>
      </c>
    </row>
    <row r="1776" spans="1:1">
      <c r="A1776" t="str">
        <f>CONCATENATE("    - ",TEXT('DLC mass atten coeff'!AZ1037,"0.000E+00"))</f>
        <v xml:space="preserve">    - 4.072E-02</v>
      </c>
    </row>
    <row r="1777" spans="1:1">
      <c r="A1777" t="str">
        <f>CONCATENATE("    - ",TEXT('DLC mass atten coeff'!AZ1038,"0.000E+00"))</f>
        <v xml:space="preserve">    - 3.669E-02</v>
      </c>
    </row>
    <row r="1778" spans="1:1">
      <c r="A1778" t="str">
        <f>CONCATENATE("    - ",TEXT('DLC mass atten coeff'!AZ1039,"0.000E+00"))</f>
        <v xml:space="preserve">    - 3.555E-02</v>
      </c>
    </row>
    <row r="1779" spans="1:1">
      <c r="A1779" t="str">
        <f>CONCATENATE("    - ",TEXT('DLC mass atten coeff'!AZ1040,"0.000E+00"))</f>
        <v xml:space="preserve">    - 3.549E-02</v>
      </c>
    </row>
    <row r="1780" spans="1:1">
      <c r="A1780" t="str">
        <f>CONCATENATE("    - ",TEXT('DLC mass atten coeff'!AZ1041,"0.000E+00"))</f>
        <v xml:space="preserve">    - 3.590E-02</v>
      </c>
    </row>
    <row r="1781" spans="1:1">
      <c r="A1781" t="str">
        <f>CONCATENATE("    - ",TEXT('DLC mass atten coeff'!AZ1042,"0.000E+00"))</f>
        <v xml:space="preserve">    - 3.739E-02</v>
      </c>
    </row>
    <row r="1782" spans="1:1">
      <c r="A1782" t="str">
        <f>CONCATENATE("    - ",TEXT('DLC mass atten coeff'!AZ1043,"0.000E+00"))</f>
        <v xml:space="preserve">    - 3.915E-02</v>
      </c>
    </row>
    <row r="1783" spans="1:1">
      <c r="A1783" t="str">
        <f>CONCATENATE("    - ",TEXT('DLC mass atten coeff'!AZ1044,"0.000E+00"))</f>
        <v xml:space="preserve">    - 4.346E-02</v>
      </c>
    </row>
    <row r="1784" spans="1:1">
      <c r="A1784" t="str">
        <f>CONCATENATE("    - ",TEXT('DLC mass atten coeff'!AZ1045,"0.000E+00"))</f>
        <v xml:space="preserve">    - 4.700E-02</v>
      </c>
    </row>
    <row r="1785" spans="1:1">
      <c r="A1785" t="str">
        <f>CONCATENATE("    - ",TEXT('DLC mass atten coeff'!AZ1046,"0.000E+00"))</f>
        <v xml:space="preserve">    - 5.250E-02</v>
      </c>
    </row>
    <row r="1786" spans="1:1">
      <c r="A1786" t="str">
        <f>CONCATENATE('DLC mass atten coeff'!BA1018,":")</f>
        <v>tellurium:</v>
      </c>
    </row>
    <row r="1787" spans="1:1">
      <c r="A1787" s="18" t="str">
        <f>CONCATENATE("  density: ",VLOOKUP(A1786,densities!$A$5:$B$110,2,FALSE))</f>
        <v xml:space="preserve">  density: 6.240E+00</v>
      </c>
    </row>
    <row r="1788" spans="1:1" ht="16">
      <c r="A1788" s="19" t="s">
        <v>1606</v>
      </c>
    </row>
    <row r="1789" spans="1:1">
      <c r="A1789" s="19" t="s">
        <v>1553</v>
      </c>
    </row>
    <row r="1790" spans="1:1">
      <c r="A1790" s="19" t="s">
        <v>1554</v>
      </c>
    </row>
    <row r="1791" spans="1:1">
      <c r="A1791" s="21" t="s">
        <v>1860</v>
      </c>
    </row>
    <row r="1792" spans="1:1">
      <c r="A1792" s="19" t="s">
        <v>1555</v>
      </c>
    </row>
    <row r="1793" spans="1:1">
      <c r="A1793" t="str">
        <f>CONCATENATE("    - ",TEXT('DLC mass atten coeff'!BA1019,"0.000E+00"))</f>
        <v xml:space="preserve">    - 1.475E+02</v>
      </c>
    </row>
    <row r="1794" spans="1:1">
      <c r="A1794" t="str">
        <f>CONCATENATE("    - ",TEXT('DLC mass atten coeff'!BA1020,"0.000E+00"))</f>
        <v xml:space="preserve">    - 4.910E+01</v>
      </c>
    </row>
    <row r="1795" spans="1:1">
      <c r="A1795" t="str">
        <f>CONCATENATE("    - ",TEXT('DLC mass atten coeff'!BA1021,"0.000E+00"))</f>
        <v xml:space="preserve">    - 2.223E+01</v>
      </c>
    </row>
    <row r="1796" spans="1:1">
      <c r="A1796" t="str">
        <f>CONCATENATE("    - ",TEXT('DLC mass atten coeff'!BA1022,"0.000E+00"))</f>
        <v xml:space="preserve">    - 7.221E+00</v>
      </c>
    </row>
    <row r="1797" spans="1:1">
      <c r="A1797" t="str">
        <f>CONCATENATE("    - ",TEXT('DLC mass atten coeff'!BA1023,"0.000E+00"))</f>
        <v xml:space="preserve">    - 2.022E+01</v>
      </c>
    </row>
    <row r="1798" spans="1:1">
      <c r="A1798" t="str">
        <f>CONCATENATE("    - ",TEXT('DLC mass atten coeff'!BA1024,"0.000E+00"))</f>
        <v xml:space="preserve">    - 1.115E+01</v>
      </c>
    </row>
    <row r="1799" spans="1:1">
      <c r="A1799" t="str">
        <f>CONCATENATE("    - ",TEXT('DLC mass atten coeff'!BA1025,"0.000E+00"))</f>
        <v xml:space="preserve">    - 6.821E+00</v>
      </c>
    </row>
    <row r="1800" spans="1:1">
      <c r="A1800" t="str">
        <f>CONCATENATE("    - ",TEXT('DLC mass atten coeff'!BA1026,"0.000E+00"))</f>
        <v xml:space="preserve">    - 3.123E+00</v>
      </c>
    </row>
    <row r="1801" spans="1:1">
      <c r="A1801" t="str">
        <f>CONCATENATE("    - ",TEXT('DLC mass atten coeff'!BA1027,"0.000E+00"))</f>
        <v xml:space="preserve">    - 1.713E+00</v>
      </c>
    </row>
    <row r="1802" spans="1:1">
      <c r="A1802" t="str">
        <f>CONCATENATE("    - ",TEXT('DLC mass atten coeff'!BA1028,"0.000E+00"))</f>
        <v xml:space="preserve">    - 6.075E-01</v>
      </c>
    </row>
    <row r="1803" spans="1:1">
      <c r="A1803" t="str">
        <f>CONCATENATE("    - ",TEXT('DLC mass atten coeff'!BA1029,"0.000E+00"))</f>
        <v xml:space="preserve">    - 3.186E-01</v>
      </c>
    </row>
    <row r="1804" spans="1:1">
      <c r="A1804" t="str">
        <f>CONCATENATE("    - ",TEXT('DLC mass atten coeff'!BA1030,"0.000E+00"))</f>
        <v xml:space="preserve">    - 1.568E-01</v>
      </c>
    </row>
    <row r="1805" spans="1:1">
      <c r="A1805" t="str">
        <f>CONCATENATE("    - ",TEXT('DLC mass atten coeff'!BA1031,"0.000E+00"))</f>
        <v xml:space="preserve">    - 1.099E-01</v>
      </c>
    </row>
    <row r="1806" spans="1:1">
      <c r="A1806" t="str">
        <f>CONCATENATE("    - ",TEXT('DLC mass atten coeff'!BA1032,"0.000E+00"))</f>
        <v xml:space="preserve">    - 8.915E-02</v>
      </c>
    </row>
    <row r="1807" spans="1:1">
      <c r="A1807" t="str">
        <f>CONCATENATE("    - ",TEXT('DLC mass atten coeff'!BA1033,"0.000E+00"))</f>
        <v xml:space="preserve">    - 7.728E-02</v>
      </c>
    </row>
    <row r="1808" spans="1:1">
      <c r="A1808" t="str">
        <f>CONCATENATE("    - ",TEXT('DLC mass atten coeff'!BA1034,"0.000E+00"))</f>
        <v xml:space="preserve">    - 6.369E-02</v>
      </c>
    </row>
    <row r="1809" spans="1:1">
      <c r="A1809" t="str">
        <f>CONCATENATE("    - ",TEXT('DLC mass atten coeff'!BA1035,"0.000E+00"))</f>
        <v xml:space="preserve">    - 5.558E-02</v>
      </c>
    </row>
    <row r="1810" spans="1:1">
      <c r="A1810" t="str">
        <f>CONCATENATE("    - ",TEXT('DLC mass atten coeff'!BA1036,"0.000E+00"))</f>
        <v xml:space="preserve">    - 4.466E-02</v>
      </c>
    </row>
    <row r="1811" spans="1:1">
      <c r="A1811" t="str">
        <f>CONCATENATE("    - ",TEXT('DLC mass atten coeff'!BA1037,"0.000E+00"))</f>
        <v xml:space="preserve">    - 3.977E-02</v>
      </c>
    </row>
    <row r="1812" spans="1:1">
      <c r="A1812" t="str">
        <f>CONCATENATE("    - ",TEXT('DLC mass atten coeff'!BA1038,"0.000E+00"))</f>
        <v xml:space="preserve">    - 3.589E-02</v>
      </c>
    </row>
    <row r="1813" spans="1:1">
      <c r="A1813" t="str">
        <f>CONCATENATE("    - ",TEXT('DLC mass atten coeff'!BA1039,"0.000E+00"))</f>
        <v xml:space="preserve">    - 3.482E-02</v>
      </c>
    </row>
    <row r="1814" spans="1:1">
      <c r="A1814" t="str">
        <f>CONCATENATE("    - ",TEXT('DLC mass atten coeff'!BA1040,"0.000E+00"))</f>
        <v xml:space="preserve">    - 3.482E-02</v>
      </c>
    </row>
    <row r="1815" spans="1:1">
      <c r="A1815" t="str">
        <f>CONCATENATE("    - ",TEXT('DLC mass atten coeff'!BA1041,"0.000E+00"))</f>
        <v xml:space="preserve">    - 3.526E-02</v>
      </c>
    </row>
    <row r="1816" spans="1:1">
      <c r="A1816" t="str">
        <f>CONCATENATE("    - ",TEXT('DLC mass atten coeff'!BA1042,"0.000E+00"))</f>
        <v xml:space="preserve">    - 3.677E-02</v>
      </c>
    </row>
    <row r="1817" spans="1:1">
      <c r="A1817" t="str">
        <f>CONCATENATE("    - ",TEXT('DLC mass atten coeff'!BA1043,"0.000E+00"))</f>
        <v xml:space="preserve">    - 3.854E-02</v>
      </c>
    </row>
    <row r="1818" spans="1:1">
      <c r="A1818" t="str">
        <f>CONCATENATE("    - ",TEXT('DLC mass atten coeff'!BA1044,"0.000E+00"))</f>
        <v xml:space="preserve">    - 4.286E-02</v>
      </c>
    </row>
    <row r="1819" spans="1:1">
      <c r="A1819" t="str">
        <f>CONCATENATE("    - ",TEXT('DLC mass atten coeff'!BA1045,"0.000E+00"))</f>
        <v xml:space="preserve">    - 4.638E-02</v>
      </c>
    </row>
    <row r="1820" spans="1:1">
      <c r="A1820" t="str">
        <f>CONCATENATE("    - ",TEXT('DLC mass atten coeff'!BA1046,"0.000E+00"))</f>
        <v xml:space="preserve">    - 5.184E-02</v>
      </c>
    </row>
    <row r="1821" spans="1:1">
      <c r="A1821" t="str">
        <f>CONCATENATE('DLC mass atten coeff'!BB1018,":")</f>
        <v>iodine:</v>
      </c>
    </row>
    <row r="1822" spans="1:1">
      <c r="A1822" s="18" t="str">
        <f>CONCATENATE("  density: ",VLOOKUP(A1821,densities!$A$5:$B$110,2,FALSE))</f>
        <v xml:space="preserve">  density: 4.930E+00</v>
      </c>
    </row>
    <row r="1823" spans="1:1" ht="16">
      <c r="A1823" s="19" t="s">
        <v>1607</v>
      </c>
    </row>
    <row r="1824" spans="1:1">
      <c r="A1824" s="19" t="s">
        <v>1553</v>
      </c>
    </row>
    <row r="1825" spans="1:1">
      <c r="A1825" s="19" t="s">
        <v>1554</v>
      </c>
    </row>
    <row r="1826" spans="1:1">
      <c r="A1826" s="21" t="s">
        <v>1860</v>
      </c>
    </row>
    <row r="1827" spans="1:1">
      <c r="A1827" s="19" t="s">
        <v>1555</v>
      </c>
    </row>
    <row r="1828" spans="1:1">
      <c r="A1828" t="str">
        <f>CONCATENATE("    - ",TEXT('DLC mass atten coeff'!BB1019,"0.000E+00"))</f>
        <v xml:space="preserve">    - 1.599E+02</v>
      </c>
    </row>
    <row r="1829" spans="1:1">
      <c r="A1829" t="str">
        <f>CONCATENATE("    - ",TEXT('DLC mass atten coeff'!BB1020,"0.000E+00"))</f>
        <v xml:space="preserve">    - 5.336E+01</v>
      </c>
    </row>
    <row r="1830" spans="1:1">
      <c r="A1830" t="str">
        <f>CONCATENATE("    - ",TEXT('DLC mass atten coeff'!BB1021,"0.000E+00"))</f>
        <v xml:space="preserve">    - 2.419E+01</v>
      </c>
    </row>
    <row r="1831" spans="1:1">
      <c r="A1831" t="str">
        <f>CONCATENATE("    - ",TEXT('DLC mass atten coeff'!BB1022,"0.000E+00"))</f>
        <v xml:space="preserve">    - 7.867E+00</v>
      </c>
    </row>
    <row r="1832" spans="1:1">
      <c r="A1832" t="str">
        <f>CONCATENATE("    - ",TEXT('DLC mass atten coeff'!BB1023,"0.000E+00"))</f>
        <v xml:space="preserve">    - 2.165E+01</v>
      </c>
    </row>
    <row r="1833" spans="1:1">
      <c r="A1833" t="str">
        <f>CONCATENATE("    - ",TEXT('DLC mass atten coeff'!BB1024,"0.000E+00"))</f>
        <v xml:space="preserve">    - 1.201E+01</v>
      </c>
    </row>
    <row r="1834" spans="1:1">
      <c r="A1834" t="str">
        <f>CONCATENATE("    - ",TEXT('DLC mass atten coeff'!BB1025,"0.000E+00"))</f>
        <v xml:space="preserve">    - 7.348E+00</v>
      </c>
    </row>
    <row r="1835" spans="1:1">
      <c r="A1835" t="str">
        <f>CONCATENATE("    - ",TEXT('DLC mass atten coeff'!BB1026,"0.000E+00"))</f>
        <v xml:space="preserve">    - 3.370E+00</v>
      </c>
    </row>
    <row r="1836" spans="1:1">
      <c r="A1836" t="str">
        <f>CONCATENATE("    - ",TEXT('DLC mass atten coeff'!BB1027,"0.000E+00"))</f>
        <v xml:space="preserve">    - 1.849E+00</v>
      </c>
    </row>
    <row r="1837" spans="1:1">
      <c r="A1837" t="str">
        <f>CONCATENATE("    - ",TEXT('DLC mass atten coeff'!BB1028,"0.000E+00"))</f>
        <v xml:space="preserve">    - 6.535E-01</v>
      </c>
    </row>
    <row r="1838" spans="1:1">
      <c r="A1838" t="str">
        <f>CONCATENATE("    - ",TEXT('DLC mass atten coeff'!BB1029,"0.000E+00"))</f>
        <v xml:space="preserve">    - 3.406E-01</v>
      </c>
    </row>
    <row r="1839" spans="1:1">
      <c r="A1839" t="str">
        <f>CONCATENATE("    - ",TEXT('DLC mass atten coeff'!BB1030,"0.000E+00"))</f>
        <v xml:space="preserve">    - 1.654E-01</v>
      </c>
    </row>
    <row r="1840" spans="1:1">
      <c r="A1840" t="str">
        <f>CONCATENATE("    - ",TEXT('DLC mass atten coeff'!BB1031,"0.000E+00"))</f>
        <v xml:space="preserve">    - 1.149E-01</v>
      </c>
    </row>
    <row r="1841" spans="1:1">
      <c r="A1841" t="str">
        <f>CONCATENATE("    - ",TEXT('DLC mass atten coeff'!BB1032,"0.000E+00"))</f>
        <v xml:space="preserve">    - 9.262E-02</v>
      </c>
    </row>
    <row r="1842" spans="1:1">
      <c r="A1842" t="str">
        <f>CONCATENATE("    - ",TEXT('DLC mass atten coeff'!BB1033,"0.000E+00"))</f>
        <v xml:space="preserve">    - 8.002E-02</v>
      </c>
    </row>
    <row r="1843" spans="1:1">
      <c r="A1843" t="str">
        <f>CONCATENATE("    - ",TEXT('DLC mass atten coeff'!BB1034,"0.000E+00"))</f>
        <v xml:space="preserve">    - 6.568E-02</v>
      </c>
    </row>
    <row r="1844" spans="1:1">
      <c r="A1844" t="str">
        <f>CONCATENATE("    - ",TEXT('DLC mass atten coeff'!BB1035,"0.000E+00"))</f>
        <v xml:space="preserve">    - 5.722E-02</v>
      </c>
    </row>
    <row r="1845" spans="1:1">
      <c r="A1845" t="str">
        <f>CONCATENATE("    - ",TEXT('DLC mass atten coeff'!BB1036,"0.000E+00"))</f>
        <v xml:space="preserve">    - 4.592E-02</v>
      </c>
    </row>
    <row r="1846" spans="1:1">
      <c r="A1846" t="str">
        <f>CONCATENATE("    - ",TEXT('DLC mass atten coeff'!BB1037,"0.000E+00"))</f>
        <v xml:space="preserve">    - 4.090E-02</v>
      </c>
    </row>
    <row r="1847" spans="1:1">
      <c r="A1847" t="str">
        <f>CONCATENATE("    - ",TEXT('DLC mass atten coeff'!BB1038,"0.000E+00"))</f>
        <v xml:space="preserve">    - 3.697E-02</v>
      </c>
    </row>
    <row r="1848" spans="1:1">
      <c r="A1848" t="str">
        <f>CONCATENATE("    - ",TEXT('DLC mass atten coeff'!BB1039,"0.000E+00"))</f>
        <v xml:space="preserve">    - 3.594E-02</v>
      </c>
    </row>
    <row r="1849" spans="1:1">
      <c r="A1849" t="str">
        <f>CONCATENATE("    - ",TEXT('DLC mass atten coeff'!BB1040,"0.000E+00"))</f>
        <v xml:space="preserve">    - 3.598E-02</v>
      </c>
    </row>
    <row r="1850" spans="1:1">
      <c r="A1850" t="str">
        <f>CONCATENATE("    - ",TEXT('DLC mass atten coeff'!BB1041,"0.000E+00"))</f>
        <v xml:space="preserve">    - 3.647E-02</v>
      </c>
    </row>
    <row r="1851" spans="1:1">
      <c r="A1851" t="str">
        <f>CONCATENATE("    - ",TEXT('DLC mass atten coeff'!BB1042,"0.000E+00"))</f>
        <v xml:space="preserve">    - 3.809E-02</v>
      </c>
    </row>
    <row r="1852" spans="1:1">
      <c r="A1852" t="str">
        <f>CONCATENATE("    - ",TEXT('DLC mass atten coeff'!BB1043,"0.000E+00"))</f>
        <v xml:space="preserve">    - 3.996E-02</v>
      </c>
    </row>
    <row r="1853" spans="1:1">
      <c r="A1853" t="str">
        <f>CONCATENATE("    - ",TEXT('DLC mass atten coeff'!BB1044,"0.000E+00"))</f>
        <v xml:space="preserve">    - 4.451E-02</v>
      </c>
    </row>
    <row r="1854" spans="1:1">
      <c r="A1854" t="str">
        <f>CONCATENATE("    - ",TEXT('DLC mass atten coeff'!BB1045,"0.000E+00"))</f>
        <v xml:space="preserve">    - 4.819E-02</v>
      </c>
    </row>
    <row r="1855" spans="1:1">
      <c r="A1855" t="str">
        <f>CONCATENATE("    - ",TEXT('DLC mass atten coeff'!BB1046,"0.000E+00"))</f>
        <v xml:space="preserve">    - 5.393E-02</v>
      </c>
    </row>
    <row r="1856" spans="1:1">
      <c r="A1856" t="str">
        <f>CONCATENATE('DLC mass atten coeff'!BC1018,":")</f>
        <v>xenon:</v>
      </c>
    </row>
    <row r="1857" spans="1:1">
      <c r="A1857" s="18" t="str">
        <f>CONCATENATE("  density: ",VLOOKUP(A1856,densities!$A$5:$B$110,2,FALSE))</f>
        <v xml:space="preserve">  density: 5.485E-03</v>
      </c>
    </row>
    <row r="1858" spans="1:1" ht="16">
      <c r="A1858" s="19" t="s">
        <v>1608</v>
      </c>
    </row>
    <row r="1859" spans="1:1">
      <c r="A1859" s="19" t="s">
        <v>1553</v>
      </c>
    </row>
    <row r="1860" spans="1:1">
      <c r="A1860" s="19" t="s">
        <v>1554</v>
      </c>
    </row>
    <row r="1861" spans="1:1">
      <c r="A1861" s="21" t="s">
        <v>1860</v>
      </c>
    </row>
    <row r="1862" spans="1:1">
      <c r="A1862" s="19" t="s">
        <v>1555</v>
      </c>
    </row>
    <row r="1863" spans="1:1">
      <c r="A1863" t="str">
        <f>CONCATENATE("    - ",TEXT('DLC mass atten coeff'!BC1019,"0.000E+00"))</f>
        <v xml:space="preserve">    - 1.663E+02</v>
      </c>
    </row>
    <row r="1864" spans="1:1">
      <c r="A1864" t="str">
        <f>CONCATENATE("    - ",TEXT('DLC mass atten coeff'!BC1020,"0.000E+00"))</f>
        <v xml:space="preserve">    - 5.566E+01</v>
      </c>
    </row>
    <row r="1865" spans="1:1">
      <c r="A1865" t="str">
        <f>CONCATENATE("    - ",TEXT('DLC mass atten coeff'!BC1021,"0.000E+00"))</f>
        <v xml:space="preserve">    - 2.526E+01</v>
      </c>
    </row>
    <row r="1866" spans="1:1">
      <c r="A1866" t="str">
        <f>CONCATENATE("    - ",TEXT('DLC mass atten coeff'!BC1022,"0.000E+00"))</f>
        <v xml:space="preserve">    - 8.225E+00</v>
      </c>
    </row>
    <row r="1867" spans="1:1">
      <c r="A1867" t="str">
        <f>CONCATENATE("    - ",TEXT('DLC mass atten coeff'!BC1023,"0.000E+00"))</f>
        <v xml:space="preserve">    - 2.225E+01</v>
      </c>
    </row>
    <row r="1868" spans="1:1">
      <c r="A1868" t="str">
        <f>CONCATENATE("    - ",TEXT('DLC mass atten coeff'!BC1024,"0.000E+00"))</f>
        <v xml:space="preserve">    - 1.241E+01</v>
      </c>
    </row>
    <row r="1869" spans="1:1">
      <c r="A1869" t="str">
        <f>CONCATENATE("    - ",TEXT('DLC mass atten coeff'!BC1025,"0.000E+00"))</f>
        <v xml:space="preserve">    - 7.589E+00</v>
      </c>
    </row>
    <row r="1870" spans="1:1">
      <c r="A1870" t="str">
        <f>CONCATENATE("    - ",TEXT('DLC mass atten coeff'!BC1026,"0.000E+00"))</f>
        <v xml:space="preserve">    - 3.491E+00</v>
      </c>
    </row>
    <row r="1871" spans="1:1">
      <c r="A1871" t="str">
        <f>CONCATENATE("    - ",TEXT('DLC mass atten coeff'!BC1027,"0.000E+00"))</f>
        <v xml:space="preserve">    - 1.915E+00</v>
      </c>
    </row>
    <row r="1872" spans="1:1">
      <c r="A1872" t="str">
        <f>CONCATENATE("    - ",TEXT('DLC mass atten coeff'!BC1028,"0.000E+00"))</f>
        <v xml:space="preserve">    - 6.750E-01</v>
      </c>
    </row>
    <row r="1873" spans="1:1">
      <c r="A1873" t="str">
        <f>CONCATENATE("    - ",TEXT('DLC mass atten coeff'!BC1029,"0.000E+00"))</f>
        <v xml:space="preserve">    - 3.497E-01</v>
      </c>
    </row>
    <row r="1874" spans="1:1">
      <c r="A1874" t="str">
        <f>CONCATENATE("    - ",TEXT('DLC mass atten coeff'!BC1030,"0.000E+00"))</f>
        <v xml:space="preserve">    - 1.677E-01</v>
      </c>
    </row>
    <row r="1875" spans="1:1">
      <c r="A1875" t="str">
        <f>CONCATENATE("    - ",TEXT('DLC mass atten coeff'!BC1031,"0.000E+00"))</f>
        <v xml:space="preserve">    - 1.154E-01</v>
      </c>
    </row>
    <row r="1876" spans="1:1">
      <c r="A1876" t="str">
        <f>CONCATENATE("    - ",TEXT('DLC mass atten coeff'!BC1032,"0.000E+00"))</f>
        <v xml:space="preserve">    - 9.254E-02</v>
      </c>
    </row>
    <row r="1877" spans="1:1">
      <c r="A1877" t="str">
        <f>CONCATENATE("    - ",TEXT('DLC mass atten coeff'!BC1033,"0.000E+00"))</f>
        <v xml:space="preserve">    - 7.961E-02</v>
      </c>
    </row>
    <row r="1878" spans="1:1">
      <c r="A1878" t="str">
        <f>CONCATENATE("    - ",TEXT('DLC mass atten coeff'!BC1034,"0.000E+00"))</f>
        <v xml:space="preserve">    - 6.515E-02</v>
      </c>
    </row>
    <row r="1879" spans="1:1">
      <c r="A1879" t="str">
        <f>CONCATENATE("    - ",TEXT('DLC mass atten coeff'!BC1035,"0.000E+00"))</f>
        <v xml:space="preserve">    - 5.668E-02</v>
      </c>
    </row>
    <row r="1880" spans="1:1">
      <c r="A1880" t="str">
        <f>CONCATENATE("    - ",TEXT('DLC mass atten coeff'!BC1036,"0.000E+00"))</f>
        <v xml:space="preserve">    - 4.537E-02</v>
      </c>
    </row>
    <row r="1881" spans="1:1">
      <c r="A1881" t="str">
        <f>CONCATENATE("    - ",TEXT('DLC mass atten coeff'!BC1037,"0.000E+00"))</f>
        <v xml:space="preserve">    - 4.043E-02</v>
      </c>
    </row>
    <row r="1882" spans="1:1">
      <c r="A1882" t="str">
        <f>CONCATENATE("    - ",TEXT('DLC mass atten coeff'!BC1038,"0.000E+00"))</f>
        <v xml:space="preserve">    - 3.662E-02</v>
      </c>
    </row>
    <row r="1883" spans="1:1">
      <c r="A1883" t="str">
        <f>CONCATENATE("    - ",TEXT('DLC mass atten coeff'!BC1039,"0.000E+00"))</f>
        <v xml:space="preserve">    - 3.564E-02</v>
      </c>
    </row>
    <row r="1884" spans="1:1">
      <c r="A1884" t="str">
        <f>CONCATENATE("    - ",TEXT('DLC mass atten coeff'!BC1040,"0.000E+00"))</f>
        <v xml:space="preserve">    - 3.573E-02</v>
      </c>
    </row>
    <row r="1885" spans="1:1">
      <c r="A1885" t="str">
        <f>CONCATENATE("    - ",TEXT('DLC mass atten coeff'!BC1041,"0.000E+00"))</f>
        <v xml:space="preserve">    - 3.625E-02</v>
      </c>
    </row>
    <row r="1886" spans="1:1">
      <c r="A1886" t="str">
        <f>CONCATENATE("    - ",TEXT('DLC mass atten coeff'!BC1042,"0.000E+00"))</f>
        <v xml:space="preserve">    - 3.791E-02</v>
      </c>
    </row>
    <row r="1887" spans="1:1">
      <c r="A1887" t="str">
        <f>CONCATENATE("    - ",TEXT('DLC mass atten coeff'!BC1043,"0.000E+00"))</f>
        <v xml:space="preserve">    - 3.981E-02</v>
      </c>
    </row>
    <row r="1888" spans="1:1">
      <c r="A1888" t="str">
        <f>CONCATENATE("    - ",TEXT('DLC mass atten coeff'!BC1044,"0.000E+00"))</f>
        <v xml:space="preserve">    - 4.441E-02</v>
      </c>
    </row>
    <row r="1889" spans="1:1">
      <c r="A1889" t="str">
        <f>CONCATENATE("    - ",TEXT('DLC mass atten coeff'!BC1045,"0.000E+00"))</f>
        <v xml:space="preserve">    - 4.811E-02</v>
      </c>
    </row>
    <row r="1890" spans="1:1">
      <c r="A1890" t="str">
        <f>CONCATENATE("    - ",TEXT('DLC mass atten coeff'!BC1046,"0.000E+00"))</f>
        <v xml:space="preserve">    - 5.385E-02</v>
      </c>
    </row>
    <row r="1891" spans="1:1">
      <c r="A1891" t="str">
        <f>CONCATENATE('DLC mass atten coeff'!BD1018,":")</f>
        <v>cesium:</v>
      </c>
    </row>
    <row r="1892" spans="1:1">
      <c r="A1892" s="18" t="str">
        <f>CONCATENATE("  density: ",VLOOKUP(A1891,densities!$A$5:$B$110,2,FALSE))</f>
        <v xml:space="preserve">  density: 1.873E+00</v>
      </c>
    </row>
    <row r="1893" spans="1:1" ht="16">
      <c r="A1893" s="19" t="s">
        <v>1609</v>
      </c>
    </row>
    <row r="1894" spans="1:1">
      <c r="A1894" s="19" t="s">
        <v>1553</v>
      </c>
    </row>
    <row r="1895" spans="1:1">
      <c r="A1895" s="19" t="s">
        <v>1554</v>
      </c>
    </row>
    <row r="1896" spans="1:1">
      <c r="A1896" s="21" t="s">
        <v>1860</v>
      </c>
    </row>
    <row r="1897" spans="1:1">
      <c r="A1897" s="19" t="s">
        <v>1555</v>
      </c>
    </row>
    <row r="1898" spans="1:1">
      <c r="A1898" t="str">
        <f>CONCATENATE("    - ",TEXT('DLC mass atten coeff'!BD1019,"0.000E+00"))</f>
        <v xml:space="preserve">    - 1.765E+02</v>
      </c>
    </row>
    <row r="1899" spans="1:1">
      <c r="A1899" t="str">
        <f>CONCATENATE("    - ",TEXT('DLC mass atten coeff'!BD1020,"0.000E+00"))</f>
        <v xml:space="preserve">    - 5.924E+01</v>
      </c>
    </row>
    <row r="1900" spans="1:1">
      <c r="A1900" t="str">
        <f>CONCATENATE("    - ",TEXT('DLC mass atten coeff'!BD1021,"0.000E+00"))</f>
        <v xml:space="preserve">    - 2.693E+01</v>
      </c>
    </row>
    <row r="1901" spans="1:1">
      <c r="A1901" t="str">
        <f>CONCATENATE("    - ",TEXT('DLC mass atten coeff'!BD1022,"0.000E+00"))</f>
        <v xml:space="preserve">    - 8.780E+00</v>
      </c>
    </row>
    <row r="1902" spans="1:1">
      <c r="A1902" t="str">
        <f>CONCATENATE("    - ",TEXT('DLC mass atten coeff'!BD1023,"0.000E+00"))</f>
        <v xml:space="preserve">    - 2.334E+01</v>
      </c>
    </row>
    <row r="1903" spans="1:1">
      <c r="A1903" t="str">
        <f>CONCATENATE("    - ",TEXT('DLC mass atten coeff'!BD1024,"0.000E+00"))</f>
        <v xml:space="preserve">    - 1.307E+01</v>
      </c>
    </row>
    <row r="1904" spans="1:1">
      <c r="A1904" t="str">
        <f>CONCATENATE("    - ",TEXT('DLC mass atten coeff'!BD1025,"0.000E+00"))</f>
        <v xml:space="preserve">    - 8.007E+00</v>
      </c>
    </row>
    <row r="1905" spans="1:1">
      <c r="A1905" t="str">
        <f>CONCATENATE("    - ",TEXT('DLC mass atten coeff'!BD1026,"0.000E+00"))</f>
        <v xml:space="preserve">    - 3.688E+00</v>
      </c>
    </row>
    <row r="1906" spans="1:1">
      <c r="A1906" t="str">
        <f>CONCATENATE("    - ",TEXT('DLC mass atten coeff'!BD1027,"0.000E+00"))</f>
        <v xml:space="preserve">    - 2.025E+00</v>
      </c>
    </row>
    <row r="1907" spans="1:1">
      <c r="A1907" t="str">
        <f>CONCATENATE("    - ",TEXT('DLC mass atten coeff'!BD1028,"0.000E+00"))</f>
        <v xml:space="preserve">    - 7.123E-01</v>
      </c>
    </row>
    <row r="1908" spans="1:1">
      <c r="A1908" t="str">
        <f>CONCATENATE("    - ",TEXT('DLC mass atten coeff'!BD1029,"0.000E+00"))</f>
        <v xml:space="preserve">    - 3.669E-01</v>
      </c>
    </row>
    <row r="1909" spans="1:1">
      <c r="A1909" t="str">
        <f>CONCATENATE("    - ",TEXT('DLC mass atten coeff'!BD1030,"0.000E+00"))</f>
        <v xml:space="preserve">    - 1.737E-01</v>
      </c>
    </row>
    <row r="1910" spans="1:1">
      <c r="A1910" t="str">
        <f>CONCATENATE("    - ",TEXT('DLC mass atten coeff'!BD1031,"0.000E+00"))</f>
        <v xml:space="preserve">    - 1.185E-01</v>
      </c>
    </row>
    <row r="1911" spans="1:1">
      <c r="A1911" t="str">
        <f>CONCATENATE("    - ",TEXT('DLC mass atten coeff'!BD1032,"0.000E+00"))</f>
        <v xml:space="preserve">    - 9.443E-02</v>
      </c>
    </row>
    <row r="1912" spans="1:1">
      <c r="A1912" t="str">
        <f>CONCATENATE("    - ",TEXT('DLC mass atten coeff'!BD1033,"0.000E+00"))</f>
        <v xml:space="preserve">    - 8.101E-02</v>
      </c>
    </row>
    <row r="1913" spans="1:1">
      <c r="A1913" t="str">
        <f>CONCATENATE("    - ",TEXT('DLC mass atten coeff'!BD1034,"0.000E+00"))</f>
        <v xml:space="preserve">    - 6.599E-02</v>
      </c>
    </row>
    <row r="1914" spans="1:1">
      <c r="A1914" t="str">
        <f>CONCATENATE("    - ",TEXT('DLC mass atten coeff'!BD1035,"0.000E+00"))</f>
        <v xml:space="preserve">    - 5.731E-02</v>
      </c>
    </row>
    <row r="1915" spans="1:1">
      <c r="A1915" t="str">
        <f>CONCATENATE("    - ",TEXT('DLC mass atten coeff'!BD1036,"0.000E+00"))</f>
        <v xml:space="preserve">    - 4.583E-02</v>
      </c>
    </row>
    <row r="1916" spans="1:1">
      <c r="A1916" t="str">
        <f>CONCATENATE("    - ",TEXT('DLC mass atten coeff'!BD1037,"0.000E+00"))</f>
        <v xml:space="preserve">    - 4.085E-02</v>
      </c>
    </row>
    <row r="1917" spans="1:1">
      <c r="A1917" t="str">
        <f>CONCATENATE("    - ",TEXT('DLC mass atten coeff'!BD1038,"0.000E+00"))</f>
        <v xml:space="preserve">    - 3.705E-02</v>
      </c>
    </row>
    <row r="1918" spans="1:1">
      <c r="A1918" t="str">
        <f>CONCATENATE("    - ",TEXT('DLC mass atten coeff'!BD1039,"0.000E+00"))</f>
        <v xml:space="preserve">    - 3.612E-02</v>
      </c>
    </row>
    <row r="1919" spans="1:1">
      <c r="A1919" t="str">
        <f>CONCATENATE("    - ",TEXT('DLC mass atten coeff'!BD1040,"0.000E+00"))</f>
        <v xml:space="preserve">    - 3.625E-02</v>
      </c>
    </row>
    <row r="1920" spans="1:1">
      <c r="A1920" t="str">
        <f>CONCATENATE("    - ",TEXT('DLC mass atten coeff'!BD1041,"0.000E+00"))</f>
        <v xml:space="preserve">    - 3.681E-02</v>
      </c>
    </row>
    <row r="1921" spans="1:1">
      <c r="A1921" t="str">
        <f>CONCATENATE("    - ",TEXT('DLC mass atten coeff'!BD1042,"0.000E+00"))</f>
        <v xml:space="preserve">    - 3.854E-02</v>
      </c>
    </row>
    <row r="1922" spans="1:1">
      <c r="A1922" t="str">
        <f>CONCATENATE("    - ",TEXT('DLC mass atten coeff'!BD1043,"0.000E+00"))</f>
        <v xml:space="preserve">    - 4.051E-02</v>
      </c>
    </row>
    <row r="1923" spans="1:1">
      <c r="A1923" t="str">
        <f>CONCATENATE("    - ",TEXT('DLC mass atten coeff'!BD1044,"0.000E+00"))</f>
        <v xml:space="preserve">    - 4.525E-02</v>
      </c>
    </row>
    <row r="1924" spans="1:1">
      <c r="A1924" t="str">
        <f>CONCATENATE("    - ",TEXT('DLC mass atten coeff'!BD1045,"0.000E+00"))</f>
        <v xml:space="preserve">    - 4.906E-02</v>
      </c>
    </row>
    <row r="1925" spans="1:1">
      <c r="A1925" t="str">
        <f>CONCATENATE("    - ",TEXT('DLC mass atten coeff'!BD1046,"0.000E+00"))</f>
        <v xml:space="preserve">    - 5.494E-02</v>
      </c>
    </row>
    <row r="1926" spans="1:1">
      <c r="A1926" t="str">
        <f>CONCATENATE('DLC mass atten coeff'!BE1018,":")</f>
        <v>barium:</v>
      </c>
    </row>
    <row r="1927" spans="1:1">
      <c r="A1927" s="18" t="str">
        <f>CONCATENATE("  density: ",VLOOKUP(A1926,densities!$A$5:$B$110,2,FALSE))</f>
        <v xml:space="preserve">  density: 3.500E+00</v>
      </c>
    </row>
    <row r="1928" spans="1:1" ht="16">
      <c r="A1928" s="19" t="s">
        <v>1610</v>
      </c>
    </row>
    <row r="1929" spans="1:1">
      <c r="A1929" s="19" t="s">
        <v>1553</v>
      </c>
    </row>
    <row r="1930" spans="1:1">
      <c r="A1930" s="19" t="s">
        <v>1554</v>
      </c>
    </row>
    <row r="1931" spans="1:1">
      <c r="A1931" s="21" t="s">
        <v>1860</v>
      </c>
    </row>
    <row r="1932" spans="1:1">
      <c r="A1932" s="19" t="s">
        <v>1555</v>
      </c>
    </row>
    <row r="1933" spans="1:1">
      <c r="A1933" t="str">
        <f>CONCATENATE("    - ",TEXT('DLC mass atten coeff'!BE1019,"0.000E+00"))</f>
        <v xml:space="preserve">    - 1.832E+02</v>
      </c>
    </row>
    <row r="1934" spans="1:1">
      <c r="A1934" t="str">
        <f>CONCATENATE("    - ",TEXT('DLC mass atten coeff'!BE1020,"0.000E+00"))</f>
        <v xml:space="preserve">    - 6.164E+01</v>
      </c>
    </row>
    <row r="1935" spans="1:1">
      <c r="A1935" t="str">
        <f>CONCATENATE("    - ",TEXT('DLC mass atten coeff'!BE1021,"0.000E+00"))</f>
        <v xml:space="preserve">    - 2.808E+01</v>
      </c>
    </row>
    <row r="1936" spans="1:1">
      <c r="A1936" t="str">
        <f>CONCATENATE("    - ",TEXT('DLC mass atten coeff'!BE1022,"0.000E+00"))</f>
        <v xml:space="preserve">    - 9.167E+00</v>
      </c>
    </row>
    <row r="1937" spans="1:1">
      <c r="A1937" t="str">
        <f>CONCATENATE("    - ",TEXT('DLC mass atten coeff'!BE1023,"0.000E+00"))</f>
        <v xml:space="preserve">    - 2.410E+01</v>
      </c>
    </row>
    <row r="1938" spans="1:1">
      <c r="A1938" t="str">
        <f>CONCATENATE("    - ",TEXT('DLC mass atten coeff'!BE1024,"0.000E+00"))</f>
        <v xml:space="preserve">    - 1.346E+01</v>
      </c>
    </row>
    <row r="1939" spans="1:1">
      <c r="A1939" t="str">
        <f>CONCATENATE("    - ",TEXT('DLC mass atten coeff'!BE1025,"0.000E+00"))</f>
        <v xml:space="preserve">    - 8.264E+00</v>
      </c>
    </row>
    <row r="1940" spans="1:1">
      <c r="A1940" t="str">
        <f>CONCATENATE("    - ",TEXT('DLC mass atten coeff'!BE1026,"0.000E+00"))</f>
        <v xml:space="preserve">    - 3.813E+00</v>
      </c>
    </row>
    <row r="1941" spans="1:1">
      <c r="A1941" t="str">
        <f>CONCATENATE("    - ",TEXT('DLC mass atten coeff'!BE1027,"0.000E+00"))</f>
        <v xml:space="preserve">    - 2.095E+00</v>
      </c>
    </row>
    <row r="1942" spans="1:1">
      <c r="A1942" t="str">
        <f>CONCATENATE("    - ",TEXT('DLC mass atten coeff'!BE1028,"0.000E+00"))</f>
        <v xml:space="preserve">    - 7.352E-01</v>
      </c>
    </row>
    <row r="1943" spans="1:1">
      <c r="A1943" t="str">
        <f>CONCATENATE("    - ",TEXT('DLC mass atten coeff'!BE1029,"0.000E+00"))</f>
        <v xml:space="preserve">    - 3.768E-01</v>
      </c>
    </row>
    <row r="1944" spans="1:1">
      <c r="A1944" t="str">
        <f>CONCATENATE("    - ",TEXT('DLC mass atten coeff'!BE1030,"0.000E+00"))</f>
        <v xml:space="preserve">    - 1.763E-01</v>
      </c>
    </row>
    <row r="1945" spans="1:1">
      <c r="A1945" t="str">
        <f>CONCATENATE("    - ",TEXT('DLC mass atten coeff'!BE1031,"0.000E+00"))</f>
        <v xml:space="preserve">    - 1.192E-01</v>
      </c>
    </row>
    <row r="1946" spans="1:1">
      <c r="A1946" t="str">
        <f>CONCATENATE("    - ",TEXT('DLC mass atten coeff'!BE1032,"0.000E+00"))</f>
        <v xml:space="preserve">    - 9.446E-02</v>
      </c>
    </row>
    <row r="1947" spans="1:1">
      <c r="A1947" t="str">
        <f>CONCATENATE("    - ",TEXT('DLC mass atten coeff'!BE1033,"0.000E+00"))</f>
        <v xml:space="preserve">    - 8.075E-02</v>
      </c>
    </row>
    <row r="1948" spans="1:1">
      <c r="A1948" t="str">
        <f>CONCATENATE("    - ",TEXT('DLC mass atten coeff'!BE1034,"0.000E+00"))</f>
        <v xml:space="preserve">    - 6.553E-02</v>
      </c>
    </row>
    <row r="1949" spans="1:1">
      <c r="A1949" t="str">
        <f>CONCATENATE("    - ",TEXT('DLC mass atten coeff'!BE1035,"0.000E+00"))</f>
        <v xml:space="preserve">    - 5.676E-02</v>
      </c>
    </row>
    <row r="1950" spans="1:1">
      <c r="A1950" t="str">
        <f>CONCATENATE("    - ",TEXT('DLC mass atten coeff'!BE1036,"0.000E+00"))</f>
        <v xml:space="preserve">    - 4.532E-02</v>
      </c>
    </row>
    <row r="1951" spans="1:1">
      <c r="A1951" t="str">
        <f>CONCATENATE("    - ",TEXT('DLC mass atten coeff'!BE1037,"0.000E+00"))</f>
        <v xml:space="preserve">    - 4.041E-02</v>
      </c>
    </row>
    <row r="1952" spans="1:1">
      <c r="A1952" t="str">
        <f>CONCATENATE("    - ",TEXT('DLC mass atten coeff'!BE1038,"0.000E+00"))</f>
        <v xml:space="preserve">    - 3.672E-02</v>
      </c>
    </row>
    <row r="1953" spans="1:1">
      <c r="A1953" t="str">
        <f>CONCATENATE("    - ",TEXT('DLC mass atten coeff'!BE1039,"0.000E+00"))</f>
        <v xml:space="preserve">    - 3.585E-02</v>
      </c>
    </row>
    <row r="1954" spans="1:1">
      <c r="A1954" t="str">
        <f>CONCATENATE("    - ",TEXT('DLC mass atten coeff'!BE1040,"0.000E+00"))</f>
        <v xml:space="preserve">    - 3.602E-02</v>
      </c>
    </row>
    <row r="1955" spans="1:1">
      <c r="A1955" t="str">
        <f>CONCATENATE("    - ",TEXT('DLC mass atten coeff'!BE1041,"0.000E+00"))</f>
        <v xml:space="preserve">    - 3.661E-02</v>
      </c>
    </row>
    <row r="1956" spans="1:1">
      <c r="A1956" t="str">
        <f>CONCATENATE("    - ",TEXT('DLC mass atten coeff'!BE1042,"0.000E+00"))</f>
        <v xml:space="preserve">    - 3.838E-02</v>
      </c>
    </row>
    <row r="1957" spans="1:1">
      <c r="A1957" t="str">
        <f>CONCATENATE("    - ",TEXT('DLC mass atten coeff'!BE1043,"0.000E+00"))</f>
        <v xml:space="preserve">    - 4.037E-02</v>
      </c>
    </row>
    <row r="1958" spans="1:1">
      <c r="A1958" t="str">
        <f>CONCATENATE("    - ",TEXT('DLC mass atten coeff'!BE1044,"0.000E+00"))</f>
        <v xml:space="preserve">    - 4.514E-02</v>
      </c>
    </row>
    <row r="1959" spans="1:1">
      <c r="A1959" t="str">
        <f>CONCATENATE("    - ",TEXT('DLC mass atten coeff'!BE1045,"0.000E+00"))</f>
        <v xml:space="preserve">    - 4.898E-02</v>
      </c>
    </row>
    <row r="1960" spans="1:1">
      <c r="A1960" t="str">
        <f>CONCATENATE("    - ",TEXT('DLC mass atten coeff'!BE1046,"0.000E+00"))</f>
        <v xml:space="preserve">    - 5.486E-02</v>
      </c>
    </row>
    <row r="1961" spans="1:1">
      <c r="A1961" t="str">
        <f>CONCATENATE('DLC mass atten coeff'!BF1018,":")</f>
        <v>lanthanum:</v>
      </c>
    </row>
    <row r="1962" spans="1:1">
      <c r="A1962" s="18" t="str">
        <f>CONCATENATE("  density: ",VLOOKUP(A1961,densities!$A$5:$B$110,2,FALSE))</f>
        <v xml:space="preserve">  density: 6.154E+00</v>
      </c>
    </row>
    <row r="1963" spans="1:1" ht="16">
      <c r="A1963" s="19" t="s">
        <v>1611</v>
      </c>
    </row>
    <row r="1964" spans="1:1">
      <c r="A1964" s="19" t="s">
        <v>1553</v>
      </c>
    </row>
    <row r="1965" spans="1:1">
      <c r="A1965" s="19" t="s">
        <v>1554</v>
      </c>
    </row>
    <row r="1966" spans="1:1">
      <c r="A1966" s="21" t="s">
        <v>1860</v>
      </c>
    </row>
    <row r="1967" spans="1:1">
      <c r="A1967" s="19" t="s">
        <v>1555</v>
      </c>
    </row>
    <row r="1968" spans="1:1">
      <c r="A1968" t="str">
        <f>CONCATENATE("    - ",TEXT('DLC mass atten coeff'!BF1019,"0.000E+00"))</f>
        <v xml:space="preserve">    - 1.938E+02</v>
      </c>
    </row>
    <row r="1969" spans="1:1">
      <c r="A1969" t="str">
        <f>CONCATENATE("    - ",TEXT('DLC mass atten coeff'!BF1020,"0.000E+00"))</f>
        <v xml:space="preserve">    - 6.545E+01</v>
      </c>
    </row>
    <row r="1970" spans="1:1">
      <c r="A1970" t="str">
        <f>CONCATENATE("    - ",TEXT('DLC mass atten coeff'!BF1021,"0.000E+00"))</f>
        <v xml:space="preserve">    - 2.985E+01</v>
      </c>
    </row>
    <row r="1971" spans="1:1">
      <c r="A1971" t="str">
        <f>CONCATENATE("    - ",TEXT('DLC mass atten coeff'!BF1022,"0.000E+00"))</f>
        <v xml:space="preserve">    - 9.760E+00</v>
      </c>
    </row>
    <row r="1972" spans="1:1">
      <c r="A1972" t="str">
        <f>CONCATENATE("    - ",TEXT('DLC mass atten coeff'!BF1023,"0.000E+00"))</f>
        <v xml:space="preserve">    - 2.529E+01</v>
      </c>
    </row>
    <row r="1973" spans="1:1">
      <c r="A1973" t="str">
        <f>CONCATENATE("    - ",TEXT('DLC mass atten coeff'!BF1024,"0.000E+00"))</f>
        <v xml:space="preserve">    - 1.413E+01</v>
      </c>
    </row>
    <row r="1974" spans="1:1">
      <c r="A1974" t="str">
        <f>CONCATENATE("    - ",TEXT('DLC mass atten coeff'!BF1025,"0.000E+00"))</f>
        <v xml:space="preserve">    - 8.706E+00</v>
      </c>
    </row>
    <row r="1975" spans="1:1">
      <c r="A1975" t="str">
        <f>CONCATENATE("    - ",TEXT('DLC mass atten coeff'!BF1026,"0.000E+00"))</f>
        <v xml:space="preserve">    - 4.022E+00</v>
      </c>
    </row>
    <row r="1976" spans="1:1">
      <c r="A1976" t="str">
        <f>CONCATENATE("    - ",TEXT('DLC mass atten coeff'!BF1027,"0.000E+00"))</f>
        <v xml:space="preserve">    - 2.211E+00</v>
      </c>
    </row>
    <row r="1977" spans="1:1">
      <c r="A1977" t="str">
        <f>CONCATENATE("    - ",TEXT('DLC mass atten coeff'!BF1028,"0.000E+00"))</f>
        <v xml:space="preserve">    - 7.747E-01</v>
      </c>
    </row>
    <row r="1978" spans="1:1">
      <c r="A1978" t="str">
        <f>CONCATENATE("    - ",TEXT('DLC mass atten coeff'!BF1029,"0.000E+00"))</f>
        <v xml:space="preserve">    - 3.952E-01</v>
      </c>
    </row>
    <row r="1979" spans="1:1">
      <c r="A1979" t="str">
        <f>CONCATENATE("    - ",TEXT('DLC mass atten coeff'!BF1030,"0.000E+00"))</f>
        <v xml:space="preserve">    - 1.829E-01</v>
      </c>
    </row>
    <row r="1980" spans="1:1">
      <c r="A1980" t="str">
        <f>CONCATENATE("    - ",TEXT('DLC mass atten coeff'!BF1031,"0.000E+00"))</f>
        <v xml:space="preserve">    - 1.225E-01</v>
      </c>
    </row>
    <row r="1981" spans="1:1">
      <c r="A1981" t="str">
        <f>CONCATENATE("    - ",TEXT('DLC mass atten coeff'!BF1032,"0.000E+00"))</f>
        <v xml:space="preserve">    - 9.654E-02</v>
      </c>
    </row>
    <row r="1982" spans="1:1">
      <c r="A1982" t="str">
        <f>CONCATENATE("    - ",TEXT('DLC mass atten coeff'!BF1033,"0.000E+00"))</f>
        <v xml:space="preserve">    - 8.223E-02</v>
      </c>
    </row>
    <row r="1983" spans="1:1">
      <c r="A1983" t="str">
        <f>CONCATENATE("    - ",TEXT('DLC mass atten coeff'!BF1034,"0.000E+00"))</f>
        <v xml:space="preserve">    - 6.643E-02</v>
      </c>
    </row>
    <row r="1984" spans="1:1">
      <c r="A1984" t="str">
        <f>CONCATENATE("    - ",TEXT('DLC mass atten coeff'!BF1035,"0.000E+00"))</f>
        <v xml:space="preserve">    - 5.744E-02</v>
      </c>
    </row>
    <row r="1985" spans="1:1">
      <c r="A1985" t="str">
        <f>CONCATENATE("    - ",TEXT('DLC mass atten coeff'!BF1036,"0.000E+00"))</f>
        <v xml:space="preserve">    - 4.578E-02</v>
      </c>
    </row>
    <row r="1986" spans="1:1">
      <c r="A1986" t="str">
        <f>CONCATENATE("    - ",TEXT('DLC mass atten coeff'!BF1037,"0.000E+00"))</f>
        <v xml:space="preserve">    - 4.084E-02</v>
      </c>
    </row>
    <row r="1987" spans="1:1">
      <c r="A1987" t="str">
        <f>CONCATENATE("    - ",TEXT('DLC mass atten coeff'!BF1038,"0.000E+00"))</f>
        <v xml:space="preserve">    - 3.717E-02</v>
      </c>
    </row>
    <row r="1988" spans="1:1">
      <c r="A1988" t="str">
        <f>CONCATENATE("    - ",TEXT('DLC mass atten coeff'!BF1039,"0.000E+00"))</f>
        <v xml:space="preserve">    - 3.633E-02</v>
      </c>
    </row>
    <row r="1989" spans="1:1">
      <c r="A1989" t="str">
        <f>CONCATENATE("    - ",TEXT('DLC mass atten coeff'!BF1040,"0.000E+00"))</f>
        <v xml:space="preserve">    - 3.653E-02</v>
      </c>
    </row>
    <row r="1990" spans="1:1">
      <c r="A1990" t="str">
        <f>CONCATENATE("    - ",TEXT('DLC mass atten coeff'!BF1041,"0.000E+00"))</f>
        <v xml:space="preserve">    - 3.717E-02</v>
      </c>
    </row>
    <row r="1991" spans="1:1">
      <c r="A1991" t="str">
        <f>CONCATENATE("    - ",TEXT('DLC mass atten coeff'!BF1042,"0.000E+00"))</f>
        <v xml:space="preserve">    - 3.900E-02</v>
      </c>
    </row>
    <row r="1992" spans="1:1">
      <c r="A1992" t="str">
        <f>CONCATENATE("    - ",TEXT('DLC mass atten coeff'!BF1043,"0.000E+00"))</f>
        <v xml:space="preserve">    - 4.108E-02</v>
      </c>
    </row>
    <row r="1993" spans="1:1">
      <c r="A1993" t="str">
        <f>CONCATENATE("    - ",TEXT('DLC mass atten coeff'!BF1044,"0.000E+00"))</f>
        <v xml:space="preserve">    - 4.599E-02</v>
      </c>
    </row>
    <row r="1994" spans="1:1">
      <c r="A1994" t="str">
        <f>CONCATENATE("    - ",TEXT('DLC mass atten coeff'!BF1045,"0.000E+00"))</f>
        <v xml:space="preserve">    - 4.992E-02</v>
      </c>
    </row>
    <row r="1995" spans="1:1">
      <c r="A1995" t="str">
        <f>CONCATENATE("    - ",TEXT('DLC mass atten coeff'!BF1046,"0.000E+00"))</f>
        <v xml:space="preserve">    - 5.596E-02</v>
      </c>
    </row>
    <row r="1996" spans="1:1">
      <c r="A1996" t="str">
        <f>CONCATENATE('DLC mass atten coeff'!BG1018,":")</f>
        <v>cerium:</v>
      </c>
    </row>
    <row r="1997" spans="1:1">
      <c r="A1997" s="18" t="str">
        <f>CONCATENATE("  density: ",VLOOKUP(A1996,densities!$A$5:$B$110,2,FALSE))</f>
        <v xml:space="preserve">  density: 6.657E+00</v>
      </c>
    </row>
    <row r="1998" spans="1:1" ht="16">
      <c r="A1998" s="19" t="s">
        <v>1612</v>
      </c>
    </row>
    <row r="1999" spans="1:1">
      <c r="A1999" s="19" t="s">
        <v>1553</v>
      </c>
    </row>
    <row r="2000" spans="1:1">
      <c r="A2000" s="19" t="s">
        <v>1554</v>
      </c>
    </row>
    <row r="2001" spans="1:1">
      <c r="A2001" s="21" t="s">
        <v>1860</v>
      </c>
    </row>
    <row r="2002" spans="1:1">
      <c r="A2002" s="19" t="s">
        <v>1555</v>
      </c>
    </row>
    <row r="2003" spans="1:1">
      <c r="A2003" t="str">
        <f>CONCATENATE("    - ",TEXT('DLC mass atten coeff'!BG1019,"0.000E+00"))</f>
        <v xml:space="preserve">    - 2.052E+02</v>
      </c>
    </row>
    <row r="2004" spans="1:1">
      <c r="A2004" t="str">
        <f>CONCATENATE("    - ",TEXT('DLC mass atten coeff'!BG1020,"0.000E+00"))</f>
        <v xml:space="preserve">    - 6.948E+01</v>
      </c>
    </row>
    <row r="2005" spans="1:1">
      <c r="A2005" t="str">
        <f>CONCATENATE("    - ",TEXT('DLC mass atten coeff'!BG1021,"0.000E+00"))</f>
        <v xml:space="preserve">    - 3.174E+01</v>
      </c>
    </row>
    <row r="2006" spans="1:1">
      <c r="A2006" t="str">
        <f>CONCATENATE("    - ",TEXT('DLC mass atten coeff'!BG1022,"0.000E+00"))</f>
        <v xml:space="preserve">    - 1.040E+01</v>
      </c>
    </row>
    <row r="2007" spans="1:1">
      <c r="A2007" t="str">
        <f>CONCATENATE("    - ",TEXT('DLC mass atten coeff'!BG1023,"0.000E+00"))</f>
        <v xml:space="preserve">    - 4.708E+00</v>
      </c>
    </row>
    <row r="2008" spans="1:1">
      <c r="A2008" t="str">
        <f>CONCATENATE("    - ",TEXT('DLC mass atten coeff'!BG1024,"0.000E+00"))</f>
        <v xml:space="preserve">    - 1.484E+01</v>
      </c>
    </row>
    <row r="2009" spans="1:1">
      <c r="A2009" t="str">
        <f>CONCATENATE("    - ",TEXT('DLC mass atten coeff'!BG1025,"0.000E+00"))</f>
        <v xml:space="preserve">    - 9.183E+00</v>
      </c>
    </row>
    <row r="2010" spans="1:1">
      <c r="A2010" t="str">
        <f>CONCATENATE("    - ",TEXT('DLC mass atten coeff'!BG1026,"0.000E+00"))</f>
        <v xml:space="preserve">    - 4.248E+00</v>
      </c>
    </row>
    <row r="2011" spans="1:1">
      <c r="A2011" t="str">
        <f>CONCATENATE("    - ",TEXT('DLC mass atten coeff'!BG1027,"0.000E+00"))</f>
        <v xml:space="preserve">    - 2.337E+00</v>
      </c>
    </row>
    <row r="2012" spans="1:1">
      <c r="A2012" t="str">
        <f>CONCATENATE("    - ",TEXT('DLC mass atten coeff'!BG1028,"0.000E+00"))</f>
        <v xml:space="preserve">    - 8.175E-01</v>
      </c>
    </row>
    <row r="2013" spans="1:1">
      <c r="A2013" t="str">
        <f>CONCATENATE("    - ",TEXT('DLC mass atten coeff'!BG1029,"0.000E+00"))</f>
        <v xml:space="preserve">    - 4.153E-01</v>
      </c>
    </row>
    <row r="2014" spans="1:1">
      <c r="A2014" t="str">
        <f>CONCATENATE("    - ",TEXT('DLC mass atten coeff'!BG1030,"0.000E+00"))</f>
        <v xml:space="preserve">    - 1.901E-01</v>
      </c>
    </row>
    <row r="2015" spans="1:1">
      <c r="A2015" t="str">
        <f>CONCATENATE("    - ",TEXT('DLC mass atten coeff'!BG1031,"0.000E+00"))</f>
        <v xml:space="preserve">    - 1.263E-01</v>
      </c>
    </row>
    <row r="2016" spans="1:1">
      <c r="A2016" t="str">
        <f>CONCATENATE("    - ",TEXT('DLC mass atten coeff'!BG1032,"0.000E+00"))</f>
        <v xml:space="preserve">    - 9.894E-02</v>
      </c>
    </row>
    <row r="2017" spans="1:1">
      <c r="A2017" t="str">
        <f>CONCATENATE("    - ",TEXT('DLC mass atten coeff'!BG1033,"0.000E+00"))</f>
        <v xml:space="preserve">    - 8.392E-02</v>
      </c>
    </row>
    <row r="2018" spans="1:1">
      <c r="A2018" t="str">
        <f>CONCATENATE("    - ",TEXT('DLC mass atten coeff'!BG1034,"0.000E+00"))</f>
        <v xml:space="preserve">    - 6.756E-02</v>
      </c>
    </row>
    <row r="2019" spans="1:1">
      <c r="A2019" t="str">
        <f>CONCATENATE("    - ",TEXT('DLC mass atten coeff'!BG1035,"0.000E+00"))</f>
        <v xml:space="preserve">    - 5.826E-02</v>
      </c>
    </row>
    <row r="2020" spans="1:1">
      <c r="A2020" t="str">
        <f>CONCATENATE("    - ",TEXT('DLC mass atten coeff'!BG1036,"0.000E+00"))</f>
        <v xml:space="preserve">    - 4.637E-02</v>
      </c>
    </row>
    <row r="2021" spans="1:1">
      <c r="A2021" t="str">
        <f>CONCATENATE("    - ",TEXT('DLC mass atten coeff'!BG1037,"0.000E+00"))</f>
        <v xml:space="preserve">    - 4.137E-02</v>
      </c>
    </row>
    <row r="2022" spans="1:1">
      <c r="A2022" t="str">
        <f>CONCATENATE("    - ",TEXT('DLC mass atten coeff'!BG1038,"0.000E+00"))</f>
        <v xml:space="preserve">    - 3.770E-02</v>
      </c>
    </row>
    <row r="2023" spans="1:1">
      <c r="A2023" t="str">
        <f>CONCATENATE("    - ",TEXT('DLC mass atten coeff'!BG1039,"0.000E+00"))</f>
        <v xml:space="preserve">    - 3.691E-02</v>
      </c>
    </row>
    <row r="2024" spans="1:1">
      <c r="A2024" t="str">
        <f>CONCATENATE("    - ",TEXT('DLC mass atten coeff'!BG1040,"0.000E+00"))</f>
        <v xml:space="preserve">    - 3.715E-02</v>
      </c>
    </row>
    <row r="2025" spans="1:1">
      <c r="A2025" t="str">
        <f>CONCATENATE("    - ",TEXT('DLC mass atten coeff'!BG1041,"0.000E+00"))</f>
        <v xml:space="preserve">    - 3.783E-02</v>
      </c>
    </row>
    <row r="2026" spans="1:1">
      <c r="A2026" t="str">
        <f>CONCATENATE("    - ",TEXT('DLC mass atten coeff'!BG1042,"0.000E+00"))</f>
        <v xml:space="preserve">    - 3.974E-02</v>
      </c>
    </row>
    <row r="2027" spans="1:1">
      <c r="A2027" t="str">
        <f>CONCATENATE("    - ",TEXT('DLC mass atten coeff'!BG1043,"0.000E+00"))</f>
        <v xml:space="preserve">    - 4.188E-02</v>
      </c>
    </row>
    <row r="2028" spans="1:1">
      <c r="A2028" t="str">
        <f>CONCATENATE("    - ",TEXT('DLC mass atten coeff'!BG1044,"0.000E+00"))</f>
        <v xml:space="preserve">    - 4.694E-02</v>
      </c>
    </row>
    <row r="2029" spans="1:1">
      <c r="A2029" t="str">
        <f>CONCATENATE("    - ",TEXT('DLC mass atten coeff'!BG1045,"0.000E+00"))</f>
        <v xml:space="preserve">    - 5.100E-02</v>
      </c>
    </row>
    <row r="2030" spans="1:1">
      <c r="A2030" t="str">
        <f>CONCATENATE("    - ",TEXT('DLC mass atten coeff'!BG1046,"0.000E+00"))</f>
        <v xml:space="preserve">    - 5.722E-02</v>
      </c>
    </row>
    <row r="2031" spans="1:1">
      <c r="A2031" t="str">
        <f>CONCATENATE('DLC mass atten coeff'!BH1018,":")</f>
        <v>praseodymium:</v>
      </c>
    </row>
    <row r="2032" spans="1:1">
      <c r="A2032" s="18" t="str">
        <f>CONCATENATE("  density: ",VLOOKUP(A2031,densities!$A$5:$B$110,2,FALSE))</f>
        <v xml:space="preserve">  density: 6.710E+00</v>
      </c>
    </row>
    <row r="2033" spans="1:1" ht="16">
      <c r="A2033" s="19" t="s">
        <v>1613</v>
      </c>
    </row>
    <row r="2034" spans="1:1">
      <c r="A2034" s="19" t="s">
        <v>1553</v>
      </c>
    </row>
    <row r="2035" spans="1:1">
      <c r="A2035" s="19" t="s">
        <v>1554</v>
      </c>
    </row>
    <row r="2036" spans="1:1">
      <c r="A2036" s="21" t="s">
        <v>1860</v>
      </c>
    </row>
    <row r="2037" spans="1:1">
      <c r="A2037" s="19" t="s">
        <v>1555</v>
      </c>
    </row>
    <row r="2038" spans="1:1">
      <c r="A2038" t="str">
        <f>CONCATENATE("    - ",TEXT('DLC mass atten coeff'!BH1019,"0.000E+00"))</f>
        <v xml:space="preserve">    - 2.178E+02</v>
      </c>
    </row>
    <row r="2039" spans="1:1">
      <c r="A2039" t="str">
        <f>CONCATENATE("    - ",TEXT('DLC mass atten coeff'!BH1020,"0.000E+00"))</f>
        <v xml:space="preserve">    - 7.397E+01</v>
      </c>
    </row>
    <row r="2040" spans="1:1">
      <c r="A2040" t="str">
        <f>CONCATENATE("    - ",TEXT('DLC mass atten coeff'!BH1021,"0.000E+00"))</f>
        <v xml:space="preserve">    - 3.383E+01</v>
      </c>
    </row>
    <row r="2041" spans="1:1">
      <c r="A2041" t="str">
        <f>CONCATENATE("    - ",TEXT('DLC mass atten coeff'!BH1022,"0.000E+00"))</f>
        <v xml:space="preserve">    - 1.110E+01</v>
      </c>
    </row>
    <row r="2042" spans="1:1">
      <c r="A2042" t="str">
        <f>CONCATENATE("    - ",TEXT('DLC mass atten coeff'!BH1023,"0.000E+00"))</f>
        <v xml:space="preserve">    - 5.031E+00</v>
      </c>
    </row>
    <row r="2043" spans="1:1">
      <c r="A2043" t="str">
        <f>CONCATENATE("    - ",TEXT('DLC mass atten coeff'!BH1024,"0.000E+00"))</f>
        <v xml:space="preserve">    - 1.562E+01</v>
      </c>
    </row>
    <row r="2044" spans="1:1">
      <c r="A2044" t="str">
        <f>CONCATENATE("    - ",TEXT('DLC mass atten coeff'!BH1025,"0.000E+00"))</f>
        <v xml:space="preserve">    - 9.703E+00</v>
      </c>
    </row>
    <row r="2045" spans="1:1">
      <c r="A2045" t="str">
        <f>CONCATENATE("    - ",TEXT('DLC mass atten coeff'!BH1026,"0.000E+00"))</f>
        <v xml:space="preserve">    - 4.494E+00</v>
      </c>
    </row>
    <row r="2046" spans="1:1">
      <c r="A2046" t="str">
        <f>CONCATENATE("    - ",TEXT('DLC mass atten coeff'!BH1027,"0.000E+00"))</f>
        <v xml:space="preserve">    - 2.475E+00</v>
      </c>
    </row>
    <row r="2047" spans="1:1">
      <c r="A2047" t="str">
        <f>CONCATENATE("    - ",TEXT('DLC mass atten coeff'!BH1028,"0.000E+00"))</f>
        <v xml:space="preserve">    - 8.644E-01</v>
      </c>
    </row>
    <row r="2048" spans="1:1">
      <c r="A2048" t="str">
        <f>CONCATENATE("    - ",TEXT('DLC mass atten coeff'!BH1029,"0.000E+00"))</f>
        <v xml:space="preserve">    - 4.374E-01</v>
      </c>
    </row>
    <row r="2049" spans="1:1">
      <c r="A2049" t="str">
        <f>CONCATENATE("    - ",TEXT('DLC mass atten coeff'!BH1030,"0.000E+00"))</f>
        <v xml:space="preserve">    - 1.983E-01</v>
      </c>
    </row>
    <row r="2050" spans="1:1">
      <c r="A2050" t="str">
        <f>CONCATENATE("    - ",TEXT('DLC mass atten coeff'!BH1031,"0.000E+00"))</f>
        <v xml:space="preserve">    - 1.306E-01</v>
      </c>
    </row>
    <row r="2051" spans="1:1">
      <c r="A2051" t="str">
        <f>CONCATENATE("    - ",TEXT('DLC mass atten coeff'!BH1032,"0.000E+00"))</f>
        <v xml:space="preserve">    - 1.017E-01</v>
      </c>
    </row>
    <row r="2052" spans="1:1">
      <c r="A2052" t="str">
        <f>CONCATENATE("    - ",TEXT('DLC mass atten coeff'!BH1033,"0.000E+00"))</f>
        <v xml:space="preserve">    - 8.597E-02</v>
      </c>
    </row>
    <row r="2053" spans="1:1">
      <c r="A2053" t="str">
        <f>CONCATENATE("    - ",TEXT('DLC mass atten coeff'!BH1034,"0.000E+00"))</f>
        <v xml:space="preserve">    - 6.888E-02</v>
      </c>
    </row>
    <row r="2054" spans="1:1">
      <c r="A2054" t="str">
        <f>CONCATENATE("    - ",TEXT('DLC mass atten coeff'!BH1035,"0.000E+00"))</f>
        <v xml:space="preserve">    - 5.928E-02</v>
      </c>
    </row>
    <row r="2055" spans="1:1">
      <c r="A2055" t="str">
        <f>CONCATENATE("    - ",TEXT('DLC mass atten coeff'!BH1036,"0.000E+00"))</f>
        <v xml:space="preserve">    - 4.708E-02</v>
      </c>
    </row>
    <row r="2056" spans="1:1">
      <c r="A2056" t="str">
        <f>CONCATENATE("    - ",TEXT('DLC mass atten coeff'!BH1037,"0.000E+00"))</f>
        <v xml:space="preserve">    - 4.203E-02</v>
      </c>
    </row>
    <row r="2057" spans="1:1">
      <c r="A2057" t="str">
        <f>CONCATENATE("    - ",TEXT('DLC mass atten coeff'!BH1038,"0.000E+00"))</f>
        <v xml:space="preserve">    - 3.836E-02</v>
      </c>
    </row>
    <row r="2058" spans="1:1">
      <c r="A2058" t="str">
        <f>CONCATENATE("    - ",TEXT('DLC mass atten coeff'!BH1039,"0.000E+00"))</f>
        <v xml:space="preserve">    - 3.759E-02</v>
      </c>
    </row>
    <row r="2059" spans="1:1">
      <c r="A2059" t="str">
        <f>CONCATENATE("    - ",TEXT('DLC mass atten coeff'!BH1040,"0.000E+00"))</f>
        <v xml:space="preserve">    - 3.789E-02</v>
      </c>
    </row>
    <row r="2060" spans="1:1">
      <c r="A2060" t="str">
        <f>CONCATENATE("    - ",TEXT('DLC mass atten coeff'!BH1041,"0.000E+00"))</f>
        <v xml:space="preserve">    - 3.861E-02</v>
      </c>
    </row>
    <row r="2061" spans="1:1">
      <c r="A2061" t="str">
        <f>CONCATENATE("    - ",TEXT('DLC mass atten coeff'!BH1042,"0.000E+00"))</f>
        <v xml:space="preserve">    - 4.060E-02</v>
      </c>
    </row>
    <row r="2062" spans="1:1">
      <c r="A2062" t="str">
        <f>CONCATENATE("    - ",TEXT('DLC mass atten coeff'!BH1043,"0.000E+00"))</f>
        <v xml:space="preserve">    - 4.282E-02</v>
      </c>
    </row>
    <row r="2063" spans="1:1">
      <c r="A2063" t="str">
        <f>CONCATENATE("    - ",TEXT('DLC mass atten coeff'!BH1044,"0.000E+00"))</f>
        <v xml:space="preserve">    - 4.804E-02</v>
      </c>
    </row>
    <row r="2064" spans="1:1">
      <c r="A2064" t="str">
        <f>CONCATENATE("    - ",TEXT('DLC mass atten coeff'!BH1045,"0.000E+00"))</f>
        <v xml:space="preserve">    - 5.222E-02</v>
      </c>
    </row>
    <row r="2065" spans="1:1">
      <c r="A2065" t="str">
        <f>CONCATENATE("    - ",TEXT('DLC mass atten coeff'!BH1046,"0.000E+00"))</f>
        <v xml:space="preserve">    - 5.863E-02</v>
      </c>
    </row>
    <row r="2066" spans="1:1">
      <c r="A2066" t="str">
        <f>CONCATENATE('DLC mass atten coeff'!BI1018,":")</f>
        <v>neodymium:</v>
      </c>
    </row>
    <row r="2067" spans="1:1">
      <c r="A2067" s="18" t="str">
        <f>CONCATENATE("  density: ",VLOOKUP(A2066,densities!$A$5:$B$110,2,FALSE))</f>
        <v xml:space="preserve">  density: 6.900E+00</v>
      </c>
    </row>
    <row r="2068" spans="1:1" ht="16">
      <c r="A2068" s="19" t="s">
        <v>1614</v>
      </c>
    </row>
    <row r="2069" spans="1:1">
      <c r="A2069" s="19" t="s">
        <v>1553</v>
      </c>
    </row>
    <row r="2070" spans="1:1">
      <c r="A2070" s="19" t="s">
        <v>1554</v>
      </c>
    </row>
    <row r="2071" spans="1:1">
      <c r="A2071" s="21" t="s">
        <v>1860</v>
      </c>
    </row>
    <row r="2072" spans="1:1">
      <c r="A2072" s="19" t="s">
        <v>1555</v>
      </c>
    </row>
    <row r="2073" spans="1:1">
      <c r="A2073" t="str">
        <f>CONCATENATE("    - ",TEXT('DLC mass atten coeff'!BI1019,"0.000E+00"))</f>
        <v xml:space="preserve">    - 2.268E+02</v>
      </c>
    </row>
    <row r="2074" spans="1:1">
      <c r="A2074" t="str">
        <f>CONCATENATE("    - ",TEXT('DLC mass atten coeff'!BI1020,"0.000E+00"))</f>
        <v xml:space="preserve">    - 7.719E+01</v>
      </c>
    </row>
    <row r="2075" spans="1:1">
      <c r="A2075" t="str">
        <f>CONCATENATE("    - ",TEXT('DLC mass atten coeff'!BI1021,"0.000E+00"))</f>
        <v xml:space="preserve">    - 3.538E+01</v>
      </c>
    </row>
    <row r="2076" spans="1:1">
      <c r="A2076" t="str">
        <f>CONCATENATE("    - ",TEXT('DLC mass atten coeff'!BI1022,"0.000E+00"))</f>
        <v xml:space="preserve">    - 1.162E+01</v>
      </c>
    </row>
    <row r="2077" spans="1:1">
      <c r="A2077" t="str">
        <f>CONCATENATE("    - ",TEXT('DLC mass atten coeff'!BI1023,"0.000E+00"))</f>
        <v xml:space="preserve">    - 5.272E+00</v>
      </c>
    </row>
    <row r="2078" spans="1:1">
      <c r="A2078" t="str">
        <f>CONCATENATE("    - ",TEXT('DLC mass atten coeff'!BI1024,"0.000E+00"))</f>
        <v xml:space="preserve">    - 1.612E+01</v>
      </c>
    </row>
    <row r="2079" spans="1:1">
      <c r="A2079" t="str">
        <f>CONCATENATE("    - ",TEXT('DLC mass atten coeff'!BI1025,"0.000E+00"))</f>
        <v xml:space="preserve">    - 1.005E+01</v>
      </c>
    </row>
    <row r="2080" spans="1:1">
      <c r="A2080" t="str">
        <f>CONCATENATE("    - ",TEXT('DLC mass atten coeff'!BI1026,"0.000E+00"))</f>
        <v xml:space="preserve">    - 4.668E+00</v>
      </c>
    </row>
    <row r="2081" spans="1:1">
      <c r="A2081" t="str">
        <f>CONCATENATE("    - ",TEXT('DLC mass atten coeff'!BI1027,"0.000E+00"))</f>
        <v xml:space="preserve">    - 2.573E+00</v>
      </c>
    </row>
    <row r="2082" spans="1:1">
      <c r="A2082" t="str">
        <f>CONCATENATE("    - ",TEXT('DLC mass atten coeff'!BI1028,"0.000E+00"))</f>
        <v xml:space="preserve">    - 8.973E-01</v>
      </c>
    </row>
    <row r="2083" spans="1:1">
      <c r="A2083" t="str">
        <f>CONCATENATE("    - ",TEXT('DLC mass atten coeff'!BI1029,"0.000E+00"))</f>
        <v xml:space="preserve">    - 4.524E-01</v>
      </c>
    </row>
    <row r="2084" spans="1:1">
      <c r="A2084" t="str">
        <f>CONCATENATE("    - ",TEXT('DLC mass atten coeff'!BI1030,"0.000E+00"))</f>
        <v xml:space="preserve">    - 2.030E-01</v>
      </c>
    </row>
    <row r="2085" spans="1:1">
      <c r="A2085" t="str">
        <f>CONCATENATE("    - ",TEXT('DLC mass atten coeff'!BI1031,"0.000E+00"))</f>
        <v xml:space="preserve">    - 1.327E-01</v>
      </c>
    </row>
    <row r="2086" spans="1:1">
      <c r="A2086" t="str">
        <f>CONCATENATE("    - ",TEXT('DLC mass atten coeff'!BI1032,"0.000E+00"))</f>
        <v xml:space="preserve">    - 1.028E-01</v>
      </c>
    </row>
    <row r="2087" spans="1:1">
      <c r="A2087" t="str">
        <f>CONCATENATE("    - ",TEXT('DLC mass atten coeff'!BI1033,"0.000E+00"))</f>
        <v xml:space="preserve">    - 8.652E-02</v>
      </c>
    </row>
    <row r="2088" spans="1:1">
      <c r="A2088" t="str">
        <f>CONCATENATE("    - ",TEXT('DLC mass atten coeff'!BI1034,"0.000E+00"))</f>
        <v xml:space="preserve">    - 6.903E-02</v>
      </c>
    </row>
    <row r="2089" spans="1:1">
      <c r="A2089" t="str">
        <f>CONCATENATE("    - ",TEXT('DLC mass atten coeff'!BI1035,"0.000E+00"))</f>
        <v xml:space="preserve">    - 5.926E-02</v>
      </c>
    </row>
    <row r="2090" spans="1:1">
      <c r="A2090" t="str">
        <f>CONCATENATE("    - ",TEXT('DLC mass atten coeff'!BI1036,"0.000E+00"))</f>
        <v xml:space="preserve">    - 4.696E-02</v>
      </c>
    </row>
    <row r="2091" spans="1:1">
      <c r="A2091" t="str">
        <f>CONCATENATE("    - ",TEXT('DLC mass atten coeff'!BI1037,"0.000E+00"))</f>
        <v xml:space="preserve">    - 4.194E-02</v>
      </c>
    </row>
    <row r="2092" spans="1:1">
      <c r="A2092" t="str">
        <f>CONCATENATE("    - ",TEXT('DLC mass atten coeff'!BI1038,"0.000E+00"))</f>
        <v xml:space="preserve">    - 3.834E-02</v>
      </c>
    </row>
    <row r="2093" spans="1:1">
      <c r="A2093" t="str">
        <f>CONCATENATE("    - ",TEXT('DLC mass atten coeff'!BI1039,"0.000E+00"))</f>
        <v xml:space="preserve">    - 3.761E-02</v>
      </c>
    </row>
    <row r="2094" spans="1:1">
      <c r="A2094" t="str">
        <f>CONCATENATE("    - ",TEXT('DLC mass atten coeff'!BI1040,"0.000E+00"))</f>
        <v xml:space="preserve">    - 3.795E-02</v>
      </c>
    </row>
    <row r="2095" spans="1:1">
      <c r="A2095" t="str">
        <f>CONCATENATE("    - ",TEXT('DLC mass atten coeff'!BI1041,"0.000E+00"))</f>
        <v xml:space="preserve">    - 3.870E-02</v>
      </c>
    </row>
    <row r="2096" spans="1:1">
      <c r="A2096" t="str">
        <f>CONCATENATE("    - ",TEXT('DLC mass atten coeff'!BI1042,"0.000E+00"))</f>
        <v xml:space="preserve">    - 4.074E-02</v>
      </c>
    </row>
    <row r="2097" spans="1:1">
      <c r="A2097" t="str">
        <f>CONCATENATE("    - ",TEXT('DLC mass atten coeff'!BI1043,"0.000E+00"))</f>
        <v xml:space="preserve">    - 4.298E-02</v>
      </c>
    </row>
    <row r="2098" spans="1:1">
      <c r="A2098" t="str">
        <f>CONCATENATE("    - ",TEXT('DLC mass atten coeff'!BI1044,"0.000E+00"))</f>
        <v xml:space="preserve">    - 4.828E-02</v>
      </c>
    </row>
    <row r="2099" spans="1:1">
      <c r="A2099" t="str">
        <f>CONCATENATE("    - ",TEXT('DLC mass atten coeff'!BI1045,"0.000E+00"))</f>
        <v xml:space="preserve">    - 5.253E-02</v>
      </c>
    </row>
    <row r="2100" spans="1:1">
      <c r="A2100" t="str">
        <f>CONCATENATE("    - ",TEXT('DLC mass atten coeff'!BI1046,"0.000E+00"))</f>
        <v xml:space="preserve">    - 5.897E-02</v>
      </c>
    </row>
    <row r="2101" spans="1:1">
      <c r="A2101" t="str">
        <f>CONCATENATE('DLC mass atten coeff'!BJ1018,":")</f>
        <v>promethium:</v>
      </c>
    </row>
    <row r="2102" spans="1:1">
      <c r="A2102" s="18" t="str">
        <f>CONCATENATE("  density: ",VLOOKUP(A2101,densities!$A$5:$B$110,2,FALSE))</f>
        <v xml:space="preserve">  density: 7.220E+00</v>
      </c>
    </row>
    <row r="2103" spans="1:1" ht="16">
      <c r="A2103" s="19" t="s">
        <v>1615</v>
      </c>
    </row>
    <row r="2104" spans="1:1">
      <c r="A2104" s="19" t="s">
        <v>1553</v>
      </c>
    </row>
    <row r="2105" spans="1:1">
      <c r="A2105" s="19" t="s">
        <v>1554</v>
      </c>
    </row>
    <row r="2106" spans="1:1">
      <c r="A2106" s="21" t="s">
        <v>1860</v>
      </c>
    </row>
    <row r="2107" spans="1:1">
      <c r="A2107" s="19" t="s">
        <v>1555</v>
      </c>
    </row>
    <row r="2108" spans="1:1">
      <c r="A2108" t="str">
        <f>CONCATENATE("    - ",TEXT('DLC mass atten coeff'!BJ1019,"0.000E+00"))</f>
        <v xml:space="preserve">    - 2.407E+02</v>
      </c>
    </row>
    <row r="2109" spans="1:1">
      <c r="A2109" t="str">
        <f>CONCATENATE("    - ",TEXT('DLC mass atten coeff'!BJ1020,"0.000E+00"))</f>
        <v xml:space="preserve">    - 8.199E+01</v>
      </c>
    </row>
    <row r="2110" spans="1:1">
      <c r="A2110" t="str">
        <f>CONCATENATE("    - ",TEXT('DLC mass atten coeff'!BJ1021,"0.000E+00"))</f>
        <v xml:space="preserve">    - 3.765E+01</v>
      </c>
    </row>
    <row r="2111" spans="1:1">
      <c r="A2111" t="str">
        <f>CONCATENATE("    - ",TEXT('DLC mass atten coeff'!BJ1022,"0.000E+00"))</f>
        <v xml:space="preserve">    - 1.239E+01</v>
      </c>
    </row>
    <row r="2112" spans="1:1">
      <c r="A2112" t="str">
        <f>CONCATENATE("    - ",TEXT('DLC mass atten coeff'!BJ1023,"0.000E+00"))</f>
        <v xml:space="preserve">    - 5.620E+00</v>
      </c>
    </row>
    <row r="2113" spans="1:1">
      <c r="A2113" t="str">
        <f>CONCATENATE("    - ",TEXT('DLC mass atten coeff'!BJ1024,"0.000E+00"))</f>
        <v xml:space="preserve">    - 1.696E+01</v>
      </c>
    </row>
    <row r="2114" spans="1:1">
      <c r="A2114" t="str">
        <f>CONCATENATE("    - ",TEXT('DLC mass atten coeff'!BJ1025,"0.000E+00"))</f>
        <v xml:space="preserve">    - 1.058E+01</v>
      </c>
    </row>
    <row r="2115" spans="1:1">
      <c r="A2115" t="str">
        <f>CONCATENATE("    - ",TEXT('DLC mass atten coeff'!BJ1026,"0.000E+00"))</f>
        <v xml:space="preserve">    - 4.927E+00</v>
      </c>
    </row>
    <row r="2116" spans="1:1">
      <c r="A2116" t="str">
        <f>CONCATENATE("    - ",TEXT('DLC mass atten coeff'!BJ1027,"0.000E+00"))</f>
        <v xml:space="preserve">    - 2.720E+00</v>
      </c>
    </row>
    <row r="2117" spans="1:1">
      <c r="A2117" t="str">
        <f>CONCATENATE("    - ",TEXT('DLC mass atten coeff'!BJ1028,"0.000E+00"))</f>
        <v xml:space="preserve">    - 9.478E-01</v>
      </c>
    </row>
    <row r="2118" spans="1:1">
      <c r="A2118" t="str">
        <f>CONCATENATE("    - ",TEXT('DLC mass atten coeff'!BJ1029,"0.000E+00"))</f>
        <v xml:space="preserve">    - 4.764E-01</v>
      </c>
    </row>
    <row r="2119" spans="1:1">
      <c r="A2119" t="str">
        <f>CONCATENATE("    - ",TEXT('DLC mass atten coeff'!BJ1030,"0.000E+00"))</f>
        <v xml:space="preserve">    - 2.118E-01</v>
      </c>
    </row>
    <row r="2120" spans="1:1">
      <c r="A2120" t="str">
        <f>CONCATENATE("    - ",TEXT('DLC mass atten coeff'!BJ1031,"0.000E+00"))</f>
        <v xml:space="preserve">    - 1.373E-01</v>
      </c>
    </row>
    <row r="2121" spans="1:1">
      <c r="A2121" t="str">
        <f>CONCATENATE("    - ",TEXT('DLC mass atten coeff'!BJ1032,"0.000E+00"))</f>
        <v xml:space="preserve">    - 1.057E-01</v>
      </c>
    </row>
    <row r="2122" spans="1:1">
      <c r="A2122" t="str">
        <f>CONCATENATE("    - ",TEXT('DLC mass atten coeff'!BJ1033,"0.000E+00"))</f>
        <v xml:space="preserve">    - 8.873E-02</v>
      </c>
    </row>
    <row r="2123" spans="1:1">
      <c r="A2123" t="str">
        <f>CONCATENATE("    - ",TEXT('DLC mass atten coeff'!BJ1034,"0.000E+00"))</f>
        <v xml:space="preserve">    - 7.044E-02</v>
      </c>
    </row>
    <row r="2124" spans="1:1">
      <c r="A2124" t="str">
        <f>CONCATENATE("    - ",TEXT('DLC mass atten coeff'!BJ1035,"0.000E+00"))</f>
        <v xml:space="preserve">    - 6.034E-02</v>
      </c>
    </row>
    <row r="2125" spans="1:1">
      <c r="A2125" t="str">
        <f>CONCATENATE("    - ",TEXT('DLC mass atten coeff'!BJ1036,"0.000E+00"))</f>
        <v xml:space="preserve">    - 4.777E-02</v>
      </c>
    </row>
    <row r="2126" spans="1:1">
      <c r="A2126" t="str">
        <f>CONCATENATE("    - ",TEXT('DLC mass atten coeff'!BJ1037,"0.000E+00"))</f>
        <v xml:space="preserve">    - 4.264E-02</v>
      </c>
    </row>
    <row r="2127" spans="1:1">
      <c r="A2127" t="str">
        <f>CONCATENATE("    - ",TEXT('DLC mass atten coeff'!BJ1038,"0.000E+00"))</f>
        <v xml:space="preserve">    - 3.902E-02</v>
      </c>
    </row>
    <row r="2128" spans="1:1">
      <c r="A2128" t="str">
        <f>CONCATENATE("    - ",TEXT('DLC mass atten coeff'!BJ1039,"0.000E+00"))</f>
        <v xml:space="preserve">    - 3.834E-02</v>
      </c>
    </row>
    <row r="2129" spans="1:1">
      <c r="A2129" t="str">
        <f>CONCATENATE("    - ",TEXT('DLC mass atten coeff'!BJ1040,"0.000E+00"))</f>
        <v xml:space="preserve">    - 3.871E-02</v>
      </c>
    </row>
    <row r="2130" spans="1:1">
      <c r="A2130" t="str">
        <f>CONCATENATE("    - ",TEXT('DLC mass atten coeff'!BJ1041,"0.000E+00"))</f>
        <v xml:space="preserve">    - 3.950E-02</v>
      </c>
    </row>
    <row r="2131" spans="1:1">
      <c r="A2131" t="str">
        <f>CONCATENATE("    - ",TEXT('DLC mass atten coeff'!BJ1042,"0.000E+00"))</f>
        <v xml:space="preserve">    - 4.162E-02</v>
      </c>
    </row>
    <row r="2132" spans="1:1">
      <c r="A2132" t="str">
        <f>CONCATENATE("    - ",TEXT('DLC mass atten coeff'!BJ1043,"0.000E+00"))</f>
        <v xml:space="preserve">    - 4.395E-02</v>
      </c>
    </row>
    <row r="2133" spans="1:1">
      <c r="A2133" t="str">
        <f>CONCATENATE("    - ",TEXT('DLC mass atten coeff'!BJ1044,"0.000E+00"))</f>
        <v xml:space="preserve">    - 4.941E-02</v>
      </c>
    </row>
    <row r="2134" spans="1:1">
      <c r="A2134" t="str">
        <f>CONCATENATE("    - ",TEXT('DLC mass atten coeff'!BJ1045,"0.000E+00"))</f>
        <v xml:space="preserve">    - 5.376E-02</v>
      </c>
    </row>
    <row r="2135" spans="1:1">
      <c r="A2135" t="str">
        <f>CONCATENATE("    - ",TEXT('DLC mass atten coeff'!BJ1046,"0.000E+00"))</f>
        <v xml:space="preserve">    - 6.042E-02</v>
      </c>
    </row>
    <row r="2136" spans="1:1">
      <c r="A2136" t="str">
        <f>CONCATENATE('DLC mass atten coeff'!BK1018,":")</f>
        <v>samarium:</v>
      </c>
    </row>
    <row r="2137" spans="1:1">
      <c r="A2137" s="18" t="str">
        <f>CONCATENATE("  density: ",VLOOKUP(A2136,densities!$A$5:$B$110,2,FALSE))</f>
        <v xml:space="preserve">  density: 7.460E+00</v>
      </c>
    </row>
    <row r="2138" spans="1:1" ht="16">
      <c r="A2138" s="19" t="s">
        <v>1616</v>
      </c>
    </row>
    <row r="2139" spans="1:1">
      <c r="A2139" s="19" t="s">
        <v>1553</v>
      </c>
    </row>
    <row r="2140" spans="1:1">
      <c r="A2140" s="19" t="s">
        <v>1554</v>
      </c>
    </row>
    <row r="2141" spans="1:1">
      <c r="A2141" s="21" t="s">
        <v>1860</v>
      </c>
    </row>
    <row r="2142" spans="1:1">
      <c r="A2142" s="19" t="s">
        <v>1555</v>
      </c>
    </row>
    <row r="2143" spans="1:1">
      <c r="A2143" t="str">
        <f>CONCATENATE("    - ",TEXT('DLC mass atten coeff'!BK1019,"0.000E+00"))</f>
        <v xml:space="preserve">    - 2.466E+02</v>
      </c>
    </row>
    <row r="2144" spans="1:1">
      <c r="A2144" t="str">
        <f>CONCATENATE("    - ",TEXT('DLC mass atten coeff'!BK1020,"0.000E+00"))</f>
        <v xml:space="preserve">    - 8.418E+01</v>
      </c>
    </row>
    <row r="2145" spans="1:1">
      <c r="A2145" t="str">
        <f>CONCATENATE("    - ",TEXT('DLC mass atten coeff'!BK1021,"0.000E+00"))</f>
        <v xml:space="preserve">    - 3.873E+01</v>
      </c>
    </row>
    <row r="2146" spans="1:1">
      <c r="A2146" t="str">
        <f>CONCATENATE("    - ",TEXT('DLC mass atten coeff'!BK1022,"0.000E+00"))</f>
        <v xml:space="preserve">    - 1.277E+01</v>
      </c>
    </row>
    <row r="2147" spans="1:1">
      <c r="A2147" t="str">
        <f>CONCATENATE("    - ",TEXT('DLC mass atten coeff'!BK1023,"0.000E+00"))</f>
        <v xml:space="preserve">    - 5.799E+00</v>
      </c>
    </row>
    <row r="2148" spans="1:1">
      <c r="A2148" t="str">
        <f>CONCATENATE("    - ",TEXT('DLC mass atten coeff'!BK1024,"0.000E+00"))</f>
        <v xml:space="preserve">    - 1.735E+01</v>
      </c>
    </row>
    <row r="2149" spans="1:1">
      <c r="A2149" t="str">
        <f>CONCATENATE("    - ",TEXT('DLC mass atten coeff'!BK1025,"0.000E+00"))</f>
        <v xml:space="preserve">    - 1.078E+01</v>
      </c>
    </row>
    <row r="2150" spans="1:1">
      <c r="A2150" t="str">
        <f>CONCATENATE("    - ",TEXT('DLC mass atten coeff'!BK1026,"0.000E+00"))</f>
        <v xml:space="preserve">    - 5.030E+00</v>
      </c>
    </row>
    <row r="2151" spans="1:1">
      <c r="A2151" t="str">
        <f>CONCATENATE("    - ",TEXT('DLC mass atten coeff'!BK1027,"0.000E+00"))</f>
        <v xml:space="preserve">    - 2.780E+00</v>
      </c>
    </row>
    <row r="2152" spans="1:1">
      <c r="A2152" t="str">
        <f>CONCATENATE("    - ",TEXT('DLC mass atten coeff'!BK1028,"0.000E+00"))</f>
        <v xml:space="preserve">    - 9.693E-01</v>
      </c>
    </row>
    <row r="2153" spans="1:1">
      <c r="A2153" t="str">
        <f>CONCATENATE("    - ",TEXT('DLC mass atten coeff'!BK1029,"0.000E+00"))</f>
        <v xml:space="preserve">    - 4.854E-01</v>
      </c>
    </row>
    <row r="2154" spans="1:1">
      <c r="A2154" t="str">
        <f>CONCATENATE("    - ",TEXT('DLC mass atten coeff'!BK1030,"0.000E+00"))</f>
        <v xml:space="preserve">    - 2.140E-01</v>
      </c>
    </row>
    <row r="2155" spans="1:1">
      <c r="A2155" t="str">
        <f>CONCATENATE("    - ",TEXT('DLC mass atten coeff'!BK1031,"0.000E+00"))</f>
        <v xml:space="preserve">    - 1.376E-01</v>
      </c>
    </row>
    <row r="2156" spans="1:1">
      <c r="A2156" t="str">
        <f>CONCATENATE("    - ",TEXT('DLC mass atten coeff'!BK1032,"0.000E+00"))</f>
        <v xml:space="preserve">    - 1.054E-01</v>
      </c>
    </row>
    <row r="2157" spans="1:1">
      <c r="A2157" t="str">
        <f>CONCATENATE("    - ",TEXT('DLC mass atten coeff'!BK1033,"0.000E+00"))</f>
        <v xml:space="preserve">    - 8.806E-02</v>
      </c>
    </row>
    <row r="2158" spans="1:1">
      <c r="A2158" t="str">
        <f>CONCATENATE("    - ",TEXT('DLC mass atten coeff'!BK1034,"0.000E+00"))</f>
        <v xml:space="preserve">    - 6.965E-02</v>
      </c>
    </row>
    <row r="2159" spans="1:1">
      <c r="A2159" t="str">
        <f>CONCATENATE("    - ",TEXT('DLC mass atten coeff'!BK1035,"0.000E+00"))</f>
        <v xml:space="preserve">    - 5.949E-02</v>
      </c>
    </row>
    <row r="2160" spans="1:1">
      <c r="A2160" t="str">
        <f>CONCATENATE("    - ",TEXT('DLC mass atten coeff'!BK1036,"0.000E+00"))</f>
        <v xml:space="preserve">    - 4.700E-02</v>
      </c>
    </row>
    <row r="2161" spans="1:1">
      <c r="A2161" t="str">
        <f>CONCATENATE("    - ",TEXT('DLC mass atten coeff'!BK1037,"0.000E+00"))</f>
        <v xml:space="preserve">    - 4.196E-02</v>
      </c>
    </row>
    <row r="2162" spans="1:1">
      <c r="A2162" t="str">
        <f>CONCATENATE("    - ",TEXT('DLC mass atten coeff'!BK1038,"0.000E+00"))</f>
        <v xml:space="preserve">    - 3.845E-02</v>
      </c>
    </row>
    <row r="2163" spans="1:1">
      <c r="A2163" t="str">
        <f>CONCATENATE("    - ",TEXT('DLC mass atten coeff'!BK1039,"0.000E+00"))</f>
        <v xml:space="preserve">    - 3.782E-02</v>
      </c>
    </row>
    <row r="2164" spans="1:1">
      <c r="A2164" t="str">
        <f>CONCATENATE("    - ",TEXT('DLC mass atten coeff'!BK1040,"0.000E+00"))</f>
        <v xml:space="preserve">    - 3.822E-02</v>
      </c>
    </row>
    <row r="2165" spans="1:1">
      <c r="A2165" t="str">
        <f>CONCATENATE("    - ",TEXT('DLC mass atten coeff'!BK1041,"0.000E+00"))</f>
        <v xml:space="preserve">    - 3.903E-02</v>
      </c>
    </row>
    <row r="2166" spans="1:1">
      <c r="A2166" t="str">
        <f>CONCATENATE("    - ",TEXT('DLC mass atten coeff'!BK1042,"0.000E+00"))</f>
        <v xml:space="preserve">    - 4.117E-02</v>
      </c>
    </row>
    <row r="2167" spans="1:1">
      <c r="A2167" t="str">
        <f>CONCATENATE("    - ",TEXT('DLC mass atten coeff'!BK1043,"0.000E+00"))</f>
        <v xml:space="preserve">    - 4.349E-02</v>
      </c>
    </row>
    <row r="2168" spans="1:1">
      <c r="A2168" t="str">
        <f>CONCATENATE("    - ",TEXT('DLC mass atten coeff'!BK1044,"0.000E+00"))</f>
        <v xml:space="preserve">    - 4.895E-02</v>
      </c>
    </row>
    <row r="2169" spans="1:1">
      <c r="A2169" t="str">
        <f>CONCATENATE("    - ",TEXT('DLC mass atten coeff'!BK1045,"0.000E+00"))</f>
        <v xml:space="preserve">    - 5.331E-02</v>
      </c>
    </row>
    <row r="2170" spans="1:1">
      <c r="A2170" t="str">
        <f>CONCATENATE("    - ",TEXT('DLC mass atten coeff'!BK1046,"0.000E+00"))</f>
        <v xml:space="preserve">    - 5.990E-02</v>
      </c>
    </row>
    <row r="2171" spans="1:1">
      <c r="A2171" t="str">
        <f>CONCATENATE('DLC mass atten coeff'!BL1018,":")</f>
        <v>europium:</v>
      </c>
    </row>
    <row r="2172" spans="1:1">
      <c r="A2172" s="18" t="str">
        <f>CONCATENATE("  density: ",VLOOKUP(A2171,densities!$A$5:$B$110,2,FALSE))</f>
        <v xml:space="preserve">  density: 5.243E+00</v>
      </c>
    </row>
    <row r="2173" spans="1:1" ht="16">
      <c r="A2173" s="19" t="s">
        <v>1617</v>
      </c>
    </row>
    <row r="2174" spans="1:1">
      <c r="A2174" s="19" t="s">
        <v>1553</v>
      </c>
    </row>
    <row r="2175" spans="1:1">
      <c r="A2175" s="19" t="s">
        <v>1554</v>
      </c>
    </row>
    <row r="2176" spans="1:1">
      <c r="A2176" s="21" t="s">
        <v>1860</v>
      </c>
    </row>
    <row r="2177" spans="1:1">
      <c r="A2177" s="19" t="s">
        <v>1555</v>
      </c>
    </row>
    <row r="2178" spans="1:1">
      <c r="A2178" t="str">
        <f>CONCATENATE("    - ",TEXT('DLC mass atten coeff'!BL1019,"0.000E+00"))</f>
        <v xml:space="preserve">    - 2.595E+02</v>
      </c>
    </row>
    <row r="2179" spans="1:1">
      <c r="A2179" t="str">
        <f>CONCATENATE("    - ",TEXT('DLC mass atten coeff'!BL1020,"0.000E+00"))</f>
        <v xml:space="preserve">    - 8.869E+01</v>
      </c>
    </row>
    <row r="2180" spans="1:1">
      <c r="A2180" t="str">
        <f>CONCATENATE("    - ",TEXT('DLC mass atten coeff'!BL1021,"0.000E+00"))</f>
        <v xml:space="preserve">    - 4.085E+01</v>
      </c>
    </row>
    <row r="2181" spans="1:1">
      <c r="A2181" t="str">
        <f>CONCATENATE("    - ",TEXT('DLC mass atten coeff'!BL1022,"0.000E+00"))</f>
        <v xml:space="preserve">    - 1.351E+01</v>
      </c>
    </row>
    <row r="2182" spans="1:1">
      <c r="A2182" t="str">
        <f>CONCATENATE("    - ",TEXT('DLC mass atten coeff'!BL1023,"0.000E+00"))</f>
        <v xml:space="preserve">    - 6.136E+00</v>
      </c>
    </row>
    <row r="2183" spans="1:1">
      <c r="A2183" t="str">
        <f>CONCATENATE("    - ",TEXT('DLC mass atten coeff'!BL1024,"0.000E+00"))</f>
        <v xml:space="preserve">    - 1.809E+01</v>
      </c>
    </row>
    <row r="2184" spans="1:1">
      <c r="A2184" t="str">
        <f>CONCATENATE("    - ",TEXT('DLC mass atten coeff'!BL1025,"0.000E+00"))</f>
        <v xml:space="preserve">    - 1.125E+01</v>
      </c>
    </row>
    <row r="2185" spans="1:1">
      <c r="A2185" t="str">
        <f>CONCATENATE("    - ",TEXT('DLC mass atten coeff'!BL1026,"0.000E+00"))</f>
        <v xml:space="preserve">    - 5.269E+00</v>
      </c>
    </row>
    <row r="2186" spans="1:1">
      <c r="A2186" t="str">
        <f>CONCATENATE("    - ",TEXT('DLC mass atten coeff'!BL1027,"0.000E+00"))</f>
        <v xml:space="preserve">    - 2.914E+00</v>
      </c>
    </row>
    <row r="2187" spans="1:1">
      <c r="A2187" t="str">
        <f>CONCATENATE("    - ",TEXT('DLC mass atten coeff'!BL1028,"0.000E+00"))</f>
        <v xml:space="preserve">    - 1.016E+00</v>
      </c>
    </row>
    <row r="2188" spans="1:1">
      <c r="A2188" t="str">
        <f>CONCATENATE("    - ",TEXT('DLC mass atten coeff'!BL1029,"0.000E+00"))</f>
        <v xml:space="preserve">    - 5.076E-01</v>
      </c>
    </row>
    <row r="2189" spans="1:1">
      <c r="A2189" t="str">
        <f>CONCATENATE("    - ",TEXT('DLC mass atten coeff'!BL1030,"0.000E+00"))</f>
        <v xml:space="preserve">    - 2.219E-01</v>
      </c>
    </row>
    <row r="2190" spans="1:1">
      <c r="A2190" t="str">
        <f>CONCATENATE("    - ",TEXT('DLC mass atten coeff'!BL1031,"0.000E+00"))</f>
        <v xml:space="preserve">    - 1.416E-01</v>
      </c>
    </row>
    <row r="2191" spans="1:1">
      <c r="A2191" t="str">
        <f>CONCATENATE("    - ",TEXT('DLC mass atten coeff'!BL1032,"0.000E+00"))</f>
        <v xml:space="preserve">    - 1.079E-01</v>
      </c>
    </row>
    <row r="2192" spans="1:1">
      <c r="A2192" t="str">
        <f>CONCATENATE("    - ",TEXT('DLC mass atten coeff'!BL1033,"0.000E+00"))</f>
        <v xml:space="preserve">    - 8.978E-02</v>
      </c>
    </row>
    <row r="2193" spans="1:1">
      <c r="A2193" t="str">
        <f>CONCATENATE("    - ",TEXT('DLC mass atten coeff'!BL1034,"0.000E+00"))</f>
        <v xml:space="preserve">    - 7.065E-02</v>
      </c>
    </row>
    <row r="2194" spans="1:1">
      <c r="A2194" t="str">
        <f>CONCATENATE("    - ",TEXT('DLC mass atten coeff'!BL1035,"0.000E+00"))</f>
        <v xml:space="preserve">    - 6.027E-02</v>
      </c>
    </row>
    <row r="2195" spans="1:1">
      <c r="A2195" t="str">
        <f>CONCATENATE("    - ",TEXT('DLC mass atten coeff'!BL1036,"0.000E+00"))</f>
        <v xml:space="preserve">    - 4.747E-02</v>
      </c>
    </row>
    <row r="2196" spans="1:1">
      <c r="A2196" t="str">
        <f>CONCATENATE("    - ",TEXT('DLC mass atten coeff'!BL1037,"0.000E+00"))</f>
        <v xml:space="preserve">    - 4.240E-02</v>
      </c>
    </row>
    <row r="2197" spans="1:1">
      <c r="A2197" t="str">
        <f>CONCATENATE("    - ",TEXT('DLC mass atten coeff'!BL1038,"0.000E+00"))</f>
        <v xml:space="preserve">    - 3.890E-02</v>
      </c>
    </row>
    <row r="2198" spans="1:1">
      <c r="A2198" t="str">
        <f>CONCATENATE("    - ",TEXT('DLC mass atten coeff'!BL1039,"0.000E+00"))</f>
        <v xml:space="preserve">    - 3.829E-02</v>
      </c>
    </row>
    <row r="2199" spans="1:1">
      <c r="A2199" t="str">
        <f>CONCATENATE("    - ",TEXT('DLC mass atten coeff'!BL1040,"0.000E+00"))</f>
        <v xml:space="preserve">    - 3.873E-02</v>
      </c>
    </row>
    <row r="2200" spans="1:1">
      <c r="A2200" t="str">
        <f>CONCATENATE("    - ",TEXT('DLC mass atten coeff'!BL1041,"0.000E+00"))</f>
        <v xml:space="preserve">    - 3.957E-02</v>
      </c>
    </row>
    <row r="2201" spans="1:1">
      <c r="A2201" t="str">
        <f>CONCATENATE("    - ",TEXT('DLC mass atten coeff'!BL1042,"0.000E+00"))</f>
        <v xml:space="preserve">    - 4.178E-02</v>
      </c>
    </row>
    <row r="2202" spans="1:1">
      <c r="A2202" t="str">
        <f>CONCATENATE("    - ",TEXT('DLC mass atten coeff'!BL1043,"0.000E+00"))</f>
        <v xml:space="preserve">    - 4.416E-02</v>
      </c>
    </row>
    <row r="2203" spans="1:1">
      <c r="A2203" t="str">
        <f>CONCATENATE("    - ",TEXT('DLC mass atten coeff'!BL1044,"0.000E+00"))</f>
        <v xml:space="preserve">    - 4.976E-02</v>
      </c>
    </row>
    <row r="2204" spans="1:1">
      <c r="A2204" t="str">
        <f>CONCATENATE("    - ",TEXT('DLC mass atten coeff'!BL1045,"0.000E+00"))</f>
        <v xml:space="preserve">    - 5.419E-02</v>
      </c>
    </row>
    <row r="2205" spans="1:1">
      <c r="A2205" t="str">
        <f>CONCATENATE("    - ",TEXT('DLC mass atten coeff'!BL1046,"0.000E+00"))</f>
        <v xml:space="preserve">    - 6.096E-02</v>
      </c>
    </row>
    <row r="2206" spans="1:1">
      <c r="A2206" t="str">
        <f>CONCATENATE('DLC mass atten coeff'!BM1018,":")</f>
        <v>gadolinium:</v>
      </c>
    </row>
    <row r="2207" spans="1:1">
      <c r="A2207" s="18" t="str">
        <f>CONCATENATE("  density: ",VLOOKUP(A2206,densities!$A$5:$B$110,2,FALSE))</f>
        <v xml:space="preserve">  density: 7.900E+00</v>
      </c>
    </row>
    <row r="2208" spans="1:1" ht="16">
      <c r="A2208" s="19" t="s">
        <v>1618</v>
      </c>
    </row>
    <row r="2209" spans="1:1">
      <c r="A2209" s="19" t="s">
        <v>1553</v>
      </c>
    </row>
    <row r="2210" spans="1:1">
      <c r="A2210" s="19" t="s">
        <v>1554</v>
      </c>
    </row>
    <row r="2211" spans="1:1">
      <c r="A2211" s="21" t="s">
        <v>1860</v>
      </c>
    </row>
    <row r="2212" spans="1:1">
      <c r="A2212" s="19" t="s">
        <v>1555</v>
      </c>
    </row>
    <row r="2213" spans="1:1">
      <c r="A2213" t="str">
        <f>CONCATENATE("    - ",TEXT('DLC mass atten coeff'!BM1019,"0.000E+00"))</f>
        <v xml:space="preserve">    - 2.659E+02</v>
      </c>
    </row>
    <row r="2214" spans="1:1">
      <c r="A2214" t="str">
        <f>CONCATENATE("    - ",TEXT('DLC mass atten coeff'!BM1020,"0.000E+00"))</f>
        <v xml:space="preserve">    - 9.115E+01</v>
      </c>
    </row>
    <row r="2215" spans="1:1">
      <c r="A2215" t="str">
        <f>CONCATENATE("    - ",TEXT('DLC mass atten coeff'!BM1021,"0.000E+00"))</f>
        <v xml:space="preserve">    - 4.204E+01</v>
      </c>
    </row>
    <row r="2216" spans="1:1">
      <c r="A2216" t="str">
        <f>CONCATENATE("    - ",TEXT('DLC mass atten coeff'!BM1022,"0.000E+00"))</f>
        <v xml:space="preserve">    - 1.393E+01</v>
      </c>
    </row>
    <row r="2217" spans="1:1">
      <c r="A2217" t="str">
        <f>CONCATENATE("    - ",TEXT('DLC mass atten coeff'!BM1023,"0.000E+00"))</f>
        <v xml:space="preserve">    - 6.335E+00</v>
      </c>
    </row>
    <row r="2218" spans="1:1">
      <c r="A2218" t="str">
        <f>CONCATENATE("    - ",TEXT('DLC mass atten coeff'!BM1024,"0.000E+00"))</f>
        <v xml:space="preserve">    - 3.450E+00</v>
      </c>
    </row>
    <row r="2219" spans="1:1">
      <c r="A2219" t="str">
        <f>CONCATENATE("    - ",TEXT('DLC mass atten coeff'!BM1025,"0.000E+00"))</f>
        <v xml:space="preserve">    - 1.144E+01</v>
      </c>
    </row>
    <row r="2220" spans="1:1">
      <c r="A2220" t="str">
        <f>CONCATENATE("    - ",TEXT('DLC mass atten coeff'!BM1026,"0.000E+00"))</f>
        <v xml:space="preserve">    - 5.385E+00</v>
      </c>
    </row>
    <row r="2221" spans="1:1">
      <c r="A2221" t="str">
        <f>CONCATENATE("    - ",TEXT('DLC mass atten coeff'!BM1027,"0.000E+00"))</f>
        <v xml:space="preserve">    - 2.982E+00</v>
      </c>
    </row>
    <row r="2222" spans="1:1">
      <c r="A2222" t="str">
        <f>CONCATENATE("    - ",TEXT('DLC mass atten coeff'!BM1028,"0.000E+00"))</f>
        <v xml:space="preserve">    - 1.040E+00</v>
      </c>
    </row>
    <row r="2223" spans="1:1">
      <c r="A2223" t="str">
        <f>CONCATENATE("    - ",TEXT('DLC mass atten coeff'!BM1029,"0.000E+00"))</f>
        <v xml:space="preserve">    - 5.181E-01</v>
      </c>
    </row>
    <row r="2224" spans="1:1">
      <c r="A2224" t="str">
        <f>CONCATENATE("    - ",TEXT('DLC mass atten coeff'!BM1030,"0.000E+00"))</f>
        <v xml:space="preserve">    - 2.247E-01</v>
      </c>
    </row>
    <row r="2225" spans="1:1">
      <c r="A2225" t="str">
        <f>CONCATENATE("    - ",TEXT('DLC mass atten coeff'!BM1031,"0.000E+00"))</f>
        <v xml:space="preserve">    - 1.424E-01</v>
      </c>
    </row>
    <row r="2226" spans="1:1">
      <c r="A2226" t="str">
        <f>CONCATENATE("    - ",TEXT('DLC mass atten coeff'!BM1032,"0.000E+00"))</f>
        <v xml:space="preserve">    - 1.078E-01</v>
      </c>
    </row>
    <row r="2227" spans="1:1">
      <c r="A2227" t="str">
        <f>CONCATENATE("    - ",TEXT('DLC mass atten coeff'!BM1033,"0.000E+00"))</f>
        <v xml:space="preserve">    - 8.941E-02</v>
      </c>
    </row>
    <row r="2228" spans="1:1">
      <c r="A2228" t="str">
        <f>CONCATENATE("    - ",TEXT('DLC mass atten coeff'!BM1034,"0.000E+00"))</f>
        <v xml:space="preserve">    - 7.005E-02</v>
      </c>
    </row>
    <row r="2229" spans="1:1">
      <c r="A2229" t="str">
        <f>CONCATENATE("    - ",TEXT('DLC mass atten coeff'!BM1035,"0.000E+00"))</f>
        <v xml:space="preserve">    - 5.958E-02</v>
      </c>
    </row>
    <row r="2230" spans="1:1">
      <c r="A2230" t="str">
        <f>CONCATENATE("    - ",TEXT('DLC mass atten coeff'!BM1036,"0.000E+00"))</f>
        <v xml:space="preserve">    - 4.682E-02</v>
      </c>
    </row>
    <row r="2231" spans="1:1">
      <c r="A2231" t="str">
        <f>CONCATENATE("    - ",TEXT('DLC mass atten coeff'!BM1037,"0.000E+00"))</f>
        <v xml:space="preserve">    - 4.183E-02</v>
      </c>
    </row>
    <row r="2232" spans="1:1">
      <c r="A2232" t="str">
        <f>CONCATENATE("    - ",TEXT('DLC mass atten coeff'!BM1038,"0.000E+00"))</f>
        <v xml:space="preserve">    - 3.841E-02</v>
      </c>
    </row>
    <row r="2233" spans="1:1">
      <c r="A2233" t="str">
        <f>CONCATENATE("    - ",TEXT('DLC mass atten coeff'!BM1039,"0.000E+00"))</f>
        <v xml:space="preserve">    - 3.786E-02</v>
      </c>
    </row>
    <row r="2234" spans="1:1">
      <c r="A2234" t="str">
        <f>CONCATENATE("    - ",TEXT('DLC mass atten coeff'!BM1040,"0.000E+00"))</f>
        <v xml:space="preserve">    - 3.832E-02</v>
      </c>
    </row>
    <row r="2235" spans="1:1">
      <c r="A2235" t="str">
        <f>CONCATENATE("    - ",TEXT('DLC mass atten coeff'!BM1041,"0.000E+00"))</f>
        <v xml:space="preserve">    - 3.919E-02</v>
      </c>
    </row>
    <row r="2236" spans="1:1">
      <c r="A2236" t="str">
        <f>CONCATENATE("    - ",TEXT('DLC mass atten coeff'!BM1042,"0.000E+00"))</f>
        <v xml:space="preserve">    - 4.140E-02</v>
      </c>
    </row>
    <row r="2237" spans="1:1">
      <c r="A2237" t="str">
        <f>CONCATENATE("    - ",TEXT('DLC mass atten coeff'!BM1043,"0.000E+00"))</f>
        <v xml:space="preserve">    - 4.378E-02</v>
      </c>
    </row>
    <row r="2238" spans="1:1">
      <c r="A2238" t="str">
        <f>CONCATENATE("    - ",TEXT('DLC mass atten coeff'!BM1044,"0.000E+00"))</f>
        <v xml:space="preserve">    - 4.939E-02</v>
      </c>
    </row>
    <row r="2239" spans="1:1">
      <c r="A2239" t="str">
        <f>CONCATENATE("    - ",TEXT('DLC mass atten coeff'!BM1045,"0.000E+00"))</f>
        <v xml:space="preserve">    - 5.381E-02</v>
      </c>
    </row>
    <row r="2240" spans="1:1">
      <c r="A2240" t="str">
        <f>CONCATENATE("    - ",TEXT('DLC mass atten coeff'!BM1046,"0.000E+00"))</f>
        <v xml:space="preserve">    - 6.054E-02</v>
      </c>
    </row>
    <row r="2241" spans="1:1">
      <c r="A2241" t="str">
        <f>CONCATENATE('DLC mass atten coeff'!BN1018,":")</f>
        <v>terbium:</v>
      </c>
    </row>
    <row r="2242" spans="1:1">
      <c r="A2242" s="18" t="str">
        <f>CONCATENATE("  density: ",VLOOKUP(A2241,densities!$A$5:$B$110,2,FALSE))</f>
        <v xml:space="preserve">  density: 8.229E+00</v>
      </c>
    </row>
    <row r="2243" spans="1:1" ht="16">
      <c r="A2243" s="19" t="s">
        <v>1619</v>
      </c>
    </row>
    <row r="2244" spans="1:1">
      <c r="A2244" s="19" t="s">
        <v>1553</v>
      </c>
    </row>
    <row r="2245" spans="1:1">
      <c r="A2245" s="19" t="s">
        <v>1554</v>
      </c>
    </row>
    <row r="2246" spans="1:1">
      <c r="A2246" s="21" t="s">
        <v>1860</v>
      </c>
    </row>
    <row r="2247" spans="1:1">
      <c r="A2247" s="19" t="s">
        <v>1555</v>
      </c>
    </row>
    <row r="2248" spans="1:1">
      <c r="A2248" t="str">
        <f>CONCATENATE("    - ",TEXT('DLC mass atten coeff'!BN1019,"0.000E+00"))</f>
        <v xml:space="preserve">    - 2.779E+02</v>
      </c>
    </row>
    <row r="2249" spans="1:1">
      <c r="A2249" t="str">
        <f>CONCATENATE("    - ",TEXT('DLC mass atten coeff'!BN1020,"0.000E+00"))</f>
        <v xml:space="preserve">    - 9.572E+01</v>
      </c>
    </row>
    <row r="2250" spans="1:1">
      <c r="A2250" t="str">
        <f>CONCATENATE("    - ",TEXT('DLC mass atten coeff'!BN1021,"0.000E+00"))</f>
        <v xml:space="preserve">    - 4.425E+01</v>
      </c>
    </row>
    <row r="2251" spans="1:1">
      <c r="A2251" t="str">
        <f>CONCATENATE("    - ",TEXT('DLC mass atten coeff'!BN1022,"0.000E+00"))</f>
        <v xml:space="preserve">    - 1.469E+01</v>
      </c>
    </row>
    <row r="2252" spans="1:1">
      <c r="A2252" t="str">
        <f>CONCATENATE("    - ",TEXT('DLC mass atten coeff'!BN1023,"0.000E+00"))</f>
        <v xml:space="preserve">    - 6.683E+00</v>
      </c>
    </row>
    <row r="2253" spans="1:1">
      <c r="A2253" t="str">
        <f>CONCATENATE("    - ",TEXT('DLC mass atten coeff'!BN1024,"0.000E+00"))</f>
        <v xml:space="preserve">    - 3.640E+00</v>
      </c>
    </row>
    <row r="2254" spans="1:1">
      <c r="A2254" t="str">
        <f>CONCATENATE("    - ",TEXT('DLC mass atten coeff'!BN1025,"0.000E+00"))</f>
        <v xml:space="preserve">    - 1.191E+01</v>
      </c>
    </row>
    <row r="2255" spans="1:1">
      <c r="A2255" t="str">
        <f>CONCATENATE("    - ",TEXT('DLC mass atten coeff'!BN1026,"0.000E+00"))</f>
        <v xml:space="preserve">    - 5.629E+00</v>
      </c>
    </row>
    <row r="2256" spans="1:1">
      <c r="A2256" t="str">
        <f>CONCATENATE("    - ",TEXT('DLC mass atten coeff'!BN1027,"0.000E+00"))</f>
        <v xml:space="preserve">    - 3.122E+00</v>
      </c>
    </row>
    <row r="2257" spans="1:1">
      <c r="A2257" t="str">
        <f>CONCATENATE("    - ",TEXT('DLC mass atten coeff'!BN1028,"0.000E+00"))</f>
        <v xml:space="preserve">    - 1.088E+00</v>
      </c>
    </row>
    <row r="2258" spans="1:1">
      <c r="A2258" t="str">
        <f>CONCATENATE("    - ",TEXT('DLC mass atten coeff'!BN1029,"0.000E+00"))</f>
        <v xml:space="preserve">    - 5.408E-01</v>
      </c>
    </row>
    <row r="2259" spans="1:1">
      <c r="A2259" t="str">
        <f>CONCATENATE("    - ",TEXT('DLC mass atten coeff'!BN1030,"0.000E+00"))</f>
        <v xml:space="preserve">    - 2.328E-01</v>
      </c>
    </row>
    <row r="2260" spans="1:1">
      <c r="A2260" t="str">
        <f>CONCATENATE("    - ",TEXT('DLC mass atten coeff'!BN1031,"0.000E+00"))</f>
        <v xml:space="preserve">    - 1.465E-01</v>
      </c>
    </row>
    <row r="2261" spans="1:1">
      <c r="A2261" t="str">
        <f>CONCATENATE("    - ",TEXT('DLC mass atten coeff'!BN1032,"0.000E+00"))</f>
        <v xml:space="preserve">    - 1.104E-01</v>
      </c>
    </row>
    <row r="2262" spans="1:1">
      <c r="A2262" t="str">
        <f>CONCATENATE("    - ",TEXT('DLC mass atten coeff'!BN1033,"0.000E+00"))</f>
        <v xml:space="preserve">    - 9.117E-02</v>
      </c>
    </row>
    <row r="2263" spans="1:1">
      <c r="A2263" t="str">
        <f>CONCATENATE("    - ",TEXT('DLC mass atten coeff'!BN1034,"0.000E+00"))</f>
        <v xml:space="preserve">    - 7.107E-02</v>
      </c>
    </row>
    <row r="2264" spans="1:1">
      <c r="A2264" t="str">
        <f>CONCATENATE("    - ",TEXT('DLC mass atten coeff'!BN1035,"0.000E+00"))</f>
        <v xml:space="preserve">    - 6.031E-02</v>
      </c>
    </row>
    <row r="2265" spans="1:1">
      <c r="A2265" t="str">
        <f>CONCATENATE("    - ",TEXT('DLC mass atten coeff'!BN1036,"0.000E+00"))</f>
        <v xml:space="preserve">    - 4.728E-02</v>
      </c>
    </row>
    <row r="2266" spans="1:1">
      <c r="A2266" t="str">
        <f>CONCATENATE("    - ",TEXT('DLC mass atten coeff'!BN1037,"0.000E+00"))</f>
        <v xml:space="preserve">    - 4.225E-02</v>
      </c>
    </row>
    <row r="2267" spans="1:1">
      <c r="A2267" t="str">
        <f>CONCATENATE("    - ",TEXT('DLC mass atten coeff'!BN1038,"0.000E+00"))</f>
        <v xml:space="preserve">    - 3.884E-02</v>
      </c>
    </row>
    <row r="2268" spans="1:1">
      <c r="A2268" t="str">
        <f>CONCATENATE("    - ",TEXT('DLC mass atten coeff'!BN1039,"0.000E+00"))</f>
        <v xml:space="preserve">    - 3.832E-02</v>
      </c>
    </row>
    <row r="2269" spans="1:1">
      <c r="A2269" t="str">
        <f>CONCATENATE("    - ",TEXT('DLC mass atten coeff'!BN1040,"0.000E+00"))</f>
        <v xml:space="preserve">    - 3.882E-02</v>
      </c>
    </row>
    <row r="2270" spans="1:1">
      <c r="A2270" t="str">
        <f>CONCATENATE("    - ",TEXT('DLC mass atten coeff'!BN1041,"0.000E+00"))</f>
        <v xml:space="preserve">    - 3.971E-02</v>
      </c>
    </row>
    <row r="2271" spans="1:1">
      <c r="A2271" t="str">
        <f>CONCATENATE("    - ",TEXT('DLC mass atten coeff'!BN1042,"0.000E+00"))</f>
        <v xml:space="preserve">    - 4.199E-02</v>
      </c>
    </row>
    <row r="2272" spans="1:1">
      <c r="A2272" t="str">
        <f>CONCATENATE("    - ",TEXT('DLC mass atten coeff'!BN1043,"0.000E+00"))</f>
        <v xml:space="preserve">    - 4.443E-02</v>
      </c>
    </row>
    <row r="2273" spans="1:1">
      <c r="A2273" t="str">
        <f>CONCATENATE("    - ",TEXT('DLC mass atten coeff'!BN1044,"0.000E+00"))</f>
        <v xml:space="preserve">    - 5.012E-02</v>
      </c>
    </row>
    <row r="2274" spans="1:1">
      <c r="A2274" t="str">
        <f>CONCATENATE("    - ",TEXT('DLC mass atten coeff'!BN1045,"0.000E+00"))</f>
        <v xml:space="preserve">    - 5.466E-02</v>
      </c>
    </row>
    <row r="2275" spans="1:1">
      <c r="A2275" t="str">
        <f>CONCATENATE("    - ",TEXT('DLC mass atten coeff'!BN1046,"0.000E+00"))</f>
        <v xml:space="preserve">    - 6.152E-02</v>
      </c>
    </row>
    <row r="2276" spans="1:1">
      <c r="A2276" t="str">
        <f>CONCATENATE('DLC mass atten coeff'!BO1018,":")</f>
        <v>dysprosium:</v>
      </c>
    </row>
    <row r="2277" spans="1:1">
      <c r="A2277" s="18" t="str">
        <f>CONCATENATE("  density: ",VLOOKUP(A2276,densities!$A$5:$B$110,2,FALSE))</f>
        <v xml:space="preserve">  density: 8.550E+00</v>
      </c>
    </row>
    <row r="2278" spans="1:1" ht="16">
      <c r="A2278" s="19" t="s">
        <v>1620</v>
      </c>
    </row>
    <row r="2279" spans="1:1">
      <c r="A2279" s="19" t="s">
        <v>1553</v>
      </c>
    </row>
    <row r="2280" spans="1:1">
      <c r="A2280" s="19" t="s">
        <v>1554</v>
      </c>
    </row>
    <row r="2281" spans="1:1">
      <c r="A2281" s="21" t="s">
        <v>1860</v>
      </c>
    </row>
    <row r="2282" spans="1:1">
      <c r="A2282" s="19" t="s">
        <v>1555</v>
      </c>
    </row>
    <row r="2283" spans="1:1">
      <c r="A2283" t="str">
        <f>CONCATENATE("    - ",TEXT('DLC mass atten coeff'!BO1019,"0.000E+00"))</f>
        <v xml:space="preserve">    - 2.866E+02</v>
      </c>
    </row>
    <row r="2284" spans="1:1">
      <c r="A2284" t="str">
        <f>CONCATENATE("    - ",TEXT('DLC mass atten coeff'!BO1020,"0.000E+00"))</f>
        <v xml:space="preserve">    - 9.928E+01</v>
      </c>
    </row>
    <row r="2285" spans="1:1">
      <c r="A2285" t="str">
        <f>CONCATENATE("    - ",TEXT('DLC mass atten coeff'!BO1021,"0.000E+00"))</f>
        <v xml:space="preserve">    - 4.600E+01</v>
      </c>
    </row>
    <row r="2286" spans="1:1">
      <c r="A2286" t="str">
        <f>CONCATENATE("    - ",TEXT('DLC mass atten coeff'!BO1022,"0.000E+00"))</f>
        <v xml:space="preserve">    - 1.529E+01</v>
      </c>
    </row>
    <row r="2287" spans="1:1">
      <c r="A2287" t="str">
        <f>CONCATENATE("    - ",TEXT('DLC mass atten coeff'!BO1023,"0.000E+00"))</f>
        <v xml:space="preserve">    - 6.965E+00</v>
      </c>
    </row>
    <row r="2288" spans="1:1">
      <c r="A2288" t="str">
        <f>CONCATENATE("    - ",TEXT('DLC mass atten coeff'!BO1024,"0.000E+00"))</f>
        <v xml:space="preserve">    - 3.795E+00</v>
      </c>
    </row>
    <row r="2289" spans="1:1">
      <c r="A2289" t="str">
        <f>CONCATENATE("    - ",TEXT('DLC mass atten coeff'!BO1025,"0.000E+00"))</f>
        <v xml:space="preserve">    - 1.227E+01</v>
      </c>
    </row>
    <row r="2290" spans="1:1">
      <c r="A2290" t="str">
        <f>CONCATENATE("    - ",TEXT('DLC mass atten coeff'!BO1026,"0.000E+00"))</f>
        <v xml:space="preserve">    - 5.815E+00</v>
      </c>
    </row>
    <row r="2291" spans="1:1">
      <c r="A2291" t="str">
        <f>CONCATENATE("    - ",TEXT('DLC mass atten coeff'!BO1027,"0.000E+00"))</f>
        <v xml:space="preserve">    - 3.226E+00</v>
      </c>
    </row>
    <row r="2292" spans="1:1">
      <c r="A2292" t="str">
        <f>CONCATENATE("    - ",TEXT('DLC mass atten coeff'!BO1028,"0.000E+00"))</f>
        <v xml:space="preserve">    - 1.124E+00</v>
      </c>
    </row>
    <row r="2293" spans="1:1">
      <c r="A2293" t="str">
        <f>CONCATENATE("    - ",TEXT('DLC mass atten coeff'!BO1029,"0.000E+00"))</f>
        <v xml:space="preserve">    - 5.578E-01</v>
      </c>
    </row>
    <row r="2294" spans="1:1">
      <c r="A2294" t="str">
        <f>CONCATENATE("    - ",TEXT('DLC mass atten coeff'!BO1030,"0.000E+00"))</f>
        <v xml:space="preserve">    - 2.385E-01</v>
      </c>
    </row>
    <row r="2295" spans="1:1">
      <c r="A2295" t="str">
        <f>CONCATENATE("    - ",TEXT('DLC mass atten coeff'!BO1031,"0.000E+00"))</f>
        <v xml:space="preserve">    - 1.490E-01</v>
      </c>
    </row>
    <row r="2296" spans="1:1">
      <c r="A2296" t="str">
        <f>CONCATENATE("    - ",TEXT('DLC mass atten coeff'!BO1032,"0.000E+00"))</f>
        <v xml:space="preserve">    - 1.116E-01</v>
      </c>
    </row>
    <row r="2297" spans="1:1">
      <c r="A2297" t="str">
        <f>CONCATENATE("    - ",TEXT('DLC mass atten coeff'!BO1033,"0.000E+00"))</f>
        <v xml:space="preserve">    - 9.185E-02</v>
      </c>
    </row>
    <row r="2298" spans="1:1">
      <c r="A2298" t="str">
        <f>CONCATENATE("    - ",TEXT('DLC mass atten coeff'!BO1034,"0.000E+00"))</f>
        <v xml:space="preserve">    - 7.131E-02</v>
      </c>
    </row>
    <row r="2299" spans="1:1">
      <c r="A2299" t="str">
        <f>CONCATENATE("    - ",TEXT('DLC mass atten coeff'!BO1035,"0.000E+00"))</f>
        <v xml:space="preserve">    - 6.034E-02</v>
      </c>
    </row>
    <row r="2300" spans="1:1">
      <c r="A2300" t="str">
        <f>CONCATENATE("    - ",TEXT('DLC mass atten coeff'!BO1036,"0.000E+00"))</f>
        <v xml:space="preserve">    - 4.719E-02</v>
      </c>
    </row>
    <row r="2301" spans="1:1">
      <c r="A2301" t="str">
        <f>CONCATENATE("    - ",TEXT('DLC mass atten coeff'!BO1037,"0.000E+00"))</f>
        <v xml:space="preserve">    - 4.217E-02</v>
      </c>
    </row>
    <row r="2302" spans="1:1">
      <c r="A2302" t="str">
        <f>CONCATENATE("    - ",TEXT('DLC mass atten coeff'!BO1038,"0.000E+00"))</f>
        <v xml:space="preserve">    - 3.880E-02</v>
      </c>
    </row>
    <row r="2303" spans="1:1">
      <c r="A2303" t="str">
        <f>CONCATENATE("    - ",TEXT('DLC mass atten coeff'!BO1039,"0.000E+00"))</f>
        <v xml:space="preserve">    - 3.832E-02</v>
      </c>
    </row>
    <row r="2304" spans="1:1">
      <c r="A2304" t="str">
        <f>CONCATENATE("    - ",TEXT('DLC mass atten coeff'!BO1040,"0.000E+00"))</f>
        <v xml:space="preserve">    - 3.884E-02</v>
      </c>
    </row>
    <row r="2305" spans="1:1">
      <c r="A2305" t="str">
        <f>CONCATENATE("    - ",TEXT('DLC mass atten coeff'!BO1041,"0.000E+00"))</f>
        <v xml:space="preserve">    - 3.976E-02</v>
      </c>
    </row>
    <row r="2306" spans="1:1">
      <c r="A2306" t="str">
        <f>CONCATENATE("    - ",TEXT('DLC mass atten coeff'!BO1042,"0.000E+00"))</f>
        <v xml:space="preserve">    - 4.207E-02</v>
      </c>
    </row>
    <row r="2307" spans="1:1">
      <c r="A2307" t="str">
        <f>CONCATENATE("    - ",TEXT('DLC mass atten coeff'!BO1043,"0.000E+00"))</f>
        <v xml:space="preserve">    - 4.454E-02</v>
      </c>
    </row>
    <row r="2308" spans="1:1">
      <c r="A2308" t="str">
        <f>CONCATENATE("    - ",TEXT('DLC mass atten coeff'!BO1044,"0.000E+00"))</f>
        <v xml:space="preserve">    - 5.029E-02</v>
      </c>
    </row>
    <row r="2309" spans="1:1">
      <c r="A2309" t="str">
        <f>CONCATENATE("    - ",TEXT('DLC mass atten coeff'!BO1045,"0.000E+00"))</f>
        <v xml:space="preserve">    - 5.489E-02</v>
      </c>
    </row>
    <row r="2310" spans="1:1">
      <c r="A2310" t="str">
        <f>CONCATENATE("    - ",TEXT('DLC mass atten coeff'!BO1046,"0.000E+00"))</f>
        <v xml:space="preserve">    - 6.178E-02</v>
      </c>
    </row>
    <row r="2311" spans="1:1">
      <c r="A2311" t="str">
        <f>CONCATENATE('DLC mass atten coeff'!BP1018,":")</f>
        <v>holmium:</v>
      </c>
    </row>
    <row r="2312" spans="1:1">
      <c r="A2312" s="18" t="str">
        <f>CONCATENATE("  density: ",VLOOKUP(A2311,densities!$A$5:$B$110,2,FALSE))</f>
        <v xml:space="preserve">  density: 8.795E+00</v>
      </c>
    </row>
    <row r="2313" spans="1:1" ht="16">
      <c r="A2313" s="19" t="s">
        <v>1621</v>
      </c>
    </row>
    <row r="2314" spans="1:1">
      <c r="A2314" s="19" t="s">
        <v>1553</v>
      </c>
    </row>
    <row r="2315" spans="1:1">
      <c r="A2315" s="19" t="s">
        <v>1554</v>
      </c>
    </row>
    <row r="2316" spans="1:1">
      <c r="A2316" s="21" t="s">
        <v>1860</v>
      </c>
    </row>
    <row r="2317" spans="1:1">
      <c r="A2317" s="19" t="s">
        <v>1555</v>
      </c>
    </row>
    <row r="2318" spans="1:1">
      <c r="A2318" t="str">
        <f>CONCATENATE("    - ",TEXT('DLC mass atten coeff'!BP1019,"0.000E+00"))</f>
        <v xml:space="preserve">    - 2.975E+02</v>
      </c>
    </row>
    <row r="2319" spans="1:1">
      <c r="A2319" t="str">
        <f>CONCATENATE("    - ",TEXT('DLC mass atten coeff'!BP1020,"0.000E+00"))</f>
        <v xml:space="preserve">    - 1.036E+02</v>
      </c>
    </row>
    <row r="2320" spans="1:1">
      <c r="A2320" t="str">
        <f>CONCATENATE("    - ",TEXT('DLC mass atten coeff'!BP1021,"0.000E+00"))</f>
        <v xml:space="preserve">    - 4.813E+01</v>
      </c>
    </row>
    <row r="2321" spans="1:1">
      <c r="A2321" t="str">
        <f>CONCATENATE("    - ",TEXT('DLC mass atten coeff'!BP1022,"0.000E+00"))</f>
        <v xml:space="preserve">    - 1.603E+01</v>
      </c>
    </row>
    <row r="2322" spans="1:1">
      <c r="A2322" t="str">
        <f>CONCATENATE("    - ",TEXT('DLC mass atten coeff'!BP1023,"0.000E+00"))</f>
        <v xml:space="preserve">    - 7.306E+00</v>
      </c>
    </row>
    <row r="2323" spans="1:1">
      <c r="A2323" t="str">
        <f>CONCATENATE("    - ",TEXT('DLC mass atten coeff'!BP1024,"0.000E+00"))</f>
        <v xml:space="preserve">    - 3.982E+00</v>
      </c>
    </row>
    <row r="2324" spans="1:1">
      <c r="A2324" t="str">
        <f>CONCATENATE("    - ",TEXT('DLC mass atten coeff'!BP1025,"0.000E+00"))</f>
        <v xml:space="preserve">    - 1.276E+01</v>
      </c>
    </row>
    <row r="2325" spans="1:1">
      <c r="A2325" t="str">
        <f>CONCATENATE("    - ",TEXT('DLC mass atten coeff'!BP1026,"0.000E+00"))</f>
        <v xml:space="preserve">    - 6.038E+00</v>
      </c>
    </row>
    <row r="2326" spans="1:1">
      <c r="A2326" t="str">
        <f>CONCATENATE("    - ",TEXT('DLC mass atten coeff'!BP1027,"0.000E+00"))</f>
        <v xml:space="preserve">    - 3.355E+00</v>
      </c>
    </row>
    <row r="2327" spans="1:1">
      <c r="A2327" t="str">
        <f>CONCATENATE("    - ",TEXT('DLC mass atten coeff'!BP1028,"0.000E+00"))</f>
        <v xml:space="preserve">    - 1.170E+00</v>
      </c>
    </row>
    <row r="2328" spans="1:1">
      <c r="A2328" t="str">
        <f>CONCATENATE("    - ",TEXT('DLC mass atten coeff'!BP1029,"0.000E+00"))</f>
        <v xml:space="preserve">    - 5.792E-01</v>
      </c>
    </row>
    <row r="2329" spans="1:1">
      <c r="A2329" t="str">
        <f>CONCATENATE("    - ",TEXT('DLC mass atten coeff'!BP1030,"0.000E+00"))</f>
        <v xml:space="preserve">    - 2.460E-01</v>
      </c>
    </row>
    <row r="2330" spans="1:1">
      <c r="A2330" t="str">
        <f>CONCATENATE("    - ",TEXT('DLC mass atten coeff'!BP1031,"0.000E+00"))</f>
        <v xml:space="preserve">    - 1.527E-01</v>
      </c>
    </row>
    <row r="2331" spans="1:1">
      <c r="A2331" t="str">
        <f>CONCATENATE("    - ",TEXT('DLC mass atten coeff'!BP1032,"0.000E+00"))</f>
        <v xml:space="preserve">    - 1.138E-01</v>
      </c>
    </row>
    <row r="2332" spans="1:1">
      <c r="A2332" t="str">
        <f>CONCATENATE("    - ",TEXT('DLC mass atten coeff'!BP1033,"0.000E+00"))</f>
        <v xml:space="preserve">    - 9.328E-02</v>
      </c>
    </row>
    <row r="2333" spans="1:1">
      <c r="A2333" t="str">
        <f>CONCATENATE("    - ",TEXT('DLC mass atten coeff'!BP1034,"0.000E+00"))</f>
        <v xml:space="preserve">    - 7.205E-02</v>
      </c>
    </row>
    <row r="2334" spans="1:1">
      <c r="A2334" t="str">
        <f>CONCATENATE("    - ",TEXT('DLC mass atten coeff'!BP1035,"0.000E+00"))</f>
        <v xml:space="preserve">    - 6.080E-02</v>
      </c>
    </row>
    <row r="2335" spans="1:1">
      <c r="A2335" t="str">
        <f>CONCATENATE("    - ",TEXT('DLC mass atten coeff'!BP1036,"0.000E+00"))</f>
        <v xml:space="preserve">    - 4.747E-02</v>
      </c>
    </row>
    <row r="2336" spans="1:1">
      <c r="A2336" t="str">
        <f>CONCATENATE("    - ",TEXT('DLC mass atten coeff'!BP1037,"0.000E+00"))</f>
        <v xml:space="preserve">    - 4.240E-02</v>
      </c>
    </row>
    <row r="2337" spans="1:1">
      <c r="A2337" t="str">
        <f>CONCATENATE("    - ",TEXT('DLC mass atten coeff'!BP1038,"0.000E+00"))</f>
        <v xml:space="preserve">    - 3.905E-02</v>
      </c>
    </row>
    <row r="2338" spans="1:1">
      <c r="A2338" t="str">
        <f>CONCATENATE("    - ",TEXT('DLC mass atten coeff'!BP1039,"0.000E+00"))</f>
        <v xml:space="preserve">    - 3.860E-02</v>
      </c>
    </row>
    <row r="2339" spans="1:1">
      <c r="A2339" t="str">
        <f>CONCATENATE("    - ",TEXT('DLC mass atten coeff'!BP1040,"0.000E+00"))</f>
        <v xml:space="preserve">    - 3.915E-02</v>
      </c>
    </row>
    <row r="2340" spans="1:1">
      <c r="A2340" t="str">
        <f>CONCATENATE("    - ",TEXT('DLC mass atten coeff'!BP1041,"0.000E+00"))</f>
        <v xml:space="preserve">    - 4.010E-02</v>
      </c>
    </row>
    <row r="2341" spans="1:1">
      <c r="A2341" t="str">
        <f>CONCATENATE("    - ",TEXT('DLC mass atten coeff'!BP1042,"0.000E+00"))</f>
        <v xml:space="preserve">    - 4.246E-02</v>
      </c>
    </row>
    <row r="2342" spans="1:1">
      <c r="A2342" t="str">
        <f>CONCATENATE("    - ",TEXT('DLC mass atten coeff'!BP1043,"0.000E+00"))</f>
        <v xml:space="preserve">    - 4.498E-02</v>
      </c>
    </row>
    <row r="2343" spans="1:1">
      <c r="A2343" t="str">
        <f>CONCATENATE("    - ",TEXT('DLC mass atten coeff'!BP1044,"0.000E+00"))</f>
        <v xml:space="preserve">    - 5.084E-02</v>
      </c>
    </row>
    <row r="2344" spans="1:1">
      <c r="A2344" t="str">
        <f>CONCATENATE("    - ",TEXT('DLC mass atten coeff'!BP1045,"0.000E+00"))</f>
        <v xml:space="preserve">    - 5.547E-02</v>
      </c>
    </row>
    <row r="2345" spans="1:1">
      <c r="A2345" t="str">
        <f>CONCATENATE("    - ",TEXT('DLC mass atten coeff'!BP1046,"0.000E+00"))</f>
        <v xml:space="preserve">    - 6.250E-02</v>
      </c>
    </row>
    <row r="2346" spans="1:1">
      <c r="A2346" t="str">
        <f>CONCATENATE('DLC mass atten coeff'!BQ1018,":")</f>
        <v>erbium:</v>
      </c>
    </row>
    <row r="2347" spans="1:1">
      <c r="A2347" s="18" t="str">
        <f>CONCATENATE("  density: ",VLOOKUP(A2346,densities!$A$5:$B$110,2,FALSE))</f>
        <v xml:space="preserve">  density: 9.066E+00</v>
      </c>
    </row>
    <row r="2348" spans="1:1" ht="16">
      <c r="A2348" s="19" t="s">
        <v>1622</v>
      </c>
    </row>
    <row r="2349" spans="1:1">
      <c r="A2349" s="19" t="s">
        <v>1553</v>
      </c>
    </row>
    <row r="2350" spans="1:1">
      <c r="A2350" s="19" t="s">
        <v>1554</v>
      </c>
    </row>
    <row r="2351" spans="1:1">
      <c r="A2351" s="21" t="s">
        <v>1860</v>
      </c>
    </row>
    <row r="2352" spans="1:1">
      <c r="A2352" s="19" t="s">
        <v>1555</v>
      </c>
    </row>
    <row r="2353" spans="1:1">
      <c r="A2353" t="str">
        <f>CONCATENATE("    - ",TEXT('DLC mass atten coeff'!BQ1019,"0.000E+00"))</f>
        <v xml:space="preserve">    - 3.091E+02</v>
      </c>
    </row>
    <row r="2354" spans="1:1">
      <c r="A2354" t="str">
        <f>CONCATENATE("    - ",TEXT('DLC mass atten coeff'!BQ1020,"0.000E+00"))</f>
        <v xml:space="preserve">    - 1.081E+02</v>
      </c>
    </row>
    <row r="2355" spans="1:1">
      <c r="A2355" t="str">
        <f>CONCATENATE("    - ",TEXT('DLC mass atten coeff'!BQ1021,"0.000E+00"))</f>
        <v xml:space="preserve">    - 5.030E+01</v>
      </c>
    </row>
    <row r="2356" spans="1:1">
      <c r="A2356" t="str">
        <f>CONCATENATE("    - ",TEXT('DLC mass atten coeff'!BQ1022,"0.000E+00"))</f>
        <v xml:space="preserve">    - 1.679E+01</v>
      </c>
    </row>
    <row r="2357" spans="1:1">
      <c r="A2357" t="str">
        <f>CONCATENATE("    - ",TEXT('DLC mass atten coeff'!BQ1023,"0.000E+00"))</f>
        <v xml:space="preserve">    - 7.663E+00</v>
      </c>
    </row>
    <row r="2358" spans="1:1">
      <c r="A2358" t="str">
        <f>CONCATENATE("    - ",TEXT('DLC mass atten coeff'!BQ1024,"0.000E+00"))</f>
        <v xml:space="preserve">    - 4.177E+00</v>
      </c>
    </row>
    <row r="2359" spans="1:1">
      <c r="A2359" t="str">
        <f>CONCATENATE("    - ",TEXT('DLC mass atten coeff'!BQ1025,"0.000E+00"))</f>
        <v xml:space="preserve">    - 1.328E+01</v>
      </c>
    </row>
    <row r="2360" spans="1:1">
      <c r="A2360" t="str">
        <f>CONCATENATE("    - ",TEXT('DLC mass atten coeff'!BQ1026,"0.000E+00"))</f>
        <v xml:space="preserve">    - 6.269E+00</v>
      </c>
    </row>
    <row r="2361" spans="1:1">
      <c r="A2361" t="str">
        <f>CONCATENATE("    - ",TEXT('DLC mass atten coeff'!BQ1027,"0.000E+00"))</f>
        <v xml:space="preserve">    - 3.486E+00</v>
      </c>
    </row>
    <row r="2362" spans="1:1">
      <c r="A2362" t="str">
        <f>CONCATENATE("    - ",TEXT('DLC mass atten coeff'!BQ1028,"0.000E+00"))</f>
        <v xml:space="preserve">    - 1.217E+00</v>
      </c>
    </row>
    <row r="2363" spans="1:1">
      <c r="A2363" t="str">
        <f>CONCATENATE("    - ",TEXT('DLC mass atten coeff'!BQ1029,"0.000E+00"))</f>
        <v xml:space="preserve">    - 6.017E-01</v>
      </c>
    </row>
    <row r="2364" spans="1:1">
      <c r="A2364" t="str">
        <f>CONCATENATE("    - ",TEXT('DLC mass atten coeff'!BQ1030,"0.000E+00"))</f>
        <v xml:space="preserve">    - 2.540E-01</v>
      </c>
    </row>
    <row r="2365" spans="1:1">
      <c r="A2365" t="str">
        <f>CONCATENATE("    - ",TEXT('DLC mass atten coeff'!BQ1031,"0.000E+00"))</f>
        <v xml:space="preserve">    - 1.566E-01</v>
      </c>
    </row>
    <row r="2366" spans="1:1">
      <c r="A2366" t="str">
        <f>CONCATENATE("    - ",TEXT('DLC mass atten coeff'!BQ1032,"0.000E+00"))</f>
        <v xml:space="preserve">    - 1.161E-01</v>
      </c>
    </row>
    <row r="2367" spans="1:1">
      <c r="A2367" t="str">
        <f>CONCATENATE("    - ",TEXT('DLC mass atten coeff'!BQ1033,"0.000E+00"))</f>
        <v xml:space="preserve">    - 9.481E-02</v>
      </c>
    </row>
    <row r="2368" spans="1:1">
      <c r="A2368" t="str">
        <f>CONCATENATE("    - ",TEXT('DLC mass atten coeff'!BQ1034,"0.000E+00"))</f>
        <v xml:space="preserve">    - 7.291E-02</v>
      </c>
    </row>
    <row r="2369" spans="1:1">
      <c r="A2369" t="str">
        <f>CONCATENATE("    - ",TEXT('DLC mass atten coeff'!BQ1035,"0.000E+00"))</f>
        <v xml:space="preserve">    - 6.134E-02</v>
      </c>
    </row>
    <row r="2370" spans="1:1">
      <c r="A2370" t="str">
        <f>CONCATENATE("    - ",TEXT('DLC mass atten coeff'!BQ1036,"0.000E+00"))</f>
        <v xml:space="preserve">    - 4.776E-02</v>
      </c>
    </row>
    <row r="2371" spans="1:1">
      <c r="A2371" t="str">
        <f>CONCATENATE("    - ",TEXT('DLC mass atten coeff'!BQ1037,"0.000E+00"))</f>
        <v xml:space="preserve">    - 4.266E-02</v>
      </c>
    </row>
    <row r="2372" spans="1:1">
      <c r="A2372" t="str">
        <f>CONCATENATE("    - ",TEXT('DLC mass atten coeff'!BQ1038,"0.000E+00"))</f>
        <v xml:space="preserve">    - 3.932E-02</v>
      </c>
    </row>
    <row r="2373" spans="1:1">
      <c r="A2373" t="str">
        <f>CONCATENATE("    - ",TEXT('DLC mass atten coeff'!BQ1039,"0.000E+00"))</f>
        <v xml:space="preserve">    - 3.890E-02</v>
      </c>
    </row>
    <row r="2374" spans="1:1">
      <c r="A2374" t="str">
        <f>CONCATENATE("    - ",TEXT('DLC mass atten coeff'!BQ1040,"0.000E+00"))</f>
        <v xml:space="preserve">    - 3.949E-02</v>
      </c>
    </row>
    <row r="2375" spans="1:1">
      <c r="A2375" t="str">
        <f>CONCATENATE("    - ",TEXT('DLC mass atten coeff'!BQ1041,"0.000E+00"))</f>
        <v xml:space="preserve">    - 4.046E-02</v>
      </c>
    </row>
    <row r="2376" spans="1:1">
      <c r="A2376" t="str">
        <f>CONCATENATE("    - ",TEXT('DLC mass atten coeff'!BQ1042,"0.000E+00"))</f>
        <v xml:space="preserve">    - 4.287E-02</v>
      </c>
    </row>
    <row r="2377" spans="1:1">
      <c r="A2377" t="str">
        <f>CONCATENATE("    - ",TEXT('DLC mass atten coeff'!BQ1043,"0.000E+00"))</f>
        <v xml:space="preserve">    - 4.543E-02</v>
      </c>
    </row>
    <row r="2378" spans="1:1">
      <c r="A2378" t="str">
        <f>CONCATENATE("    - ",TEXT('DLC mass atten coeff'!BQ1044,"0.000E+00"))</f>
        <v xml:space="preserve">    - 5.136E-02</v>
      </c>
    </row>
    <row r="2379" spans="1:1">
      <c r="A2379" t="str">
        <f>CONCATENATE("    - ",TEXT('DLC mass atten coeff'!BQ1045,"0.000E+00"))</f>
        <v xml:space="preserve">    - 5.609E-02</v>
      </c>
    </row>
    <row r="2380" spans="1:1">
      <c r="A2380" t="str">
        <f>CONCATENATE("    - ",TEXT('DLC mass atten coeff'!BQ1046,"0.000E+00"))</f>
        <v xml:space="preserve">    - 6.323E-02</v>
      </c>
    </row>
    <row r="2381" spans="1:1">
      <c r="A2381" t="str">
        <f>CONCATENATE('DLC mass atten coeff'!BR1018,":")</f>
        <v>thulium:</v>
      </c>
    </row>
    <row r="2382" spans="1:1">
      <c r="A2382" s="18" t="str">
        <f>CONCATENATE("  density: ",VLOOKUP(A2381,densities!$A$5:$B$110,2,FALSE))</f>
        <v xml:space="preserve">  density: 9.321E+00</v>
      </c>
    </row>
    <row r="2383" spans="1:1" ht="16">
      <c r="A2383" s="19" t="s">
        <v>1623</v>
      </c>
    </row>
    <row r="2384" spans="1:1">
      <c r="A2384" s="19" t="s">
        <v>1553</v>
      </c>
    </row>
    <row r="2385" spans="1:1">
      <c r="A2385" s="19" t="s">
        <v>1554</v>
      </c>
    </row>
    <row r="2386" spans="1:1">
      <c r="A2386" s="21" t="s">
        <v>1860</v>
      </c>
    </row>
    <row r="2387" spans="1:1">
      <c r="A2387" s="19" t="s">
        <v>1555</v>
      </c>
    </row>
    <row r="2388" spans="1:1">
      <c r="A2388" t="str">
        <f>CONCATENATE("    - ",TEXT('DLC mass atten coeff'!BR1019,"0.000E+00"))</f>
        <v xml:space="preserve">    - 2.791E+02</v>
      </c>
    </row>
    <row r="2389" spans="1:1">
      <c r="A2389" t="str">
        <f>CONCATENATE("    - ",TEXT('DLC mass atten coeff'!BR1020,"0.000E+00"))</f>
        <v xml:space="preserve">    - 1.132E+02</v>
      </c>
    </row>
    <row r="2390" spans="1:1">
      <c r="A2390" t="str">
        <f>CONCATENATE("    - ",TEXT('DLC mass atten coeff'!BR1021,"0.000E+00"))</f>
        <v xml:space="preserve">    - 5.273E+01</v>
      </c>
    </row>
    <row r="2391" spans="1:1">
      <c r="A2391" t="str">
        <f>CONCATENATE("    - ",TEXT('DLC mass atten coeff'!BR1022,"0.000E+00"))</f>
        <v xml:space="preserve">    - 1.764E+01</v>
      </c>
    </row>
    <row r="2392" spans="1:1">
      <c r="A2392" t="str">
        <f>CONCATENATE("    - ",TEXT('DLC mass atten coeff'!BR1023,"0.000E+00"))</f>
        <v xml:space="preserve">    - 8.063E+00</v>
      </c>
    </row>
    <row r="2393" spans="1:1">
      <c r="A2393" t="str">
        <f>CONCATENATE("    - ",TEXT('DLC mass atten coeff'!BR1024,"0.000E+00"))</f>
        <v xml:space="preserve">    - 4.398E+00</v>
      </c>
    </row>
    <row r="2394" spans="1:1">
      <c r="A2394" t="str">
        <f>CONCATENATE("    - ",TEXT('DLC mass atten coeff'!BR1025,"0.000E+00"))</f>
        <v xml:space="preserve">    - 1.374E+01</v>
      </c>
    </row>
    <row r="2395" spans="1:1">
      <c r="A2395" t="str">
        <f>CONCATENATE("    - ",TEXT('DLC mass atten coeff'!BR1026,"0.000E+00"))</f>
        <v xml:space="preserve">    - 6.526E+00</v>
      </c>
    </row>
    <row r="2396" spans="1:1">
      <c r="A2396" t="str">
        <f>CONCATENATE("    - ",TEXT('DLC mass atten coeff'!BR1027,"0.000E+00"))</f>
        <v xml:space="preserve">    - 3.634E+00</v>
      </c>
    </row>
    <row r="2397" spans="1:1">
      <c r="A2397" t="str">
        <f>CONCATENATE("    - ",TEXT('DLC mass atten coeff'!BR1028,"0.000E+00"))</f>
        <v xml:space="preserve">    - 1.270E+00</v>
      </c>
    </row>
    <row r="2398" spans="1:1">
      <c r="A2398" t="str">
        <f>CONCATENATE("    - ",TEXT('DLC mass atten coeff'!BR1029,"0.000E+00"))</f>
        <v xml:space="preserve">    - 6.272E-01</v>
      </c>
    </row>
    <row r="2399" spans="1:1">
      <c r="A2399" t="str">
        <f>CONCATENATE("    - ",TEXT('DLC mass atten coeff'!BR1030,"0.000E+00"))</f>
        <v xml:space="preserve">    - 2.631E-01</v>
      </c>
    </row>
    <row r="2400" spans="1:1">
      <c r="A2400" t="str">
        <f>CONCATENATE("    - ",TEXT('DLC mass atten coeff'!BR1031,"0.000E+00"))</f>
        <v xml:space="preserve">    - 1.612E-01</v>
      </c>
    </row>
    <row r="2401" spans="1:1">
      <c r="A2401" t="str">
        <f>CONCATENATE("    - ",TEXT('DLC mass atten coeff'!BR1032,"0.000E+00"))</f>
        <v xml:space="preserve">    - 1.189E-01</v>
      </c>
    </row>
    <row r="2402" spans="1:1">
      <c r="A2402" t="str">
        <f>CONCATENATE("    - ",TEXT('DLC mass atten coeff'!BR1033,"0.000E+00"))</f>
        <v xml:space="preserve">    - 9.677E-02</v>
      </c>
    </row>
    <row r="2403" spans="1:1">
      <c r="A2403" t="str">
        <f>CONCATENATE("    - ",TEXT('DLC mass atten coeff'!BR1034,"0.000E+00"))</f>
        <v xml:space="preserve">    - 7.403E-02</v>
      </c>
    </row>
    <row r="2404" spans="1:1">
      <c r="A2404" t="str">
        <f>CONCATENATE("    - ",TEXT('DLC mass atten coeff'!BR1035,"0.000E+00"))</f>
        <v xml:space="preserve">    - 6.212E-02</v>
      </c>
    </row>
    <row r="2405" spans="1:1">
      <c r="A2405" t="str">
        <f>CONCATENATE("    - ",TEXT('DLC mass atten coeff'!BR1036,"0.000E+00"))</f>
        <v xml:space="preserve">    - 4.824E-02</v>
      </c>
    </row>
    <row r="2406" spans="1:1">
      <c r="A2406" t="str">
        <f>CONCATENATE("    - ",TEXT('DLC mass atten coeff'!BR1037,"0.000E+00"))</f>
        <v xml:space="preserve">    - 4.310E-02</v>
      </c>
    </row>
    <row r="2407" spans="1:1">
      <c r="A2407" t="str">
        <f>CONCATENATE("    - ",TEXT('DLC mass atten coeff'!BR1038,"0.000E+00"))</f>
        <v xml:space="preserve">    - 3.975E-02</v>
      </c>
    </row>
    <row r="2408" spans="1:1">
      <c r="A2408" t="str">
        <f>CONCATENATE("    - ",TEXT('DLC mass atten coeff'!BR1039,"0.000E+00"))</f>
        <v xml:space="preserve">    - 3.936E-02</v>
      </c>
    </row>
    <row r="2409" spans="1:1">
      <c r="A2409" t="str">
        <f>CONCATENATE("    - ",TEXT('DLC mass atten coeff'!BR1040,"0.000E+00"))</f>
        <v xml:space="preserve">    - 3.997E-02</v>
      </c>
    </row>
    <row r="2410" spans="1:1">
      <c r="A2410" t="str">
        <f>CONCATENATE("    - ",TEXT('DLC mass atten coeff'!BR1041,"0.000E+00"))</f>
        <v xml:space="preserve">    - 4.098E-02</v>
      </c>
    </row>
    <row r="2411" spans="1:1">
      <c r="A2411" t="str">
        <f>CONCATENATE("    - ",TEXT('DLC mass atten coeff'!BR1042,"0.000E+00"))</f>
        <v xml:space="preserve">    - 4.345E-02</v>
      </c>
    </row>
    <row r="2412" spans="1:1">
      <c r="A2412" t="str">
        <f>CONCATENATE("    - ",TEXT('DLC mass atten coeff'!BR1043,"0.000E+00"))</f>
        <v xml:space="preserve">    - 4.606E-02</v>
      </c>
    </row>
    <row r="2413" spans="1:1">
      <c r="A2413" t="str">
        <f>CONCATENATE("    - ",TEXT('DLC mass atten coeff'!BR1044,"0.000E+00"))</f>
        <v xml:space="preserve">    - 5.211E-02</v>
      </c>
    </row>
    <row r="2414" spans="1:1">
      <c r="A2414" t="str">
        <f>CONCATENATE("    - ",TEXT('DLC mass atten coeff'!BR1045,"0.000E+00"))</f>
        <v xml:space="preserve">    - 5.694E-02</v>
      </c>
    </row>
    <row r="2415" spans="1:1">
      <c r="A2415" t="str">
        <f>CONCATENATE("    - ",TEXT('DLC mass atten coeff'!BR1046,"0.000E+00"))</f>
        <v xml:space="preserve">    - 6.420E-02</v>
      </c>
    </row>
    <row r="2416" spans="1:1">
      <c r="A2416" t="str">
        <f>CONCATENATE('DLC mass atten coeff'!BS1018,":")</f>
        <v>ytterbium:</v>
      </c>
    </row>
    <row r="2417" spans="1:1">
      <c r="A2417" s="18" t="str">
        <f>CONCATENATE("  density: ",VLOOKUP(A2416,densities!$A$5:$B$110,2,FALSE))</f>
        <v xml:space="preserve">  density: 6.730E+00</v>
      </c>
    </row>
    <row r="2418" spans="1:1" ht="16">
      <c r="A2418" s="19" t="s">
        <v>1624</v>
      </c>
    </row>
    <row r="2419" spans="1:1">
      <c r="A2419" s="19" t="s">
        <v>1553</v>
      </c>
    </row>
    <row r="2420" spans="1:1">
      <c r="A2420" s="19" t="s">
        <v>1554</v>
      </c>
    </row>
    <row r="2421" spans="1:1">
      <c r="A2421" s="21" t="s">
        <v>1860</v>
      </c>
    </row>
    <row r="2422" spans="1:1">
      <c r="A2422" s="19" t="s">
        <v>1555</v>
      </c>
    </row>
    <row r="2423" spans="1:1">
      <c r="A2423" t="str">
        <f>CONCATENATE("    - ",TEXT('DLC mass atten coeff'!BS1019,"0.000E+00"))</f>
        <v xml:space="preserve">    - 2.904E+02</v>
      </c>
    </row>
    <row r="2424" spans="1:1">
      <c r="A2424" t="str">
        <f>CONCATENATE("    - ",TEXT('DLC mass atten coeff'!BS1020,"0.000E+00"))</f>
        <v xml:space="preserve">    - 1.167E+02</v>
      </c>
    </row>
    <row r="2425" spans="1:1">
      <c r="A2425" t="str">
        <f>CONCATENATE("    - ",TEXT('DLC mass atten coeff'!BS1021,"0.000E+00"))</f>
        <v xml:space="preserve">    - 5.447E+01</v>
      </c>
    </row>
    <row r="2426" spans="1:1">
      <c r="A2426" t="str">
        <f>CONCATENATE("    - ",TEXT('DLC mass atten coeff'!BS1022,"0.000E+00"))</f>
        <v xml:space="preserve">    - 1.827E+01</v>
      </c>
    </row>
    <row r="2427" spans="1:1">
      <c r="A2427" t="str">
        <f>CONCATENATE("    - ",TEXT('DLC mass atten coeff'!BS1023,"0.000E+00"))</f>
        <v xml:space="preserve">    - 8.358E+00</v>
      </c>
    </row>
    <row r="2428" spans="1:1">
      <c r="A2428" t="str">
        <f>CONCATENATE("    - ",TEXT('DLC mass atten coeff'!BS1024,"0.000E+00"))</f>
        <v xml:space="preserve">    - 4.560E+00</v>
      </c>
    </row>
    <row r="2429" spans="1:1">
      <c r="A2429" t="str">
        <f>CONCATENATE("    - ",TEXT('DLC mass atten coeff'!BS1025,"0.000E+00"))</f>
        <v xml:space="preserve">    - 2.791E+00</v>
      </c>
    </row>
    <row r="2430" spans="1:1">
      <c r="A2430" t="str">
        <f>CONCATENATE("    - ",TEXT('DLC mass atten coeff'!BS1026,"0.000E+00"))</f>
        <v xml:space="preserve">    - 6.690E+00</v>
      </c>
    </row>
    <row r="2431" spans="1:1">
      <c r="A2431" t="str">
        <f>CONCATENATE("    - ",TEXT('DLC mass atten coeff'!BS1027,"0.000E+00"))</f>
        <v xml:space="preserve">    - 3.732E+00</v>
      </c>
    </row>
    <row r="2432" spans="1:1">
      <c r="A2432" t="str">
        <f>CONCATENATE("    - ",TEXT('DLC mass atten coeff'!BS1028,"0.000E+00"))</f>
        <v xml:space="preserve">    - 1.307E+00</v>
      </c>
    </row>
    <row r="2433" spans="1:1">
      <c r="A2433" t="str">
        <f>CONCATENATE("    - ",TEXT('DLC mass atten coeff'!BS1029,"0.000E+00"))</f>
        <v xml:space="preserve">    - 6.443E-01</v>
      </c>
    </row>
    <row r="2434" spans="1:1">
      <c r="A2434" t="str">
        <f>CONCATENATE("    - ",TEXT('DLC mass atten coeff'!BS1030,"0.000E+00"))</f>
        <v xml:space="preserve">    - 2.688E-01</v>
      </c>
    </row>
    <row r="2435" spans="1:1">
      <c r="A2435" t="str">
        <f>CONCATENATE("    - ",TEXT('DLC mass atten coeff'!BS1031,"0.000E+00"))</f>
        <v xml:space="preserve">    - 1.637E-01</v>
      </c>
    </row>
    <row r="2436" spans="1:1">
      <c r="A2436" t="str">
        <f>CONCATENATE("    - ",TEXT('DLC mass atten coeff'!BS1032,"0.000E+00"))</f>
        <v xml:space="preserve">    - 1.201E-01</v>
      </c>
    </row>
    <row r="2437" spans="1:1">
      <c r="A2437" t="str">
        <f>CONCATENATE("    - ",TEXT('DLC mass atten coeff'!BS1033,"0.000E+00"))</f>
        <v xml:space="preserve">    - 9.734E-02</v>
      </c>
    </row>
    <row r="2438" spans="1:1">
      <c r="A2438" t="str">
        <f>CONCATENATE("    - ",TEXT('DLC mass atten coeff'!BS1034,"0.000E+00"))</f>
        <v xml:space="preserve">    - 7.416E-02</v>
      </c>
    </row>
    <row r="2439" spans="1:1">
      <c r="A2439" t="str">
        <f>CONCATENATE("    - ",TEXT('DLC mass atten coeff'!BS1035,"0.000E+00"))</f>
        <v xml:space="preserve">    - 6.205E-02</v>
      </c>
    </row>
    <row r="2440" spans="1:1">
      <c r="A2440" t="str">
        <f>CONCATENATE("    - ",TEXT('DLC mass atten coeff'!BS1036,"0.000E+00"))</f>
        <v xml:space="preserve">    - 4.805E-02</v>
      </c>
    </row>
    <row r="2441" spans="1:1">
      <c r="A2441" t="str">
        <f>CONCATENATE("    - ",TEXT('DLC mass atten coeff'!BS1037,"0.000E+00"))</f>
        <v xml:space="preserve">    - 4.294E-02</v>
      </c>
    </row>
    <row r="2442" spans="1:1">
      <c r="A2442" t="str">
        <f>CONCATENATE("    - ",TEXT('DLC mass atten coeff'!BS1038,"0.000E+00"))</f>
        <v xml:space="preserve">    - 3.962E-02</v>
      </c>
    </row>
    <row r="2443" spans="1:1">
      <c r="A2443" t="str">
        <f>CONCATENATE("    - ",TEXT('DLC mass atten coeff'!BS1039,"0.000E+00"))</f>
        <v xml:space="preserve">    - 3.926E-02</v>
      </c>
    </row>
    <row r="2444" spans="1:1">
      <c r="A2444" t="str">
        <f>CONCATENATE("    - ",TEXT('DLC mass atten coeff'!BS1040,"0.000E+00"))</f>
        <v xml:space="preserve">    - 3.989E-02</v>
      </c>
    </row>
    <row r="2445" spans="1:1">
      <c r="A2445" t="str">
        <f>CONCATENATE("    - ",TEXT('DLC mass atten coeff'!BS1041,"0.000E+00"))</f>
        <v xml:space="preserve">    - 4.091E-02</v>
      </c>
    </row>
    <row r="2446" spans="1:1">
      <c r="A2446" t="str">
        <f>CONCATENATE("    - ",TEXT('DLC mass atten coeff'!BS1042,"0.000E+00"))</f>
        <v xml:space="preserve">    - 4.340E-02</v>
      </c>
    </row>
    <row r="2447" spans="1:1">
      <c r="A2447" t="str">
        <f>CONCATENATE("    - ",TEXT('DLC mass atten coeff'!BS1043,"0.000E+00"))</f>
        <v xml:space="preserve">    - 4.603E-02</v>
      </c>
    </row>
    <row r="2448" spans="1:1">
      <c r="A2448" t="str">
        <f>CONCATENATE("    - ",TEXT('DLC mass atten coeff'!BS1044,"0.000E+00"))</f>
        <v xml:space="preserve">    - 5.214E-02</v>
      </c>
    </row>
    <row r="2449" spans="1:1">
      <c r="A2449" t="str">
        <f>CONCATENATE("    - ",TEXT('DLC mass atten coeff'!BS1045,"0.000E+00"))</f>
        <v xml:space="preserve">    - 5.696E-02</v>
      </c>
    </row>
    <row r="2450" spans="1:1">
      <c r="A2450" t="str">
        <f>CONCATENATE("    - ",TEXT('DLC mass atten coeff'!BS1046,"0.000E+00"))</f>
        <v xml:space="preserve">    - 6.423E-02</v>
      </c>
    </row>
    <row r="2451" spans="1:1">
      <c r="A2451" t="str">
        <f>CONCATENATE('DLC mass atten coeff'!BT1018,":")</f>
        <v>lutetium:</v>
      </c>
    </row>
    <row r="2452" spans="1:1">
      <c r="A2452" s="18" t="str">
        <f>CONCATENATE("  density: ",VLOOKUP(A2451,densities!$A$5:$B$110,2,FALSE))</f>
        <v xml:space="preserve">  density: 9.840E+00</v>
      </c>
    </row>
    <row r="2453" spans="1:1" ht="16">
      <c r="A2453" s="19" t="s">
        <v>1625</v>
      </c>
    </row>
    <row r="2454" spans="1:1">
      <c r="A2454" s="19" t="s">
        <v>1553</v>
      </c>
    </row>
    <row r="2455" spans="1:1">
      <c r="A2455" s="19" t="s">
        <v>1554</v>
      </c>
    </row>
    <row r="2456" spans="1:1">
      <c r="A2456" s="21" t="s">
        <v>1860</v>
      </c>
    </row>
    <row r="2457" spans="1:1">
      <c r="A2457" s="19" t="s">
        <v>1555</v>
      </c>
    </row>
    <row r="2458" spans="1:1">
      <c r="A2458" t="str">
        <f>CONCATENATE("    - ",TEXT('DLC mass atten coeff'!BT1019,"0.000E+00"))</f>
        <v xml:space="preserve">    - 2.170E+02</v>
      </c>
    </row>
    <row r="2459" spans="1:1">
      <c r="A2459" t="str">
        <f>CONCATENATE("    - ",TEXT('DLC mass atten coeff'!BT1020,"0.000E+00"))</f>
        <v xml:space="preserve">    - 1.221E+02</v>
      </c>
    </row>
    <row r="2460" spans="1:1">
      <c r="A2460" t="str">
        <f>CONCATENATE("    - ",TEXT('DLC mass atten coeff'!BT1021,"0.000E+00"))</f>
        <v xml:space="preserve">    - 5.698E+01</v>
      </c>
    </row>
    <row r="2461" spans="1:1">
      <c r="A2461" t="str">
        <f>CONCATENATE("    - ",TEXT('DLC mass atten coeff'!BT1022,"0.000E+00"))</f>
        <v xml:space="preserve">    - 1.915E+01</v>
      </c>
    </row>
    <row r="2462" spans="1:1">
      <c r="A2462" t="str">
        <f>CONCATENATE("    - ",TEXT('DLC mass atten coeff'!BT1023,"0.000E+00"))</f>
        <v xml:space="preserve">    - 8.770E+00</v>
      </c>
    </row>
    <row r="2463" spans="1:1">
      <c r="A2463" t="str">
        <f>CONCATENATE("    - ",TEXT('DLC mass atten coeff'!BT1024,"0.000E+00"))</f>
        <v xml:space="preserve">    - 4.787E+00</v>
      </c>
    </row>
    <row r="2464" spans="1:1">
      <c r="A2464" t="str">
        <f>CONCATENATE("    - ",TEXT('DLC mass atten coeff'!BT1025,"0.000E+00"))</f>
        <v xml:space="preserve">    - 2.931E+00</v>
      </c>
    </row>
    <row r="2465" spans="1:1">
      <c r="A2465" t="str">
        <f>CONCATENATE("    - ",TEXT('DLC mass atten coeff'!BT1026,"0.000E+00"))</f>
        <v xml:space="preserve">    - 6.935E+00</v>
      </c>
    </row>
    <row r="2466" spans="1:1">
      <c r="A2466" t="str">
        <f>CONCATENATE("    - ",TEXT('DLC mass atten coeff'!BT1027,"0.000E+00"))</f>
        <v xml:space="preserve">    - 3.879E+00</v>
      </c>
    </row>
    <row r="2467" spans="1:1">
      <c r="A2467" t="str">
        <f>CONCATENATE("    - ",TEXT('DLC mass atten coeff'!BT1028,"0.000E+00"))</f>
        <v xml:space="preserve">    - 1.361E+00</v>
      </c>
    </row>
    <row r="2468" spans="1:1">
      <c r="A2468" t="str">
        <f>CONCATENATE("    - ",TEXT('DLC mass atten coeff'!BT1029,"0.000E+00"))</f>
        <v xml:space="preserve">    - 6.700E-01</v>
      </c>
    </row>
    <row r="2469" spans="1:1">
      <c r="A2469" t="str">
        <f>CONCATENATE("    - ",TEXT('DLC mass atten coeff'!BT1030,"0.000E+00"))</f>
        <v xml:space="preserve">    - 2.781E-01</v>
      </c>
    </row>
    <row r="2470" spans="1:1">
      <c r="A2470" t="str">
        <f>CONCATENATE("    - ",TEXT('DLC mass atten coeff'!BT1031,"0.000E+00"))</f>
        <v xml:space="preserve">    - 1.683E-01</v>
      </c>
    </row>
    <row r="2471" spans="1:1">
      <c r="A2471" t="str">
        <f>CONCATENATE("    - ",TEXT('DLC mass atten coeff'!BT1032,"0.000E+00"))</f>
        <v xml:space="preserve">    - 1.230E-01</v>
      </c>
    </row>
    <row r="2472" spans="1:1">
      <c r="A2472" t="str">
        <f>CONCATENATE("    - ",TEXT('DLC mass atten coeff'!BT1033,"0.000E+00"))</f>
        <v xml:space="preserve">    - 9.928E-02</v>
      </c>
    </row>
    <row r="2473" spans="1:1">
      <c r="A2473" t="str">
        <f>CONCATENATE("    - ",TEXT('DLC mass atten coeff'!BT1034,"0.000E+00"))</f>
        <v xml:space="preserve">    - 7.524E-02</v>
      </c>
    </row>
    <row r="2474" spans="1:1">
      <c r="A2474" t="str">
        <f>CONCATENATE("    - ",TEXT('DLC mass atten coeff'!BT1035,"0.000E+00"))</f>
        <v xml:space="preserve">    - 6.282E-02</v>
      </c>
    </row>
    <row r="2475" spans="1:1">
      <c r="A2475" t="str">
        <f>CONCATENATE("    - ",TEXT('DLC mass atten coeff'!BT1036,"0.000E+00"))</f>
        <v xml:space="preserve">    - 4.848E-02</v>
      </c>
    </row>
    <row r="2476" spans="1:1">
      <c r="A2476" t="str">
        <f>CONCATENATE("    - ",TEXT('DLC mass atten coeff'!BT1037,"0.000E+00"))</f>
        <v xml:space="preserve">    - 4.330E-02</v>
      </c>
    </row>
    <row r="2477" spans="1:1">
      <c r="A2477" t="str">
        <f>CONCATENATE("    - ",TEXT('DLC mass atten coeff'!BT1038,"0.000E+00"))</f>
        <v xml:space="preserve">    - 4.001E-02</v>
      </c>
    </row>
    <row r="2478" spans="1:1">
      <c r="A2478" t="str">
        <f>CONCATENATE("    - ",TEXT('DLC mass atten coeff'!BT1039,"0.000E+00"))</f>
        <v xml:space="preserve">    - 3.967E-02</v>
      </c>
    </row>
    <row r="2479" spans="1:1">
      <c r="A2479" t="str">
        <f>CONCATENATE("    - ",TEXT('DLC mass atten coeff'!BT1040,"0.000E+00"))</f>
        <v xml:space="preserve">    - 4.032E-02</v>
      </c>
    </row>
    <row r="2480" spans="1:1">
      <c r="A2480" t="str">
        <f>CONCATENATE("    - ",TEXT('DLC mass atten coeff'!BT1041,"0.000E+00"))</f>
        <v xml:space="preserve">    - 4.136E-02</v>
      </c>
    </row>
    <row r="2481" spans="1:1">
      <c r="A2481" t="str">
        <f>CONCATENATE("    - ",TEXT('DLC mass atten coeff'!BT1042,"0.000E+00"))</f>
        <v xml:space="preserve">    - 4.391E-02</v>
      </c>
    </row>
    <row r="2482" spans="1:1">
      <c r="A2482" t="str">
        <f>CONCATENATE("    - ",TEXT('DLC mass atten coeff'!BT1043,"0.000E+00"))</f>
        <v xml:space="preserve">    - 4.658E-02</v>
      </c>
    </row>
    <row r="2483" spans="1:1">
      <c r="A2483" t="str">
        <f>CONCATENATE("    - ",TEXT('DLC mass atten coeff'!BT1044,"0.000E+00"))</f>
        <v xml:space="preserve">    - 5.278E-02</v>
      </c>
    </row>
    <row r="2484" spans="1:1">
      <c r="A2484" t="str">
        <f>CONCATENATE("    - ",TEXT('DLC mass atten coeff'!BT1045,"0.000E+00"))</f>
        <v xml:space="preserve">    - 5.769E-02</v>
      </c>
    </row>
    <row r="2485" spans="1:1">
      <c r="A2485" t="str">
        <f>CONCATENATE("    - ",TEXT('DLC mass atten coeff'!BT1046,"0.000E+00"))</f>
        <v xml:space="preserve">    - 6.510E-02</v>
      </c>
    </row>
    <row r="2486" spans="1:1">
      <c r="A2486" t="str">
        <f>CONCATENATE('DLC mass atten coeff'!BU1018,":")</f>
        <v>hafnium:</v>
      </c>
    </row>
    <row r="2487" spans="1:1">
      <c r="A2487" s="18" t="str">
        <f>CONCATENATE("  density: ",VLOOKUP(A2486,densities!$A$5:$B$110,2,FALSE))</f>
        <v xml:space="preserve">  density: 1.331E+01</v>
      </c>
    </row>
    <row r="2488" spans="1:1" ht="16">
      <c r="A2488" s="19" t="s">
        <v>1626</v>
      </c>
    </row>
    <row r="2489" spans="1:1">
      <c r="A2489" s="19" t="s">
        <v>1553</v>
      </c>
    </row>
    <row r="2490" spans="1:1">
      <c r="A2490" s="19" t="s">
        <v>1554</v>
      </c>
    </row>
    <row r="2491" spans="1:1">
      <c r="A2491" s="21" t="s">
        <v>1860</v>
      </c>
    </row>
    <row r="2492" spans="1:1">
      <c r="A2492" s="19" t="s">
        <v>1555</v>
      </c>
    </row>
    <row r="2493" spans="1:1">
      <c r="A2493" t="str">
        <f>CONCATENATE("    - ",TEXT('DLC mass atten coeff'!BU1019,"0.000E+00"))</f>
        <v xml:space="preserve">    - 2.259E+02</v>
      </c>
    </row>
    <row r="2494" spans="1:1">
      <c r="A2494" t="str">
        <f>CONCATENATE("    - ",TEXT('DLC mass atten coeff'!BU1020,"0.000E+00"))</f>
        <v xml:space="preserve">    - 1.263E+02</v>
      </c>
    </row>
    <row r="2495" spans="1:1">
      <c r="A2495" t="str">
        <f>CONCATENATE("    - ",TEXT('DLC mass atten coeff'!BU1021,"0.000E+00"))</f>
        <v xml:space="preserve">    - 5.899E+01</v>
      </c>
    </row>
    <row r="2496" spans="1:1">
      <c r="A2496" t="str">
        <f>CONCATENATE("    - ",TEXT('DLC mass atten coeff'!BU1022,"0.000E+00"))</f>
        <v xml:space="preserve">    - 1.988E+01</v>
      </c>
    </row>
    <row r="2497" spans="1:1">
      <c r="A2497" t="str">
        <f>CONCATENATE("    - ",TEXT('DLC mass atten coeff'!BU1023,"0.000E+00"))</f>
        <v xml:space="preserve">    - 9.112E+00</v>
      </c>
    </row>
    <row r="2498" spans="1:1">
      <c r="A2498" t="str">
        <f>CONCATENATE("    - ",TEXT('DLC mass atten coeff'!BU1024,"0.000E+00"))</f>
        <v xml:space="preserve">    - 4.978E+00</v>
      </c>
    </row>
    <row r="2499" spans="1:1">
      <c r="A2499" t="str">
        <f>CONCATENATE("    - ",TEXT('DLC mass atten coeff'!BU1025,"0.000E+00"))</f>
        <v xml:space="preserve">    - 3.048E+00</v>
      </c>
    </row>
    <row r="2500" spans="1:1">
      <c r="A2500" t="str">
        <f>CONCATENATE("    - ",TEXT('DLC mass atten coeff'!BU1026,"0.000E+00"))</f>
        <v xml:space="preserve">    - 7.119E+00</v>
      </c>
    </row>
    <row r="2501" spans="1:1">
      <c r="A2501" t="str">
        <f>CONCATENATE("    - ",TEXT('DLC mass atten coeff'!BU1027,"0.000E+00"))</f>
        <v xml:space="preserve">    - 3.997E+00</v>
      </c>
    </row>
    <row r="2502" spans="1:1">
      <c r="A2502" t="str">
        <f>CONCATENATE("    - ",TEXT('DLC mass atten coeff'!BU1028,"0.000E+00"))</f>
        <v xml:space="preserve">    - 1.402E+00</v>
      </c>
    </row>
    <row r="2503" spans="1:1">
      <c r="A2503" t="str">
        <f>CONCATENATE("    - ",TEXT('DLC mass atten coeff'!BU1029,"0.000E+00"))</f>
        <v xml:space="preserve">    - 6.899E-01</v>
      </c>
    </row>
    <row r="2504" spans="1:1">
      <c r="A2504" t="str">
        <f>CONCATENATE("    - ",TEXT('DLC mass atten coeff'!BU1030,"0.000E+00"))</f>
        <v xml:space="preserve">    - 2.850E-01</v>
      </c>
    </row>
    <row r="2505" spans="1:1">
      <c r="A2505" t="str">
        <f>CONCATENATE("    - ",TEXT('DLC mass atten coeff'!BU1031,"0.000E+00"))</f>
        <v xml:space="preserve">    - 1.716E-01</v>
      </c>
    </row>
    <row r="2506" spans="1:1">
      <c r="A2506" t="str">
        <f>CONCATENATE("    - ",TEXT('DLC mass atten coeff'!BU1032,"0.000E+00"))</f>
        <v xml:space="preserve">    - 1.247E-01</v>
      </c>
    </row>
    <row r="2507" spans="1:1">
      <c r="A2507" t="str">
        <f>CONCATENATE("    - ",TEXT('DLC mass atten coeff'!BU1033,"0.000E+00"))</f>
        <v xml:space="preserve">    - 1.004E-01</v>
      </c>
    </row>
    <row r="2508" spans="1:1">
      <c r="A2508" t="str">
        <f>CONCATENATE("    - ",TEXT('DLC mass atten coeff'!BU1034,"0.000E+00"))</f>
        <v xml:space="preserve">    - 7.569E-02</v>
      </c>
    </row>
    <row r="2509" spans="1:1">
      <c r="A2509" t="str">
        <f>CONCATENATE("    - ",TEXT('DLC mass atten coeff'!BU1035,"0.000E+00"))</f>
        <v xml:space="preserve">    - 6.300E-02</v>
      </c>
    </row>
    <row r="2510" spans="1:1">
      <c r="A2510" t="str">
        <f>CONCATENATE("    - ",TEXT('DLC mass atten coeff'!BU1036,"0.000E+00"))</f>
        <v xml:space="preserve">    - 4.848E-02</v>
      </c>
    </row>
    <row r="2511" spans="1:1">
      <c r="A2511" t="str">
        <f>CONCATENATE("    - ",TEXT('DLC mass atten coeff'!BU1037,"0.000E+00"))</f>
        <v xml:space="preserve">    - 4.331E-02</v>
      </c>
    </row>
    <row r="2512" spans="1:1">
      <c r="A2512" t="str">
        <f>CONCATENATE("    - ",TEXT('DLC mass atten coeff'!BU1038,"0.000E+00"))</f>
        <v xml:space="preserve">    - 4.002E-02</v>
      </c>
    </row>
    <row r="2513" spans="1:1">
      <c r="A2513" t="str">
        <f>CONCATENATE("    - ",TEXT('DLC mass atten coeff'!BU1039,"0.000E+00"))</f>
        <v xml:space="preserve">    - 3.971E-02</v>
      </c>
    </row>
    <row r="2514" spans="1:1">
      <c r="A2514" t="str">
        <f>CONCATENATE("    - ",TEXT('DLC mass atten coeff'!BU1040,"0.000E+00"))</f>
        <v xml:space="preserve">    - 4.039E-02</v>
      </c>
    </row>
    <row r="2515" spans="1:1">
      <c r="A2515" t="str">
        <f>CONCATENATE("    - ",TEXT('DLC mass atten coeff'!BU1041,"0.000E+00"))</f>
        <v xml:space="preserve">    - 4.145E-02</v>
      </c>
    </row>
    <row r="2516" spans="1:1">
      <c r="A2516" t="str">
        <f>CONCATENATE("    - ",TEXT('DLC mass atten coeff'!BU1042,"0.000E+00"))</f>
        <v xml:space="preserve">    - 4.402E-02</v>
      </c>
    </row>
    <row r="2517" spans="1:1">
      <c r="A2517" t="str">
        <f>CONCATENATE("    - ",TEXT('DLC mass atten coeff'!BU1043,"0.000E+00"))</f>
        <v xml:space="preserve">    - 4.671E-02</v>
      </c>
    </row>
    <row r="2518" spans="1:1">
      <c r="A2518" t="str">
        <f>CONCATENATE("    - ",TEXT('DLC mass atten coeff'!BU1044,"0.000E+00"))</f>
        <v xml:space="preserve">    - 5.296E-02</v>
      </c>
    </row>
    <row r="2519" spans="1:1">
      <c r="A2519" t="str">
        <f>CONCATENATE("    - ",TEXT('DLC mass atten coeff'!BU1045,"0.000E+00"))</f>
        <v xml:space="preserve">    - 5.792E-02</v>
      </c>
    </row>
    <row r="2520" spans="1:1">
      <c r="A2520" t="str">
        <f>CONCATENATE("    - ",TEXT('DLC mass atten coeff'!BU1046,"0.000E+00"))</f>
        <v xml:space="preserve">    - 6.538E-02</v>
      </c>
    </row>
    <row r="2521" spans="1:1">
      <c r="A2521" t="str">
        <f>CONCATENATE('DLC mass atten coeff'!BV1018,":")</f>
        <v>tantalum:</v>
      </c>
    </row>
    <row r="2522" spans="1:1">
      <c r="A2522" s="18" t="str">
        <f>CONCATENATE("  density: ",VLOOKUP(A2521,densities!$A$5:$B$110,2,FALSE))</f>
        <v xml:space="preserve">  density: 1.665E+01</v>
      </c>
    </row>
    <row r="2523" spans="1:1" ht="16">
      <c r="A2523" s="19" t="s">
        <v>1627</v>
      </c>
    </row>
    <row r="2524" spans="1:1">
      <c r="A2524" s="19" t="s">
        <v>1553</v>
      </c>
    </row>
    <row r="2525" spans="1:1">
      <c r="A2525" s="19" t="s">
        <v>1554</v>
      </c>
    </row>
    <row r="2526" spans="1:1">
      <c r="A2526" s="21" t="s">
        <v>1860</v>
      </c>
    </row>
    <row r="2527" spans="1:1">
      <c r="A2527" s="19" t="s">
        <v>1555</v>
      </c>
    </row>
    <row r="2528" spans="1:1">
      <c r="A2528" t="str">
        <f>CONCATENATE("    - ",TEXT('DLC mass atten coeff'!BV1019,"0.000E+00"))</f>
        <v xml:space="preserve">    - 2.336E+02</v>
      </c>
    </row>
    <row r="2529" spans="1:1">
      <c r="A2529" t="str">
        <f>CONCATENATE("    - ",TEXT('DLC mass atten coeff'!BV1020,"0.000E+00"))</f>
        <v xml:space="preserve">    - 1.313E+02</v>
      </c>
    </row>
    <row r="2530" spans="1:1">
      <c r="A2530" t="str">
        <f>CONCATENATE("    - ",TEXT('DLC mass atten coeff'!BV1021,"0.000E+00"))</f>
        <v xml:space="preserve">    - 6.142E+01</v>
      </c>
    </row>
    <row r="2531" spans="1:1">
      <c r="A2531" t="str">
        <f>CONCATENATE("    - ",TEXT('DLC mass atten coeff'!BV1022,"0.000E+00"))</f>
        <v xml:space="preserve">    - 2.075E+01</v>
      </c>
    </row>
    <row r="2532" spans="1:1">
      <c r="A2532" t="str">
        <f>CONCATENATE("    - ",TEXT('DLC mass atten coeff'!BV1023,"0.000E+00"))</f>
        <v xml:space="preserve">    - 9.518E+00</v>
      </c>
    </row>
    <row r="2533" spans="1:1">
      <c r="A2533" t="str">
        <f>CONCATENATE("    - ",TEXT('DLC mass atten coeff'!BV1024,"0.000E+00"))</f>
        <v xml:space="preserve">    - 5.205E+00</v>
      </c>
    </row>
    <row r="2534" spans="1:1">
      <c r="A2534" t="str">
        <f>CONCATENATE("    - ",TEXT('DLC mass atten coeff'!BV1025,"0.000E+00"))</f>
        <v xml:space="preserve">    - 3.188E+00</v>
      </c>
    </row>
    <row r="2535" spans="1:1">
      <c r="A2535" t="str">
        <f>CONCATENATE("    - ",TEXT('DLC mass atten coeff'!BV1026,"0.000E+00"))</f>
        <v xml:space="preserve">    - 7.351E+00</v>
      </c>
    </row>
    <row r="2536" spans="1:1">
      <c r="A2536" t="str">
        <f>CONCATENATE("    - ",TEXT('DLC mass atten coeff'!BV1027,"0.000E+00"))</f>
        <v xml:space="preserve">    - 4.140E+00</v>
      </c>
    </row>
    <row r="2537" spans="1:1">
      <c r="A2537" t="str">
        <f>CONCATENATE("    - ",TEXT('DLC mass atten coeff'!BV1028,"0.000E+00"))</f>
        <v xml:space="preserve">    - 1.454E+00</v>
      </c>
    </row>
    <row r="2538" spans="1:1">
      <c r="A2538" t="str">
        <f>CONCATENATE("    - ",TEXT('DLC mass atten coeff'!BV1029,"0.000E+00"))</f>
        <v xml:space="preserve">    - 7.148E-01</v>
      </c>
    </row>
    <row r="2539" spans="1:1">
      <c r="A2539" t="str">
        <f>CONCATENATE("    - ",TEXT('DLC mass atten coeff'!BV1030,"0.000E+00"))</f>
        <v xml:space="preserve">    - 2.938E-01</v>
      </c>
    </row>
    <row r="2540" spans="1:1">
      <c r="A2540" t="str">
        <f>CONCATENATE("    - ",TEXT('DLC mass atten coeff'!BV1031,"0.000E+00"))</f>
        <v xml:space="preserve">    - 1.760E-01</v>
      </c>
    </row>
    <row r="2541" spans="1:1">
      <c r="A2541" t="str">
        <f>CONCATENATE("    - ",TEXT('DLC mass atten coeff'!BV1032,"0.000E+00"))</f>
        <v xml:space="preserve">    - 1.273E-01</v>
      </c>
    </row>
    <row r="2542" spans="1:1">
      <c r="A2542" t="str">
        <f>CONCATENATE("    - ",TEXT('DLC mass atten coeff'!BV1033,"0.000E+00"))</f>
        <v xml:space="preserve">    - 1.021E-01</v>
      </c>
    </row>
    <row r="2543" spans="1:1">
      <c r="A2543" t="str">
        <f>CONCATENATE("    - ",TEXT('DLC mass atten coeff'!BV1034,"0.000E+00"))</f>
        <v xml:space="preserve">    - 7.660E-02</v>
      </c>
    </row>
    <row r="2544" spans="1:1">
      <c r="A2544" t="str">
        <f>CONCATENATE("    - ",TEXT('DLC mass atten coeff'!BV1035,"0.000E+00"))</f>
        <v xml:space="preserve">    - 6.358E-02</v>
      </c>
    </row>
    <row r="2545" spans="1:1">
      <c r="A2545" t="str">
        <f>CONCATENATE("    - ",TEXT('DLC mass atten coeff'!BV1036,"0.000E+00"))</f>
        <v xml:space="preserve">    - 4.882E-02</v>
      </c>
    </row>
    <row r="2546" spans="1:1">
      <c r="A2546" t="str">
        <f>CONCATENATE("    - ",TEXT('DLC mass atten coeff'!BV1037,"0.000E+00"))</f>
        <v xml:space="preserve">    - 4.355E-02</v>
      </c>
    </row>
    <row r="2547" spans="1:1">
      <c r="A2547" t="str">
        <f>CONCATENATE("    - ",TEXT('DLC mass atten coeff'!BV1038,"0.000E+00"))</f>
        <v xml:space="preserve">    - 4.028E-02</v>
      </c>
    </row>
    <row r="2548" spans="1:1">
      <c r="A2548" t="str">
        <f>CONCATENATE("    - ",TEXT('DLC mass atten coeff'!BV1039,"0.000E+00"))</f>
        <v xml:space="preserve">    - 3.999E-02</v>
      </c>
    </row>
    <row r="2549" spans="1:1">
      <c r="A2549" t="str">
        <f>CONCATENATE("    - ",TEXT('DLC mass atten coeff'!BV1040,"0.000E+00"))</f>
        <v xml:space="preserve">    - 4.068E-02</v>
      </c>
    </row>
    <row r="2550" spans="1:1">
      <c r="A2550" t="str">
        <f>CONCATENATE("    - ",TEXT('DLC mass atten coeff'!BV1041,"0.000E+00"))</f>
        <v xml:space="preserve">    - 4.177E-02</v>
      </c>
    </row>
    <row r="2551" spans="1:1">
      <c r="A2551" t="str">
        <f>CONCATENATE("    - ",TEXT('DLC mass atten coeff'!BV1042,"0.000E+00"))</f>
        <v xml:space="preserve">    - 4.438E-02</v>
      </c>
    </row>
    <row r="2552" spans="1:1">
      <c r="A2552" t="str">
        <f>CONCATENATE("    - ",TEXT('DLC mass atten coeff'!BV1043,"0.000E+00"))</f>
        <v xml:space="preserve">    - 4.711E-02</v>
      </c>
    </row>
    <row r="2553" spans="1:1">
      <c r="A2553" t="str">
        <f>CONCATENATE("    - ",TEXT('DLC mass atten coeff'!BV1044,"0.000E+00"))</f>
        <v xml:space="preserve">    - 5.345E-02</v>
      </c>
    </row>
    <row r="2554" spans="1:1">
      <c r="A2554" t="str">
        <f>CONCATENATE("    - ",TEXT('DLC mass atten coeff'!BV1045,"0.000E+00"))</f>
        <v xml:space="preserve">    - 5.848E-02</v>
      </c>
    </row>
    <row r="2555" spans="1:1">
      <c r="A2555" t="str">
        <f>CONCATENATE("    - ",TEXT('DLC mass atten coeff'!BV1046,"0.000E+00"))</f>
        <v xml:space="preserve">    - 6.602E-02</v>
      </c>
    </row>
    <row r="2556" spans="1:1">
      <c r="A2556" t="str">
        <f>CONCATENATE('DLC mass atten coeff'!BW1018,":")</f>
        <v>tungsten:</v>
      </c>
    </row>
    <row r="2557" spans="1:1">
      <c r="A2557" s="18" t="str">
        <f>CONCATENATE("  density: ",VLOOKUP(A2556,densities!$A$5:$B$110,2,FALSE))</f>
        <v xml:space="preserve">  density: 1.930E+01</v>
      </c>
    </row>
    <row r="2558" spans="1:1" ht="16">
      <c r="A2558" s="19" t="s">
        <v>1628</v>
      </c>
    </row>
    <row r="2559" spans="1:1">
      <c r="A2559" s="19" t="s">
        <v>1553</v>
      </c>
    </row>
    <row r="2560" spans="1:1">
      <c r="A2560" s="19" t="s">
        <v>1554</v>
      </c>
    </row>
    <row r="2561" spans="1:1">
      <c r="A2561" s="21" t="s">
        <v>1860</v>
      </c>
    </row>
    <row r="2562" spans="1:1">
      <c r="A2562" s="19" t="s">
        <v>1555</v>
      </c>
    </row>
    <row r="2563" spans="1:1">
      <c r="A2563" t="str">
        <f>CONCATENATE("    - ",TEXT('DLC mass atten coeff'!BW1019,"0.000E+00"))</f>
        <v xml:space="preserve">    - 9.256E+01</v>
      </c>
    </row>
    <row r="2564" spans="1:1">
      <c r="A2564" t="str">
        <f>CONCATENATE("    - ",TEXT('DLC mass atten coeff'!BW1020,"0.000E+00"))</f>
        <v xml:space="preserve">    - 1.361E+02</v>
      </c>
    </row>
    <row r="2565" spans="1:1">
      <c r="A2565" t="str">
        <f>CONCATENATE("    - ",TEXT('DLC mass atten coeff'!BW1021,"0.000E+00"))</f>
        <v xml:space="preserve">    - 6.376E+01</v>
      </c>
    </row>
    <row r="2566" spans="1:1">
      <c r="A2566" t="str">
        <f>CONCATENATE("    - ",TEXT('DLC mass atten coeff'!BW1022,"0.000E+00"))</f>
        <v xml:space="preserve">    - 2.158E+01</v>
      </c>
    </row>
    <row r="2567" spans="1:1">
      <c r="A2567" t="str">
        <f>CONCATENATE("    - ",TEXT('DLC mass atten coeff'!BW1023,"0.000E+00"))</f>
        <v xml:space="preserve">    - 9.922E+00</v>
      </c>
    </row>
    <row r="2568" spans="1:1">
      <c r="A2568" t="str">
        <f>CONCATENATE("    - ",TEXT('DLC mass atten coeff'!BW1024,"0.000E+00"))</f>
        <v xml:space="preserve">    - 5.426E+00</v>
      </c>
    </row>
    <row r="2569" spans="1:1">
      <c r="A2569" t="str">
        <f>CONCATENATE("    - ",TEXT('DLC mass atten coeff'!BW1025,"0.000E+00"))</f>
        <v xml:space="preserve">    - 3.324E+00</v>
      </c>
    </row>
    <row r="2570" spans="1:1">
      <c r="A2570" t="str">
        <f>CONCATENATE("    - ",TEXT('DLC mass atten coeff'!BW1026,"0.000E+00"))</f>
        <v xml:space="preserve">    - 7.568E+00</v>
      </c>
    </row>
    <row r="2571" spans="1:1">
      <c r="A2571" t="str">
        <f>CONCATENATE("    - ",TEXT('DLC mass atten coeff'!BW1027,"0.000E+00"))</f>
        <v xml:space="preserve">    - 4.273E+00</v>
      </c>
    </row>
    <row r="2572" spans="1:1">
      <c r="A2572" t="str">
        <f>CONCATENATE("    - ",TEXT('DLC mass atten coeff'!BW1028,"0.000E+00"))</f>
        <v xml:space="preserve">    - 1.502E+00</v>
      </c>
    </row>
    <row r="2573" spans="1:1">
      <c r="A2573" t="str">
        <f>CONCATENATE("    - ",TEXT('DLC mass atten coeff'!BW1029,"0.000E+00"))</f>
        <v xml:space="preserve">    - 7.383E-01</v>
      </c>
    </row>
    <row r="2574" spans="1:1">
      <c r="A2574" t="str">
        <f>CONCATENATE("    - ",TEXT('DLC mass atten coeff'!BW1030,"0.000E+00"))</f>
        <v xml:space="preserve">    - 3.023E-01</v>
      </c>
    </row>
    <row r="2575" spans="1:1">
      <c r="A2575" t="str">
        <f>CONCATENATE("    - ",TEXT('DLC mass atten coeff'!BW1031,"0.000E+00"))</f>
        <v xml:space="preserve">    - 1.801E-01</v>
      </c>
    </row>
    <row r="2576" spans="1:1">
      <c r="A2576" t="str">
        <f>CONCATENATE("    - ",TEXT('DLC mass atten coeff'!BW1032,"0.000E+00"))</f>
        <v xml:space="preserve">    - 1.297E-01</v>
      </c>
    </row>
    <row r="2577" spans="1:1">
      <c r="A2577" t="str">
        <f>CONCATENATE("    - ",TEXT('DLC mass atten coeff'!BW1033,"0.000E+00"))</f>
        <v xml:space="preserve">    - 1.036E-01</v>
      </c>
    </row>
    <row r="2578" spans="1:1">
      <c r="A2578" t="str">
        <f>CONCATENATE("    - ",TEXT('DLC mass atten coeff'!BW1034,"0.000E+00"))</f>
        <v xml:space="preserve">    - 7.738E-02</v>
      </c>
    </row>
    <row r="2579" spans="1:1">
      <c r="A2579" t="str">
        <f>CONCATENATE("    - ",TEXT('DLC mass atten coeff'!BW1035,"0.000E+00"))</f>
        <v xml:space="preserve">    - 6.403E-02</v>
      </c>
    </row>
    <row r="2580" spans="1:1">
      <c r="A2580" t="str">
        <f>CONCATENATE("    - ",TEXT('DLC mass atten coeff'!BW1036,"0.000E+00"))</f>
        <v xml:space="preserve">    - 4.902E-02</v>
      </c>
    </row>
    <row r="2581" spans="1:1">
      <c r="A2581" t="str">
        <f>CONCATENATE("    - ",TEXT('DLC mass atten coeff'!BW1037,"0.000E+00"))</f>
        <v xml:space="preserve">    - 4.373E-02</v>
      </c>
    </row>
    <row r="2582" spans="1:1">
      <c r="A2582" t="str">
        <f>CONCATENATE("    - ",TEXT('DLC mass atten coeff'!BW1038,"0.000E+00"))</f>
        <v xml:space="preserve">    - 4.046E-02</v>
      </c>
    </row>
    <row r="2583" spans="1:1">
      <c r="A2583" t="str">
        <f>CONCATENATE("    - ",TEXT('DLC mass atten coeff'!BW1039,"0.000E+00"))</f>
        <v xml:space="preserve">    - 4.019E-02</v>
      </c>
    </row>
    <row r="2584" spans="1:1">
      <c r="A2584" t="str">
        <f>CONCATENATE("    - ",TEXT('DLC mass atten coeff'!BW1040,"0.000E+00"))</f>
        <v xml:space="preserve">    - 4.089E-02</v>
      </c>
    </row>
    <row r="2585" spans="1:1">
      <c r="A2585" t="str">
        <f>CONCATENATE("    - ",TEXT('DLC mass atten coeff'!BW1041,"0.000E+00"))</f>
        <v xml:space="preserve">    - 4.199E-02</v>
      </c>
    </row>
    <row r="2586" spans="1:1">
      <c r="A2586" t="str">
        <f>CONCATENATE("    - ",TEXT('DLC mass atten coeff'!BW1042,"0.000E+00"))</f>
        <v xml:space="preserve">    - 4.464E-02</v>
      </c>
    </row>
    <row r="2587" spans="1:1">
      <c r="A2587" t="str">
        <f>CONCATENATE("    - ",TEXT('DLC mass atten coeff'!BW1043,"0.000E+00"))</f>
        <v xml:space="preserve">    - 4.741E-02</v>
      </c>
    </row>
    <row r="2588" spans="1:1">
      <c r="A2588" t="str">
        <f>CONCATENATE("    - ",TEXT('DLC mass atten coeff'!BW1044,"0.000E+00"))</f>
        <v xml:space="preserve">    - 5.380E-02</v>
      </c>
    </row>
    <row r="2589" spans="1:1">
      <c r="A2589" t="str">
        <f>CONCATENATE("    - ",TEXT('DLC mass atten coeff'!BW1045,"0.000E+00"))</f>
        <v xml:space="preserve">    - 5.889E-02</v>
      </c>
    </row>
    <row r="2590" spans="1:1">
      <c r="A2590" t="str">
        <f>CONCATENATE("    - ",TEXT('DLC mass atten coeff'!BW1046,"0.000E+00"))</f>
        <v xml:space="preserve">    - 6.650E-02</v>
      </c>
    </row>
    <row r="2591" spans="1:1">
      <c r="A2591" t="str">
        <f>CONCATENATE('DLC mass atten coeff'!BX1018,":")</f>
        <v>rhenium:</v>
      </c>
    </row>
    <row r="2592" spans="1:1">
      <c r="A2592" s="18" t="str">
        <f>CONCATENATE("  density: ",VLOOKUP(A2591,densities!$A$5:$B$110,2,FALSE))</f>
        <v xml:space="preserve">  density: 2.102E+01</v>
      </c>
    </row>
    <row r="2593" spans="1:1" ht="16">
      <c r="A2593" s="19" t="s">
        <v>1629</v>
      </c>
    </row>
    <row r="2594" spans="1:1">
      <c r="A2594" s="19" t="s">
        <v>1553</v>
      </c>
    </row>
    <row r="2595" spans="1:1">
      <c r="A2595" s="19" t="s">
        <v>1554</v>
      </c>
    </row>
    <row r="2596" spans="1:1">
      <c r="A2596" s="21" t="s">
        <v>1860</v>
      </c>
    </row>
    <row r="2597" spans="1:1">
      <c r="A2597" s="19" t="s">
        <v>1555</v>
      </c>
    </row>
    <row r="2598" spans="1:1">
      <c r="A2598" t="str">
        <f>CONCATENATE("    - ",TEXT('DLC mass atten coeff'!BX1019,"0.000E+00"))</f>
        <v xml:space="preserve">    - 9.667E+01</v>
      </c>
    </row>
    <row r="2599" spans="1:1">
      <c r="A2599" t="str">
        <f>CONCATENATE("    - ",TEXT('DLC mass atten coeff'!BX1020,"0.000E+00"))</f>
        <v xml:space="preserve">    - 1.411E+02</v>
      </c>
    </row>
    <row r="2600" spans="1:1">
      <c r="A2600" t="str">
        <f>CONCATENATE("    - ",TEXT('DLC mass atten coeff'!BX1021,"0.000E+00"))</f>
        <v xml:space="preserve">    - 6.635E+01</v>
      </c>
    </row>
    <row r="2601" spans="1:1">
      <c r="A2601" t="str">
        <f>CONCATENATE("    - ",TEXT('DLC mass atten coeff'!BX1022,"0.000E+00"))</f>
        <v xml:space="preserve">    - 2.251E+01</v>
      </c>
    </row>
    <row r="2602" spans="1:1">
      <c r="A2602" t="str">
        <f>CONCATENATE("    - ",TEXT('DLC mass atten coeff'!BX1023,"0.000E+00"))</f>
        <v xml:space="preserve">    - 1.036E+01</v>
      </c>
    </row>
    <row r="2603" spans="1:1">
      <c r="A2603" t="str">
        <f>CONCATENATE("    - ",TEXT('DLC mass atten coeff'!BX1024,"0.000E+00"))</f>
        <v xml:space="preserve">    - 5.669E+00</v>
      </c>
    </row>
    <row r="2604" spans="1:1">
      <c r="A2604" t="str">
        <f>CONCATENATE("    - ",TEXT('DLC mass atten coeff'!BX1025,"0.000E+00"))</f>
        <v xml:space="preserve">    - 3.473E+00</v>
      </c>
    </row>
    <row r="2605" spans="1:1">
      <c r="A2605" t="str">
        <f>CONCATENATE("    - ",TEXT('DLC mass atten coeff'!BX1026,"0.000E+00"))</f>
        <v xml:space="preserve">    - 7.823E+00</v>
      </c>
    </row>
    <row r="2606" spans="1:1">
      <c r="A2606" t="str">
        <f>CONCATENATE("    - ",TEXT('DLC mass atten coeff'!BX1027,"0.000E+00"))</f>
        <v xml:space="preserve">    - 4.418E+00</v>
      </c>
    </row>
    <row r="2607" spans="1:1">
      <c r="A2607" t="str">
        <f>CONCATENATE("    - ",TEXT('DLC mass atten coeff'!BX1028,"0.000E+00"))</f>
        <v xml:space="preserve">    - 1.556E+00</v>
      </c>
    </row>
    <row r="2608" spans="1:1">
      <c r="A2608" t="str">
        <f>CONCATENATE("    - ",TEXT('DLC mass atten coeff'!BX1029,"0.000E+00"))</f>
        <v xml:space="preserve">    - 7.645E-01</v>
      </c>
    </row>
    <row r="2609" spans="1:1">
      <c r="A2609" t="str">
        <f>CONCATENATE("    - ",TEXT('DLC mass atten coeff'!BX1030,"0.000E+00"))</f>
        <v xml:space="preserve">    - 3.118E-01</v>
      </c>
    </row>
    <row r="2610" spans="1:1">
      <c r="A2610" t="str">
        <f>CONCATENATE("    - ",TEXT('DLC mass atten coeff'!BX1031,"0.000E+00"))</f>
        <v xml:space="preserve">    - 1.848E-01</v>
      </c>
    </row>
    <row r="2611" spans="1:1">
      <c r="A2611" t="str">
        <f>CONCATENATE("    - ",TEXT('DLC mass atten coeff'!BX1032,"0.000E+00"))</f>
        <v xml:space="preserve">    - 1.326E-01</v>
      </c>
    </row>
    <row r="2612" spans="1:1">
      <c r="A2612" t="str">
        <f>CONCATENATE("    - ",TEXT('DLC mass atten coeff'!BX1033,"0.000E+00"))</f>
        <v xml:space="preserve">    - 1.055E-01</v>
      </c>
    </row>
    <row r="2613" spans="1:1">
      <c r="A2613" t="str">
        <f>CONCATENATE("    - ",TEXT('DLC mass atten coeff'!BX1034,"0.000E+00"))</f>
        <v xml:space="preserve">    - 7.840E-02</v>
      </c>
    </row>
    <row r="2614" spans="1:1">
      <c r="A2614" t="str">
        <f>CONCATENATE("    - ",TEXT('DLC mass atten coeff'!BX1035,"0.000E+00"))</f>
        <v xml:space="preserve">    - 6.469E-02</v>
      </c>
    </row>
    <row r="2615" spans="1:1">
      <c r="A2615" t="str">
        <f>CONCATENATE("    - ",TEXT('DLC mass atten coeff'!BX1036,"0.000E+00"))</f>
        <v xml:space="preserve">    - 4.937E-02</v>
      </c>
    </row>
    <row r="2616" spans="1:1">
      <c r="A2616" t="str">
        <f>CONCATENATE("    - ",TEXT('DLC mass atten coeff'!BX1037,"0.000E+00"))</f>
        <v xml:space="preserve">    - 4.405E-02</v>
      </c>
    </row>
    <row r="2617" spans="1:1">
      <c r="A2617" t="str">
        <f>CONCATENATE("    - ",TEXT('DLC mass atten coeff'!BX1038,"0.000E+00"))</f>
        <v xml:space="preserve">    - 4.075E-02</v>
      </c>
    </row>
    <row r="2618" spans="1:1">
      <c r="A2618" t="str">
        <f>CONCATENATE("    - ",TEXT('DLC mass atten coeff'!BX1039,"0.000E+00"))</f>
        <v xml:space="preserve">    - 4.049E-02</v>
      </c>
    </row>
    <row r="2619" spans="1:1">
      <c r="A2619" t="str">
        <f>CONCATENATE("    - ",TEXT('DLC mass atten coeff'!BX1040,"0.000E+00"))</f>
        <v xml:space="preserve">    - 4.123E-02</v>
      </c>
    </row>
    <row r="2620" spans="1:1">
      <c r="A2620" t="str">
        <f>CONCATENATE("    - ",TEXT('DLC mass atten coeff'!BX1041,"0.000E+00"))</f>
        <v xml:space="preserve">    - 4.235E-02</v>
      </c>
    </row>
    <row r="2621" spans="1:1">
      <c r="A2621" t="str">
        <f>CONCATENATE("    - ",TEXT('DLC mass atten coeff'!BX1042,"0.000E+00"))</f>
        <v xml:space="preserve">    - 4.503E-02</v>
      </c>
    </row>
    <row r="2622" spans="1:1">
      <c r="A2622" t="str">
        <f>CONCATENATE("    - ",TEXT('DLC mass atten coeff'!BX1043,"0.000E+00"))</f>
        <v xml:space="preserve">    - 4.784E-02</v>
      </c>
    </row>
    <row r="2623" spans="1:1">
      <c r="A2623" t="str">
        <f>CONCATENATE("    - ",TEXT('DLC mass atten coeff'!BX1044,"0.000E+00"))</f>
        <v xml:space="preserve">    - 5.432E-02</v>
      </c>
    </row>
    <row r="2624" spans="1:1">
      <c r="A2624" t="str">
        <f>CONCATENATE("    - ",TEXT('DLC mass atten coeff'!BX1045,"0.000E+00"))</f>
        <v xml:space="preserve">    - 5.949E-02</v>
      </c>
    </row>
    <row r="2625" spans="1:1">
      <c r="A2625" t="str">
        <f>CONCATENATE("    - ",TEXT('DLC mass atten coeff'!BX1046,"0.000E+00"))</f>
        <v xml:space="preserve">    - 6.720E-02</v>
      </c>
    </row>
    <row r="2626" spans="1:1">
      <c r="A2626" t="str">
        <f>CONCATENATE('DLC mass atten coeff'!BY1018,":")</f>
        <v>osmium:</v>
      </c>
    </row>
    <row r="2627" spans="1:1">
      <c r="A2627" s="18" t="str">
        <f>CONCATENATE("  density: ",VLOOKUP(A2626,densities!$A$5:$B$110,2,FALSE))</f>
        <v xml:space="preserve">  density: 2.257E+01</v>
      </c>
    </row>
    <row r="2628" spans="1:1" ht="16">
      <c r="A2628" s="19" t="s">
        <v>1630</v>
      </c>
    </row>
    <row r="2629" spans="1:1">
      <c r="A2629" s="19" t="s">
        <v>1553</v>
      </c>
    </row>
    <row r="2630" spans="1:1">
      <c r="A2630" s="19" t="s">
        <v>1554</v>
      </c>
    </row>
    <row r="2631" spans="1:1">
      <c r="A2631" s="21" t="s">
        <v>1860</v>
      </c>
    </row>
    <row r="2632" spans="1:1">
      <c r="A2632" s="19" t="s">
        <v>1555</v>
      </c>
    </row>
    <row r="2633" spans="1:1">
      <c r="A2633" t="str">
        <f>CONCATENATE("    - ",TEXT('DLC mass atten coeff'!BY1019,"0.000E+00"))</f>
        <v xml:space="preserve">    - 1.000E+02</v>
      </c>
    </row>
    <row r="2634" spans="1:1">
      <c r="A2634" t="str">
        <f>CONCATENATE("    - ",TEXT('DLC mass atten coeff'!BY1020,"0.000E+00"))</f>
        <v xml:space="preserve">    - 1.449E+02</v>
      </c>
    </row>
    <row r="2635" spans="1:1">
      <c r="A2635" t="str">
        <f>CONCATENATE("    - ",TEXT('DLC mass atten coeff'!BY1021,"0.000E+00"))</f>
        <v xml:space="preserve">    - 6.834E+01</v>
      </c>
    </row>
    <row r="2636" spans="1:1">
      <c r="A2636" t="str">
        <f>CONCATENATE("    - ",TEXT('DLC mass atten coeff'!BY1022,"0.000E+00"))</f>
        <v xml:space="preserve">    - 2.325E+01</v>
      </c>
    </row>
    <row r="2637" spans="1:1">
      <c r="A2637" t="str">
        <f>CONCATENATE("    - ",TEXT('DLC mass atten coeff'!BY1023,"0.000E+00"))</f>
        <v xml:space="preserve">    - 1.071E+01</v>
      </c>
    </row>
    <row r="2638" spans="1:1">
      <c r="A2638" t="str">
        <f>CONCATENATE("    - ",TEXT('DLC mass atten coeff'!BY1024,"0.000E+00"))</f>
        <v xml:space="preserve">    - 5.869E+00</v>
      </c>
    </row>
    <row r="2639" spans="1:1">
      <c r="A2639" t="str">
        <f>CONCATENATE("    - ",TEXT('DLC mass atten coeff'!BY1025,"0.000E+00"))</f>
        <v xml:space="preserve">    - 3.598E+00</v>
      </c>
    </row>
    <row r="2640" spans="1:1">
      <c r="A2640" t="str">
        <f>CONCATENATE("    - ",TEXT('DLC mass atten coeff'!BY1026,"0.000E+00"))</f>
        <v xml:space="preserve">    - 8.037E+00</v>
      </c>
    </row>
    <row r="2641" spans="1:1">
      <c r="A2641" t="str">
        <f>CONCATENATE("    - ",TEXT('DLC mass atten coeff'!BY1027,"0.000E+00"))</f>
        <v xml:space="preserve">    - 4.526E+00</v>
      </c>
    </row>
    <row r="2642" spans="1:1">
      <c r="A2642" t="str">
        <f>CONCATENATE("    - ",TEXT('DLC mass atten coeff'!BY1028,"0.000E+00"))</f>
        <v xml:space="preserve">    - 1.597E+00</v>
      </c>
    </row>
    <row r="2643" spans="1:1">
      <c r="A2643" t="str">
        <f>CONCATENATE("    - ",TEXT('DLC mass atten coeff'!BY1029,"0.000E+00"))</f>
        <v xml:space="preserve">    - 7.845E-01</v>
      </c>
    </row>
    <row r="2644" spans="1:1">
      <c r="A2644" t="str">
        <f>CONCATENATE("    - ",TEXT('DLC mass atten coeff'!BY1030,"0.000E+00"))</f>
        <v xml:space="preserve">    - 3.187E-01</v>
      </c>
    </row>
    <row r="2645" spans="1:1">
      <c r="A2645" t="str">
        <f>CONCATENATE("    - ",TEXT('DLC mass atten coeff'!BY1031,"0.000E+00"))</f>
        <v xml:space="preserve">    - 1.881E-01</v>
      </c>
    </row>
    <row r="2646" spans="1:1">
      <c r="A2646" t="str">
        <f>CONCATENATE("    - ",TEXT('DLC mass atten coeff'!BY1032,"0.000E+00"))</f>
        <v xml:space="preserve">    - 1.342E-01</v>
      </c>
    </row>
    <row r="2647" spans="1:1">
      <c r="A2647" t="str">
        <f>CONCATENATE("    - ",TEXT('DLC mass atten coeff'!BY1033,"0.000E+00"))</f>
        <v xml:space="preserve">    - 1.065E-01</v>
      </c>
    </row>
    <row r="2648" spans="1:1">
      <c r="A2648" t="str">
        <f>CONCATENATE("    - ",TEXT('DLC mass atten coeff'!BY1034,"0.000E+00"))</f>
        <v xml:space="preserve">    - 7.879E-02</v>
      </c>
    </row>
    <row r="2649" spans="1:1">
      <c r="A2649" t="str">
        <f>CONCATENATE("    - ",TEXT('DLC mass atten coeff'!BY1035,"0.000E+00"))</f>
        <v xml:space="preserve">    - 6.481E-02</v>
      </c>
    </row>
    <row r="2650" spans="1:1">
      <c r="A2650" t="str">
        <f>CONCATENATE("    - ",TEXT('DLC mass atten coeff'!BY1036,"0.000E+00"))</f>
        <v xml:space="preserve">    - 4.930E-02</v>
      </c>
    </row>
    <row r="2651" spans="1:1">
      <c r="A2651" t="str">
        <f>CONCATENATE("    - ",TEXT('DLC mass atten coeff'!BY1037,"0.000E+00"))</f>
        <v xml:space="preserve">    - 4.395E-02</v>
      </c>
    </row>
    <row r="2652" spans="1:1">
      <c r="A2652" t="str">
        <f>CONCATENATE("    - ",TEXT('DLC mass atten coeff'!BY1038,"0.000E+00"))</f>
        <v xml:space="preserve">    - 4.069E-02</v>
      </c>
    </row>
    <row r="2653" spans="1:1">
      <c r="A2653" t="str">
        <f>CONCATENATE("    - ",TEXT('DLC mass atten coeff'!BY1039,"0.000E+00"))</f>
        <v xml:space="preserve">    - 4.046E-02</v>
      </c>
    </row>
    <row r="2654" spans="1:1">
      <c r="A2654" t="str">
        <f>CONCATENATE("    - ",TEXT('DLC mass atten coeff'!BY1040,"0.000E+00"))</f>
        <v xml:space="preserve">    - 4.120E-02</v>
      </c>
    </row>
    <row r="2655" spans="1:1">
      <c r="A2655" t="str">
        <f>CONCATENATE("    - ",TEXT('DLC mass atten coeff'!BY1041,"0.000E+00"))</f>
        <v xml:space="preserve">    - 4.233E-02</v>
      </c>
    </row>
    <row r="2656" spans="1:1">
      <c r="A2656" t="str">
        <f>CONCATENATE("    - ",TEXT('DLC mass atten coeff'!BY1042,"0.000E+00"))</f>
        <v xml:space="preserve">    - 4.503E-02</v>
      </c>
    </row>
    <row r="2657" spans="1:1">
      <c r="A2657" t="str">
        <f>CONCATENATE("    - ",TEXT('DLC mass atten coeff'!BY1043,"0.000E+00"))</f>
        <v xml:space="preserve">    - 4.785E-02</v>
      </c>
    </row>
    <row r="2658" spans="1:1">
      <c r="A2658" t="str">
        <f>CONCATENATE("    - ",TEXT('DLC mass atten coeff'!BY1044,"0.000E+00"))</f>
        <v xml:space="preserve">    - 5.437E-02</v>
      </c>
    </row>
    <row r="2659" spans="1:1">
      <c r="A2659" t="str">
        <f>CONCATENATE("    - ",TEXT('DLC mass atten coeff'!BY1045,"0.000E+00"))</f>
        <v xml:space="preserve">    - 5.952E-02</v>
      </c>
    </row>
    <row r="2660" spans="1:1">
      <c r="A2660" t="str">
        <f>CONCATENATE("    - ",TEXT('DLC mass atten coeff'!BY1046,"0.000E+00"))</f>
        <v xml:space="preserve">    - 6.727E-02</v>
      </c>
    </row>
    <row r="2661" spans="1:1">
      <c r="A2661" t="str">
        <f>CONCATENATE('DLC mass atten coeff'!BZ1018,":")</f>
        <v>iridium:</v>
      </c>
    </row>
    <row r="2662" spans="1:1">
      <c r="A2662" s="18" t="str">
        <f>CONCATENATE("  density: ",VLOOKUP(A2661,densities!$A$5:$B$110,2,FALSE))</f>
        <v xml:space="preserve">  density: 2.242E+01</v>
      </c>
    </row>
    <row r="2663" spans="1:1" ht="16">
      <c r="A2663" s="19" t="s">
        <v>1631</v>
      </c>
    </row>
    <row r="2664" spans="1:1">
      <c r="A2664" s="19" t="s">
        <v>1553</v>
      </c>
    </row>
    <row r="2665" spans="1:1">
      <c r="A2665" s="19" t="s">
        <v>1554</v>
      </c>
    </row>
    <row r="2666" spans="1:1">
      <c r="A2666" s="21" t="s">
        <v>1860</v>
      </c>
    </row>
    <row r="2667" spans="1:1">
      <c r="A2667" s="19" t="s">
        <v>1555</v>
      </c>
    </row>
    <row r="2668" spans="1:1">
      <c r="A2668" t="str">
        <f>CONCATENATE("    - ",TEXT('DLC mass atten coeff'!BZ1019,"0.000E+00"))</f>
        <v xml:space="preserve">    - 1.044E+02</v>
      </c>
    </row>
    <row r="2669" spans="1:1">
      <c r="A2669" t="str">
        <f>CONCATENATE("    - ",TEXT('DLC mass atten coeff'!BZ1020,"0.000E+00"))</f>
        <v xml:space="preserve">    - 1.500E+02</v>
      </c>
    </row>
    <row r="2670" spans="1:1">
      <c r="A2670" t="str">
        <f>CONCATENATE("    - ",TEXT('DLC mass atten coeff'!BZ1021,"0.000E+00"))</f>
        <v xml:space="preserve">    - 7.111E+01</v>
      </c>
    </row>
    <row r="2671" spans="1:1">
      <c r="A2671" t="str">
        <f>CONCATENATE("    - ",TEXT('DLC mass atten coeff'!BZ1022,"0.000E+00"))</f>
        <v xml:space="preserve">    - 2.425E+01</v>
      </c>
    </row>
    <row r="2672" spans="1:1">
      <c r="A2672" t="str">
        <f>CONCATENATE("    - ",TEXT('DLC mass atten coeff'!BZ1023,"0.000E+00"))</f>
        <v xml:space="preserve">    - 1.119E+01</v>
      </c>
    </row>
    <row r="2673" spans="1:1">
      <c r="A2673" t="str">
        <f>CONCATENATE("    - ",TEXT('DLC mass atten coeff'!BZ1024,"0.000E+00"))</f>
        <v xml:space="preserve">    - 6.135E+00</v>
      </c>
    </row>
    <row r="2674" spans="1:1">
      <c r="A2674" t="str">
        <f>CONCATENATE("    - ",TEXT('DLC mass atten coeff'!BZ1025,"0.000E+00"))</f>
        <v xml:space="preserve">    - 3.759E+00</v>
      </c>
    </row>
    <row r="2675" spans="1:1">
      <c r="A2675" t="str">
        <f>CONCATENATE("    - ",TEXT('DLC mass atten coeff'!BZ1026,"0.000E+00"))</f>
        <v xml:space="preserve">    - 8.326E+00</v>
      </c>
    </row>
    <row r="2676" spans="1:1">
      <c r="A2676" t="str">
        <f>CONCATENATE("    - ",TEXT('DLC mass atten coeff'!BZ1027,"0.000E+00"))</f>
        <v xml:space="preserve">    - 4.680E+00</v>
      </c>
    </row>
    <row r="2677" spans="1:1">
      <c r="A2677" t="str">
        <f>CONCATENATE("    - ",TEXT('DLC mass atten coeff'!BZ1028,"0.000E+00"))</f>
        <v xml:space="preserve">    - 1.656E+00</v>
      </c>
    </row>
    <row r="2678" spans="1:1">
      <c r="A2678" t="str">
        <f>CONCATENATE("    - ",TEXT('DLC mass atten coeff'!BZ1029,"0.000E+00"))</f>
        <v xml:space="preserve">    - 8.130E-01</v>
      </c>
    </row>
    <row r="2679" spans="1:1">
      <c r="A2679" t="str">
        <f>CONCATENATE("    - ",TEXT('DLC mass atten coeff'!BZ1030,"0.000E+00"))</f>
        <v xml:space="preserve">    - 3.293E-01</v>
      </c>
    </row>
    <row r="2680" spans="1:1">
      <c r="A2680" t="str">
        <f>CONCATENATE("    - ",TEXT('DLC mass atten coeff'!BZ1031,"0.000E+00"))</f>
        <v xml:space="preserve">    - 1.934E-01</v>
      </c>
    </row>
    <row r="2681" spans="1:1">
      <c r="A2681" t="str">
        <f>CONCATENATE("    - ",TEXT('DLC mass atten coeff'!BZ1032,"0.000E+00"))</f>
        <v xml:space="preserve">    - 1.376E-01</v>
      </c>
    </row>
    <row r="2682" spans="1:1">
      <c r="A2682" t="str">
        <f>CONCATENATE("    - ",TEXT('DLC mass atten coeff'!BZ1033,"0.000E+00"))</f>
        <v xml:space="preserve">    - 1.087E-01</v>
      </c>
    </row>
    <row r="2683" spans="1:1">
      <c r="A2683" t="str">
        <f>CONCATENATE("    - ",TEXT('DLC mass atten coeff'!BZ1034,"0.000E+00"))</f>
        <v xml:space="preserve">    - 8.001E-02</v>
      </c>
    </row>
    <row r="2684" spans="1:1">
      <c r="A2684" t="str">
        <f>CONCATENATE("    - ",TEXT('DLC mass atten coeff'!BZ1035,"0.000E+00"))</f>
        <v xml:space="preserve">    - 6.562E-02</v>
      </c>
    </row>
    <row r="2685" spans="1:1">
      <c r="A2685" t="str">
        <f>CONCATENATE("    - ",TEXT('DLC mass atten coeff'!BZ1036,"0.000E+00"))</f>
        <v xml:space="preserve">    - 4.976E-02</v>
      </c>
    </row>
    <row r="2686" spans="1:1">
      <c r="A2686" t="str">
        <f>CONCATENATE("    - ",TEXT('DLC mass atten coeff'!BZ1037,"0.000E+00"))</f>
        <v xml:space="preserve">    - 4.436E-02</v>
      </c>
    </row>
    <row r="2687" spans="1:1">
      <c r="A2687" t="str">
        <f>CONCATENATE("    - ",TEXT('DLC mass atten coeff'!BZ1038,"0.000E+00"))</f>
        <v xml:space="preserve">    - 4.107E-02</v>
      </c>
    </row>
    <row r="2688" spans="1:1">
      <c r="A2688" t="str">
        <f>CONCATENATE("    - ",TEXT('DLC mass atten coeff'!BZ1039,"0.000E+00"))</f>
        <v xml:space="preserve">    - 4.084E-02</v>
      </c>
    </row>
    <row r="2689" spans="1:1">
      <c r="A2689" t="str">
        <f>CONCATENATE("    - ",TEXT('DLC mass atten coeff'!BZ1040,"0.000E+00"))</f>
        <v xml:space="preserve">    - 4.160E-02</v>
      </c>
    </row>
    <row r="2690" spans="1:1">
      <c r="A2690" t="str">
        <f>CONCATENATE("    - ",TEXT('DLC mass atten coeff'!BZ1041,"0.000E+00"))</f>
        <v xml:space="preserve">    - 4.275E-02</v>
      </c>
    </row>
    <row r="2691" spans="1:1">
      <c r="A2691" t="str">
        <f>CONCATENATE("    - ",TEXT('DLC mass atten coeff'!BZ1042,"0.000E+00"))</f>
        <v xml:space="preserve">    - 4.550E-02</v>
      </c>
    </row>
    <row r="2692" spans="1:1">
      <c r="A2692" t="str">
        <f>CONCATENATE("    - ",TEXT('DLC mass atten coeff'!BZ1043,"0.000E+00"))</f>
        <v xml:space="preserve">    - 4.838E-02</v>
      </c>
    </row>
    <row r="2693" spans="1:1">
      <c r="A2693" t="str">
        <f>CONCATENATE("    - ",TEXT('DLC mass atten coeff'!BZ1044,"0.000E+00"))</f>
        <v xml:space="preserve">    - 5.497E-02</v>
      </c>
    </row>
    <row r="2694" spans="1:1">
      <c r="A2694" t="str">
        <f>CONCATENATE("    - ",TEXT('DLC mass atten coeff'!BZ1045,"0.000E+00"))</f>
        <v xml:space="preserve">    - 6.020E-02</v>
      </c>
    </row>
    <row r="2695" spans="1:1">
      <c r="A2695" t="str">
        <f>CONCATENATE("    - ",TEXT('DLC mass atten coeff'!BZ1046,"0.000E+00"))</f>
        <v xml:space="preserve">    - 6.806E-02</v>
      </c>
    </row>
    <row r="2696" spans="1:1">
      <c r="A2696" t="str">
        <f>CONCATENATE('DLC mass atten coeff'!CA1018,":")</f>
        <v>platinum:</v>
      </c>
    </row>
    <row r="2697" spans="1:1">
      <c r="A2697" s="18" t="str">
        <f>CONCATENATE("  density: ",VLOOKUP(A2696,densities!$A$5:$B$110,2,FALSE))</f>
        <v xml:space="preserve">  density: 2.145E+01</v>
      </c>
    </row>
    <row r="2698" spans="1:1" ht="16">
      <c r="A2698" s="19" t="s">
        <v>1632</v>
      </c>
    </row>
    <row r="2699" spans="1:1">
      <c r="A2699" s="19" t="s">
        <v>1553</v>
      </c>
    </row>
    <row r="2700" spans="1:1">
      <c r="A2700" s="19" t="s">
        <v>1554</v>
      </c>
    </row>
    <row r="2701" spans="1:1">
      <c r="A2701" s="21" t="s">
        <v>1860</v>
      </c>
    </row>
    <row r="2702" spans="1:1">
      <c r="A2702" s="19" t="s">
        <v>1555</v>
      </c>
    </row>
    <row r="2703" spans="1:1">
      <c r="A2703" t="str">
        <f>CONCATENATE("    - ",TEXT('DLC mass atten coeff'!CA1019,"0.000E+00"))</f>
        <v xml:space="preserve">    - 1.086E+02</v>
      </c>
    </row>
    <row r="2704" spans="1:1">
      <c r="A2704" t="str">
        <f>CONCATENATE("    - ",TEXT('DLC mass atten coeff'!CA1020,"0.000E+00"))</f>
        <v xml:space="preserve">    - 1.548E+02</v>
      </c>
    </row>
    <row r="2705" spans="1:1">
      <c r="A2705" t="str">
        <f>CONCATENATE("    - ",TEXT('DLC mass atten coeff'!CA1021,"0.000E+00"))</f>
        <v xml:space="preserve">    - 7.362E+01</v>
      </c>
    </row>
    <row r="2706" spans="1:1">
      <c r="A2706" t="str">
        <f>CONCATENATE("    - ",TEXT('DLC mass atten coeff'!CA1022,"0.000E+00"))</f>
        <v xml:space="preserve">    - 2.518E+01</v>
      </c>
    </row>
    <row r="2707" spans="1:1">
      <c r="A2707" t="str">
        <f>CONCATENATE("    - ",TEXT('DLC mass atten coeff'!CA1023,"0.000E+00"))</f>
        <v xml:space="preserve">    - 1.164E+01</v>
      </c>
    </row>
    <row r="2708" spans="1:1">
      <c r="A2708" t="str">
        <f>CONCATENATE("    - ",TEXT('DLC mass atten coeff'!CA1024,"0.000E+00"))</f>
        <v xml:space="preserve">    - 6.383E+00</v>
      </c>
    </row>
    <row r="2709" spans="1:1">
      <c r="A2709" t="str">
        <f>CONCATENATE("    - ",TEXT('DLC mass atten coeff'!CA1025,"0.000E+00"))</f>
        <v xml:space="preserve">    - 3.916E+00</v>
      </c>
    </row>
    <row r="2710" spans="1:1">
      <c r="A2710" t="str">
        <f>CONCATENATE("    - ",TEXT('DLC mass atten coeff'!CA1026,"0.000E+00"))</f>
        <v xml:space="preserve">    - 8.469E+00</v>
      </c>
    </row>
    <row r="2711" spans="1:1">
      <c r="A2711" t="str">
        <f>CONCATENATE("    - ",TEXT('DLC mass atten coeff'!CA1027,"0.000E+00"))</f>
        <v xml:space="preserve">    - 4.814E+00</v>
      </c>
    </row>
    <row r="2712" spans="1:1">
      <c r="A2712" t="str">
        <f>CONCATENATE("    - ",TEXT('DLC mass atten coeff'!CA1028,"0.000E+00"))</f>
        <v xml:space="preserve">    - 1.709E+00</v>
      </c>
    </row>
    <row r="2713" spans="1:1">
      <c r="A2713" t="str">
        <f>CONCATENATE("    - ",TEXT('DLC mass atten coeff'!CA1029,"0.000E+00"))</f>
        <v xml:space="preserve">    - 8.387E-01</v>
      </c>
    </row>
    <row r="2714" spans="1:1">
      <c r="A2714" t="str">
        <f>CONCATENATE("    - ",TEXT('DLC mass atten coeff'!CA1030,"0.000E+00"))</f>
        <v xml:space="preserve">    - 3.386E-01</v>
      </c>
    </row>
    <row r="2715" spans="1:1">
      <c r="A2715" t="str">
        <f>CONCATENATE("    - ",TEXT('DLC mass atten coeff'!CA1031,"0.000E+00"))</f>
        <v xml:space="preserve">    - 1.980E-01</v>
      </c>
    </row>
    <row r="2716" spans="1:1">
      <c r="A2716" t="str">
        <f>CONCATENATE("    - ",TEXT('DLC mass atten coeff'!CA1032,"0.000E+00"))</f>
        <v xml:space="preserve">    - 1.402E-01</v>
      </c>
    </row>
    <row r="2717" spans="1:1">
      <c r="A2717" t="str">
        <f>CONCATENATE("    - ",TEXT('DLC mass atten coeff'!CA1033,"0.000E+00"))</f>
        <v xml:space="preserve">    - 1.105E-01</v>
      </c>
    </row>
    <row r="2718" spans="1:1">
      <c r="A2718" t="str">
        <f>CONCATENATE("    - ",TEXT('DLC mass atten coeff'!CA1034,"0.000E+00"))</f>
        <v xml:space="preserve">    - 8.095E-02</v>
      </c>
    </row>
    <row r="2719" spans="1:1">
      <c r="A2719" t="str">
        <f>CONCATENATE("    - ",TEXT('DLC mass atten coeff'!CA1035,"0.000E+00"))</f>
        <v xml:space="preserve">    - 6.618E-02</v>
      </c>
    </row>
    <row r="2720" spans="1:1">
      <c r="A2720" t="str">
        <f>CONCATENATE("    - ",TEXT('DLC mass atten coeff'!CA1036,"0.000E+00"))</f>
        <v xml:space="preserve">    - 5.001E-02</v>
      </c>
    </row>
    <row r="2721" spans="1:1">
      <c r="A2721" t="str">
        <f>CONCATENATE("    - ",TEXT('DLC mass atten coeff'!CA1037,"0.000E+00"))</f>
        <v xml:space="preserve">    - 4.459E-02</v>
      </c>
    </row>
    <row r="2722" spans="1:1">
      <c r="A2722" t="str">
        <f>CONCATENATE("    - ",TEXT('DLC mass atten coeff'!CA1038,"0.000E+00"))</f>
        <v xml:space="preserve">    - 4.128E-02</v>
      </c>
    </row>
    <row r="2723" spans="1:1">
      <c r="A2723" t="str">
        <f>CONCATENATE("    - ",TEXT('DLC mass atten coeff'!CA1039,"0.000E+00"))</f>
        <v xml:space="preserve">    - 4.104E-02</v>
      </c>
    </row>
    <row r="2724" spans="1:1">
      <c r="A2724" t="str">
        <f>CONCATENATE("    - ",TEXT('DLC mass atten coeff'!CA1040,"0.000E+00"))</f>
        <v xml:space="preserve">    - 4.181E-02</v>
      </c>
    </row>
    <row r="2725" spans="1:1">
      <c r="A2725" t="str">
        <f>CONCATENATE("    - ",TEXT('DLC mass atten coeff'!CA1041,"0.000E+00"))</f>
        <v xml:space="preserve">    - 4.299E-02</v>
      </c>
    </row>
    <row r="2726" spans="1:1">
      <c r="A2726" t="str">
        <f>CONCATENATE("    - ",TEXT('DLC mass atten coeff'!CA1042,"0.000E+00"))</f>
        <v xml:space="preserve">    - 4.576E-02</v>
      </c>
    </row>
    <row r="2727" spans="1:1">
      <c r="A2727" t="str">
        <f>CONCATENATE("    - ",TEXT('DLC mass atten coeff'!CA1043,"0.000E+00"))</f>
        <v xml:space="preserve">    - 4.865E-02</v>
      </c>
    </row>
    <row r="2728" spans="1:1">
      <c r="A2728" t="str">
        <f>CONCATENATE("    - ",TEXT('DLC mass atten coeff'!CA1044,"0.000E+00"))</f>
        <v xml:space="preserve">    - 5.532E-02</v>
      </c>
    </row>
    <row r="2729" spans="1:1">
      <c r="A2729" t="str">
        <f>CONCATENATE("    - ",TEXT('DLC mass atten coeff'!CA1045,"0.000E+00"))</f>
        <v xml:space="preserve">    - 6.060E-02</v>
      </c>
    </row>
    <row r="2730" spans="1:1">
      <c r="A2730" t="str">
        <f>CONCATENATE("    - ",TEXT('DLC mass atten coeff'!CA1046,"0.000E+00"))</f>
        <v xml:space="preserve">    - 6.853E-02</v>
      </c>
    </row>
    <row r="2731" spans="1:1">
      <c r="A2731" t="str">
        <f>CONCATENATE('DLC mass atten coeff'!CB1018,":")</f>
        <v>gold:</v>
      </c>
    </row>
    <row r="2732" spans="1:1">
      <c r="A2732" s="18" t="str">
        <f>CONCATENATE("  density: ",VLOOKUP(A2731,densities!$A$5:$B$110,2,FALSE))</f>
        <v xml:space="preserve">  density: 1.932E+01</v>
      </c>
    </row>
    <row r="2733" spans="1:1" ht="16">
      <c r="A2733" s="19" t="s">
        <v>1633</v>
      </c>
    </row>
    <row r="2734" spans="1:1">
      <c r="A2734" s="19" t="s">
        <v>1553</v>
      </c>
    </row>
    <row r="2735" spans="1:1">
      <c r="A2735" s="19" t="s">
        <v>1554</v>
      </c>
    </row>
    <row r="2736" spans="1:1">
      <c r="A2736" s="21" t="s">
        <v>1860</v>
      </c>
    </row>
    <row r="2737" spans="1:1">
      <c r="A2737" s="19" t="s">
        <v>1555</v>
      </c>
    </row>
    <row r="2738" spans="1:1">
      <c r="A2738" t="str">
        <f>CONCATENATE("    - ",TEXT('DLC mass atten coeff'!CB1019,"0.000E+00"))</f>
        <v xml:space="preserve">    - 1.134E+02</v>
      </c>
    </row>
    <row r="2739" spans="1:1">
      <c r="A2739" t="str">
        <f>CONCATENATE("    - ",TEXT('DLC mass atten coeff'!CB1020,"0.000E+00"))</f>
        <v xml:space="preserve">    - 1.606E+02</v>
      </c>
    </row>
    <row r="2740" spans="1:1">
      <c r="A2740" t="str">
        <f>CONCATENATE("    - ",TEXT('DLC mass atten coeff'!CB1021,"0.000E+00"))</f>
        <v xml:space="preserve">    - 7.665E+01</v>
      </c>
    </row>
    <row r="2741" spans="1:1">
      <c r="A2741" t="str">
        <f>CONCATENATE("    - ",TEXT('DLC mass atten coeff'!CB1022,"0.000E+00"))</f>
        <v xml:space="preserve">    - 2.626E+01</v>
      </c>
    </row>
    <row r="2742" spans="1:1">
      <c r="A2742" t="str">
        <f>CONCATENATE("    - ",TEXT('DLC mass atten coeff'!CB1023,"0.000E+00"))</f>
        <v xml:space="preserve">    - 1.215E+01</v>
      </c>
    </row>
    <row r="2743" spans="1:1">
      <c r="A2743" t="str">
        <f>CONCATENATE("    - ",TEXT('DLC mass atten coeff'!CB1024,"0.000E+00"))</f>
        <v xml:space="preserve">    - 6.673E+00</v>
      </c>
    </row>
    <row r="2744" spans="1:1">
      <c r="A2744" t="str">
        <f>CONCATENATE("    - ",TEXT('DLC mass atten coeff'!CB1025,"0.000E+00"))</f>
        <v xml:space="preserve">    - 4.094E+00</v>
      </c>
    </row>
    <row r="2745" spans="1:1">
      <c r="A2745" t="str">
        <f>CONCATENATE("    - ",TEXT('DLC mass atten coeff'!CB1026,"0.000E+00"))</f>
        <v xml:space="preserve">    - 1.915E+00</v>
      </c>
    </row>
    <row r="2746" spans="1:1">
      <c r="A2746" t="str">
        <f>CONCATENATE("    - ",TEXT('DLC mass atten coeff'!CB1027,"0.000E+00"))</f>
        <v xml:space="preserve">    - 4.974E+00</v>
      </c>
    </row>
    <row r="2747" spans="1:1">
      <c r="A2747" t="str">
        <f>CONCATENATE("    - ",TEXT('DLC mass atten coeff'!CB1028,"0.000E+00"))</f>
        <v xml:space="preserve">    - 1.770E+00</v>
      </c>
    </row>
    <row r="2748" spans="1:1">
      <c r="A2748" t="str">
        <f>CONCATENATE("    - ",TEXT('DLC mass atten coeff'!CB1029,"0.000E+00"))</f>
        <v xml:space="preserve">    - 8.692E-01</v>
      </c>
    </row>
    <row r="2749" spans="1:1">
      <c r="A2749" t="str">
        <f>CONCATENATE("    - ",TEXT('DLC mass atten coeff'!CB1030,"0.000E+00"))</f>
        <v xml:space="preserve">    - 3.499E-01</v>
      </c>
    </row>
    <row r="2750" spans="1:1">
      <c r="A2750" t="str">
        <f>CONCATENATE("    - ",TEXT('DLC mass atten coeff'!CB1031,"0.000E+00"))</f>
        <v xml:space="preserve">    - 2.038E-01</v>
      </c>
    </row>
    <row r="2751" spans="1:1">
      <c r="A2751" t="str">
        <f>CONCATENATE("    - ",TEXT('DLC mass atten coeff'!CB1032,"0.000E+00"))</f>
        <v xml:space="preserve">    - 1.437E-01</v>
      </c>
    </row>
    <row r="2752" spans="1:1">
      <c r="A2752" t="str">
        <f>CONCATENATE("    - ",TEXT('DLC mass atten coeff'!CB1033,"0.000E+00"))</f>
        <v xml:space="preserve">    - 1.129E-01</v>
      </c>
    </row>
    <row r="2753" spans="1:1">
      <c r="A2753" t="str">
        <f>CONCATENATE("    - ",TEXT('DLC mass atten coeff'!CB1034,"0.000E+00"))</f>
        <v xml:space="preserve">    - 8.229E-02</v>
      </c>
    </row>
    <row r="2754" spans="1:1">
      <c r="A2754" t="str">
        <f>CONCATENATE("    - ",TEXT('DLC mass atten coeff'!CB1035,"0.000E+00"))</f>
        <v xml:space="preserve">    - 6.712E-02</v>
      </c>
    </row>
    <row r="2755" spans="1:1">
      <c r="A2755" t="str">
        <f>CONCATENATE("    - ",TEXT('DLC mass atten coeff'!CB1036,"0.000E+00"))</f>
        <v xml:space="preserve">    - 5.053E-02</v>
      </c>
    </row>
    <row r="2756" spans="1:1">
      <c r="A2756" t="str">
        <f>CONCATENATE("    - ",TEXT('DLC mass atten coeff'!CB1037,"0.000E+00"))</f>
        <v xml:space="preserve">    - 4.501E-02</v>
      </c>
    </row>
    <row r="2757" spans="1:1">
      <c r="A2757" t="str">
        <f>CONCATENATE("    - ",TEXT('DLC mass atten coeff'!CB1038,"0.000E+00"))</f>
        <v xml:space="preserve">    - 4.168E-02</v>
      </c>
    </row>
    <row r="2758" spans="1:1">
      <c r="A2758" t="str">
        <f>CONCATENATE("    - ",TEXT('DLC mass atten coeff'!CB1039,"0.000E+00"))</f>
        <v xml:space="preserve">    - 4.145E-02</v>
      </c>
    </row>
    <row r="2759" spans="1:1">
      <c r="A2759" t="str">
        <f>CONCATENATE("    - ",TEXT('DLC mass atten coeff'!CB1040,"0.000E+00"))</f>
        <v xml:space="preserve">    - 4.224E-02</v>
      </c>
    </row>
    <row r="2760" spans="1:1">
      <c r="A2760" t="str">
        <f>CONCATENATE("    - ",TEXT('DLC mass atten coeff'!CB1041,"0.000E+00"))</f>
        <v xml:space="preserve">    - 4.343E-02</v>
      </c>
    </row>
    <row r="2761" spans="1:1">
      <c r="A2761" t="str">
        <f>CONCATENATE("    - ",TEXT('DLC mass atten coeff'!CB1042,"0.000E+00"))</f>
        <v xml:space="preserve">    - 4.625E-02</v>
      </c>
    </row>
    <row r="2762" spans="1:1">
      <c r="A2762" t="str">
        <f>CONCATENATE("    - ",TEXT('DLC mass atten coeff'!CB1043,"0.000E+00"))</f>
        <v xml:space="preserve">    - 4.919E-02</v>
      </c>
    </row>
    <row r="2763" spans="1:1">
      <c r="A2763" t="str">
        <f>CONCATENATE("    - ",TEXT('DLC mass atten coeff'!CB1044,"0.000E+00"))</f>
        <v xml:space="preserve">    - 5.593E-02</v>
      </c>
    </row>
    <row r="2764" spans="1:1">
      <c r="A2764" t="str">
        <f>CONCATENATE("    - ",TEXT('DLC mass atten coeff'!CB1045,"0.000E+00"))</f>
        <v xml:space="preserve">    - 6.132E-02</v>
      </c>
    </row>
    <row r="2765" spans="1:1">
      <c r="A2765" t="str">
        <f>CONCATENATE("    - ",TEXT('DLC mass atten coeff'!CB1046,"0.000E+00"))</f>
        <v xml:space="preserve">    - 6.937E-02</v>
      </c>
    </row>
    <row r="2766" spans="1:1">
      <c r="A2766" t="str">
        <f>CONCATENATE('DLC mass atten coeff'!CC1018,":")</f>
        <v>mercury:</v>
      </c>
    </row>
    <row r="2767" spans="1:1">
      <c r="A2767" s="18" t="str">
        <f>CONCATENATE("  density: ",VLOOKUP(A2766,densities!$A$5:$B$110,2,FALSE))</f>
        <v xml:space="preserve">  density: 1.355E+01</v>
      </c>
    </row>
    <row r="2768" spans="1:1" ht="16">
      <c r="A2768" s="19" t="s">
        <v>1634</v>
      </c>
    </row>
    <row r="2769" spans="1:1">
      <c r="A2769" s="19" t="s">
        <v>1553</v>
      </c>
    </row>
    <row r="2770" spans="1:1">
      <c r="A2770" s="19" t="s">
        <v>1554</v>
      </c>
    </row>
    <row r="2771" spans="1:1">
      <c r="A2771" s="21" t="s">
        <v>1860</v>
      </c>
    </row>
    <row r="2772" spans="1:1">
      <c r="A2772" s="19" t="s">
        <v>1555</v>
      </c>
    </row>
    <row r="2773" spans="1:1">
      <c r="A2773" t="str">
        <f>CONCATENATE("    - ",TEXT('DLC mass atten coeff'!CC1019,"0.000E+00"))</f>
        <v xml:space="preserve">    - 1.173E+02</v>
      </c>
    </row>
    <row r="2774" spans="1:1">
      <c r="A2774" t="str">
        <f>CONCATENATE("    - ",TEXT('DLC mass atten coeff'!CC1020,"0.000E+00"))</f>
        <v xml:space="preserve">    - 1.650E+02</v>
      </c>
    </row>
    <row r="2775" spans="1:1">
      <c r="A2775" t="str">
        <f>CONCATENATE("    - ",TEXT('DLC mass atten coeff'!CC1021,"0.000E+00"))</f>
        <v xml:space="preserve">    - 7.905E+01</v>
      </c>
    </row>
    <row r="2776" spans="1:1">
      <c r="A2776" t="str">
        <f>CONCATENATE("    - ",TEXT('DLC mass atten coeff'!CC1022,"0.000E+00"))</f>
        <v xml:space="preserve">    - 2.713E+01</v>
      </c>
    </row>
    <row r="2777" spans="1:1">
      <c r="A2777" t="str">
        <f>CONCATENATE("    - ",TEXT('DLC mass atten coeff'!CC1023,"0.000E+00"))</f>
        <v xml:space="preserve">    - 1.257E+01</v>
      </c>
    </row>
    <row r="2778" spans="1:1">
      <c r="A2778" t="str">
        <f>CONCATENATE("    - ",TEXT('DLC mass atten coeff'!CC1024,"0.000E+00"))</f>
        <v xml:space="preserve">    - 6.907E+00</v>
      </c>
    </row>
    <row r="2779" spans="1:1">
      <c r="A2779" t="str">
        <f>CONCATENATE("    - ",TEXT('DLC mass atten coeff'!CC1025,"0.000E+00"))</f>
        <v xml:space="preserve">    - 4.241E+00</v>
      </c>
    </row>
    <row r="2780" spans="1:1">
      <c r="A2780" t="str">
        <f>CONCATENATE("    - ",TEXT('DLC mass atten coeff'!CC1026,"0.000E+00"))</f>
        <v xml:space="preserve">    - 1.985E+00</v>
      </c>
    </row>
    <row r="2781" spans="1:1">
      <c r="A2781" t="str">
        <f>CONCATENATE("    - ",TEXT('DLC mass atten coeff'!CC1027,"0.000E+00"))</f>
        <v xml:space="preserve">    - 5.090E+00</v>
      </c>
    </row>
    <row r="2782" spans="1:1">
      <c r="A2782" t="str">
        <f>CONCATENATE("    - ",TEXT('DLC mass atten coeff'!CC1028,"0.000E+00"))</f>
        <v xml:space="preserve">    - 1.819E+00</v>
      </c>
    </row>
    <row r="2783" spans="1:1">
      <c r="A2783" t="str">
        <f>CONCATENATE("    - ",TEXT('DLC mass atten coeff'!CC1029,"0.000E+00"))</f>
        <v xml:space="preserve">    - 8.923E-01</v>
      </c>
    </row>
    <row r="2784" spans="1:1">
      <c r="A2784" t="str">
        <f>CONCATENATE("    - ",TEXT('DLC mass atten coeff'!CC1030,"0.000E+00"))</f>
        <v xml:space="preserve">    - 3.585E-01</v>
      </c>
    </row>
    <row r="2785" spans="1:1">
      <c r="A2785" t="str">
        <f>CONCATENATE("    - ",TEXT('DLC mass atten coeff'!CC1031,"0.000E+00"))</f>
        <v xml:space="preserve">    - 2.079E-01</v>
      </c>
    </row>
    <row r="2786" spans="1:1">
      <c r="A2786" t="str">
        <f>CONCATENATE("    - ",TEXT('DLC mass atten coeff'!CC1032,"0.000E+00"))</f>
        <v xml:space="preserve">    - 1.461E-01</v>
      </c>
    </row>
    <row r="2787" spans="1:1">
      <c r="A2787" t="str">
        <f>CONCATENATE("    - ",TEXT('DLC mass atten coeff'!CC1033,"0.000E+00"))</f>
        <v xml:space="preserve">    - 1.143E-01</v>
      </c>
    </row>
    <row r="2788" spans="1:1">
      <c r="A2788" t="str">
        <f>CONCATENATE("    - ",TEXT('DLC mass atten coeff'!CC1034,"0.000E+00"))</f>
        <v xml:space="preserve">    - 8.299E-02</v>
      </c>
    </row>
    <row r="2789" spans="1:1">
      <c r="A2789" t="str">
        <f>CONCATENATE("    - ",TEXT('DLC mass atten coeff'!CC1035,"0.000E+00"))</f>
        <v xml:space="preserve">    - 6.745E-02</v>
      </c>
    </row>
    <row r="2790" spans="1:1">
      <c r="A2790" t="str">
        <f>CONCATENATE("    - ",TEXT('DLC mass atten coeff'!CC1036,"0.000E+00"))</f>
        <v xml:space="preserve">    - 5.065E-02</v>
      </c>
    </row>
    <row r="2791" spans="1:1">
      <c r="A2791" t="str">
        <f>CONCATENATE("    - ",TEXT('DLC mass atten coeff'!CC1037,"0.000E+00"))</f>
        <v xml:space="preserve">    - 4.508E-02</v>
      </c>
    </row>
    <row r="2792" spans="1:1">
      <c r="A2792" t="str">
        <f>CONCATENATE("    - ",TEXT('DLC mass atten coeff'!CC1038,"0.000E+00"))</f>
        <v xml:space="preserve">    - 4.173E-02</v>
      </c>
    </row>
    <row r="2793" spans="1:1">
      <c r="A2793" t="str">
        <f>CONCATENATE("    - ",TEXT('DLC mass atten coeff'!CC1039,"0.000E+00"))</f>
        <v xml:space="preserve">    - 4.151E-02</v>
      </c>
    </row>
    <row r="2794" spans="1:1">
      <c r="A2794" t="str">
        <f>CONCATENATE("    - ",TEXT('DLC mass atten coeff'!CC1040,"0.000E+00"))</f>
        <v xml:space="preserve">    - 4.231E-02</v>
      </c>
    </row>
    <row r="2795" spans="1:1">
      <c r="A2795" t="str">
        <f>CONCATENATE("    - ",TEXT('DLC mass atten coeff'!CC1041,"0.000E+00"))</f>
        <v xml:space="preserve">    - 4.350E-02</v>
      </c>
    </row>
    <row r="2796" spans="1:1">
      <c r="A2796" t="str">
        <f>CONCATENATE("    - ",TEXT('DLC mass atten coeff'!CC1042,"0.000E+00"))</f>
        <v xml:space="preserve">    - 4.635E-02</v>
      </c>
    </row>
    <row r="2797" spans="1:1">
      <c r="A2797" t="str">
        <f>CONCATENATE("    - ",TEXT('DLC mass atten coeff'!CC1043,"0.000E+00"))</f>
        <v xml:space="preserve">    - 4.930E-02</v>
      </c>
    </row>
    <row r="2798" spans="1:1">
      <c r="A2798" t="str">
        <f>CONCATENATE("    - ",TEXT('DLC mass atten coeff'!CC1044,"0.000E+00"))</f>
        <v xml:space="preserve">    - 5.608E-02</v>
      </c>
    </row>
    <row r="2799" spans="1:1">
      <c r="A2799" t="str">
        <f>CONCATENATE("    - ",TEXT('DLC mass atten coeff'!CC1045,"0.000E+00"))</f>
        <v xml:space="preserve">    - 6.150E-02</v>
      </c>
    </row>
    <row r="2800" spans="1:1">
      <c r="A2800" t="str">
        <f>CONCATENATE("    - ",TEXT('DLC mass atten coeff'!CC1046,"0.000E+00"))</f>
        <v xml:space="preserve">    - 6.958E-02</v>
      </c>
    </row>
    <row r="2801" spans="1:1">
      <c r="A2801" t="str">
        <f>CONCATENATE('DLC mass atten coeff'!CD1018,":")</f>
        <v>thallium:</v>
      </c>
    </row>
    <row r="2802" spans="1:1">
      <c r="A2802" s="18" t="str">
        <f>CONCATENATE("  density: ",VLOOKUP(A2801,densities!$A$5:$B$110,2,FALSE))</f>
        <v xml:space="preserve">  density: 1.172E+01</v>
      </c>
    </row>
    <row r="2803" spans="1:1" ht="16">
      <c r="A2803" s="19" t="s">
        <v>1635</v>
      </c>
    </row>
    <row r="2804" spans="1:1">
      <c r="A2804" s="19" t="s">
        <v>1553</v>
      </c>
    </row>
    <row r="2805" spans="1:1">
      <c r="A2805" s="19" t="s">
        <v>1554</v>
      </c>
    </row>
    <row r="2806" spans="1:1">
      <c r="A2806" s="21" t="s">
        <v>1860</v>
      </c>
    </row>
    <row r="2807" spans="1:1">
      <c r="A2807" s="19" t="s">
        <v>1555</v>
      </c>
    </row>
    <row r="2808" spans="1:1">
      <c r="A2808" t="str">
        <f>CONCATENATE("    - ",TEXT('DLC mass atten coeff'!CD1019,"0.000E+00"))</f>
        <v xml:space="preserve">    - 1.212E+02</v>
      </c>
    </row>
    <row r="2809" spans="1:1">
      <c r="A2809" t="str">
        <f>CONCATENATE("    - ",TEXT('DLC mass atten coeff'!CD1020,"0.000E+00"))</f>
        <v xml:space="preserve">    - 1.465E+02</v>
      </c>
    </row>
    <row r="2810" spans="1:1">
      <c r="A2810" t="str">
        <f>CONCATENATE("    - ",TEXT('DLC mass atten coeff'!CD1021,"0.000E+00"))</f>
        <v xml:space="preserve">    - 8.138E+01</v>
      </c>
    </row>
    <row r="2811" spans="1:1">
      <c r="A2811" t="str">
        <f>CONCATENATE("    - ",TEXT('DLC mass atten coeff'!CD1022,"0.000E+00"))</f>
        <v xml:space="preserve">    - 2.799E+01</v>
      </c>
    </row>
    <row r="2812" spans="1:1">
      <c r="A2812" t="str">
        <f>CONCATENATE("    - ",TEXT('DLC mass atten coeff'!CD1023,"0.000E+00"))</f>
        <v xml:space="preserve">    - 1.299E+01</v>
      </c>
    </row>
    <row r="2813" spans="1:1">
      <c r="A2813" t="str">
        <f>CONCATENATE("    - ",TEXT('DLC mass atten coeff'!CD1024,"0.000E+00"))</f>
        <v xml:space="preserve">    - 7.146E+00</v>
      </c>
    </row>
    <row r="2814" spans="1:1">
      <c r="A2814" t="str">
        <f>CONCATENATE("    - ",TEXT('DLC mass atten coeff'!CD1025,"0.000E+00"))</f>
        <v xml:space="preserve">    - 4.391E+00</v>
      </c>
    </row>
    <row r="2815" spans="1:1">
      <c r="A2815" t="str">
        <f>CONCATENATE("    - ",TEXT('DLC mass atten coeff'!CD1026,"0.000E+00"))</f>
        <v xml:space="preserve">    - 2.054E+00</v>
      </c>
    </row>
    <row r="2816" spans="1:1">
      <c r="A2816" t="str">
        <f>CONCATENATE("    - ",TEXT('DLC mass atten coeff'!CD1027,"0.000E+00"))</f>
        <v xml:space="preserve">    - 5.206E+00</v>
      </c>
    </row>
    <row r="2817" spans="1:1">
      <c r="A2817" t="str">
        <f>CONCATENATE("    - ",TEXT('DLC mass atten coeff'!CD1028,"0.000E+00"))</f>
        <v xml:space="preserve">    - 1.865E+00</v>
      </c>
    </row>
    <row r="2818" spans="1:1">
      <c r="A2818" t="str">
        <f>CONCATENATE("    - ",TEXT('DLC mass atten coeff'!CD1029,"0.000E+00"))</f>
        <v xml:space="preserve">    - 9.152E-01</v>
      </c>
    </row>
    <row r="2819" spans="1:1">
      <c r="A2819" t="str">
        <f>CONCATENATE("    - ",TEXT('DLC mass atten coeff'!CD1030,"0.000E+00"))</f>
        <v xml:space="preserve">    - 3.668E-01</v>
      </c>
    </row>
    <row r="2820" spans="1:1">
      <c r="A2820" t="str">
        <f>CONCATENATE("    - ",TEXT('DLC mass atten coeff'!CD1031,"0.000E+00"))</f>
        <v xml:space="preserve">    - 2.120E-01</v>
      </c>
    </row>
    <row r="2821" spans="1:1">
      <c r="A2821" t="str">
        <f>CONCATENATE("    - ",TEXT('DLC mass atten coeff'!CD1032,"0.000E+00"))</f>
        <v xml:space="preserve">    - 1.484E-01</v>
      </c>
    </row>
    <row r="2822" spans="1:1">
      <c r="A2822" t="str">
        <f>CONCATENATE("    - ",TEXT('DLC mass atten coeff'!CD1033,"0.000E+00"))</f>
        <v xml:space="preserve">    - 1.158E-01</v>
      </c>
    </row>
    <row r="2823" spans="1:1">
      <c r="A2823" t="str">
        <f>CONCATENATE("    - ",TEXT('DLC mass atten coeff'!CD1034,"0.000E+00"))</f>
        <v xml:space="preserve">    - 8.361E-02</v>
      </c>
    </row>
    <row r="2824" spans="1:1">
      <c r="A2824" t="str">
        <f>CONCATENATE("    - ",TEXT('DLC mass atten coeff'!CD1035,"0.000E+00"))</f>
        <v xml:space="preserve">    - 6.777E-02</v>
      </c>
    </row>
    <row r="2825" spans="1:1">
      <c r="A2825" t="str">
        <f>CONCATENATE("    - ",TEXT('DLC mass atten coeff'!CD1036,"0.000E+00"))</f>
        <v xml:space="preserve">    - 5.070E-02</v>
      </c>
    </row>
    <row r="2826" spans="1:1">
      <c r="A2826" t="str">
        <f>CONCATENATE("    - ",TEXT('DLC mass atten coeff'!CD1037,"0.000E+00"))</f>
        <v xml:space="preserve">    - 4.512E-02</v>
      </c>
    </row>
    <row r="2827" spans="1:1">
      <c r="A2827" t="str">
        <f>CONCATENATE("    - ",TEXT('DLC mass atten coeff'!CD1038,"0.000E+00"))</f>
        <v xml:space="preserve">    - 4.176E-02</v>
      </c>
    </row>
    <row r="2828" spans="1:1">
      <c r="A2828" t="str">
        <f>CONCATENATE("    - ",TEXT('DLC mass atten coeff'!CD1039,"0.000E+00"))</f>
        <v xml:space="preserve">    - 4.154E-02</v>
      </c>
    </row>
    <row r="2829" spans="1:1">
      <c r="A2829" t="str">
        <f>CONCATENATE("    - ",TEXT('DLC mass atten coeff'!CD1040,"0.000E+00"))</f>
        <v xml:space="preserve">    - 4.233E-02</v>
      </c>
    </row>
    <row r="2830" spans="1:1">
      <c r="A2830" t="str">
        <f>CONCATENATE("    - ",TEXT('DLC mass atten coeff'!CD1041,"0.000E+00"))</f>
        <v xml:space="preserve">    - 4.354E-02</v>
      </c>
    </row>
    <row r="2831" spans="1:1">
      <c r="A2831" t="str">
        <f>CONCATENATE("    - ",TEXT('DLC mass atten coeff'!CD1042,"0.000E+00"))</f>
        <v xml:space="preserve">    - 4.639E-02</v>
      </c>
    </row>
    <row r="2832" spans="1:1">
      <c r="A2832" t="str">
        <f>CONCATENATE("    - ",TEXT('DLC mass atten coeff'!CD1043,"0.000E+00"))</f>
        <v xml:space="preserve">    - 4.936E-02</v>
      </c>
    </row>
    <row r="2833" spans="1:1">
      <c r="A2833" t="str">
        <f>CONCATENATE("    - ",TEXT('DLC mass atten coeff'!CD1044,"0.000E+00"))</f>
        <v xml:space="preserve">    - 5.617E-02</v>
      </c>
    </row>
    <row r="2834" spans="1:1">
      <c r="A2834" t="str">
        <f>CONCATENATE("    - ",TEXT('DLC mass atten coeff'!CD1045,"0.000E+00"))</f>
        <v xml:space="preserve">    - 6.158E-02</v>
      </c>
    </row>
    <row r="2835" spans="1:1">
      <c r="A2835" t="str">
        <f>CONCATENATE("    - ",TEXT('DLC mass atten coeff'!CD1046,"0.000E+00"))</f>
        <v xml:space="preserve">    - 6.972E-02</v>
      </c>
    </row>
    <row r="2836" spans="1:1">
      <c r="A2836" t="str">
        <f>CONCATENATE('DLC mass atten coeff'!CE1018,":")</f>
        <v>lead:</v>
      </c>
    </row>
    <row r="2837" spans="1:1">
      <c r="A2837" s="18" t="str">
        <f>CONCATENATE("  density: ",VLOOKUP(A2836,densities!$A$5:$B$110,2,FALSE))</f>
        <v xml:space="preserve">  density: 1.135E+01</v>
      </c>
    </row>
    <row r="2838" spans="1:1" ht="16">
      <c r="A2838" s="19" t="s">
        <v>1636</v>
      </c>
    </row>
    <row r="2839" spans="1:1">
      <c r="A2839" s="19" t="s">
        <v>1553</v>
      </c>
    </row>
    <row r="2840" spans="1:1">
      <c r="A2840" s="19" t="s">
        <v>1554</v>
      </c>
    </row>
    <row r="2841" spans="1:1">
      <c r="A2841" s="21" t="s">
        <v>1860</v>
      </c>
    </row>
    <row r="2842" spans="1:1">
      <c r="A2842" s="19" t="s">
        <v>1555</v>
      </c>
    </row>
    <row r="2843" spans="1:1">
      <c r="A2843" t="str">
        <f>CONCATENATE("    - ",TEXT('DLC mass atten coeff'!CE1019,"0.000E+00"))</f>
        <v xml:space="preserve">    - 1.257E+02</v>
      </c>
    </row>
    <row r="2844" spans="1:1">
      <c r="A2844" t="str">
        <f>CONCATENATE("    - ",TEXT('DLC mass atten coeff'!CE1020,"0.000E+00"))</f>
        <v xml:space="preserve">    - 1.084E+02</v>
      </c>
    </row>
    <row r="2845" spans="1:1">
      <c r="A2845" t="str">
        <f>CONCATENATE("    - ",TEXT('DLC mass atten coeff'!CE1021,"0.000E+00"))</f>
        <v xml:space="preserve">    - 8.411E+01</v>
      </c>
    </row>
    <row r="2846" spans="1:1">
      <c r="A2846" t="str">
        <f>CONCATENATE("    - ",TEXT('DLC mass atten coeff'!CE1022,"0.000E+00"))</f>
        <v xml:space="preserve">    - 2.900E+01</v>
      </c>
    </row>
    <row r="2847" spans="1:1">
      <c r="A2847" t="str">
        <f>CONCATENATE("    - ",TEXT('DLC mass atten coeff'!CE1023,"0.000E+00"))</f>
        <v xml:space="preserve">    - 1.349E+01</v>
      </c>
    </row>
    <row r="2848" spans="1:1">
      <c r="A2848" t="str">
        <f>CONCATENATE("    - ",TEXT('DLC mass atten coeff'!CE1024,"0.000E+00"))</f>
        <v xml:space="preserve">    - 7.426E+00</v>
      </c>
    </row>
    <row r="2849" spans="1:1">
      <c r="A2849" t="str">
        <f>CONCATENATE("    - ",TEXT('DLC mass atten coeff'!CE1025,"0.000E+00"))</f>
        <v xml:space="preserve">    - 4.563E+00</v>
      </c>
    </row>
    <row r="2850" spans="1:1">
      <c r="A2850" t="str">
        <f>CONCATENATE("    - ",TEXT('DLC mass atten coeff'!CE1026,"0.000E+00"))</f>
        <v xml:space="preserve">    - 2.135E+00</v>
      </c>
    </row>
    <row r="2851" spans="1:1">
      <c r="A2851" t="str">
        <f>CONCATENATE("    - ",TEXT('DLC mass atten coeff'!CE1027,"0.000E+00"))</f>
        <v xml:space="preserve">    - 5.355E+00</v>
      </c>
    </row>
    <row r="2852" spans="1:1">
      <c r="A2852" t="str">
        <f>CONCATENATE("    - ",TEXT('DLC mass atten coeff'!CE1028,"0.000E+00"))</f>
        <v xml:space="preserve">    - 1.921E+00</v>
      </c>
    </row>
    <row r="2853" spans="1:1">
      <c r="A2853" t="str">
        <f>CONCATENATE("    - ",TEXT('DLC mass atten coeff'!CE1029,"0.000E+00"))</f>
        <v xml:space="preserve">    - 9.432E-01</v>
      </c>
    </row>
    <row r="2854" spans="1:1">
      <c r="A2854" t="str">
        <f>CONCATENATE("    - ",TEXT('DLC mass atten coeff'!CE1030,"0.000E+00"))</f>
        <v xml:space="preserve">    - 3.772E-01</v>
      </c>
    </row>
    <row r="2855" spans="1:1">
      <c r="A2855" t="str">
        <f>CONCATENATE("    - ",TEXT('DLC mass atten coeff'!CE1031,"0.000E+00"))</f>
        <v xml:space="preserve">    - 2.172E-01</v>
      </c>
    </row>
    <row r="2856" spans="1:1">
      <c r="A2856" t="str">
        <f>CONCATENATE("    - ",TEXT('DLC mass atten coeff'!CE1032,"0.000E+00"))</f>
        <v xml:space="preserve">    - 1.514E-01</v>
      </c>
    </row>
    <row r="2857" spans="1:1">
      <c r="A2857" t="str">
        <f>CONCATENATE("    - ",TEXT('DLC mass atten coeff'!CE1033,"0.000E+00"))</f>
        <v xml:space="preserve">    - 1.178E-01</v>
      </c>
    </row>
    <row r="2858" spans="1:1">
      <c r="A2858" t="str">
        <f>CONCATENATE("    - ",TEXT('DLC mass atten coeff'!CE1034,"0.000E+00"))</f>
        <v xml:space="preserve">    - 8.472E-02</v>
      </c>
    </row>
    <row r="2859" spans="1:1">
      <c r="A2859" t="str">
        <f>CONCATENATE("    - ",TEXT('DLC mass atten coeff'!CE1035,"0.000E+00"))</f>
        <v xml:space="preserve">    - 6.844E-02</v>
      </c>
    </row>
    <row r="2860" spans="1:1">
      <c r="A2860" t="str">
        <f>CONCATENATE("    - ",TEXT('DLC mass atten coeff'!CE1036,"0.000E+00"))</f>
        <v xml:space="preserve">    - 5.102E-02</v>
      </c>
    </row>
    <row r="2861" spans="1:1">
      <c r="A2861" t="str">
        <f>CONCATENATE("    - ",TEXT('DLC mass atten coeff'!CE1037,"0.000E+00"))</f>
        <v xml:space="preserve">    - 4.536E-02</v>
      </c>
    </row>
    <row r="2862" spans="1:1">
      <c r="A2862" t="str">
        <f>CONCATENATE("    - ",TEXT('DLC mass atten coeff'!CE1038,"0.000E+00"))</f>
        <v xml:space="preserve">    - 4.199E-02</v>
      </c>
    </row>
    <row r="2863" spans="1:1">
      <c r="A2863" t="str">
        <f>CONCATENATE("    - ",TEXT('DLC mass atten coeff'!CE1039,"0.000E+00"))</f>
        <v xml:space="preserve">    - 4.175E-02</v>
      </c>
    </row>
    <row r="2864" spans="1:1">
      <c r="A2864" t="str">
        <f>CONCATENATE("    - ",TEXT('DLC mass atten coeff'!CE1040,"0.000E+00"))</f>
        <v xml:space="preserve">    - 4.257E-02</v>
      </c>
    </row>
    <row r="2865" spans="1:1">
      <c r="A2865" t="str">
        <f>CONCATENATE("    - ",TEXT('DLC mass atten coeff'!CE1041,"0.000E+00"))</f>
        <v xml:space="preserve">    - 4.379E-02</v>
      </c>
    </row>
    <row r="2866" spans="1:1">
      <c r="A2866" t="str">
        <f>CONCATENATE("    - ",TEXT('DLC mass atten coeff'!CE1042,"0.000E+00"))</f>
        <v xml:space="preserve">    - 4.667E-02</v>
      </c>
    </row>
    <row r="2867" spans="1:1">
      <c r="A2867" t="str">
        <f>CONCATENATE("    - ",TEXT('DLC mass atten coeff'!CE1043,"0.000E+00"))</f>
        <v xml:space="preserve">    - 4.965E-02</v>
      </c>
    </row>
    <row r="2868" spans="1:1">
      <c r="A2868" t="str">
        <f>CONCATENATE("    - ",TEXT('DLC mass atten coeff'!CE1044,"0.000E+00"))</f>
        <v xml:space="preserve">    - 5.653E-02</v>
      </c>
    </row>
    <row r="2869" spans="1:1">
      <c r="A2869" t="str">
        <f>CONCATENATE("    - ",TEXT('DLC mass atten coeff'!CE1045,"0.000E+00"))</f>
        <v xml:space="preserve">    - 6.202E-02</v>
      </c>
    </row>
    <row r="2870" spans="1:1">
      <c r="A2870" t="str">
        <f>CONCATENATE("    - ",TEXT('DLC mass atten coeff'!CE1046,"0.000E+00"))</f>
        <v xml:space="preserve">    - 7.019E-02</v>
      </c>
    </row>
    <row r="2871" spans="1:1">
      <c r="A2871" t="str">
        <f>CONCATENATE('DLC mass atten coeff'!CF1018,":")</f>
        <v>bismuth:</v>
      </c>
    </row>
    <row r="2872" spans="1:1">
      <c r="A2872" s="18" t="str">
        <f>CONCATENATE("  density: ",VLOOKUP(A2871,densities!$A$5:$B$110,2,FALSE))</f>
        <v xml:space="preserve">  density: 9.747E+00</v>
      </c>
    </row>
    <row r="2873" spans="1:1" ht="16">
      <c r="A2873" s="19" t="s">
        <v>1637</v>
      </c>
    </row>
    <row r="2874" spans="1:1">
      <c r="A2874" s="19" t="s">
        <v>1553</v>
      </c>
    </row>
    <row r="2875" spans="1:1">
      <c r="A2875" s="19" t="s">
        <v>1554</v>
      </c>
    </row>
    <row r="2876" spans="1:1">
      <c r="A2876" s="21" t="s">
        <v>1860</v>
      </c>
    </row>
    <row r="2877" spans="1:1">
      <c r="A2877" s="19" t="s">
        <v>1555</v>
      </c>
    </row>
    <row r="2878" spans="1:1">
      <c r="A2878" t="str">
        <f>CONCATENATE("    - ",TEXT('DLC mass atten coeff'!CF1019,"0.000E+00"))</f>
        <v xml:space="preserve">    - 1.310E+02</v>
      </c>
    </row>
    <row r="2879" spans="1:1">
      <c r="A2879" t="str">
        <f>CONCATENATE("    - ",TEXT('DLC mass atten coeff'!CF1020,"0.000E+00"))</f>
        <v xml:space="preserve">    - 1.127E+02</v>
      </c>
    </row>
    <row r="2880" spans="1:1">
      <c r="A2880" t="str">
        <f>CONCATENATE("    - ",TEXT('DLC mass atten coeff'!CF1021,"0.000E+00"))</f>
        <v xml:space="preserve">    - 8.720E+01</v>
      </c>
    </row>
    <row r="2881" spans="1:1">
      <c r="A2881" t="str">
        <f>CONCATENATE("    - ",TEXT('DLC mass atten coeff'!CF1022,"0.000E+00"))</f>
        <v xml:space="preserve">    - 3.017E+01</v>
      </c>
    </row>
    <row r="2882" spans="1:1">
      <c r="A2882" t="str">
        <f>CONCATENATE("    - ",TEXT('DLC mass atten coeff'!CF1023,"0.000E+00"))</f>
        <v xml:space="preserve">    - 1.406E+01</v>
      </c>
    </row>
    <row r="2883" spans="1:1">
      <c r="A2883" t="str">
        <f>CONCATENATE("    - ",TEXT('DLC mass atten coeff'!CF1024,"0.000E+00"))</f>
        <v xml:space="preserve">    - 7.747E+00</v>
      </c>
    </row>
    <row r="2884" spans="1:1">
      <c r="A2884" t="str">
        <f>CONCATENATE("    - ",TEXT('DLC mass atten coeff'!CF1025,"0.000E+00"))</f>
        <v xml:space="preserve">    - 4.764E+00</v>
      </c>
    </row>
    <row r="2885" spans="1:1">
      <c r="A2885" t="str">
        <f>CONCATENATE("    - ",TEXT('DLC mass atten coeff'!CF1026,"0.000E+00"))</f>
        <v xml:space="preserve">    - 2.231E+00</v>
      </c>
    </row>
    <row r="2886" spans="1:1">
      <c r="A2886" t="str">
        <f>CONCATENATE("    - ",TEXT('DLC mass atten coeff'!CF1027,"0.000E+00"))</f>
        <v xml:space="preserve">    - 5.538E+00</v>
      </c>
    </row>
    <row r="2887" spans="1:1">
      <c r="A2887" t="str">
        <f>CONCATENATE("    - ",TEXT('DLC mass atten coeff'!CF1028,"0.000E+00"))</f>
        <v xml:space="preserve">    - 1.985E+00</v>
      </c>
    </row>
    <row r="2888" spans="1:1">
      <c r="A2888" t="str">
        <f>CONCATENATE("    - ",TEXT('DLC mass atten coeff'!CF1029,"0.000E+00"))</f>
        <v xml:space="preserve">    - 9.761E-01</v>
      </c>
    </row>
    <row r="2889" spans="1:1">
      <c r="A2889" t="str">
        <f>CONCATENATE("    - ",TEXT('DLC mass atten coeff'!CF1030,"0.000E+00"))</f>
        <v xml:space="preserve">    - 3.897E-01</v>
      </c>
    </row>
    <row r="2890" spans="1:1">
      <c r="A2890" t="str">
        <f>CONCATENATE("    - ",TEXT('DLC mass atten coeff'!CF1031,"0.000E+00"))</f>
        <v xml:space="preserve">    - 2.236E-01</v>
      </c>
    </row>
    <row r="2891" spans="1:1">
      <c r="A2891" t="str">
        <f>CONCATENATE("    - ",TEXT('DLC mass atten coeff'!CF1032,"0.000E+00"))</f>
        <v xml:space="preserve">    - 1.555E-01</v>
      </c>
    </row>
    <row r="2892" spans="1:1">
      <c r="A2892" t="str">
        <f>CONCATENATE("    - ",TEXT('DLC mass atten coeff'!CF1033,"0.000E+00"))</f>
        <v xml:space="preserve">    - 1.205E-01</v>
      </c>
    </row>
    <row r="2893" spans="1:1">
      <c r="A2893" t="str">
        <f>CONCATENATE("    - ",TEXT('DLC mass atten coeff'!CF1034,"0.000E+00"))</f>
        <v xml:space="preserve">    - 8.625E-02</v>
      </c>
    </row>
    <row r="2894" spans="1:1">
      <c r="A2894" t="str">
        <f>CONCATENATE("    - ",TEXT('DLC mass atten coeff'!CF1035,"0.000E+00"))</f>
        <v xml:space="preserve">    - 6.947E-02</v>
      </c>
    </row>
    <row r="2895" spans="1:1">
      <c r="A2895" t="str">
        <f>CONCATENATE("    - ",TEXT('DLC mass atten coeff'!CF1036,"0.000E+00"))</f>
        <v xml:space="preserve">    - 5.161E-02</v>
      </c>
    </row>
    <row r="2896" spans="1:1">
      <c r="A2896" t="str">
        <f>CONCATENATE("    - ",TEXT('DLC mass atten coeff'!CF1037,"0.000E+00"))</f>
        <v xml:space="preserve">    - 4.586E-02</v>
      </c>
    </row>
    <row r="2897" spans="1:1">
      <c r="A2897" t="str">
        <f>CONCATENATE("    - ",TEXT('DLC mass atten coeff'!CF1038,"0.000E+00"))</f>
        <v xml:space="preserve">    - 4.243E-02</v>
      </c>
    </row>
    <row r="2898" spans="1:1">
      <c r="A2898" t="str">
        <f>CONCATENATE("    - ",TEXT('DLC mass atten coeff'!CF1039,"0.000E+00"))</f>
        <v xml:space="preserve">    - 4.220E-02</v>
      </c>
    </row>
    <row r="2899" spans="1:1">
      <c r="A2899" t="str">
        <f>CONCATENATE("    - ",TEXT('DLC mass atten coeff'!CF1040,"0.000E+00"))</f>
        <v xml:space="preserve">    - 4.301E-02</v>
      </c>
    </row>
    <row r="2900" spans="1:1">
      <c r="A2900" t="str">
        <f>CONCATENATE("    - ",TEXT('DLC mass atten coeff'!CF1041,"0.000E+00"))</f>
        <v xml:space="preserve">    - 4.425E-02</v>
      </c>
    </row>
    <row r="2901" spans="1:1">
      <c r="A2901" t="str">
        <f>CONCATENATE("    - ",TEXT('DLC mass atten coeff'!CF1042,"0.000E+00"))</f>
        <v xml:space="preserve">    - 4.716E-02</v>
      </c>
    </row>
    <row r="2902" spans="1:1">
      <c r="A2902" t="str">
        <f>CONCATENATE("    - ",TEXT('DLC mass atten coeff'!CF1043,"0.000E+00"))</f>
        <v xml:space="preserve">    - 5.018E-02</v>
      </c>
    </row>
    <row r="2903" spans="1:1">
      <c r="A2903" t="str">
        <f>CONCATENATE("    - ",TEXT('DLC mass atten coeff'!CF1044,"0.000E+00"))</f>
        <v xml:space="preserve">    - 5.716E-02</v>
      </c>
    </row>
    <row r="2904" spans="1:1">
      <c r="A2904" t="str">
        <f>CONCATENATE("    - ",TEXT('DLC mass atten coeff'!CF1045,"0.000E+00"))</f>
        <v xml:space="preserve">    - 6.272E-02</v>
      </c>
    </row>
    <row r="2905" spans="1:1">
      <c r="A2905" t="str">
        <f>CONCATENATE("    - ",TEXT('DLC mass atten coeff'!CF1046,"0.000E+00"))</f>
        <v xml:space="preserve">    - 7.103E-02</v>
      </c>
    </row>
    <row r="2906" spans="1:1">
      <c r="A2906" t="str">
        <f>CONCATENATE('DLC mass atten coeff'!CG1018,":")</f>
        <v>polonium:</v>
      </c>
    </row>
    <row r="2907" spans="1:1">
      <c r="A2907" s="18" t="str">
        <f>CONCATENATE("  density: ",VLOOKUP(A2906,densities!$A$5:$B$110,2,FALSE))</f>
        <v xml:space="preserve">  density: 9.320E+00</v>
      </c>
    </row>
    <row r="2908" spans="1:1" ht="16">
      <c r="A2908" s="19" t="s">
        <v>1638</v>
      </c>
    </row>
    <row r="2909" spans="1:1">
      <c r="A2909" s="19" t="s">
        <v>1553</v>
      </c>
    </row>
    <row r="2910" spans="1:1">
      <c r="A2910" s="19" t="s">
        <v>1554</v>
      </c>
    </row>
    <row r="2911" spans="1:1">
      <c r="A2911" s="21" t="s">
        <v>1860</v>
      </c>
    </row>
    <row r="2912" spans="1:1">
      <c r="A2912" s="19" t="s">
        <v>1555</v>
      </c>
    </row>
    <row r="2913" spans="1:1">
      <c r="A2913" t="str">
        <f>CONCATENATE("    - ",TEXT('DLC mass atten coeff'!CG1019,"0.000E+00"))</f>
        <v xml:space="preserve">    - 1.376E+02</v>
      </c>
    </row>
    <row r="2914" spans="1:1">
      <c r="A2914" t="str">
        <f>CONCATENATE("    - ",TEXT('DLC mass atten coeff'!CG1020,"0.000E+00"))</f>
        <v xml:space="preserve">    - 1.185E+02</v>
      </c>
    </row>
    <row r="2915" spans="1:1">
      <c r="A2915" t="str">
        <f>CONCATENATE("    - ",TEXT('DLC mass atten coeff'!CG1021,"0.000E+00"))</f>
        <v xml:space="preserve">    - 9.115E+01</v>
      </c>
    </row>
    <row r="2916" spans="1:1">
      <c r="A2916" t="str">
        <f>CONCATENATE("    - ",TEXT('DLC mass atten coeff'!CG1022,"0.000E+00"))</f>
        <v xml:space="preserve">    - 3.164E+01</v>
      </c>
    </row>
    <row r="2917" spans="1:1">
      <c r="A2917" t="str">
        <f>CONCATENATE("    - ",TEXT('DLC mass atten coeff'!CG1023,"0.000E+00"))</f>
        <v xml:space="preserve">    - 1.477E+01</v>
      </c>
    </row>
    <row r="2918" spans="1:1">
      <c r="A2918" t="str">
        <f>CONCATENATE("    - ",TEXT('DLC mass atten coeff'!CG1024,"0.000E+00"))</f>
        <v xml:space="preserve">    - 8.150E+00</v>
      </c>
    </row>
    <row r="2919" spans="1:1">
      <c r="A2919" t="str">
        <f>CONCATENATE("    - ",TEXT('DLC mass atten coeff'!CG1025,"0.000E+00"))</f>
        <v xml:space="preserve">    - 5.014E+00</v>
      </c>
    </row>
    <row r="2920" spans="1:1">
      <c r="A2920" t="str">
        <f>CONCATENATE("    - ",TEXT('DLC mass atten coeff'!CG1026,"0.000E+00"))</f>
        <v xml:space="preserve">    - 2.348E+00</v>
      </c>
    </row>
    <row r="2921" spans="1:1">
      <c r="A2921" t="str">
        <f>CONCATENATE("    - ",TEXT('DLC mass atten coeff'!CG1027,"0.000E+00"))</f>
        <v xml:space="preserve">    - 5.784E+00</v>
      </c>
    </row>
    <row r="2922" spans="1:1">
      <c r="A2922" t="str">
        <f>CONCATENATE("    - ",TEXT('DLC mass atten coeff'!CG1028,"0.000E+00"))</f>
        <v xml:space="preserve">    - 2.070E+00</v>
      </c>
    </row>
    <row r="2923" spans="1:1">
      <c r="A2923" t="str">
        <f>CONCATENATE("    - ",TEXT('DLC mass atten coeff'!CG1029,"0.000E+00"))</f>
        <v xml:space="preserve">    - 1.018E+00</v>
      </c>
    </row>
    <row r="2924" spans="1:1">
      <c r="A2924" t="str">
        <f>CONCATENATE("    - ",TEXT('DLC mass atten coeff'!CG1030,"0.000E+00"))</f>
        <v xml:space="preserve">    - 4.057E-01</v>
      </c>
    </row>
    <row r="2925" spans="1:1">
      <c r="A2925" t="str">
        <f>CONCATENATE("    - ",TEXT('DLC mass atten coeff'!CG1031,"0.000E+00"))</f>
        <v xml:space="preserve">    - 2.322E-01</v>
      </c>
    </row>
    <row r="2926" spans="1:1">
      <c r="A2926" t="str">
        <f>CONCATENATE("    - ",TEXT('DLC mass atten coeff'!CG1032,"0.000E+00"))</f>
        <v xml:space="preserve">    - 1.609E-01</v>
      </c>
    </row>
    <row r="2927" spans="1:1">
      <c r="A2927" t="str">
        <f>CONCATENATE("    - ",TEXT('DLC mass atten coeff'!CG1033,"0.000E+00"))</f>
        <v xml:space="preserve">    - 1.244E-01</v>
      </c>
    </row>
    <row r="2928" spans="1:1">
      <c r="A2928" t="str">
        <f>CONCATENATE("    - ",TEXT('DLC mass atten coeff'!CG1034,"0.000E+00"))</f>
        <v xml:space="preserve">    - 8.858E-02</v>
      </c>
    </row>
    <row r="2929" spans="1:1">
      <c r="A2929" t="str">
        <f>CONCATENATE("    - ",TEXT('DLC mass atten coeff'!CG1035,"0.000E+00"))</f>
        <v xml:space="preserve">    - 7.112E-02</v>
      </c>
    </row>
    <row r="2930" spans="1:1">
      <c r="A2930" t="str">
        <f>CONCATENATE("    - ",TEXT('DLC mass atten coeff'!CG1036,"0.000E+00"))</f>
        <v xml:space="preserve">    - 5.265E-02</v>
      </c>
    </row>
    <row r="2931" spans="1:1">
      <c r="A2931" t="str">
        <f>CONCATENATE("    - ",TEXT('DLC mass atten coeff'!CG1037,"0.000E+00"))</f>
        <v xml:space="preserve">    - 4.673E-02</v>
      </c>
    </row>
    <row r="2932" spans="1:1">
      <c r="A2932" t="str">
        <f>CONCATENATE("    - ",TEXT('DLC mass atten coeff'!CG1038,"0.000E+00"))</f>
        <v xml:space="preserve">    - 4.325E-02</v>
      </c>
    </row>
    <row r="2933" spans="1:1">
      <c r="A2933" t="str">
        <f>CONCATENATE("    - ",TEXT('DLC mass atten coeff'!CG1039,"0.000E+00"))</f>
        <v xml:space="preserve">    - 4.300E-02</v>
      </c>
    </row>
    <row r="2934" spans="1:1">
      <c r="A2934" t="str">
        <f>CONCATENATE("    - ",TEXT('DLC mass atten coeff'!CG1040,"0.000E+00"))</f>
        <v xml:space="preserve">    - 4.383E-02</v>
      </c>
    </row>
    <row r="2935" spans="1:1">
      <c r="A2935" t="str">
        <f>CONCATENATE("    - ",TEXT('DLC mass atten coeff'!CG1041,"0.000E+00"))</f>
        <v xml:space="preserve">    - 4.509E-02</v>
      </c>
    </row>
    <row r="2936" spans="1:1">
      <c r="A2936" t="str">
        <f>CONCATENATE("    - ",TEXT('DLC mass atten coeff'!CG1042,"0.000E+00"))</f>
        <v xml:space="preserve">    - 4.807E-02</v>
      </c>
    </row>
    <row r="2937" spans="1:1">
      <c r="A2937" t="str">
        <f>CONCATENATE("    - ",TEXT('DLC mass atten coeff'!CG1043,"0.000E+00"))</f>
        <v xml:space="preserve">    - 5.117E-02</v>
      </c>
    </row>
    <row r="2938" spans="1:1">
      <c r="A2938" t="str">
        <f>CONCATENATE("    - ",TEXT('DLC mass atten coeff'!CG1044,"0.000E+00"))</f>
        <v xml:space="preserve">    - 5.830E-02</v>
      </c>
    </row>
    <row r="2939" spans="1:1">
      <c r="A2939" t="str">
        <f>CONCATENATE("    - ",TEXT('DLC mass atten coeff'!CG1045,"0.000E+00"))</f>
        <v xml:space="preserve">    - 6.394E-02</v>
      </c>
    </row>
    <row r="2940" spans="1:1">
      <c r="A2940" t="str">
        <f>CONCATENATE("    - ",TEXT('DLC mass atten coeff'!CG1046,"0.000E+00"))</f>
        <v xml:space="preserve">    - 7.246E-02</v>
      </c>
    </row>
    <row r="2941" spans="1:1">
      <c r="A2941" t="str">
        <f>CONCATENATE('DLC mass atten coeff'!CH1018,":")</f>
        <v>astatine:</v>
      </c>
    </row>
    <row r="2942" spans="1:1">
      <c r="A2942" s="18" t="str">
        <f>CONCATENATE("  density: ",VLOOKUP(A2941,densities!$A$5:$B$110,2,FALSE))</f>
        <v xml:space="preserve">  density: 1.000E+01</v>
      </c>
    </row>
    <row r="2943" spans="1:1" ht="16">
      <c r="A2943" s="19" t="s">
        <v>1639</v>
      </c>
    </row>
    <row r="2944" spans="1:1">
      <c r="A2944" s="19" t="s">
        <v>1553</v>
      </c>
    </row>
    <row r="2945" spans="1:1">
      <c r="A2945" s="19" t="s">
        <v>1554</v>
      </c>
    </row>
    <row r="2946" spans="1:1">
      <c r="A2946" s="21" t="s">
        <v>1860</v>
      </c>
    </row>
    <row r="2947" spans="1:1">
      <c r="A2947" s="19" t="s">
        <v>1555</v>
      </c>
    </row>
    <row r="2948" spans="1:1">
      <c r="A2948" t="str">
        <f>CONCATENATE("    - ",TEXT('DLC mass atten coeff'!CH1019,"0.000E+00"))</f>
        <v xml:space="preserve">    - 1.437E+02</v>
      </c>
    </row>
    <row r="2949" spans="1:1">
      <c r="A2949" t="str">
        <f>CONCATENATE("    - ",TEXT('DLC mass atten coeff'!CH1020,"0.000E+00"))</f>
        <v xml:space="preserve">    - 1.243E+02</v>
      </c>
    </row>
    <row r="2950" spans="1:1">
      <c r="A2950" t="str">
        <f>CONCATENATE("    - ",TEXT('DLC mass atten coeff'!CH1021,"0.000E+00"))</f>
        <v xml:space="preserve">    - 9.459E+01</v>
      </c>
    </row>
    <row r="2951" spans="1:1">
      <c r="A2951" t="str">
        <f>CONCATENATE("    - ",TEXT('DLC mass atten coeff'!CH1022,"0.000E+00"))</f>
        <v xml:space="preserve">    - 3.301E+01</v>
      </c>
    </row>
    <row r="2952" spans="1:1">
      <c r="A2952" t="str">
        <f>CONCATENATE("    - ",TEXT('DLC mass atten coeff'!CH1023,"0.000E+00"))</f>
        <v xml:space="preserve">    - 1.544E+01</v>
      </c>
    </row>
    <row r="2953" spans="1:1">
      <c r="A2953" t="str">
        <f>CONCATENATE("    - ",TEXT('DLC mass atten coeff'!CH1024,"0.000E+00"))</f>
        <v xml:space="preserve">    - 8.525E+00</v>
      </c>
    </row>
    <row r="2954" spans="1:1">
      <c r="A2954" t="str">
        <f>CONCATENATE("    - ",TEXT('DLC mass atten coeff'!CH1025,"0.000E+00"))</f>
        <v xml:space="preserve">    - 5.249E+00</v>
      </c>
    </row>
    <row r="2955" spans="1:1">
      <c r="A2955" t="str">
        <f>CONCATENATE("    - ",TEXT('DLC mass atten coeff'!CH1026,"0.000E+00"))</f>
        <v xml:space="preserve">    - 2.460E+00</v>
      </c>
    </row>
    <row r="2956" spans="1:1">
      <c r="A2956" t="str">
        <f>CONCATENATE("    - ",TEXT('DLC mass atten coeff'!CH1027,"0.000E+00"))</f>
        <v xml:space="preserve">    - 5.962E+00</v>
      </c>
    </row>
    <row r="2957" spans="1:1">
      <c r="A2957" t="str">
        <f>CONCATENATE("    - ",TEXT('DLC mass atten coeff'!CH1028,"0.000E+00"))</f>
        <v xml:space="preserve">    - 2.146E+00</v>
      </c>
    </row>
    <row r="2958" spans="1:1">
      <c r="A2958" t="str">
        <f>CONCATENATE("    - ",TEXT('DLC mass atten coeff'!CH1029,"0.000E+00"))</f>
        <v xml:space="preserve">    - 1.057E+00</v>
      </c>
    </row>
    <row r="2959" spans="1:1">
      <c r="A2959" t="str">
        <f>CONCATENATE("    - ",TEXT('DLC mass atten coeff'!CH1030,"0.000E+00"))</f>
        <v xml:space="preserve">    - 4.205E-01</v>
      </c>
    </row>
    <row r="2960" spans="1:1">
      <c r="A2960" t="str">
        <f>CONCATENATE("    - ",TEXT('DLC mass atten coeff'!CH1031,"0.000E+00"))</f>
        <v xml:space="preserve">    - 2.399E-01</v>
      </c>
    </row>
    <row r="2961" spans="1:1">
      <c r="A2961" t="str">
        <f>CONCATENATE("    - ",TEXT('DLC mass atten coeff'!CH1032,"0.000E+00"))</f>
        <v xml:space="preserve">    - 1.656E-01</v>
      </c>
    </row>
    <row r="2962" spans="1:1">
      <c r="A2962" t="str">
        <f>CONCATENATE("    - ",TEXT('DLC mass atten coeff'!CH1033,"0.000E+00"))</f>
        <v xml:space="preserve">    - 1.277E-01</v>
      </c>
    </row>
    <row r="2963" spans="1:1">
      <c r="A2963" t="str">
        <f>CONCATENATE("    - ",TEXT('DLC mass atten coeff'!CH1034,"0.000E+00"))</f>
        <v xml:space="preserve">    - 9.057E-02</v>
      </c>
    </row>
    <row r="2964" spans="1:1">
      <c r="A2964" t="str">
        <f>CONCATENATE("    - ",TEXT('DLC mass atten coeff'!CH1035,"0.000E+00"))</f>
        <v xml:space="preserve">    - 7.248E-02</v>
      </c>
    </row>
    <row r="2965" spans="1:1">
      <c r="A2965" t="str">
        <f>CONCATENATE("    - ",TEXT('DLC mass atten coeff'!CH1036,"0.000E+00"))</f>
        <v xml:space="preserve">    - 5.345E-02</v>
      </c>
    </row>
    <row r="2966" spans="1:1">
      <c r="A2966" t="str">
        <f>CONCATENATE("    - ",TEXT('DLC mass atten coeff'!CH1037,"0.000E+00"))</f>
        <v xml:space="preserve">    - 4.743E-02</v>
      </c>
    </row>
    <row r="2967" spans="1:1">
      <c r="A2967" t="str">
        <f>CONCATENATE("    - ",TEXT('DLC mass atten coeff'!CH1038,"0.000E+00"))</f>
        <v xml:space="preserve">    - 4.386E-02</v>
      </c>
    </row>
    <row r="2968" spans="1:1">
      <c r="A2968" t="str">
        <f>CONCATENATE("    - ",TEXT('DLC mass atten coeff'!CH1039,"0.000E+00"))</f>
        <v xml:space="preserve">    - 4.359E-02</v>
      </c>
    </row>
    <row r="2969" spans="1:1">
      <c r="A2969" t="str">
        <f>CONCATENATE("    - ",TEXT('DLC mass atten coeff'!CH1040,"0.000E+00"))</f>
        <v xml:space="preserve">    - 4.444E-02</v>
      </c>
    </row>
    <row r="2970" spans="1:1">
      <c r="A2970" t="str">
        <f>CONCATENATE("    - ",TEXT('DLC mass atten coeff'!CH1041,"0.000E+00"))</f>
        <v xml:space="preserve">    - 4.572E-02</v>
      </c>
    </row>
    <row r="2971" spans="1:1">
      <c r="A2971" t="str">
        <f>CONCATENATE("    - ",TEXT('DLC mass atten coeff'!CH1042,"0.000E+00"))</f>
        <v xml:space="preserve">    - 4.874E-02</v>
      </c>
    </row>
    <row r="2972" spans="1:1">
      <c r="A2972" t="str">
        <f>CONCATENATE("    - ",TEXT('DLC mass atten coeff'!CH1043,"0.000E+00"))</f>
        <v xml:space="preserve">    - 5.188E-02</v>
      </c>
    </row>
    <row r="2973" spans="1:1">
      <c r="A2973" t="str">
        <f>CONCATENATE("    - ",TEXT('DLC mass atten coeff'!CH1044,"0.000E+00"))</f>
        <v xml:space="preserve">    - 5.913E-02</v>
      </c>
    </row>
    <row r="2974" spans="1:1">
      <c r="A2974" t="str">
        <f>CONCATENATE("    - ",TEXT('DLC mass atten coeff'!CH1045,"0.000E+00"))</f>
        <v xml:space="preserve">    - 6.489E-02</v>
      </c>
    </row>
    <row r="2975" spans="1:1">
      <c r="A2975" t="str">
        <f>CONCATENATE("    - ",TEXT('DLC mass atten coeff'!CH1046,"0.000E+00"))</f>
        <v xml:space="preserve">    - 7.354E-02</v>
      </c>
    </row>
    <row r="2976" spans="1:1">
      <c r="A2976" t="str">
        <f>CONCATENATE('DLC mass atten coeff'!CI1018,":")</f>
        <v>radon:</v>
      </c>
    </row>
    <row r="2977" spans="1:1">
      <c r="A2977" s="18" t="str">
        <f>CONCATENATE("  density: ",VLOOKUP(A2976,densities!$A$5:$B$110,2,FALSE))</f>
        <v xml:space="preserve">  density: 9.066E-03</v>
      </c>
    </row>
    <row r="2978" spans="1:1" ht="16">
      <c r="A2978" s="19" t="s">
        <v>1640</v>
      </c>
    </row>
    <row r="2979" spans="1:1">
      <c r="A2979" s="19" t="s">
        <v>1553</v>
      </c>
    </row>
    <row r="2980" spans="1:1">
      <c r="A2980" s="19" t="s">
        <v>1554</v>
      </c>
    </row>
    <row r="2981" spans="1:1">
      <c r="A2981" s="21" t="s">
        <v>1860</v>
      </c>
    </row>
    <row r="2982" spans="1:1">
      <c r="A2982" s="19" t="s">
        <v>1555</v>
      </c>
    </row>
    <row r="2983" spans="1:1">
      <c r="A2983" t="str">
        <f>CONCATENATE("    - ",TEXT('DLC mass atten coeff'!CI1019,"0.000E+00"))</f>
        <v xml:space="preserve">    - 1.427E+02</v>
      </c>
    </row>
    <row r="2984" spans="1:1">
      <c r="A2984" t="str">
        <f>CONCATENATE("    - ",TEXT('DLC mass atten coeff'!CI1020,"0.000E+00"))</f>
        <v xml:space="preserve">    - 1.225E+02</v>
      </c>
    </row>
    <row r="2985" spans="1:1">
      <c r="A2985" t="str">
        <f>CONCATENATE("    - ",TEXT('DLC mass atten coeff'!CI1021,"0.000E+00"))</f>
        <v xml:space="preserve">    - 9.327E+01</v>
      </c>
    </row>
    <row r="2986" spans="1:1">
      <c r="A2986" t="str">
        <f>CONCATENATE("    - ",TEXT('DLC mass atten coeff'!CI1022,"0.000E+00"))</f>
        <v xml:space="preserve">    - 3.269E+01</v>
      </c>
    </row>
    <row r="2987" spans="1:1">
      <c r="A2987" t="str">
        <f>CONCATENATE("    - ",TEXT('DLC mass atten coeff'!CI1023,"0.000E+00"))</f>
        <v xml:space="preserve">    - 1.532E+01</v>
      </c>
    </row>
    <row r="2988" spans="1:1">
      <c r="A2988" t="str">
        <f>CONCATENATE("    - ",TEXT('DLC mass atten coeff'!CI1024,"0.000E+00"))</f>
        <v xml:space="preserve">    - 8.471E+00</v>
      </c>
    </row>
    <row r="2989" spans="1:1">
      <c r="A2989" t="str">
        <f>CONCATENATE("    - ",TEXT('DLC mass atten coeff'!CI1025,"0.000E+00"))</f>
        <v xml:space="preserve">    - 5.221E+00</v>
      </c>
    </row>
    <row r="2990" spans="1:1">
      <c r="A2990" t="str">
        <f>CONCATENATE("    - ",TEXT('DLC mass atten coeff'!CI1026,"0.000E+00"))</f>
        <v xml:space="preserve">    - 2.447E+00</v>
      </c>
    </row>
    <row r="2991" spans="1:1">
      <c r="A2991" t="str">
        <f>CONCATENATE("    - ",TEXT('DLC mass atten coeff'!CI1027,"0.000E+00"))</f>
        <v xml:space="preserve">    - 5.879E+00</v>
      </c>
    </row>
    <row r="2992" spans="1:1">
      <c r="A2992" t="str">
        <f>CONCATENATE("    - ",TEXT('DLC mass atten coeff'!CI1028,"0.000E+00"))</f>
        <v xml:space="preserve">    - 2.114E+00</v>
      </c>
    </row>
    <row r="2993" spans="1:1">
      <c r="A2993" t="str">
        <f>CONCATENATE("    - ",TEXT('DLC mass atten coeff'!CI1029,"0.000E+00"))</f>
        <v xml:space="preserve">    - 1.042E+00</v>
      </c>
    </row>
    <row r="2994" spans="1:1">
      <c r="A2994" t="str">
        <f>CONCATENATE("    - ",TEXT('DLC mass atten coeff'!CI1030,"0.000E+00"))</f>
        <v xml:space="preserve">    - 4.139E-01</v>
      </c>
    </row>
    <row r="2995" spans="1:1">
      <c r="A2995" t="str">
        <f>CONCATENATE("    - ",TEXT('DLC mass atten coeff'!CI1031,"0.000E+00"))</f>
        <v xml:space="preserve">    - 2.355E-01</v>
      </c>
    </row>
    <row r="2996" spans="1:1">
      <c r="A2996" t="str">
        <f>CONCATENATE("    - ",TEXT('DLC mass atten coeff'!CI1032,"0.000E+00"))</f>
        <v xml:space="preserve">    - 1.622E-01</v>
      </c>
    </row>
    <row r="2997" spans="1:1">
      <c r="A2997" t="str">
        <f>CONCATENATE("    - ",TEXT('DLC mass atten coeff'!CI1033,"0.000E+00"))</f>
        <v xml:space="preserve">    - 1.246E-01</v>
      </c>
    </row>
    <row r="2998" spans="1:1">
      <c r="A2998" t="str">
        <f>CONCATENATE("    - ",TEXT('DLC mass atten coeff'!CI1034,"0.000E+00"))</f>
        <v xml:space="preserve">    - 8.799E-02</v>
      </c>
    </row>
    <row r="2999" spans="1:1">
      <c r="A2999" t="str">
        <f>CONCATENATE("    - ",TEXT('DLC mass atten coeff'!CI1035,"0.000E+00"))</f>
        <v xml:space="preserve">    - 7.021E-02</v>
      </c>
    </row>
    <row r="3000" spans="1:1">
      <c r="A3000" t="str">
        <f>CONCATENATE("    - ",TEXT('DLC mass atten coeff'!CI1036,"0.000E+00"))</f>
        <v xml:space="preserve">    - 5.161E-02</v>
      </c>
    </row>
    <row r="3001" spans="1:1">
      <c r="A3001" t="str">
        <f>CONCATENATE("    - ",TEXT('DLC mass atten coeff'!CI1037,"0.000E+00"))</f>
        <v xml:space="preserve">    - 4.575E-02</v>
      </c>
    </row>
    <row r="3002" spans="1:1">
      <c r="A3002" t="str">
        <f>CONCATENATE("    - ",TEXT('DLC mass atten coeff'!CI1038,"0.000E+00"))</f>
        <v xml:space="preserve">    - 4.227E-02</v>
      </c>
    </row>
    <row r="3003" spans="1:1">
      <c r="A3003" t="str">
        <f>CONCATENATE("    - ",TEXT('DLC mass atten coeff'!CI1039,"0.000E+00"))</f>
        <v xml:space="preserve">    - 4.201E-02</v>
      </c>
    </row>
    <row r="3004" spans="1:1">
      <c r="A3004" t="str">
        <f>CONCATENATE("    - ",TEXT('DLC mass atten coeff'!CI1040,"0.000E+00"))</f>
        <v xml:space="preserve">    - 4.281E-02</v>
      </c>
    </row>
    <row r="3005" spans="1:1">
      <c r="A3005" t="str">
        <f>CONCATENATE("    - ",TEXT('DLC mass atten coeff'!CI1041,"0.000E+00"))</f>
        <v xml:space="preserve">    - 4.405E-02</v>
      </c>
    </row>
    <row r="3006" spans="1:1">
      <c r="A3006" t="str">
        <f>CONCATENATE("    - ",TEXT('DLC mass atten coeff'!CI1042,"0.000E+00"))</f>
        <v xml:space="preserve">    - 4.696E-02</v>
      </c>
    </row>
    <row r="3007" spans="1:1">
      <c r="A3007" t="str">
        <f>CONCATENATE("    - ",TEXT('DLC mass atten coeff'!CI1043,"0.000E+00"))</f>
        <v xml:space="preserve">    - 5.000E-02</v>
      </c>
    </row>
    <row r="3008" spans="1:1">
      <c r="A3008" t="str">
        <f>CONCATENATE("    - ",TEXT('DLC mass atten coeff'!CI1044,"0.000E+00"))</f>
        <v xml:space="preserve">    - 5.699E-02</v>
      </c>
    </row>
    <row r="3009" spans="1:1">
      <c r="A3009" t="str">
        <f>CONCATENATE("    - ",TEXT('DLC mass atten coeff'!CI1045,"0.000E+00"))</f>
        <v xml:space="preserve">    - 6.256E-02</v>
      </c>
    </row>
    <row r="3010" spans="1:1">
      <c r="A3010" t="str">
        <f>CONCATENATE("    - ",TEXT('DLC mass atten coeff'!CI1046,"0.000E+00"))</f>
        <v xml:space="preserve">    - 7.090E-02</v>
      </c>
    </row>
    <row r="3011" spans="1:1">
      <c r="A3011" t="str">
        <f>CONCATENATE('DLC mass atten coeff'!CJ1018,":")</f>
        <v>francium:</v>
      </c>
    </row>
    <row r="3012" spans="1:1">
      <c r="A3012" s="18" t="str">
        <f>CONCATENATE("  density: ",VLOOKUP(A3011,densities!$A$5:$B$110,2,FALSE))</f>
        <v xml:space="preserve">  density: 1.000E+01</v>
      </c>
    </row>
    <row r="3013" spans="1:1" ht="16">
      <c r="A3013" s="19" t="s">
        <v>1641</v>
      </c>
    </row>
    <row r="3014" spans="1:1">
      <c r="A3014" s="19" t="s">
        <v>1553</v>
      </c>
    </row>
    <row r="3015" spans="1:1">
      <c r="A3015" s="19" t="s">
        <v>1554</v>
      </c>
    </row>
    <row r="3016" spans="1:1">
      <c r="A3016" s="21" t="s">
        <v>1860</v>
      </c>
    </row>
    <row r="3017" spans="1:1">
      <c r="A3017" s="19" t="s">
        <v>1555</v>
      </c>
    </row>
    <row r="3018" spans="1:1">
      <c r="A3018" t="str">
        <f>CONCATENATE("    - ",TEXT('DLC mass atten coeff'!CJ1019,"0.000E+00"))</f>
        <v xml:space="preserve">    - 1.488E+02</v>
      </c>
    </row>
    <row r="3019" spans="1:1">
      <c r="A3019" t="str">
        <f>CONCATENATE("    - ",TEXT('DLC mass atten coeff'!CJ1020,"0.000E+00"))</f>
        <v xml:space="preserve">    - 5.231E+01</v>
      </c>
    </row>
    <row r="3020" spans="1:1">
      <c r="A3020" t="str">
        <f>CONCATENATE("    - ",TEXT('DLC mass atten coeff'!CJ1021,"0.000E+00"))</f>
        <v xml:space="preserve">    - 9.690E+01</v>
      </c>
    </row>
    <row r="3021" spans="1:1">
      <c r="A3021" t="str">
        <f>CONCATENATE("    - ",TEXT('DLC mass atten coeff'!CJ1022,"0.000E+00"))</f>
        <v xml:space="preserve">    - 3.408E+01</v>
      </c>
    </row>
    <row r="3022" spans="1:1">
      <c r="A3022" t="str">
        <f>CONCATENATE("    - ",TEXT('DLC mass atten coeff'!CJ1023,"0.000E+00"))</f>
        <v xml:space="preserve">    - 1.599E+01</v>
      </c>
    </row>
    <row r="3023" spans="1:1">
      <c r="A3023" t="str">
        <f>CONCATENATE("    - ",TEXT('DLC mass atten coeff'!CJ1024,"0.000E+00"))</f>
        <v xml:space="preserve">    - 8.854E+00</v>
      </c>
    </row>
    <row r="3024" spans="1:1">
      <c r="A3024" t="str">
        <f>CONCATENATE("    - ",TEXT('DLC mass atten coeff'!CJ1025,"0.000E+00"))</f>
        <v xml:space="preserve">    - 5.461E+00</v>
      </c>
    </row>
    <row r="3025" spans="1:1">
      <c r="A3025" t="str">
        <f>CONCATENATE("    - ",TEXT('DLC mass atten coeff'!CJ1026,"0.000E+00"))</f>
        <v xml:space="preserve">    - 2.561E+00</v>
      </c>
    </row>
    <row r="3026" spans="1:1">
      <c r="A3026" t="str">
        <f>CONCATENATE("    - ",TEXT('DLC mass atten coeff'!CJ1027,"0.000E+00"))</f>
        <v xml:space="preserve">    - 1.442E+00</v>
      </c>
    </row>
    <row r="3027" spans="1:1">
      <c r="A3027" t="str">
        <f>CONCATENATE("    - ",TEXT('DLC mass atten coeff'!CJ1028,"0.000E+00"))</f>
        <v xml:space="preserve">    - 2.190E+00</v>
      </c>
    </row>
    <row r="3028" spans="1:1">
      <c r="A3028" t="str">
        <f>CONCATENATE("    - ",TEXT('DLC mass atten coeff'!CJ1029,"0.000E+00"))</f>
        <v xml:space="preserve">    - 1.080E+00</v>
      </c>
    </row>
    <row r="3029" spans="1:1">
      <c r="A3029" t="str">
        <f>CONCATENATE("    - ",TEXT('DLC mass atten coeff'!CJ1030,"0.000E+00"))</f>
        <v xml:space="preserve">    - 4.290E-01</v>
      </c>
    </row>
    <row r="3030" spans="1:1">
      <c r="A3030" t="str">
        <f>CONCATENATE("    - ",TEXT('DLC mass atten coeff'!CJ1031,"0.000E+00"))</f>
        <v xml:space="preserve">    - 2.433E-01</v>
      </c>
    </row>
    <row r="3031" spans="1:1">
      <c r="A3031" t="str">
        <f>CONCATENATE("    - ",TEXT('DLC mass atten coeff'!CJ1032,"0.000E+00"))</f>
        <v xml:space="preserve">    - 1.670E-01</v>
      </c>
    </row>
    <row r="3032" spans="1:1">
      <c r="A3032" t="str">
        <f>CONCATENATE("    - ",TEXT('DLC mass atten coeff'!CJ1033,"0.000E+00"))</f>
        <v xml:space="preserve">    - 1.280E-01</v>
      </c>
    </row>
    <row r="3033" spans="1:1">
      <c r="A3033" t="str">
        <f>CONCATENATE("    - ",TEXT('DLC mass atten coeff'!CJ1034,"0.000E+00"))</f>
        <v xml:space="preserve">    - 8.997E-02</v>
      </c>
    </row>
    <row r="3034" spans="1:1">
      <c r="A3034" t="str">
        <f>CONCATENATE("    - ",TEXT('DLC mass atten coeff'!CJ1035,"0.000E+00"))</f>
        <v xml:space="preserve">    - 7.161E-02</v>
      </c>
    </row>
    <row r="3035" spans="1:1">
      <c r="A3035" t="str">
        <f>CONCATENATE("    - ",TEXT('DLC mass atten coeff'!CJ1036,"0.000E+00"))</f>
        <v xml:space="preserve">    - 5.242E-02</v>
      </c>
    </row>
    <row r="3036" spans="1:1">
      <c r="A3036" t="str">
        <f>CONCATENATE("    - ",TEXT('DLC mass atten coeff'!CJ1037,"0.000E+00"))</f>
        <v xml:space="preserve">    - 4.641E-02</v>
      </c>
    </row>
    <row r="3037" spans="1:1">
      <c r="A3037" t="str">
        <f>CONCATENATE("    - ",TEXT('DLC mass atten coeff'!CJ1038,"0.000E+00"))</f>
        <v xml:space="preserve">    - 4.286E-02</v>
      </c>
    </row>
    <row r="3038" spans="1:1">
      <c r="A3038" t="str">
        <f>CONCATENATE("    - ",TEXT('DLC mass atten coeff'!CJ1039,"0.000E+00"))</f>
        <v xml:space="preserve">    - 4.259E-02</v>
      </c>
    </row>
    <row r="3039" spans="1:1">
      <c r="A3039" t="str">
        <f>CONCATENATE("    - ",TEXT('DLC mass atten coeff'!CJ1040,"0.000E+00"))</f>
        <v xml:space="preserve">    - 4.341E-02</v>
      </c>
    </row>
    <row r="3040" spans="1:1">
      <c r="A3040" t="str">
        <f>CONCATENATE("    - ",TEXT('DLC mass atten coeff'!CJ1041,"0.000E+00"))</f>
        <v xml:space="preserve">    - 4.466E-02</v>
      </c>
    </row>
    <row r="3041" spans="1:1">
      <c r="A3041" t="str">
        <f>CONCATENATE("    - ",TEXT('DLC mass atten coeff'!CJ1042,"0.000E+00"))</f>
        <v xml:space="preserve">    - 4.760E-02</v>
      </c>
    </row>
    <row r="3042" spans="1:1">
      <c r="A3042" t="str">
        <f>CONCATENATE("    - ",TEXT('DLC mass atten coeff'!CJ1043,"0.000E+00"))</f>
        <v xml:space="preserve">    - 5.070E-02</v>
      </c>
    </row>
    <row r="3043" spans="1:1">
      <c r="A3043" t="str">
        <f>CONCATENATE("    - ",TEXT('DLC mass atten coeff'!CJ1044,"0.000E+00"))</f>
        <v xml:space="preserve">    - 5.781E-02</v>
      </c>
    </row>
    <row r="3044" spans="1:1">
      <c r="A3044" t="str">
        <f>CONCATENATE("    - ",TEXT('DLC mass atten coeff'!CJ1045,"0.000E+00"))</f>
        <v xml:space="preserve">    - 6.346E-02</v>
      </c>
    </row>
    <row r="3045" spans="1:1">
      <c r="A3045" t="str">
        <f>CONCATENATE("    - ",TEXT('DLC mass atten coeff'!CJ1046,"0.000E+00"))</f>
        <v xml:space="preserve">    - 7.196E-02</v>
      </c>
    </row>
    <row r="3046" spans="1:1">
      <c r="A3046" t="str">
        <f>CONCATENATE('DLC mass atten coeff'!CK1018,":")</f>
        <v>radium:</v>
      </c>
    </row>
    <row r="3047" spans="1:1">
      <c r="A3047" s="18" t="str">
        <f>CONCATENATE("  density: ",VLOOKUP(A3046,densities!$A$5:$B$110,2,FALSE))</f>
        <v xml:space="preserve">  density: 5.000E+00</v>
      </c>
    </row>
    <row r="3048" spans="1:1" ht="16">
      <c r="A3048" s="19" t="s">
        <v>1642</v>
      </c>
    </row>
    <row r="3049" spans="1:1">
      <c r="A3049" s="19" t="s">
        <v>1553</v>
      </c>
    </row>
    <row r="3050" spans="1:1">
      <c r="A3050" s="19" t="s">
        <v>1554</v>
      </c>
    </row>
    <row r="3051" spans="1:1">
      <c r="A3051" s="21" t="s">
        <v>1860</v>
      </c>
    </row>
    <row r="3052" spans="1:1">
      <c r="A3052" s="19" t="s">
        <v>1555</v>
      </c>
    </row>
    <row r="3053" spans="1:1">
      <c r="A3053" t="str">
        <f>CONCATENATE("    - ",TEXT('DLC mass atten coeff'!CK1019,"0.000E+00"))</f>
        <v xml:space="preserve">    - 1.537E+02</v>
      </c>
    </row>
    <row r="3054" spans="1:1">
      <c r="A3054" t="str">
        <f>CONCATENATE("    - ",TEXT('DLC mass atten coeff'!CK1020,"0.000E+00"))</f>
        <v xml:space="preserve">    - 5.413E+01</v>
      </c>
    </row>
    <row r="3055" spans="1:1">
      <c r="A3055" t="str">
        <f>CONCATENATE("    - ",TEXT('DLC mass atten coeff'!CK1021,"0.000E+00"))</f>
        <v xml:space="preserve">    - 9.983E+01</v>
      </c>
    </row>
    <row r="3056" spans="1:1">
      <c r="A3056" t="str">
        <f>CONCATENATE("    - ",TEXT('DLC mass atten coeff'!CK1022,"0.000E+00"))</f>
        <v xml:space="preserve">    - 3.520E+01</v>
      </c>
    </row>
    <row r="3057" spans="1:1">
      <c r="A3057" t="str">
        <f>CONCATENATE("    - ",TEXT('DLC mass atten coeff'!CK1023,"0.000E+00"))</f>
        <v xml:space="preserve">    - 1.654E+01</v>
      </c>
    </row>
    <row r="3058" spans="1:1">
      <c r="A3058" t="str">
        <f>CONCATENATE("    - ",TEXT('DLC mass atten coeff'!CK1024,"0.000E+00"))</f>
        <v xml:space="preserve">    - 9.169E+00</v>
      </c>
    </row>
    <row r="3059" spans="1:1">
      <c r="A3059" t="str">
        <f>CONCATENATE("    - ",TEXT('DLC mass atten coeff'!CK1025,"0.000E+00"))</f>
        <v xml:space="preserve">    - 5.659E+00</v>
      </c>
    </row>
    <row r="3060" spans="1:1">
      <c r="A3060" t="str">
        <f>CONCATENATE("    - ",TEXT('DLC mass atten coeff'!CK1026,"0.000E+00"))</f>
        <v xml:space="preserve">    - 2.656E+00</v>
      </c>
    </row>
    <row r="3061" spans="1:1">
      <c r="A3061" t="str">
        <f>CONCATENATE("    - ",TEXT('DLC mass atten coeff'!CK1027,"0.000E+00"))</f>
        <v xml:space="preserve">    - 1.496E+00</v>
      </c>
    </row>
    <row r="3062" spans="1:1">
      <c r="A3062" t="str">
        <f>CONCATENATE("    - ",TEXT('DLC mass atten coeff'!CK1028,"0.000E+00"))</f>
        <v xml:space="preserve">    - 2.249E+00</v>
      </c>
    </row>
    <row r="3063" spans="1:1">
      <c r="A3063" t="str">
        <f>CONCATENATE("    - ",TEXT('DLC mass atten coeff'!CK1029,"0.000E+00"))</f>
        <v xml:space="preserve">    - 1.109E+00</v>
      </c>
    </row>
    <row r="3064" spans="1:1">
      <c r="A3064" t="str">
        <f>CONCATENATE("    - ",TEXT('DLC mass atten coeff'!CK1030,"0.000E+00"))</f>
        <v xml:space="preserve">    - 4.401E-01</v>
      </c>
    </row>
    <row r="3065" spans="1:1">
      <c r="A3065" t="str">
        <f>CONCATENATE("    - ",TEXT('DLC mass atten coeff'!CK1031,"0.000E+00"))</f>
        <v xml:space="preserve">    - 2.491E-01</v>
      </c>
    </row>
    <row r="3066" spans="1:1">
      <c r="A3066" t="str">
        <f>CONCATENATE("    - ",TEXT('DLC mass atten coeff'!CK1032,"0.000E+00"))</f>
        <v xml:space="preserve">    - 1.705E-01</v>
      </c>
    </row>
    <row r="3067" spans="1:1">
      <c r="A3067" t="str">
        <f>CONCATENATE("    - ",TEXT('DLC mass atten coeff'!CK1033,"0.000E+00"))</f>
        <v xml:space="preserve">    - 1.304E-01</v>
      </c>
    </row>
    <row r="3068" spans="1:1">
      <c r="A3068" t="str">
        <f>CONCATENATE("    - ",TEXT('DLC mass atten coeff'!CK1034,"0.000E+00"))</f>
        <v xml:space="preserve">    - 9.123E-02</v>
      </c>
    </row>
    <row r="3069" spans="1:1">
      <c r="A3069" t="str">
        <f>CONCATENATE("    - ",TEXT('DLC mass atten coeff'!CK1035,"0.000E+00"))</f>
        <v xml:space="preserve">    - 7.237E-02</v>
      </c>
    </row>
    <row r="3070" spans="1:1">
      <c r="A3070" t="str">
        <f>CONCATENATE("    - ",TEXT('DLC mass atten coeff'!CK1036,"0.000E+00"))</f>
        <v xml:space="preserve">    - 5.277E-02</v>
      </c>
    </row>
    <row r="3071" spans="1:1">
      <c r="A3071" t="str">
        <f>CONCATENATE("    - ",TEXT('DLC mass atten coeff'!CK1037,"0.000E+00"))</f>
        <v xml:space="preserve">    - 4.669E-02</v>
      </c>
    </row>
    <row r="3072" spans="1:1">
      <c r="A3072" t="str">
        <f>CONCATENATE("    - ",TEXT('DLC mass atten coeff'!CK1038,"0.000E+00"))</f>
        <v xml:space="preserve">    - 4.309E-02</v>
      </c>
    </row>
    <row r="3073" spans="1:1">
      <c r="A3073" t="str">
        <f>CONCATENATE("    - ",TEXT('DLC mass atten coeff'!CK1039,"0.000E+00"))</f>
        <v xml:space="preserve">    - 4.280E-02</v>
      </c>
    </row>
    <row r="3074" spans="1:1">
      <c r="A3074" t="str">
        <f>CONCATENATE("    - ",TEXT('DLC mass atten coeff'!CK1040,"0.000E+00"))</f>
        <v xml:space="preserve">    - 4.362E-02</v>
      </c>
    </row>
    <row r="3075" spans="1:1">
      <c r="A3075" t="str">
        <f>CONCATENATE("    - ",TEXT('DLC mass atten coeff'!CK1041,"0.000E+00"))</f>
        <v xml:space="preserve">    - 4.487E-02</v>
      </c>
    </row>
    <row r="3076" spans="1:1">
      <c r="A3076" t="str">
        <f>CONCATENATE("    - ",TEXT('DLC mass atten coeff'!CK1042,"0.000E+00"))</f>
        <v xml:space="preserve">    - 4.784E-02</v>
      </c>
    </row>
    <row r="3077" spans="1:1">
      <c r="A3077" t="str">
        <f>CONCATENATE("    - ",TEXT('DLC mass atten coeff'!CK1043,"0.000E+00"))</f>
        <v xml:space="preserve">    - 5.095E-02</v>
      </c>
    </row>
    <row r="3078" spans="1:1">
      <c r="A3078" t="str">
        <f>CONCATENATE("    - ",TEXT('DLC mass atten coeff'!CK1044,"0.000E+00"))</f>
        <v xml:space="preserve">    - 5.810E-02</v>
      </c>
    </row>
    <row r="3079" spans="1:1">
      <c r="A3079" t="str">
        <f>CONCATENATE("    - ",TEXT('DLC mass atten coeff'!CK1045,"0.000E+00"))</f>
        <v xml:space="preserve">    - 6.379E-02</v>
      </c>
    </row>
    <row r="3080" spans="1:1">
      <c r="A3080" t="str">
        <f>CONCATENATE("    - ",TEXT('DLC mass atten coeff'!CK1046,"0.000E+00"))</f>
        <v xml:space="preserve">    - 7.233E-02</v>
      </c>
    </row>
    <row r="3081" spans="1:1">
      <c r="A3081" t="str">
        <f>CONCATENATE('DLC mass atten coeff'!CL1018,":")</f>
        <v>actinium:</v>
      </c>
    </row>
    <row r="3082" spans="1:1">
      <c r="A3082" s="18" t="str">
        <f>CONCATENATE("  density: ",VLOOKUP(A3081,densities!$A$5:$B$110,2,FALSE))</f>
        <v xml:space="preserve">  density: 1.007E+01</v>
      </c>
    </row>
    <row r="3083" spans="1:1" ht="16">
      <c r="A3083" s="19" t="s">
        <v>1643</v>
      </c>
    </row>
    <row r="3084" spans="1:1">
      <c r="A3084" s="19" t="s">
        <v>1553</v>
      </c>
    </row>
    <row r="3085" spans="1:1">
      <c r="A3085" s="19" t="s">
        <v>1554</v>
      </c>
    </row>
    <row r="3086" spans="1:1">
      <c r="A3086" s="21" t="s">
        <v>1860</v>
      </c>
    </row>
    <row r="3087" spans="1:1">
      <c r="A3087" s="19" t="s">
        <v>1555</v>
      </c>
    </row>
    <row r="3088" spans="1:1">
      <c r="A3088" t="str">
        <f>CONCATENATE("    - ",TEXT('DLC mass atten coeff'!CL1019,"0.000E+00"))</f>
        <v xml:space="preserve">    - 1.600E+02</v>
      </c>
    </row>
    <row r="3089" spans="1:1">
      <c r="A3089" t="str">
        <f>CONCATENATE("    - ",TEXT('DLC mass atten coeff'!CL1020,"0.000E+00"))</f>
        <v xml:space="preserve">    - 5.646E+01</v>
      </c>
    </row>
    <row r="3090" spans="1:1">
      <c r="A3090" t="str">
        <f>CONCATENATE("    - ",TEXT('DLC mass atten coeff'!CL1021,"0.000E+00"))</f>
        <v xml:space="preserve">    - 1.036E+02</v>
      </c>
    </row>
    <row r="3091" spans="1:1">
      <c r="A3091" t="str">
        <f>CONCATENATE("    - ",TEXT('DLC mass atten coeff'!CL1022,"0.000E+00"))</f>
        <v xml:space="preserve">    - 3.664E+01</v>
      </c>
    </row>
    <row r="3092" spans="1:1">
      <c r="A3092" t="str">
        <f>CONCATENATE("    - ",TEXT('DLC mass atten coeff'!CL1023,"0.000E+00"))</f>
        <v xml:space="preserve">    - 1.725E+01</v>
      </c>
    </row>
    <row r="3093" spans="1:1">
      <c r="A3093" t="str">
        <f>CONCATENATE("    - ",TEXT('DLC mass atten coeff'!CL1024,"0.000E+00"))</f>
        <v xml:space="preserve">    - 9.571E+00</v>
      </c>
    </row>
    <row r="3094" spans="1:1">
      <c r="A3094" t="str">
        <f>CONCATENATE("    - ",TEXT('DLC mass atten coeff'!CL1025,"0.000E+00"))</f>
        <v xml:space="preserve">    - 5.911E+00</v>
      </c>
    </row>
    <row r="3095" spans="1:1">
      <c r="A3095" t="str">
        <f>CONCATENATE("    - ",TEXT('DLC mass atten coeff'!CL1026,"0.000E+00"))</f>
        <v xml:space="preserve">    - 2.778E+00</v>
      </c>
    </row>
    <row r="3096" spans="1:1">
      <c r="A3096" t="str">
        <f>CONCATENATE("    - ",TEXT('DLC mass atten coeff'!CL1027,"0.000E+00"))</f>
        <v xml:space="preserve">    - 1.564E+00</v>
      </c>
    </row>
    <row r="3097" spans="1:1">
      <c r="A3097" t="str">
        <f>CONCATENATE("    - ",TEXT('DLC mass atten coeff'!CL1028,"0.000E+00"))</f>
        <v xml:space="preserve">    - 2.325E+00</v>
      </c>
    </row>
    <row r="3098" spans="1:1">
      <c r="A3098" t="str">
        <f>CONCATENATE("    - ",TEXT('DLC mass atten coeff'!CL1029,"0.000E+00"))</f>
        <v xml:space="preserve">    - 1.149E+00</v>
      </c>
    </row>
    <row r="3099" spans="1:1">
      <c r="A3099" t="str">
        <f>CONCATENATE("    - ",TEXT('DLC mass atten coeff'!CL1030,"0.000E+00"))</f>
        <v xml:space="preserve">    - 4.556E-01</v>
      </c>
    </row>
    <row r="3100" spans="1:1">
      <c r="A3100" t="str">
        <f>CONCATENATE("    - ",TEXT('DLC mass atten coeff'!CL1031,"0.000E+00"))</f>
        <v xml:space="preserve">    - 2.572E-01</v>
      </c>
    </row>
    <row r="3101" spans="1:1">
      <c r="A3101" t="str">
        <f>CONCATENATE("    - ",TEXT('DLC mass atten coeff'!CL1032,"0.000E+00"))</f>
        <v xml:space="preserve">    - 1.756E-01</v>
      </c>
    </row>
    <row r="3102" spans="1:1">
      <c r="A3102" t="str">
        <f>CONCATENATE("    - ",TEXT('DLC mass atten coeff'!CL1033,"0.000E+00"))</f>
        <v xml:space="preserve">    - 1.339E-01</v>
      </c>
    </row>
    <row r="3103" spans="1:1">
      <c r="A3103" t="str">
        <f>CONCATENATE("    - ",TEXT('DLC mass atten coeff'!CL1034,"0.000E+00"))</f>
        <v xml:space="preserve">    - 9.331E-02</v>
      </c>
    </row>
    <row r="3104" spans="1:1">
      <c r="A3104" t="str">
        <f>CONCATENATE("    - ",TEXT('DLC mass atten coeff'!CL1035,"0.000E+00"))</f>
        <v xml:space="preserve">    - 7.380E-02</v>
      </c>
    </row>
    <row r="3105" spans="1:1">
      <c r="A3105" t="str">
        <f>CONCATENATE("    - ",TEXT('DLC mass atten coeff'!CL1036,"0.000E+00"))</f>
        <v xml:space="preserve">    - 5.361E-02</v>
      </c>
    </row>
    <row r="3106" spans="1:1">
      <c r="A3106" t="str">
        <f>CONCATENATE("    - ",TEXT('DLC mass atten coeff'!CL1037,"0.000E+00"))</f>
        <v xml:space="preserve">    - 4.740E-02</v>
      </c>
    </row>
    <row r="3107" spans="1:1">
      <c r="A3107" t="str">
        <f>CONCATENATE("    - ",TEXT('DLC mass atten coeff'!CL1038,"0.000E+00"))</f>
        <v xml:space="preserve">    - 4.369E-02</v>
      </c>
    </row>
    <row r="3108" spans="1:1">
      <c r="A3108" t="str">
        <f>CONCATENATE("    - ",TEXT('DLC mass atten coeff'!CL1039,"0.000E+00"))</f>
        <v xml:space="preserve">    - 4.338E-02</v>
      </c>
    </row>
    <row r="3109" spans="1:1">
      <c r="A3109" t="str">
        <f>CONCATENATE("    - ",TEXT('DLC mass atten coeff'!CL1040,"0.000E+00"))</f>
        <v xml:space="preserve">    - 4.420E-02</v>
      </c>
    </row>
    <row r="3110" spans="1:1">
      <c r="A3110" t="str">
        <f>CONCATENATE("    - ",TEXT('DLC mass atten coeff'!CL1041,"0.000E+00"))</f>
        <v xml:space="preserve">    - 4.546E-02</v>
      </c>
    </row>
    <row r="3111" spans="1:1">
      <c r="A3111" t="str">
        <f>CONCATENATE("    - ",TEXT('DLC mass atten coeff'!CL1042,"0.000E+00"))</f>
        <v xml:space="preserve">    - 4.847E-02</v>
      </c>
    </row>
    <row r="3112" spans="1:1">
      <c r="A3112" t="str">
        <f>CONCATENATE("    - ",TEXT('DLC mass atten coeff'!CL1043,"0.000E+00"))</f>
        <v xml:space="preserve">    - 5.164E-02</v>
      </c>
    </row>
    <row r="3113" spans="1:1">
      <c r="A3113" t="str">
        <f>CONCATENATE("    - ",TEXT('DLC mass atten coeff'!CL1044,"0.000E+00"))</f>
        <v xml:space="preserve">    - 5.890E-02</v>
      </c>
    </row>
    <row r="3114" spans="1:1">
      <c r="A3114" t="str">
        <f>CONCATENATE("    - ",TEXT('DLC mass atten coeff'!CL1045,"0.000E+00"))</f>
        <v xml:space="preserve">    - 6.469E-02</v>
      </c>
    </row>
    <row r="3115" spans="1:1">
      <c r="A3115" t="str">
        <f>CONCATENATE("    - ",TEXT('DLC mass atten coeff'!CL1046,"0.000E+00"))</f>
        <v xml:space="preserve">    - 7.339E-02</v>
      </c>
    </row>
    <row r="3116" spans="1:1">
      <c r="A3116" t="str">
        <f>CONCATENATE('DLC mass atten coeff'!CM1018,":")</f>
        <v>thorium:</v>
      </c>
    </row>
    <row r="3117" spans="1:1">
      <c r="A3117" s="18" t="str">
        <f>CONCATENATE("  density: ",VLOOKUP(A3116,densities!$A$5:$B$110,2,FALSE))</f>
        <v xml:space="preserve">  density: 1.172E+01</v>
      </c>
    </row>
    <row r="3118" spans="1:1" ht="16">
      <c r="A3118" s="19" t="s">
        <v>1644</v>
      </c>
    </row>
    <row r="3119" spans="1:1">
      <c r="A3119" s="19" t="s">
        <v>1553</v>
      </c>
    </row>
    <row r="3120" spans="1:1">
      <c r="A3120" s="19" t="s">
        <v>1554</v>
      </c>
    </row>
    <row r="3121" spans="1:1">
      <c r="A3121" s="21" t="s">
        <v>1860</v>
      </c>
    </row>
    <row r="3122" spans="1:1">
      <c r="A3122" s="19" t="s">
        <v>1555</v>
      </c>
    </row>
    <row r="3123" spans="1:1">
      <c r="A3123" t="str">
        <f>CONCATENATE("    - ",TEXT('DLC mass atten coeff'!CM1019,"0.000E+00"))</f>
        <v xml:space="preserve">    - 1.636E+02</v>
      </c>
    </row>
    <row r="3124" spans="1:1">
      <c r="A3124" t="str">
        <f>CONCATENATE("    - ",TEXT('DLC mass atten coeff'!CM1020,"0.000E+00"))</f>
        <v xml:space="preserve">    - 5.787E+01</v>
      </c>
    </row>
    <row r="3125" spans="1:1">
      <c r="A3125" t="str">
        <f>CONCATENATE("    - ",TEXT('DLC mass atten coeff'!CM1021,"0.000E+00"))</f>
        <v xml:space="preserve">    - 9.113E+01</v>
      </c>
    </row>
    <row r="3126" spans="1:1">
      <c r="A3126" t="str">
        <f>CONCATENATE("    - ",TEXT('DLC mass atten coeff'!CM1022,"0.000E+00"))</f>
        <v xml:space="preserve">    - 3.743E+01</v>
      </c>
    </row>
    <row r="3127" spans="1:1">
      <c r="A3127" t="str">
        <f>CONCATENATE("    - ",TEXT('DLC mass atten coeff'!CM1023,"0.000E+00"))</f>
        <v xml:space="preserve">    - 1.766E+01</v>
      </c>
    </row>
    <row r="3128" spans="1:1">
      <c r="A3128" t="str">
        <f>CONCATENATE("    - ",TEXT('DLC mass atten coeff'!CM1024,"0.000E+00"))</f>
        <v xml:space="preserve">    - 9.816E+00</v>
      </c>
    </row>
    <row r="3129" spans="1:1">
      <c r="A3129" t="str">
        <f>CONCATENATE("    - ",TEXT('DLC mass atten coeff'!CM1025,"0.000E+00"))</f>
        <v xml:space="preserve">    - 6.066E+00</v>
      </c>
    </row>
    <row r="3130" spans="1:1">
      <c r="A3130" t="str">
        <f>CONCATENATE("    - ",TEXT('DLC mass atten coeff'!CM1026,"0.000E+00"))</f>
        <v xml:space="preserve">    - 2.851E+00</v>
      </c>
    </row>
    <row r="3131" spans="1:1">
      <c r="A3131" t="str">
        <f>CONCATENATE("    - ",TEXT('DLC mass atten coeff'!CM1027,"0.000E+00"))</f>
        <v xml:space="preserve">    - 1.606E+00</v>
      </c>
    </row>
    <row r="3132" spans="1:1">
      <c r="A3132" t="str">
        <f>CONCATENATE("    - ",TEXT('DLC mass atten coeff'!CM1028,"0.000E+00"))</f>
        <v xml:space="preserve">    - 2.362E+00</v>
      </c>
    </row>
    <row r="3133" spans="1:1">
      <c r="A3133" t="str">
        <f>CONCATENATE("    - ",TEXT('DLC mass atten coeff'!CM1029,"0.000E+00"))</f>
        <v xml:space="preserve">    - 1.169E+00</v>
      </c>
    </row>
    <row r="3134" spans="1:1">
      <c r="A3134" t="str">
        <f>CONCATENATE("    - ",TEXT('DLC mass atten coeff'!CM1030,"0.000E+00"))</f>
        <v xml:space="preserve">    - 4.633E-01</v>
      </c>
    </row>
    <row r="3135" spans="1:1">
      <c r="A3135" t="str">
        <f>CONCATENATE("    - ",TEXT('DLC mass atten coeff'!CM1031,"0.000E+00"))</f>
        <v xml:space="preserve">    - 2.610E-01</v>
      </c>
    </row>
    <row r="3136" spans="1:1">
      <c r="A3136" t="str">
        <f>CONCATENATE("    - ",TEXT('DLC mass atten coeff'!CM1032,"0.000E+00"))</f>
        <v xml:space="preserve">    - 1.778E-01</v>
      </c>
    </row>
    <row r="3137" spans="1:1">
      <c r="A3137" t="str">
        <f>CONCATENATE("    - ",TEXT('DLC mass atten coeff'!CM1033,"0.000E+00"))</f>
        <v xml:space="preserve">    - 1.352E-01</v>
      </c>
    </row>
    <row r="3138" spans="1:1">
      <c r="A3138" t="str">
        <f>CONCATENATE("    - ",TEXT('DLC mass atten coeff'!CM1034,"0.000E+00"))</f>
        <v xml:space="preserve">    - 9.385E-02</v>
      </c>
    </row>
    <row r="3139" spans="1:1">
      <c r="A3139" t="str">
        <f>CONCATENATE("    - ",TEXT('DLC mass atten coeff'!CM1035,"0.000E+00"))</f>
        <v xml:space="preserve">    - 7.398E-02</v>
      </c>
    </row>
    <row r="3140" spans="1:1">
      <c r="A3140" t="str">
        <f>CONCATENATE("    - ",TEXT('DLC mass atten coeff'!CM1036,"0.000E+00"))</f>
        <v xml:space="preserve">    - 5.353E-02</v>
      </c>
    </row>
    <row r="3141" spans="1:1">
      <c r="A3141" t="str">
        <f>CONCATENATE("    - ",TEXT('DLC mass atten coeff'!CM1037,"0.000E+00"))</f>
        <v xml:space="preserve">    - 4.726E-02</v>
      </c>
    </row>
    <row r="3142" spans="1:1">
      <c r="A3142" t="str">
        <f>CONCATENATE("    - ",TEXT('DLC mass atten coeff'!CM1038,"0.000E+00"))</f>
        <v xml:space="preserve">    - 4.355E-02</v>
      </c>
    </row>
    <row r="3143" spans="1:1">
      <c r="A3143" t="str">
        <f>CONCATENATE("    - ",TEXT('DLC mass atten coeff'!CM1039,"0.000E+00"))</f>
        <v xml:space="preserve">    - 4.322E-02</v>
      </c>
    </row>
    <row r="3144" spans="1:1">
      <c r="A3144" t="str">
        <f>CONCATENATE("    - ",TEXT('DLC mass atten coeff'!CM1040,"0.000E+00"))</f>
        <v xml:space="preserve">    - 4.403E-02</v>
      </c>
    </row>
    <row r="3145" spans="1:1">
      <c r="A3145" t="str">
        <f>CONCATENATE("    - ",TEXT('DLC mass atten coeff'!CM1041,"0.000E+00"))</f>
        <v xml:space="preserve">    - 4.528E-02</v>
      </c>
    </row>
    <row r="3146" spans="1:1">
      <c r="A3146" t="str">
        <f>CONCATENATE("    - ",TEXT('DLC mass atten coeff'!CM1042,"0.000E+00"))</f>
        <v xml:space="preserve">    - 4.827E-02</v>
      </c>
    </row>
    <row r="3147" spans="1:1">
      <c r="A3147" t="str">
        <f>CONCATENATE("    - ",TEXT('DLC mass atten coeff'!CM1043,"0.000E+00"))</f>
        <v xml:space="preserve">    - 5.142E-02</v>
      </c>
    </row>
    <row r="3148" spans="1:1">
      <c r="A3148" t="str">
        <f>CONCATENATE("    - ",TEXT('DLC mass atten coeff'!CM1044,"0.000E+00"))</f>
        <v xml:space="preserve">    - 5.866E-02</v>
      </c>
    </row>
    <row r="3149" spans="1:1">
      <c r="A3149" t="str">
        <f>CONCATENATE("    - ",TEXT('DLC mass atten coeff'!CM1045,"0.000E+00"))</f>
        <v xml:space="preserve">    - 6.443E-02</v>
      </c>
    </row>
    <row r="3150" spans="1:1">
      <c r="A3150" t="str">
        <f>CONCATENATE("    - ",TEXT('DLC mass atten coeff'!CM1046,"0.000E+00"))</f>
        <v xml:space="preserve">    - 7.312E-02</v>
      </c>
    </row>
    <row r="3151" spans="1:1">
      <c r="A3151" t="str">
        <f>CONCATENATE('DLC mass atten coeff'!CN1018,":")</f>
        <v>protactinium:</v>
      </c>
    </row>
    <row r="3152" spans="1:1">
      <c r="A3152" s="18" t="str">
        <f>CONCATENATE("  density: ",VLOOKUP(A3151,densities!$A$5:$B$110,2,FALSE))</f>
        <v xml:space="preserve">  density: 1.537E+01</v>
      </c>
    </row>
    <row r="3153" spans="1:1" ht="16">
      <c r="A3153" s="19" t="s">
        <v>1645</v>
      </c>
    </row>
    <row r="3154" spans="1:1">
      <c r="A3154" s="19" t="s">
        <v>1553</v>
      </c>
    </row>
    <row r="3155" spans="1:1">
      <c r="A3155" s="19" t="s">
        <v>1554</v>
      </c>
    </row>
    <row r="3156" spans="1:1">
      <c r="A3156" s="21" t="s">
        <v>1860</v>
      </c>
    </row>
    <row r="3157" spans="1:1">
      <c r="A3157" s="19" t="s">
        <v>1555</v>
      </c>
    </row>
    <row r="3158" spans="1:1">
      <c r="A3158" t="str">
        <f>CONCATENATE("    - ",TEXT('DLC mass atten coeff'!CN1019,"0.000E+00"))</f>
        <v xml:space="preserve">    - 1.715E+02</v>
      </c>
    </row>
    <row r="3159" spans="1:1">
      <c r="A3159" t="str">
        <f>CONCATENATE("    - ",TEXT('DLC mass atten coeff'!CN1020,"0.000E+00"))</f>
        <v xml:space="preserve">    - 6.075E+01</v>
      </c>
    </row>
    <row r="3160" spans="1:1">
      <c r="A3160" t="str">
        <f>CONCATENATE("    - ",TEXT('DLC mass atten coeff'!CN1021,"0.000E+00"))</f>
        <v xml:space="preserve">    - 6.763E+01</v>
      </c>
    </row>
    <row r="3161" spans="1:1">
      <c r="A3161" t="str">
        <f>CONCATENATE("    - ",TEXT('DLC mass atten coeff'!CN1022,"0.000E+00"))</f>
        <v xml:space="preserve">    - 3.924E+01</v>
      </c>
    </row>
    <row r="3162" spans="1:1">
      <c r="A3162" t="str">
        <f>CONCATENATE("    - ",TEXT('DLC mass atten coeff'!CN1023,"0.000E+00"))</f>
        <v xml:space="preserve">    - 1.855E+01</v>
      </c>
    </row>
    <row r="3163" spans="1:1">
      <c r="A3163" t="str">
        <f>CONCATENATE("    - ",TEXT('DLC mass atten coeff'!CN1024,"0.000E+00"))</f>
        <v xml:space="preserve">    - 1.032E+01</v>
      </c>
    </row>
    <row r="3164" spans="1:1">
      <c r="A3164" t="str">
        <f>CONCATENATE("    - ",TEXT('DLC mass atten coeff'!CN1025,"0.000E+00"))</f>
        <v xml:space="preserve">    - 6.385E+00</v>
      </c>
    </row>
    <row r="3165" spans="1:1">
      <c r="A3165" t="str">
        <f>CONCATENATE("    - ",TEXT('DLC mass atten coeff'!CN1026,"0.000E+00"))</f>
        <v xml:space="preserve">    - 3.005E+00</v>
      </c>
    </row>
    <row r="3166" spans="1:1">
      <c r="A3166" t="str">
        <f>CONCATENATE("    - ",TEXT('DLC mass atten coeff'!CN1027,"0.000E+00"))</f>
        <v xml:space="preserve">    - 1.692E+00</v>
      </c>
    </row>
    <row r="3167" spans="1:1">
      <c r="A3167" t="str">
        <f>CONCATENATE("    - ",TEXT('DLC mass atten coeff'!CN1028,"0.000E+00"))</f>
        <v xml:space="preserve">    - 2.461E+00</v>
      </c>
    </row>
    <row r="3168" spans="1:1">
      <c r="A3168" t="str">
        <f>CONCATENATE("    - ",TEXT('DLC mass atten coeff'!CN1029,"0.000E+00"))</f>
        <v xml:space="preserve">    - 1.221E+00</v>
      </c>
    </row>
    <row r="3169" spans="1:1">
      <c r="A3169" t="str">
        <f>CONCATENATE("    - ",TEXT('DLC mass atten coeff'!CN1030,"0.000E+00"))</f>
        <v xml:space="preserve">    - 4.834E-01</v>
      </c>
    </row>
    <row r="3170" spans="1:1">
      <c r="A3170" t="str">
        <f>CONCATENATE("    - ",TEXT('DLC mass atten coeff'!CN1031,"0.000E+00"))</f>
        <v xml:space="preserve">    - 2.718E-01</v>
      </c>
    </row>
    <row r="3171" spans="1:1">
      <c r="A3171" t="str">
        <f>CONCATENATE("    - ",TEXT('DLC mass atten coeff'!CN1032,"0.000E+00"))</f>
        <v xml:space="preserve">    - 1.847E-01</v>
      </c>
    </row>
    <row r="3172" spans="1:1">
      <c r="A3172" t="str">
        <f>CONCATENATE("    - ",TEXT('DLC mass atten coeff'!CN1033,"0.000E+00"))</f>
        <v xml:space="preserve">    - 1.401E-01</v>
      </c>
    </row>
    <row r="3173" spans="1:1">
      <c r="A3173" t="str">
        <f>CONCATENATE("    - ",TEXT('DLC mass atten coeff'!CN1034,"0.000E+00"))</f>
        <v xml:space="preserve">    - 9.684E-02</v>
      </c>
    </row>
    <row r="3174" spans="1:1">
      <c r="A3174" t="str">
        <f>CONCATENATE("    - ",TEXT('DLC mass atten coeff'!CN1035,"0.000E+00"))</f>
        <v xml:space="preserve">    - 7.612E-02</v>
      </c>
    </row>
    <row r="3175" spans="1:1">
      <c r="A3175" t="str">
        <f>CONCATENATE("    - ",TEXT('DLC mass atten coeff'!CN1036,"0.000E+00"))</f>
        <v xml:space="preserve">    - 5.486E-02</v>
      </c>
    </row>
    <row r="3176" spans="1:1">
      <c r="A3176" t="str">
        <f>CONCATENATE("    - ",TEXT('DLC mass atten coeff'!CN1037,"0.000E+00"))</f>
        <v xml:space="preserve">    - 4.840E-02</v>
      </c>
    </row>
    <row r="3177" spans="1:1">
      <c r="A3177" t="str">
        <f>CONCATENATE("    - ",TEXT('DLC mass atten coeff'!CN1038,"0.000E+00"))</f>
        <v xml:space="preserve">    - 4.454E-02</v>
      </c>
    </row>
    <row r="3178" spans="1:1">
      <c r="A3178" t="str">
        <f>CONCATENATE("    - ",TEXT('DLC mass atten coeff'!CN1039,"0.000E+00"))</f>
        <v xml:space="preserve">    - 4.419E-02</v>
      </c>
    </row>
    <row r="3179" spans="1:1">
      <c r="A3179" t="str">
        <f>CONCATENATE("    - ",TEXT('DLC mass atten coeff'!CN1040,"0.000E+00"))</f>
        <v xml:space="preserve">    - 4.501E-02</v>
      </c>
    </row>
    <row r="3180" spans="1:1">
      <c r="A3180" t="str">
        <f>CONCATENATE("    - ",TEXT('DLC mass atten coeff'!CN1041,"0.000E+00"))</f>
        <v xml:space="preserve">    - 4.627E-02</v>
      </c>
    </row>
    <row r="3181" spans="1:1">
      <c r="A3181" t="str">
        <f>CONCATENATE("    - ",TEXT('DLC mass atten coeff'!CN1042,"0.000E+00"))</f>
        <v xml:space="preserve">    - 4.933E-02</v>
      </c>
    </row>
    <row r="3182" spans="1:1">
      <c r="A3182" t="str">
        <f>CONCATENATE("    - ",TEXT('DLC mass atten coeff'!CN1043,"0.000E+00"))</f>
        <v xml:space="preserve">    - 5.254E-02</v>
      </c>
    </row>
    <row r="3183" spans="1:1">
      <c r="A3183" t="str">
        <f>CONCATENATE("    - ",TEXT('DLC mass atten coeff'!CN1044,"0.000E+00"))</f>
        <v xml:space="preserve">    - 5.995E-02</v>
      </c>
    </row>
    <row r="3184" spans="1:1">
      <c r="A3184" t="str">
        <f>CONCATENATE("    - ",TEXT('DLC mass atten coeff'!CN1045,"0.000E+00"))</f>
        <v xml:space="preserve">    - 6.588E-02</v>
      </c>
    </row>
    <row r="3185" spans="1:1">
      <c r="A3185" t="str">
        <f>CONCATENATE("    - ",TEXT('DLC mass atten coeff'!CN1046,"0.000E+00"))</f>
        <v xml:space="preserve">    - 7.476E-02</v>
      </c>
    </row>
    <row r="3186" spans="1:1">
      <c r="A3186" t="str">
        <f>CONCATENATE('DLC mass atten coeff'!CO1018,":")</f>
        <v>uranium:</v>
      </c>
    </row>
    <row r="3187" spans="1:1">
      <c r="A3187" s="18" t="str">
        <f>CONCATENATE("  density: ",VLOOKUP(A3186,densities!$A$5:$B$110,2,FALSE))</f>
        <v xml:space="preserve">  density: 1.895E+01</v>
      </c>
    </row>
    <row r="3188" spans="1:1" ht="16">
      <c r="A3188" s="19" t="s">
        <v>1646</v>
      </c>
    </row>
    <row r="3189" spans="1:1">
      <c r="A3189" s="19" t="s">
        <v>1553</v>
      </c>
    </row>
    <row r="3190" spans="1:1">
      <c r="A3190" s="19" t="s">
        <v>1554</v>
      </c>
    </row>
    <row r="3191" spans="1:1">
      <c r="A3191" s="21" t="s">
        <v>1860</v>
      </c>
    </row>
    <row r="3192" spans="1:1">
      <c r="A3192" s="19" t="s">
        <v>1555</v>
      </c>
    </row>
    <row r="3193" spans="1:1">
      <c r="A3193" t="str">
        <f>CONCATENATE("    - ",TEXT('DLC mass atten coeff'!CO1019,"0.000E+00"))</f>
        <v xml:space="preserve">    - 1.737E+02</v>
      </c>
    </row>
    <row r="3194" spans="1:1">
      <c r="A3194" t="str">
        <f>CONCATENATE("    - ",TEXT('DLC mass atten coeff'!CO1020,"0.000E+00"))</f>
        <v xml:space="preserve">    - 6.162E+01</v>
      </c>
    </row>
    <row r="3195" spans="1:1">
      <c r="A3195" t="str">
        <f>CONCATENATE("    - ",TEXT('DLC mass atten coeff'!CO1021,"0.000E+00"))</f>
        <v xml:space="preserve">    - 6.845E+01</v>
      </c>
    </row>
    <row r="3196" spans="1:1">
      <c r="A3196" t="str">
        <f>CONCATENATE("    - ",TEXT('DLC mass atten coeff'!CO1022,"0.000E+00"))</f>
        <v xml:space="preserve">    - 3.976E+01</v>
      </c>
    </row>
    <row r="3197" spans="1:1">
      <c r="A3197" t="str">
        <f>CONCATENATE("    - ",TEXT('DLC mass atten coeff'!CO1023,"0.000E+00"))</f>
        <v xml:space="preserve">    - 1.881E+01</v>
      </c>
    </row>
    <row r="3198" spans="1:1">
      <c r="A3198" t="str">
        <f>CONCATENATE("    - ",TEXT('DLC mass atten coeff'!CO1024,"0.000E+00"))</f>
        <v xml:space="preserve">    - 1.048E+01</v>
      </c>
    </row>
    <row r="3199" spans="1:1">
      <c r="A3199" t="str">
        <f>CONCATENATE("    - ",TEXT('DLC mass atten coeff'!CO1025,"0.000E+00"))</f>
        <v xml:space="preserve">    - 6.489E+00</v>
      </c>
    </row>
    <row r="3200" spans="1:1">
      <c r="A3200" t="str">
        <f>CONCATENATE("    - ",TEXT('DLC mass atten coeff'!CO1026,"0.000E+00"))</f>
        <v xml:space="preserve">    - 3.057E+00</v>
      </c>
    </row>
    <row r="3201" spans="1:1">
      <c r="A3201" t="str">
        <f>CONCATENATE("    - ",TEXT('DLC mass atten coeff'!CO1027,"0.000E+00"))</f>
        <v xml:space="preserve">    - 1.722E+00</v>
      </c>
    </row>
    <row r="3202" spans="1:1">
      <c r="A3202" t="str">
        <f>CONCATENATE("    - ",TEXT('DLC mass atten coeff'!CO1028,"0.000E+00"))</f>
        <v xml:space="preserve">    - 2.477E+00</v>
      </c>
    </row>
    <row r="3203" spans="1:1">
      <c r="A3203" t="str">
        <f>CONCATENATE("    - ",TEXT('DLC mass atten coeff'!CO1029,"0.000E+00"))</f>
        <v xml:space="preserve">    - 1.230E+00</v>
      </c>
    </row>
    <row r="3204" spans="1:1">
      <c r="A3204" t="str">
        <f>CONCATENATE("    - ",TEXT('DLC mass atten coeff'!CO1030,"0.000E+00"))</f>
        <v xml:space="preserve">    - 4.873E-01</v>
      </c>
    </row>
    <row r="3205" spans="1:1">
      <c r="A3205" t="str">
        <f>CONCATENATE("    - ",TEXT('DLC mass atten coeff'!CO1031,"0.000E+00"))</f>
        <v xml:space="preserve">    - 2.735E-01</v>
      </c>
    </row>
    <row r="3206" spans="1:1">
      <c r="A3206" t="str">
        <f>CONCATENATE("    - ",TEXT('DLC mass atten coeff'!CO1032,"0.000E+00"))</f>
        <v xml:space="preserve">    - 1.854E-01</v>
      </c>
    </row>
    <row r="3207" spans="1:1">
      <c r="A3207" t="str">
        <f>CONCATENATE("    - ",TEXT('DLC mass atten coeff'!CO1033,"0.000E+00"))</f>
        <v xml:space="preserve">    - 1.403E-01</v>
      </c>
    </row>
    <row r="3208" spans="1:1">
      <c r="A3208" t="str">
        <f>CONCATENATE("    - ",TEXT('DLC mass atten coeff'!CO1034,"0.000E+00"))</f>
        <v xml:space="preserve">    - 9.662E-02</v>
      </c>
    </row>
    <row r="3209" spans="1:1">
      <c r="A3209" t="str">
        <f>CONCATENATE("    - ",TEXT('DLC mass atten coeff'!CO1035,"0.000E+00"))</f>
        <v xml:space="preserve">    - 7.569E-02</v>
      </c>
    </row>
    <row r="3210" spans="1:1">
      <c r="A3210" t="str">
        <f>CONCATENATE("    - ",TEXT('DLC mass atten coeff'!CO1036,"0.000E+00"))</f>
        <v xml:space="preserve">    - 5.436E-02</v>
      </c>
    </row>
    <row r="3211" spans="1:1">
      <c r="A3211" t="str">
        <f>CONCATENATE("    - ",TEXT('DLC mass atten coeff'!CO1037,"0.000E+00"))</f>
        <v xml:space="preserve">    - 4.789E-02</v>
      </c>
    </row>
    <row r="3212" spans="1:1">
      <c r="A3212" t="str">
        <f>CONCATENATE("    - ",TEXT('DLC mass atten coeff'!CO1038,"0.000E+00"))</f>
        <v xml:space="preserve">    - 4.403E-02</v>
      </c>
    </row>
    <row r="3213" spans="1:1">
      <c r="A3213" t="str">
        <f>CONCATENATE("    - ",TEXT('DLC mass atten coeff'!CO1039,"0.000E+00"))</f>
        <v xml:space="preserve">    - 4.365E-02</v>
      </c>
    </row>
    <row r="3214" spans="1:1">
      <c r="A3214" t="str">
        <f>CONCATENATE("    - ",TEXT('DLC mass atten coeff'!CO1040,"0.000E+00"))</f>
        <v xml:space="preserve">    - 4.445E-02</v>
      </c>
    </row>
    <row r="3215" spans="1:1">
      <c r="A3215" t="str">
        <f>CONCATENATE("    - ",TEXT('DLC mass atten coeff'!CO1041,"0.000E+00"))</f>
        <v xml:space="preserve">    - 4.569E-02</v>
      </c>
    </row>
    <row r="3216" spans="1:1">
      <c r="A3216" t="str">
        <f>CONCATENATE("    - ",TEXT('DLC mass atten coeff'!CO1042,"0.000E+00"))</f>
        <v xml:space="preserve">    - 4.869E-02</v>
      </c>
    </row>
    <row r="3217" spans="1:1">
      <c r="A3217" t="str">
        <f>CONCATENATE("    - ",TEXT('DLC mass atten coeff'!CO1043,"0.000E+00"))</f>
        <v xml:space="preserve">    - 5.187E-02</v>
      </c>
    </row>
    <row r="3218" spans="1:1">
      <c r="A3218" t="str">
        <f>CONCATENATE("    - ",TEXT('DLC mass atten coeff'!CO1044,"0.000E+00"))</f>
        <v xml:space="preserve">    - 5.921E-02</v>
      </c>
    </row>
    <row r="3219" spans="1:1">
      <c r="A3219" t="str">
        <f>CONCATENATE("    - ",TEXT('DLC mass atten coeff'!CO1045,"0.000E+00"))</f>
        <v xml:space="preserve">    - 6.507E-02</v>
      </c>
    </row>
    <row r="3220" spans="1:1">
      <c r="A3220" t="str">
        <f>CONCATENATE("    - ",TEXT('DLC mass atten coeff'!CO1046,"0.000E+00"))</f>
        <v xml:space="preserve">    - 7.387E-02</v>
      </c>
    </row>
    <row r="3221" spans="1:1">
      <c r="A3221" t="str">
        <f>CONCATENATE('DLC mass atten coeff'!CP1018,":")</f>
        <v>neptunium:</v>
      </c>
    </row>
    <row r="3222" spans="1:1">
      <c r="A3222" s="18" t="str">
        <f>CONCATENATE("  density: ",VLOOKUP(A3221,densities!$A$5:$B$110,2,FALSE))</f>
        <v xml:space="preserve">  density: 1.000E+01</v>
      </c>
    </row>
    <row r="3223" spans="1:1" ht="16">
      <c r="A3223" s="19" t="s">
        <v>1647</v>
      </c>
    </row>
    <row r="3224" spans="1:1">
      <c r="A3224" s="19" t="s">
        <v>1553</v>
      </c>
    </row>
    <row r="3225" spans="1:1">
      <c r="A3225" s="19" t="s">
        <v>1554</v>
      </c>
    </row>
    <row r="3226" spans="1:1">
      <c r="A3226" s="21" t="s">
        <v>1860</v>
      </c>
    </row>
    <row r="3227" spans="1:1">
      <c r="A3227" s="19" t="s">
        <v>1555</v>
      </c>
    </row>
    <row r="3228" spans="1:1">
      <c r="A3228" t="str">
        <f>CONCATENATE("    - ",TEXT('DLC mass atten coeff'!CP1019,"0.000E+00"))</f>
        <v xml:space="preserve">    - 1.819E+02</v>
      </c>
    </row>
    <row r="3229" spans="1:1">
      <c r="A3229" t="str">
        <f>CONCATENATE("    - ",TEXT('DLC mass atten coeff'!CP1020,"0.000E+00"))</f>
        <v xml:space="preserve">    - 6.463E+01</v>
      </c>
    </row>
    <row r="3230" spans="1:1">
      <c r="A3230" t="str">
        <f>CONCATENATE("    - ",TEXT('DLC mass atten coeff'!CP1021,"0.000E+00"))</f>
        <v xml:space="preserve">    - 7.176E+01</v>
      </c>
    </row>
    <row r="3231" spans="1:1">
      <c r="A3231" t="str">
        <f>CONCATENATE("    - ",TEXT('DLC mass atten coeff'!CP1022,"0.000E+00"))</f>
        <v xml:space="preserve">    - 4.158E+01</v>
      </c>
    </row>
    <row r="3232" spans="1:1">
      <c r="A3232" t="str">
        <f>CONCATENATE("    - ",TEXT('DLC mass atten coeff'!CP1023,"0.000E+00"))</f>
        <v xml:space="preserve">    - 1.972E+01</v>
      </c>
    </row>
    <row r="3233" spans="1:1">
      <c r="A3233" t="str">
        <f>CONCATENATE("    - ",TEXT('DLC mass atten coeff'!CP1024,"0.000E+00"))</f>
        <v xml:space="preserve">    - 1.101E+01</v>
      </c>
    </row>
    <row r="3234" spans="1:1">
      <c r="A3234" t="str">
        <f>CONCATENATE("    - ",TEXT('DLC mass atten coeff'!CP1025,"0.000E+00"))</f>
        <v xml:space="preserve">    - 6.823E+00</v>
      </c>
    </row>
    <row r="3235" spans="1:1">
      <c r="A3235" t="str">
        <f>CONCATENATE("    - ",TEXT('DLC mass atten coeff'!CP1026,"0.000E+00"))</f>
        <v xml:space="preserve">    - 3.217E+00</v>
      </c>
    </row>
    <row r="3236" spans="1:1">
      <c r="A3236" t="str">
        <f>CONCATENATE("    - ",TEXT('DLC mass atten coeff'!CP1027,"0.000E+00"))</f>
        <v xml:space="preserve">    - 1.813E+00</v>
      </c>
    </row>
    <row r="3237" spans="1:1">
      <c r="A3237" t="str">
        <f>CONCATENATE("    - ",TEXT('DLC mass atten coeff'!CP1028,"0.000E+00"))</f>
        <v xml:space="preserve">    - 2.578E+00</v>
      </c>
    </row>
    <row r="3238" spans="1:1">
      <c r="A3238" t="str">
        <f>CONCATENATE("    - ",TEXT('DLC mass atten coeff'!CP1029,"0.000E+00"))</f>
        <v xml:space="preserve">    - 1.283E+00</v>
      </c>
    </row>
    <row r="3239" spans="1:1">
      <c r="A3239" t="str">
        <f>CONCATENATE("    - ",TEXT('DLC mass atten coeff'!CP1030,"0.000E+00"))</f>
        <v xml:space="preserve">    - 5.080E-01</v>
      </c>
    </row>
    <row r="3240" spans="1:1">
      <c r="A3240" t="str">
        <f>CONCATENATE("    - ",TEXT('DLC mass atten coeff'!CP1031,"0.000E+00"))</f>
        <v xml:space="preserve">    - 2.847E-01</v>
      </c>
    </row>
    <row r="3241" spans="1:1">
      <c r="A3241" t="str">
        <f>CONCATENATE("    - ",TEXT('DLC mass atten coeff'!CP1032,"0.000E+00"))</f>
        <v xml:space="preserve">    - 1.925E-01</v>
      </c>
    </row>
    <row r="3242" spans="1:1">
      <c r="A3242" t="str">
        <f>CONCATENATE("    - ",TEXT('DLC mass atten coeff'!CP1033,"0.000E+00"))</f>
        <v xml:space="preserve">    - 1.454E-01</v>
      </c>
    </row>
    <row r="3243" spans="1:1">
      <c r="A3243" t="str">
        <f>CONCATENATE("    - ",TEXT('DLC mass atten coeff'!CP1034,"0.000E+00"))</f>
        <v xml:space="preserve">    - 9.970E-02</v>
      </c>
    </row>
    <row r="3244" spans="1:1">
      <c r="A3244" t="str">
        <f>CONCATENATE("    - ",TEXT('DLC mass atten coeff'!CP1035,"0.000E+00"))</f>
        <v xml:space="preserve">    - 7.789E-02</v>
      </c>
    </row>
    <row r="3245" spans="1:1">
      <c r="A3245" t="str">
        <f>CONCATENATE("    - ",TEXT('DLC mass atten coeff'!CP1036,"0.000E+00"))</f>
        <v xml:space="preserve">    - 5.571E-02</v>
      </c>
    </row>
    <row r="3246" spans="1:1">
      <c r="A3246" t="str">
        <f>CONCATENATE("    - ",TEXT('DLC mass atten coeff'!CP1037,"0.000E+00"))</f>
        <v xml:space="preserve">    - 4.902E-02</v>
      </c>
    </row>
    <row r="3247" spans="1:1">
      <c r="A3247" t="str">
        <f>CONCATENATE("    - ",TEXT('DLC mass atten coeff'!CP1038,"0.000E+00"))</f>
        <v xml:space="preserve">    - 4.502E-02</v>
      </c>
    </row>
    <row r="3248" spans="1:1">
      <c r="A3248" t="str">
        <f>CONCATENATE("    - ",TEXT('DLC mass atten coeff'!CP1039,"0.000E+00"))</f>
        <v xml:space="preserve">    - 4.460E-02</v>
      </c>
    </row>
    <row r="3249" spans="1:1">
      <c r="A3249" t="str">
        <f>CONCATENATE("    - ",TEXT('DLC mass atten coeff'!CP1040,"0.000E+00"))</f>
        <v xml:space="preserve">    - 4.540E-02</v>
      </c>
    </row>
    <row r="3250" spans="1:1">
      <c r="A3250" t="str">
        <f>CONCATENATE("    - ",TEXT('DLC mass atten coeff'!CP1041,"0.000E+00"))</f>
        <v xml:space="preserve">    - 4.665E-02</v>
      </c>
    </row>
    <row r="3251" spans="1:1">
      <c r="A3251" t="str">
        <f>CONCATENATE("    - ",TEXT('DLC mass atten coeff'!CP1042,"0.000E+00"))</f>
        <v xml:space="preserve">    - 4.971E-02</v>
      </c>
    </row>
    <row r="3252" spans="1:1">
      <c r="A3252" t="str">
        <f>CONCATENATE("    - ",TEXT('DLC mass atten coeff'!CP1043,"0.000E+00"))</f>
        <v xml:space="preserve">    - 5.296E-02</v>
      </c>
    </row>
    <row r="3253" spans="1:1">
      <c r="A3253" t="str">
        <f>CONCATENATE("    - ",TEXT('DLC mass atten coeff'!CP1044,"0.000E+00"))</f>
        <v xml:space="preserve">    - 6.045E-02</v>
      </c>
    </row>
    <row r="3254" spans="1:1">
      <c r="A3254" t="str">
        <f>CONCATENATE("    - ",TEXT('DLC mass atten coeff'!CP1045,"0.000E+00"))</f>
        <v xml:space="preserve">    - 6.647E-02</v>
      </c>
    </row>
    <row r="3255" spans="1:1">
      <c r="A3255" t="str">
        <f>CONCATENATE("    - ",TEXT('DLC mass atten coeff'!CP1046,"0.000E+00"))</f>
        <v xml:space="preserve">    - 7.548E-02</v>
      </c>
    </row>
    <row r="3256" spans="1:1">
      <c r="A3256" t="str">
        <f>CONCATENATE('DLC mass atten coeff'!CQ1018,":")</f>
        <v>plutonium:</v>
      </c>
    </row>
    <row r="3257" spans="1:1">
      <c r="A3257" s="18" t="str">
        <f>CONCATENATE("  density: ",VLOOKUP(A3256,densities!$A$5:$B$110,2,FALSE))</f>
        <v xml:space="preserve">  density: 1.000E+01</v>
      </c>
    </row>
    <row r="3258" spans="1:1" ht="16">
      <c r="A3258" s="19" t="s">
        <v>1648</v>
      </c>
    </row>
    <row r="3259" spans="1:1">
      <c r="A3259" s="19" t="s">
        <v>1553</v>
      </c>
    </row>
    <row r="3260" spans="1:1">
      <c r="A3260" s="19" t="s">
        <v>1554</v>
      </c>
    </row>
    <row r="3261" spans="1:1">
      <c r="A3261" s="21" t="s">
        <v>1860</v>
      </c>
    </row>
    <row r="3262" spans="1:1">
      <c r="A3262" s="19" t="s">
        <v>1555</v>
      </c>
    </row>
    <row r="3263" spans="1:1">
      <c r="A3263" t="str">
        <f>CONCATENATE("    - ",TEXT('DLC mass atten coeff'!CQ1019,"0.000E+00"))</f>
        <v xml:space="preserve">    - 1.879E+02</v>
      </c>
    </row>
    <row r="3264" spans="1:1">
      <c r="A3264" t="str">
        <f>CONCATENATE("    - ",TEXT('DLC mass atten coeff'!CQ1020,"0.000E+00"))</f>
        <v xml:space="preserve">    - 6.683E+01</v>
      </c>
    </row>
    <row r="3265" spans="1:1">
      <c r="A3265" t="str">
        <f>CONCATENATE("    - ",TEXT('DLC mass atten coeff'!CQ1021,"0.000E+00"))</f>
        <v xml:space="preserve">    - 7.434E+01</v>
      </c>
    </row>
    <row r="3266" spans="1:1">
      <c r="A3266" t="str">
        <f>CONCATENATE("    - ",TEXT('DLC mass atten coeff'!CQ1022,"0.000E+00"))</f>
        <v xml:space="preserve">    - 4.292E+01</v>
      </c>
    </row>
    <row r="3267" spans="1:1">
      <c r="A3267" t="str">
        <f>CONCATENATE("    - ",TEXT('DLC mass atten coeff'!CQ1023,"0.000E+00"))</f>
        <v xml:space="preserve">    - 2.040E+01</v>
      </c>
    </row>
    <row r="3268" spans="1:1">
      <c r="A3268" t="str">
        <f>CONCATENATE("    - ",TEXT('DLC mass atten coeff'!CQ1024,"0.000E+00"))</f>
        <v xml:space="preserve">    - 1.140E+01</v>
      </c>
    </row>
    <row r="3269" spans="1:1">
      <c r="A3269" t="str">
        <f>CONCATENATE("    - ",TEXT('DLC mass atten coeff'!CQ1025,"0.000E+00"))</f>
        <v xml:space="preserve">    - 7.077E+00</v>
      </c>
    </row>
    <row r="3270" spans="1:1">
      <c r="A3270" t="str">
        <f>CONCATENATE("    - ",TEXT('DLC mass atten coeff'!CQ1026,"0.000E+00"))</f>
        <v xml:space="preserve">    - 3.342E+00</v>
      </c>
    </row>
    <row r="3271" spans="1:1">
      <c r="A3271" t="str">
        <f>CONCATENATE("    - ",TEXT('DLC mass atten coeff'!CQ1027,"0.000E+00"))</f>
        <v xml:space="preserve">    - 1.883E+00</v>
      </c>
    </row>
    <row r="3272" spans="1:1">
      <c r="A3272" t="str">
        <f>CONCATENATE("    - ",TEXT('DLC mass atten coeff'!CQ1028,"0.000E+00"))</f>
        <v xml:space="preserve">    - 2.647E+00</v>
      </c>
    </row>
    <row r="3273" spans="1:1">
      <c r="A3273" t="str">
        <f>CONCATENATE("    - ",TEXT('DLC mass atten coeff'!CQ1029,"0.000E+00"))</f>
        <v xml:space="preserve">    - 1.319E+00</v>
      </c>
    </row>
    <row r="3274" spans="1:1">
      <c r="A3274" t="str">
        <f>CONCATENATE("    - ",TEXT('DLC mass atten coeff'!CQ1030,"0.000E+00"))</f>
        <v xml:space="preserve">    - 5.225E-01</v>
      </c>
    </row>
    <row r="3275" spans="1:1">
      <c r="A3275" t="str">
        <f>CONCATENATE("    - ",TEXT('DLC mass atten coeff'!CQ1031,"0.000E+00"))</f>
        <v xml:space="preserve">    - 2.925E-01</v>
      </c>
    </row>
    <row r="3276" spans="1:1">
      <c r="A3276" t="str">
        <f>CONCATENATE("    - ",TEXT('DLC mass atten coeff'!CQ1032,"0.000E+00"))</f>
        <v xml:space="preserve">    - 1.974E-01</v>
      </c>
    </row>
    <row r="3277" spans="1:1">
      <c r="A3277" t="str">
        <f>CONCATENATE("    - ",TEXT('DLC mass atten coeff'!CQ1033,"0.000E+00"))</f>
        <v xml:space="preserve">    - 1.488E-01</v>
      </c>
    </row>
    <row r="3278" spans="1:1">
      <c r="A3278" t="str">
        <f>CONCATENATE("    - ",TEXT('DLC mass atten coeff'!CQ1034,"0.000E+00"))</f>
        <v xml:space="preserve">    - 1.017E-01</v>
      </c>
    </row>
    <row r="3279" spans="1:1">
      <c r="A3279" t="str">
        <f>CONCATENATE("    - ",TEXT('DLC mass atten coeff'!CQ1035,"0.000E+00"))</f>
        <v xml:space="preserve">    - 7.915E-02</v>
      </c>
    </row>
    <row r="3280" spans="1:1">
      <c r="A3280" t="str">
        <f>CONCATENATE("    - ",TEXT('DLC mass atten coeff'!CQ1036,"0.000E+00"))</f>
        <v xml:space="preserve">    - 5.639E-02</v>
      </c>
    </row>
    <row r="3281" spans="1:1">
      <c r="A3281" t="str">
        <f>CONCATENATE("    - ",TEXT('DLC mass atten coeff'!CQ1037,"0.000E+00"))</f>
        <v xml:space="preserve">    - 4.955E-02</v>
      </c>
    </row>
    <row r="3282" spans="1:1">
      <c r="A3282" t="str">
        <f>CONCATENATE("    - ",TEXT('DLC mass atten coeff'!CQ1038,"0.000E+00"))</f>
        <v xml:space="preserve">    - 4.546E-02</v>
      </c>
    </row>
    <row r="3283" spans="1:1">
      <c r="A3283" t="str">
        <f>CONCATENATE("    - ",TEXT('DLC mass atten coeff'!CQ1039,"0.000E+00"))</f>
        <v xml:space="preserve">    - 4.500E-02</v>
      </c>
    </row>
    <row r="3284" spans="1:1">
      <c r="A3284" t="str">
        <f>CONCATENATE("    - ",TEXT('DLC mass atten coeff'!CQ1040,"0.000E+00"))</f>
        <v xml:space="preserve">    - 4.579E-02</v>
      </c>
    </row>
    <row r="3285" spans="1:1">
      <c r="A3285" t="str">
        <f>CONCATENATE("    - ",TEXT('DLC mass atten coeff'!CQ1041,"0.000E+00"))</f>
        <v xml:space="preserve">    - 4.702E-02</v>
      </c>
    </row>
    <row r="3286" spans="1:1">
      <c r="A3286" t="str">
        <f>CONCATENATE("    - ",TEXT('DLC mass atten coeff'!CQ1042,"0.000E+00"))</f>
        <v xml:space="preserve">    - 5.010E-02</v>
      </c>
    </row>
    <row r="3287" spans="1:1">
      <c r="A3287" t="str">
        <f>CONCATENATE("    - ",TEXT('DLC mass atten coeff'!CQ1043,"0.000E+00"))</f>
        <v xml:space="preserve">    - 5.337E-02</v>
      </c>
    </row>
    <row r="3288" spans="1:1">
      <c r="A3288" t="str">
        <f>CONCATENATE("    - ",TEXT('DLC mass atten coeff'!CQ1044,"0.000E+00"))</f>
        <v xml:space="preserve">    - 6.095E-02</v>
      </c>
    </row>
    <row r="3289" spans="1:1">
      <c r="A3289" t="str">
        <f>CONCATENATE("    - ",TEXT('DLC mass atten coeff'!CQ1045,"0.000E+00"))</f>
        <v xml:space="preserve">    - 6.701E-02</v>
      </c>
    </row>
    <row r="3290" spans="1:1">
      <c r="A3290" t="str">
        <f>CONCATENATE("    - ",TEXT('DLC mass atten coeff'!CQ1046,"0.000E+00"))</f>
        <v xml:space="preserve">    - 7.613E-02</v>
      </c>
    </row>
    <row r="3291" spans="1:1">
      <c r="A3291" t="str">
        <f>CONCATENATE('DLC mass atten coeff'!CR1018,":")</f>
        <v>americium:</v>
      </c>
    </row>
    <row r="3292" spans="1:1">
      <c r="A3292" s="18" t="str">
        <f>CONCATENATE("  density: ",VLOOKUP(A3291,densities!$A$5:$B$110,2,FALSE))</f>
        <v xml:space="preserve">  density: 1.000E+01</v>
      </c>
    </row>
    <row r="3293" spans="1:1" ht="16">
      <c r="A3293" s="19" t="s">
        <v>1649</v>
      </c>
    </row>
    <row r="3294" spans="1:1">
      <c r="A3294" s="19" t="s">
        <v>1553</v>
      </c>
    </row>
    <row r="3295" spans="1:1">
      <c r="A3295" s="19" t="s">
        <v>1554</v>
      </c>
    </row>
    <row r="3296" spans="1:1">
      <c r="A3296" s="21" t="s">
        <v>1860</v>
      </c>
    </row>
    <row r="3297" spans="1:1">
      <c r="A3297" s="19" t="s">
        <v>1555</v>
      </c>
    </row>
    <row r="3298" spans="1:1">
      <c r="A3298" t="str">
        <f>CONCATENATE("    - ",TEXT('DLC mass atten coeff'!CR1019,"0.000E+00"))</f>
        <v xml:space="preserve">    - 1.923E+02</v>
      </c>
    </row>
    <row r="3299" spans="1:1">
      <c r="A3299" t="str">
        <f>CONCATENATE("    - ",TEXT('DLC mass atten coeff'!CR1020,"0.000E+00"))</f>
        <v xml:space="preserve">    - 6.853E+01</v>
      </c>
    </row>
    <row r="3300" spans="1:1">
      <c r="A3300" t="str">
        <f>CONCATENATE("    - ",TEXT('DLC mass atten coeff'!CR1021,"0.000E+00"))</f>
        <v xml:space="preserve">    - 7.658E+01</v>
      </c>
    </row>
    <row r="3301" spans="1:1">
      <c r="A3301" t="str">
        <f>CONCATENATE("    - ",TEXT('DLC mass atten coeff'!CR1022,"0.000E+00"))</f>
        <v xml:space="preserve">    - 4.389E+01</v>
      </c>
    </row>
    <row r="3302" spans="1:1">
      <c r="A3302" t="str">
        <f>CONCATENATE("    - ",TEXT('DLC mass atten coeff'!CR1023,"0.000E+00"))</f>
        <v xml:space="preserve">    - 2.093E+01</v>
      </c>
    </row>
    <row r="3303" spans="1:1">
      <c r="A3303" t="str">
        <f>CONCATENATE("    - ",TEXT('DLC mass atten coeff'!CR1024,"0.000E+00"))</f>
        <v xml:space="preserve">    - 1.171E+01</v>
      </c>
    </row>
    <row r="3304" spans="1:1">
      <c r="A3304" t="str">
        <f>CONCATENATE("    - ",TEXT('DLC mass atten coeff'!CR1025,"0.000E+00"))</f>
        <v xml:space="preserve">    - 7.278E+00</v>
      </c>
    </row>
    <row r="3305" spans="1:1">
      <c r="A3305" t="str">
        <f>CONCATENATE("    - ",TEXT('DLC mass atten coeff'!CR1026,"0.000E+00"))</f>
        <v xml:space="preserve">    - 3.440E+00</v>
      </c>
    </row>
    <row r="3306" spans="1:1">
      <c r="A3306" t="str">
        <f>CONCATENATE("    - ",TEXT('DLC mass atten coeff'!CR1027,"0.000E+00"))</f>
        <v xml:space="preserve">    - 1.939E+00</v>
      </c>
    </row>
    <row r="3307" spans="1:1">
      <c r="A3307" t="str">
        <f>CONCATENATE("    - ",TEXT('DLC mass atten coeff'!CR1028,"0.000E+00"))</f>
        <v xml:space="preserve">    - 2.696E+00</v>
      </c>
    </row>
    <row r="3308" spans="1:1">
      <c r="A3308" t="str">
        <f>CONCATENATE("    - ",TEXT('DLC mass atten coeff'!CR1029,"0.000E+00"))</f>
        <v xml:space="preserve">    - 1.345E+00</v>
      </c>
    </row>
    <row r="3309" spans="1:1">
      <c r="A3309" t="str">
        <f>CONCATENATE("    - ",TEXT('DLC mass atten coeff'!CR1030,"0.000E+00"))</f>
        <v xml:space="preserve">    - 5.331E-01</v>
      </c>
    </row>
    <row r="3310" spans="1:1">
      <c r="A3310" t="str">
        <f>CONCATENATE("    - ",TEXT('DLC mass atten coeff'!CR1031,"0.000E+00"))</f>
        <v xml:space="preserve">    - 2.980E-01</v>
      </c>
    </row>
    <row r="3311" spans="1:1">
      <c r="A3311" t="str">
        <f>CONCATENATE("    - ",TEXT('DLC mass atten coeff'!CR1032,"0.000E+00"))</f>
        <v xml:space="preserve">    - 2.007E-01</v>
      </c>
    </row>
    <row r="3312" spans="1:1">
      <c r="A3312" t="str">
        <f>CONCATENATE("    - ",TEXT('DLC mass atten coeff'!CR1033,"0.000E+00"))</f>
        <v xml:space="preserve">    - 1.510E-01</v>
      </c>
    </row>
    <row r="3313" spans="1:1">
      <c r="A3313" t="str">
        <f>CONCATENATE("    - ",TEXT('DLC mass atten coeff'!CR1034,"0.000E+00"))</f>
        <v xml:space="preserve">    - 1.028E-01</v>
      </c>
    </row>
    <row r="3314" spans="1:1">
      <c r="A3314" t="str">
        <f>CONCATENATE("    - ",TEXT('DLC mass atten coeff'!CR1035,"0.000E+00"))</f>
        <v xml:space="preserve">    - 7.981E-02</v>
      </c>
    </row>
    <row r="3315" spans="1:1">
      <c r="A3315" t="str">
        <f>CONCATENATE("    - ",TEXT('DLC mass atten coeff'!CR1036,"0.000E+00"))</f>
        <v xml:space="preserve">    - 5.660E-02</v>
      </c>
    </row>
    <row r="3316" spans="1:1">
      <c r="A3316" t="str">
        <f>CONCATENATE("    - ",TEXT('DLC mass atten coeff'!CR1037,"0.000E+00"))</f>
        <v xml:space="preserve">    - 4.966E-02</v>
      </c>
    </row>
    <row r="3317" spans="1:1">
      <c r="A3317" t="str">
        <f>CONCATENATE("    - ",TEXT('DLC mass atten coeff'!CR1038,"0.000E+00"))</f>
        <v xml:space="preserve">    - 4.551E-02</v>
      </c>
    </row>
    <row r="3318" spans="1:1">
      <c r="A3318" t="str">
        <f>CONCATENATE("    - ",TEXT('DLC mass atten coeff'!CR1039,"0.000E+00"))</f>
        <v xml:space="preserve">    - 4.502E-02</v>
      </c>
    </row>
    <row r="3319" spans="1:1">
      <c r="A3319" t="str">
        <f>CONCATENATE("    - ",TEXT('DLC mass atten coeff'!CR1040,"0.000E+00"))</f>
        <v xml:space="preserve">    - 4.579E-02</v>
      </c>
    </row>
    <row r="3320" spans="1:1">
      <c r="A3320" t="str">
        <f>CONCATENATE("    - ",TEXT('DLC mass atten coeff'!CR1041,"0.000E+00"))</f>
        <v xml:space="preserve">    - 4.700E-02</v>
      </c>
    </row>
    <row r="3321" spans="1:1">
      <c r="A3321" t="str">
        <f>CONCATENATE("    - ",TEXT('DLC mass atten coeff'!CR1042,"0.000E+00"))</f>
        <v xml:space="preserve">    - 5.007E-02</v>
      </c>
    </row>
    <row r="3322" spans="1:1">
      <c r="A3322" t="str">
        <f>CONCATENATE("    - ",TEXT('DLC mass atten coeff'!CR1043,"0.000E+00"))</f>
        <v xml:space="preserve">    - 5.335E-02</v>
      </c>
    </row>
    <row r="3323" spans="1:1">
      <c r="A3323" t="str">
        <f>CONCATENATE("    - ",TEXT('DLC mass atten coeff'!CR1044,"0.000E+00"))</f>
        <v xml:space="preserve">    - 6.093E-02</v>
      </c>
    </row>
    <row r="3324" spans="1:1">
      <c r="A3324" t="str">
        <f>CONCATENATE("    - ",TEXT('DLC mass atten coeff'!CR1045,"0.000E+00"))</f>
        <v xml:space="preserve">    - 6.700E-02</v>
      </c>
    </row>
    <row r="3325" spans="1:1">
      <c r="A3325" t="str">
        <f>CONCATENATE("    - ",TEXT('DLC mass atten coeff'!CR1046,"0.000E+00"))</f>
        <v xml:space="preserve">    - 7.614E-02</v>
      </c>
    </row>
    <row r="3326" spans="1:1">
      <c r="A3326" t="str">
        <f>CONCATENATE('DLC mass atten coeff'!CS1018,":")</f>
        <v>curium:</v>
      </c>
    </row>
    <row r="3327" spans="1:1">
      <c r="A3327" s="18" t="str">
        <f>CONCATENATE("  density: ",VLOOKUP(A3326,densities!$A$5:$B$110,2,FALSE))</f>
        <v xml:space="preserve">  density: 1.000E+01</v>
      </c>
    </row>
    <row r="3328" spans="1:1" ht="16">
      <c r="A3328" s="19" t="s">
        <v>1650</v>
      </c>
    </row>
    <row r="3329" spans="1:1">
      <c r="A3329" s="19" t="s">
        <v>1553</v>
      </c>
    </row>
    <row r="3330" spans="1:1">
      <c r="A3330" s="19" t="s">
        <v>1554</v>
      </c>
    </row>
    <row r="3331" spans="1:1">
      <c r="A3331" s="21" t="s">
        <v>1860</v>
      </c>
    </row>
    <row r="3332" spans="1:1">
      <c r="A3332" s="19" t="s">
        <v>1555</v>
      </c>
    </row>
    <row r="3333" spans="1:1">
      <c r="A3333" t="str">
        <f>CONCATENATE("    - ",TEXT('DLC mass atten coeff'!CS1019,"0.000E+00"))</f>
        <v xml:space="preserve">    - 1.969E+02</v>
      </c>
    </row>
    <row r="3334" spans="1:1">
      <c r="A3334" t="str">
        <f>CONCATENATE("    - ",TEXT('DLC mass atten coeff'!CS1020,"0.000E+00"))</f>
        <v xml:space="preserve">    - 7.025E+01</v>
      </c>
    </row>
    <row r="3335" spans="1:1">
      <c r="A3335" t="str">
        <f>CONCATENATE("    - ",TEXT('DLC mass atten coeff'!CS1021,"0.000E+00"))</f>
        <v xml:space="preserve">    - 7.866E+01</v>
      </c>
    </row>
    <row r="3336" spans="1:1">
      <c r="A3336" t="str">
        <f>CONCATENATE("    - ",TEXT('DLC mass atten coeff'!CS1022,"0.000E+00"))</f>
        <v xml:space="preserve">    - 4.486E+01</v>
      </c>
    </row>
    <row r="3337" spans="1:1">
      <c r="A3337" t="str">
        <f>CONCATENATE("    - ",TEXT('DLC mass atten coeff'!CS1023,"0.000E+00"))</f>
        <v xml:space="preserve">    - 2.146E+01</v>
      </c>
    </row>
    <row r="3338" spans="1:1">
      <c r="A3338" t="str">
        <f>CONCATENATE("    - ",TEXT('DLC mass atten coeff'!CS1024,"0.000E+00"))</f>
        <v xml:space="preserve">    - 1.204E+01</v>
      </c>
    </row>
    <row r="3339" spans="1:1">
      <c r="A3339" t="str">
        <f>CONCATENATE("    - ",TEXT('DLC mass atten coeff'!CS1025,"0.000E+00"))</f>
        <v xml:space="preserve">    - 7.486E+00</v>
      </c>
    </row>
    <row r="3340" spans="1:1">
      <c r="A3340" t="str">
        <f>CONCATENATE("    - ",TEXT('DLC mass atten coeff'!CS1026,"0.000E+00"))</f>
        <v xml:space="preserve">    - 3.543E+00</v>
      </c>
    </row>
    <row r="3341" spans="1:1">
      <c r="A3341" t="str">
        <f>CONCATENATE("    - ",TEXT('DLC mass atten coeff'!CS1027,"0.000E+00"))</f>
        <v xml:space="preserve">    - 1.998E+00</v>
      </c>
    </row>
    <row r="3342" spans="1:1">
      <c r="A3342" t="str">
        <f>CONCATENATE("    - ",TEXT('DLC mass atten coeff'!CS1028,"0.000E+00"))</f>
        <v xml:space="preserve">    - 2.746E+00</v>
      </c>
    </row>
    <row r="3343" spans="1:1">
      <c r="A3343" t="str">
        <f>CONCATENATE("    - ",TEXT('DLC mass atten coeff'!CS1029,"0.000E+00"))</f>
        <v xml:space="preserve">    - 1.370E+00</v>
      </c>
    </row>
    <row r="3344" spans="1:1">
      <c r="A3344" t="str">
        <f>CONCATENATE("    - ",TEXT('DLC mass atten coeff'!CS1030,"0.000E+00"))</f>
        <v xml:space="preserve">    - 5.439E-01</v>
      </c>
    </row>
    <row r="3345" spans="1:1">
      <c r="A3345" t="str">
        <f>CONCATENATE("    - ",TEXT('DLC mass atten coeff'!CS1031,"0.000E+00"))</f>
        <v xml:space="preserve">    - 3.037E-01</v>
      </c>
    </row>
    <row r="3346" spans="1:1">
      <c r="A3346" t="str">
        <f>CONCATENATE("    - ",TEXT('DLC mass atten coeff'!CS1032,"0.000E+00"))</f>
        <v xml:space="preserve">    - 2.042E-01</v>
      </c>
    </row>
    <row r="3347" spans="1:1">
      <c r="A3347" t="str">
        <f>CONCATENATE("    - ",TEXT('DLC mass atten coeff'!CS1033,"0.000E+00"))</f>
        <v xml:space="preserve">    - 1.533E-01</v>
      </c>
    </row>
    <row r="3348" spans="1:1">
      <c r="A3348" t="str">
        <f>CONCATENATE("    - ",TEXT('DLC mass atten coeff'!CS1034,"0.000E+00"))</f>
        <v xml:space="preserve">    - 1.039E-01</v>
      </c>
    </row>
    <row r="3349" spans="1:1">
      <c r="A3349" t="str">
        <f>CONCATENATE("    - ",TEXT('DLC mass atten coeff'!CS1035,"0.000E+00"))</f>
        <v xml:space="preserve">    - 8.049E-02</v>
      </c>
    </row>
    <row r="3350" spans="1:1">
      <c r="A3350" t="str">
        <f>CONCATENATE("    - ",TEXT('DLC mass atten coeff'!CS1036,"0.000E+00"))</f>
        <v xml:space="preserve">    - 5.684E-02</v>
      </c>
    </row>
    <row r="3351" spans="1:1">
      <c r="A3351" t="str">
        <f>CONCATENATE("    - ",TEXT('DLC mass atten coeff'!CS1037,"0.000E+00"))</f>
        <v xml:space="preserve">    - 4.981E-02</v>
      </c>
    </row>
    <row r="3352" spans="1:1">
      <c r="A3352" t="str">
        <f>CONCATENATE("    - ",TEXT('DLC mass atten coeff'!CS1038,"0.000E+00"))</f>
        <v xml:space="preserve">    - 4.558E-02</v>
      </c>
    </row>
    <row r="3353" spans="1:1">
      <c r="A3353" t="str">
        <f>CONCATENATE("    - ",TEXT('DLC mass atten coeff'!CS1039,"0.000E+00"))</f>
        <v xml:space="preserve">    - 4.505E-02</v>
      </c>
    </row>
    <row r="3354" spans="1:1">
      <c r="A3354" t="str">
        <f>CONCATENATE("    - ",TEXT('DLC mass atten coeff'!CS1040,"0.000E+00"))</f>
        <v xml:space="preserve">    - 4.580E-02</v>
      </c>
    </row>
    <row r="3355" spans="1:1">
      <c r="A3355" t="str">
        <f>CONCATENATE("    - ",TEXT('DLC mass atten coeff'!CS1041,"0.000E+00"))</f>
        <v xml:space="preserve">    - 4.698E-02</v>
      </c>
    </row>
    <row r="3356" spans="1:1">
      <c r="A3356" t="str">
        <f>CONCATENATE("    - ",TEXT('DLC mass atten coeff'!CS1042,"0.000E+00"))</f>
        <v xml:space="preserve">    - 5.005E-02</v>
      </c>
    </row>
    <row r="3357" spans="1:1">
      <c r="A3357" t="str">
        <f>CONCATENATE("    - ",TEXT('DLC mass atten coeff'!CS1043,"0.000E+00"))</f>
        <v xml:space="preserve">    - 5.331E-02</v>
      </c>
    </row>
    <row r="3358" spans="1:1">
      <c r="A3358" t="str">
        <f>CONCATENATE("    - ",TEXT('DLC mass atten coeff'!CS1044,"0.000E+00"))</f>
        <v xml:space="preserve">    - 6.092E-02</v>
      </c>
    </row>
    <row r="3359" spans="1:1">
      <c r="A3359" t="str">
        <f>CONCATENATE("    - ",TEXT('DLC mass atten coeff'!CS1045,"0.000E+00"))</f>
        <v xml:space="preserve">    - 6.701E-02</v>
      </c>
    </row>
    <row r="3360" spans="1:1">
      <c r="A3360" t="str">
        <f>CONCATENATE("    - ",TEXT('DLC mass atten coeff'!CS1046,"0.000E+00"))</f>
        <v xml:space="preserve">    - 7.617E-02</v>
      </c>
    </row>
    <row r="3361" spans="1:1">
      <c r="A3361" t="str">
        <f>CONCATENATE('DLC mass atten coeff'!CT1018,":")</f>
        <v>berkelium:</v>
      </c>
    </row>
    <row r="3362" spans="1:1">
      <c r="A3362" s="18" t="str">
        <f>CONCATENATE("  density: ",VLOOKUP(A3361,densities!$A$5:$B$110,2,FALSE))</f>
        <v xml:space="preserve">  density: 1.000E+01</v>
      </c>
    </row>
    <row r="3363" spans="1:1" ht="16">
      <c r="A3363" s="19" t="s">
        <v>1651</v>
      </c>
    </row>
    <row r="3364" spans="1:1">
      <c r="A3364" s="19" t="s">
        <v>1553</v>
      </c>
    </row>
    <row r="3365" spans="1:1">
      <c r="A3365" s="19" t="s">
        <v>1554</v>
      </c>
    </row>
    <row r="3366" spans="1:1">
      <c r="A3366" s="21" t="s">
        <v>1860</v>
      </c>
    </row>
    <row r="3367" spans="1:1">
      <c r="A3367" s="19" t="s">
        <v>1555</v>
      </c>
    </row>
    <row r="3368" spans="1:1">
      <c r="A3368" t="str">
        <f>CONCATENATE("    - ",TEXT('DLC mass atten coeff'!CT1019,"0.000E+00"))</f>
        <v xml:space="preserve">    - 2.045E+02</v>
      </c>
    </row>
    <row r="3369" spans="1:1">
      <c r="A3369" t="str">
        <f>CONCATENATE("    - ",TEXT('DLC mass atten coeff'!CT1020,"0.000E+00"))</f>
        <v xml:space="preserve">    - 7.315E+01</v>
      </c>
    </row>
    <row r="3370" spans="1:1">
      <c r="A3370" t="str">
        <f>CONCATENATE("    - ",TEXT('DLC mass atten coeff'!CT1021,"0.000E+00"))</f>
        <v xml:space="preserve">    - 8.104E+01</v>
      </c>
    </row>
    <row r="3371" spans="1:1">
      <c r="A3371" t="str">
        <f>CONCATENATE("    - ",TEXT('DLC mass atten coeff'!CT1022,"0.000E+00"))</f>
        <v xml:space="preserve">    - 4.657E+01</v>
      </c>
    </row>
    <row r="3372" spans="1:1">
      <c r="A3372" t="str">
        <f>CONCATENATE("    - ",TEXT('DLC mass atten coeff'!CT1023,"0.000E+00"))</f>
        <v xml:space="preserve">    - 2.236E+01</v>
      </c>
    </row>
    <row r="3373" spans="1:1">
      <c r="A3373" t="str">
        <f>CONCATENATE("    - ",TEXT('DLC mass atten coeff'!CT1024,"0.000E+00"))</f>
        <v xml:space="preserve">    - 1.255E+01</v>
      </c>
    </row>
    <row r="3374" spans="1:1">
      <c r="A3374" t="str">
        <f>CONCATENATE("    - ",TEXT('DLC mass atten coeff'!CT1025,"0.000E+00"))</f>
        <v xml:space="preserve">    - 7.819E+00</v>
      </c>
    </row>
    <row r="3375" spans="1:1">
      <c r="A3375" t="str">
        <f>CONCATENATE("    - ",TEXT('DLC mass atten coeff'!CT1026,"0.000E+00"))</f>
        <v xml:space="preserve">    - 3.706E+00</v>
      </c>
    </row>
    <row r="3376" spans="1:1">
      <c r="A3376" t="str">
        <f>CONCATENATE("    - ",TEXT('DLC mass atten coeff'!CT1027,"0.000E+00"))</f>
        <v xml:space="preserve">    - 2.091E+00</v>
      </c>
    </row>
    <row r="3377" spans="1:1">
      <c r="A3377" t="str">
        <f>CONCATENATE("    - ",TEXT('DLC mass atten coeff'!CT1028,"0.000E+00"))</f>
        <v xml:space="preserve">    - 2.842E+00</v>
      </c>
    </row>
    <row r="3378" spans="1:1">
      <c r="A3378" t="str">
        <f>CONCATENATE("    - ",TEXT('DLC mass atten coeff'!CT1029,"0.000E+00"))</f>
        <v xml:space="preserve">    - 1.420E+00</v>
      </c>
    </row>
    <row r="3379" spans="1:1">
      <c r="A3379" t="str">
        <f>CONCATENATE("    - ",TEXT('DLC mass atten coeff'!CT1030,"0.000E+00"))</f>
        <v xml:space="preserve">    - 5.637E-01</v>
      </c>
    </row>
    <row r="3380" spans="1:1">
      <c r="A3380" t="str">
        <f>CONCATENATE("    - ",TEXT('DLC mass atten coeff'!CT1031,"0.000E+00"))</f>
        <v xml:space="preserve">    - 3.145E-01</v>
      </c>
    </row>
    <row r="3381" spans="1:1">
      <c r="A3381" t="str">
        <f>CONCATENATE("    - ",TEXT('DLC mass atten coeff'!CT1032,"0.000E+00"))</f>
        <v xml:space="preserve">    - 2.111E-01</v>
      </c>
    </row>
    <row r="3382" spans="1:1">
      <c r="A3382" t="str">
        <f>CONCATENATE("    - ",TEXT('DLC mass atten coeff'!CT1033,"0.000E+00"))</f>
        <v xml:space="preserve">    - 1.581E-01</v>
      </c>
    </row>
    <row r="3383" spans="1:1">
      <c r="A3383" t="str">
        <f>CONCATENATE("    - ",TEXT('DLC mass atten coeff'!CT1034,"0.000E+00"))</f>
        <v xml:space="preserve">    - 1.068E-01</v>
      </c>
    </row>
    <row r="3384" spans="1:1">
      <c r="A3384" t="str">
        <f>CONCATENATE("    - ",TEXT('DLC mass atten coeff'!CT1035,"0.000E+00"))</f>
        <v xml:space="preserve">    - 8.251E-02</v>
      </c>
    </row>
    <row r="3385" spans="1:1">
      <c r="A3385" t="str">
        <f>CONCATENATE("    - ",TEXT('DLC mass atten coeff'!CT1036,"0.000E+00"))</f>
        <v xml:space="preserve">    - 5.802E-02</v>
      </c>
    </row>
    <row r="3386" spans="1:1">
      <c r="A3386" t="str">
        <f>CONCATENATE("    - ",TEXT('DLC mass atten coeff'!CT1037,"0.000E+00"))</f>
        <v xml:space="preserve">    - 5.078E-02</v>
      </c>
    </row>
    <row r="3387" spans="1:1">
      <c r="A3387" t="str">
        <f>CONCATENATE("    - ",TEXT('DLC mass atten coeff'!CT1038,"0.000E+00"))</f>
        <v xml:space="preserve">    - 4.639E-02</v>
      </c>
    </row>
    <row r="3388" spans="1:1">
      <c r="A3388" t="str">
        <f>CONCATENATE("    - ",TEXT('DLC mass atten coeff'!CT1039,"0.000E+00"))</f>
        <v xml:space="preserve">    - 4.582E-02</v>
      </c>
    </row>
    <row r="3389" spans="1:1">
      <c r="A3389" t="str">
        <f>CONCATENATE("    - ",TEXT('DLC mass atten coeff'!CT1040,"0.000E+00"))</f>
        <v xml:space="preserve">    - 4.655E-02</v>
      </c>
    </row>
    <row r="3390" spans="1:1">
      <c r="A3390" t="str">
        <f>CONCATENATE("    - ",TEXT('DLC mass atten coeff'!CT1041,"0.000E+00"))</f>
        <v xml:space="preserve">    - 4.772E-02</v>
      </c>
    </row>
    <row r="3391" spans="1:1">
      <c r="A3391" t="str">
        <f>CONCATENATE("    - ",TEXT('DLC mass atten coeff'!CT1042,"0.000E+00"))</f>
        <v xml:space="preserve">    - 5.084E-02</v>
      </c>
    </row>
    <row r="3392" spans="1:1">
      <c r="A3392" t="str">
        <f>CONCATENATE("    - ",TEXT('DLC mass atten coeff'!CT1043,"0.000E+00"))</f>
        <v xml:space="preserve">    - 5.416E-02</v>
      </c>
    </row>
    <row r="3393" spans="1:1">
      <c r="A3393" t="str">
        <f>CONCATENATE("    - ",TEXT('DLC mass atten coeff'!CT1044,"0.000E+00"))</f>
        <v xml:space="preserve">    - 6.187E-02</v>
      </c>
    </row>
    <row r="3394" spans="1:1">
      <c r="A3394" t="str">
        <f>CONCATENATE("    - ",TEXT('DLC mass atten coeff'!CT1045,"0.000E+00"))</f>
        <v xml:space="preserve">    - 6.808E-02</v>
      </c>
    </row>
    <row r="3395" spans="1:1">
      <c r="A3395" t="str">
        <f>CONCATENATE("    - ",TEXT('DLC mass atten coeff'!CT1046,"0.000E+00"))</f>
        <v xml:space="preserve">    - 7.743E-02</v>
      </c>
    </row>
    <row r="3396" spans="1:1">
      <c r="A3396" t="str">
        <f>CONCATENATE('DLC mass atten coeff'!CU1018,":")</f>
        <v>californium:</v>
      </c>
    </row>
    <row r="3397" spans="1:1">
      <c r="A3397" s="18" t="str">
        <f>CONCATENATE("  density: ",VLOOKUP(A3396,densities!$A$5:$B$110,2,FALSE))</f>
        <v xml:space="preserve">  density: 1.000E+01</v>
      </c>
    </row>
    <row r="3398" spans="1:1" ht="16">
      <c r="A3398" s="19" t="s">
        <v>1652</v>
      </c>
    </row>
    <row r="3399" spans="1:1">
      <c r="A3399" s="19" t="s">
        <v>1553</v>
      </c>
    </row>
    <row r="3400" spans="1:1">
      <c r="A3400" s="19" t="s">
        <v>1554</v>
      </c>
    </row>
    <row r="3401" spans="1:1">
      <c r="A3401" s="21" t="s">
        <v>1860</v>
      </c>
    </row>
    <row r="3402" spans="1:1">
      <c r="A3402" s="19" t="s">
        <v>1555</v>
      </c>
    </row>
    <row r="3403" spans="1:1">
      <c r="A3403" t="str">
        <f>CONCATENATE("    - ",TEXT('DLC mass atten coeff'!CU1019,"0.000E+00"))</f>
        <v xml:space="preserve">    - 2.088E+02</v>
      </c>
    </row>
    <row r="3404" spans="1:1">
      <c r="A3404" t="str">
        <f>CONCATENATE("    - ",TEXT('DLC mass atten coeff'!CU1020,"0.000E+00"))</f>
        <v xml:space="preserve">    - 7.486E+01</v>
      </c>
    </row>
    <row r="3405" spans="1:1">
      <c r="A3405" t="str">
        <f>CONCATENATE("    - ",TEXT('DLC mass atten coeff'!CU1021,"0.000E+00"))</f>
        <v xml:space="preserve">    - 8.287E+01</v>
      </c>
    </row>
    <row r="3406" spans="1:1">
      <c r="A3406" t="str">
        <f>CONCATENATE("    - ",TEXT('DLC mass atten coeff'!CU1022,"0.000E+00"))</f>
        <v xml:space="preserve">    - 4.753E+01</v>
      </c>
    </row>
    <row r="3407" spans="1:1">
      <c r="A3407" t="str">
        <f>CONCATENATE("    - ",TEXT('DLC mass atten coeff'!CU1023,"0.000E+00"))</f>
        <v xml:space="preserve">    - 2.291E+01</v>
      </c>
    </row>
    <row r="3408" spans="1:1">
      <c r="A3408" t="str">
        <f>CONCATENATE("    - ",TEXT('DLC mass atten coeff'!CU1024,"0.000E+00"))</f>
        <v xml:space="preserve">    - 1.289E+01</v>
      </c>
    </row>
    <row r="3409" spans="1:1">
      <c r="A3409" t="str">
        <f>CONCATENATE("    - ",TEXT('DLC mass atten coeff'!CU1025,"0.000E+00"))</f>
        <v xml:space="preserve">    - 8.031E+00</v>
      </c>
    </row>
    <row r="3410" spans="1:1">
      <c r="A3410" t="str">
        <f>CONCATENATE("    - ",TEXT('DLC mass atten coeff'!CU1026,"0.000E+00"))</f>
        <v xml:space="preserve">    - 3.810E+00</v>
      </c>
    </row>
    <row r="3411" spans="1:1">
      <c r="A3411" t="str">
        <f>CONCATENATE("    - ",TEXT('DLC mass atten coeff'!CU1027,"0.000E+00"))</f>
        <v xml:space="preserve">    - 2.152E+00</v>
      </c>
    </row>
    <row r="3412" spans="1:1">
      <c r="A3412" t="str">
        <f>CONCATENATE("    - ",TEXT('DLC mass atten coeff'!CU1028,"0.000E+00"))</f>
        <v xml:space="preserve">    - 2.896E+00</v>
      </c>
    </row>
    <row r="3413" spans="1:1">
      <c r="A3413" t="str">
        <f>CONCATENATE("    - ",TEXT('DLC mass atten coeff'!CU1029,"0.000E+00"))</f>
        <v xml:space="preserve">    - 1.446E+00</v>
      </c>
    </row>
    <row r="3414" spans="1:1">
      <c r="A3414" t="str">
        <f>CONCATENATE("    - ",TEXT('DLC mass atten coeff'!CU1030,"0.000E+00"))</f>
        <v xml:space="preserve">    - 5.748E-01</v>
      </c>
    </row>
    <row r="3415" spans="1:1">
      <c r="A3415" t="str">
        <f>CONCATENATE("    - ",TEXT('DLC mass atten coeff'!CU1031,"0.000E+00"))</f>
        <v xml:space="preserve">    - 3.202E-01</v>
      </c>
    </row>
    <row r="3416" spans="1:1">
      <c r="A3416" t="str">
        <f>CONCATENATE("    - ",TEXT('DLC mass atten coeff'!CU1032,"0.000E+00"))</f>
        <v xml:space="preserve">    - 2.147E-01</v>
      </c>
    </row>
    <row r="3417" spans="1:1">
      <c r="A3417" t="str">
        <f>CONCATENATE("    - ",TEXT('DLC mass atten coeff'!CU1033,"0.000E+00"))</f>
        <v xml:space="preserve">    - 1.605E-01</v>
      </c>
    </row>
    <row r="3418" spans="1:1">
      <c r="A3418" t="str">
        <f>CONCATENATE("    - ",TEXT('DLC mass atten coeff'!CU1034,"0.000E+00"))</f>
        <v xml:space="preserve">    - 1.081E-01</v>
      </c>
    </row>
    <row r="3419" spans="1:1">
      <c r="A3419" t="str">
        <f>CONCATENATE("    - ",TEXT('DLC mass atten coeff'!CU1035,"0.000E+00"))</f>
        <v xml:space="preserve">    - 8.325E-02</v>
      </c>
    </row>
    <row r="3420" spans="1:1">
      <c r="A3420" t="str">
        <f>CONCATENATE("    - ",TEXT('DLC mass atten coeff'!CU1036,"0.000E+00"))</f>
        <v xml:space="preserve">    - 5.829E-02</v>
      </c>
    </row>
    <row r="3421" spans="1:1">
      <c r="A3421" t="str">
        <f>CONCATENATE("    - ",TEXT('DLC mass atten coeff'!CU1037,"0.000E+00"))</f>
        <v xml:space="preserve">    - 5.093E-02</v>
      </c>
    </row>
    <row r="3422" spans="1:1">
      <c r="A3422" t="str">
        <f>CONCATENATE("    - ",TEXT('DLC mass atten coeff'!CU1038,"0.000E+00"))</f>
        <v xml:space="preserve">    - 4.647E-02</v>
      </c>
    </row>
    <row r="3423" spans="1:1">
      <c r="A3423" t="str">
        <f>CONCATENATE("    - ",TEXT('DLC mass atten coeff'!CU1039,"0.000E+00"))</f>
        <v xml:space="preserve">    - 4.585E-02</v>
      </c>
    </row>
    <row r="3424" spans="1:1">
      <c r="A3424" t="str">
        <f>CONCATENATE("    - ",TEXT('DLC mass atten coeff'!CU1040,"0.000E+00"))</f>
        <v xml:space="preserve">    - 4.656E-02</v>
      </c>
    </row>
    <row r="3425" spans="1:1">
      <c r="A3425" t="str">
        <f>CONCATENATE("    - ",TEXT('DLC mass atten coeff'!CU1041,"0.000E+00"))</f>
        <v xml:space="preserve">    - 4.770E-02</v>
      </c>
    </row>
    <row r="3426" spans="1:1">
      <c r="A3426" t="str">
        <f>CONCATENATE("    - ",TEXT('DLC mass atten coeff'!CU1042,"0.000E+00"))</f>
        <v xml:space="preserve">    - 5.080E-02</v>
      </c>
    </row>
    <row r="3427" spans="1:1">
      <c r="A3427" t="str">
        <f>CONCATENATE("    - ",TEXT('DLC mass atten coeff'!CU1043,"0.000E+00"))</f>
        <v xml:space="preserve">    - 5.411E-02</v>
      </c>
    </row>
    <row r="3428" spans="1:1">
      <c r="A3428" t="str">
        <f>CONCATENATE("    - ",TEXT('DLC mass atten coeff'!CU1044,"0.000E+00"))</f>
        <v xml:space="preserve">    - 6.184E-02</v>
      </c>
    </row>
    <row r="3429" spans="1:1">
      <c r="A3429" t="str">
        <f>CONCATENATE("    - ",TEXT('DLC mass atten coeff'!CU1045,"0.000E+00"))</f>
        <v xml:space="preserve">    - 6.807E-02</v>
      </c>
    </row>
    <row r="3430" spans="1:1">
      <c r="A3430" t="str">
        <f>CONCATENATE("    - ",TEXT('DLC mass atten coeff'!CU1046,"0.000E+00"))</f>
        <v xml:space="preserve">    - 7.744E-02</v>
      </c>
    </row>
    <row r="3431" spans="1:1">
      <c r="A3431" t="str">
        <f>CONCATENATE('DLC mass atten coeff'!CV1018,":")</f>
        <v>einsteinium:</v>
      </c>
    </row>
    <row r="3432" spans="1:1">
      <c r="A3432" s="18" t="str">
        <f>CONCATENATE("  density: ",VLOOKUP(A3431,densities!$A$5:$B$110,2,FALSE))</f>
        <v xml:space="preserve">  density: 1.000E+01</v>
      </c>
    </row>
    <row r="3433" spans="1:1" ht="16">
      <c r="A3433" s="19" t="s">
        <v>1653</v>
      </c>
    </row>
    <row r="3434" spans="1:1">
      <c r="A3434" s="19" t="s">
        <v>1553</v>
      </c>
    </row>
    <row r="3435" spans="1:1">
      <c r="A3435" s="19" t="s">
        <v>1554</v>
      </c>
    </row>
    <row r="3436" spans="1:1">
      <c r="A3436" s="21" t="s">
        <v>1860</v>
      </c>
    </row>
    <row r="3437" spans="1:1">
      <c r="A3437" s="19" t="s">
        <v>1555</v>
      </c>
    </row>
    <row r="3438" spans="1:1">
      <c r="A3438" t="str">
        <f>CONCATENATE("    - ",TEXT('DLC mass atten coeff'!CV1019,"0.000E+00"))</f>
        <v xml:space="preserve">    - 2.158E+02</v>
      </c>
    </row>
    <row r="3439" spans="1:1">
      <c r="A3439" t="str">
        <f>CONCATENATE("    - ",TEXT('DLC mass atten coeff'!CV1020,"0.000E+00"))</f>
        <v xml:space="preserve">    - 7.755E+01</v>
      </c>
    </row>
    <row r="3440" spans="1:1">
      <c r="A3440" t="str">
        <f>CONCATENATE("    - ",TEXT('DLC mass atten coeff'!CV1021,"0.000E+00"))</f>
        <v xml:space="preserve">    - 3.712E+01</v>
      </c>
    </row>
    <row r="3441" spans="1:1">
      <c r="A3441" t="str">
        <f>CONCATENATE("    - ",TEXT('DLC mass atten coeff'!CV1022,"0.000E+00"))</f>
        <v xml:space="preserve">    - 4.909E+01</v>
      </c>
    </row>
    <row r="3442" spans="1:1">
      <c r="A3442" t="str">
        <f>CONCATENATE("    - ",TEXT('DLC mass atten coeff'!CV1023,"0.000E+00"))</f>
        <v xml:space="preserve">    - 2.375E+01</v>
      </c>
    </row>
    <row r="3443" spans="1:1">
      <c r="A3443" t="str">
        <f>CONCATENATE("    - ",TEXT('DLC mass atten coeff'!CV1024,"0.000E+00"))</f>
        <v xml:space="preserve">    - 1.338E+01</v>
      </c>
    </row>
    <row r="3444" spans="1:1">
      <c r="A3444" t="str">
        <f>CONCATENATE("    - ",TEXT('DLC mass atten coeff'!CV1025,"0.000E+00"))</f>
        <v xml:space="preserve">    - 8.344E+00</v>
      </c>
    </row>
    <row r="3445" spans="1:1">
      <c r="A3445" t="str">
        <f>CONCATENATE("    - ",TEXT('DLC mass atten coeff'!CV1026,"0.000E+00"))</f>
        <v xml:space="preserve">    - 3.966E+00</v>
      </c>
    </row>
    <row r="3446" spans="1:1">
      <c r="A3446" t="str">
        <f>CONCATENATE("    - ",TEXT('DLC mass atten coeff'!CV1027,"0.000E+00"))</f>
        <v xml:space="preserve">    - 2.241E+00</v>
      </c>
    </row>
    <row r="3447" spans="1:1">
      <c r="A3447" t="str">
        <f>CONCATENATE("    - ",TEXT('DLC mass atten coeff'!CV1028,"0.000E+00"))</f>
        <v xml:space="preserve">    - 2.984E+00</v>
      </c>
    </row>
    <row r="3448" spans="1:1">
      <c r="A3448" t="str">
        <f>CONCATENATE("    - ",TEXT('DLC mass atten coeff'!CV1029,"0.000E+00"))</f>
        <v xml:space="preserve">    - 1.491E+00</v>
      </c>
    </row>
    <row r="3449" spans="1:1">
      <c r="A3449" t="str">
        <f>CONCATENATE("    - ",TEXT('DLC mass atten coeff'!CV1030,"0.000E+00"))</f>
        <v xml:space="preserve">    - 5.929E-01</v>
      </c>
    </row>
    <row r="3450" spans="1:1">
      <c r="A3450" t="str">
        <f>CONCATENATE("    - ",TEXT('DLC mass atten coeff'!CV1031,"0.000E+00"))</f>
        <v xml:space="preserve">    - 3.302E-01</v>
      </c>
    </row>
    <row r="3451" spans="1:1">
      <c r="A3451" t="str">
        <f>CONCATENATE("    - ",TEXT('DLC mass atten coeff'!CV1032,"0.000E+00"))</f>
        <v xml:space="preserve">    - 2.210E-01</v>
      </c>
    </row>
    <row r="3452" spans="1:1">
      <c r="A3452" t="str">
        <f>CONCATENATE("    - ",TEXT('DLC mass atten coeff'!CV1033,"0.000E+00"))</f>
        <v xml:space="preserve">    - 1.650E-01</v>
      </c>
    </row>
    <row r="3453" spans="1:1">
      <c r="A3453" t="str">
        <f>CONCATENATE("    - ",TEXT('DLC mass atten coeff'!CV1034,"0.000E+00"))</f>
        <v xml:space="preserve">    - 1.107E-01</v>
      </c>
    </row>
    <row r="3454" spans="1:1">
      <c r="A3454" t="str">
        <f>CONCATENATE("    - ",TEXT('DLC mass atten coeff'!CV1035,"0.000E+00"))</f>
        <v xml:space="preserve">    - 8.500E-02</v>
      </c>
    </row>
    <row r="3455" spans="1:1">
      <c r="A3455" t="str">
        <f>CONCATENATE("    - ",TEXT('DLC mass atten coeff'!CV1036,"0.000E+00"))</f>
        <v xml:space="preserve">    - 5.930E-02</v>
      </c>
    </row>
    <row r="3456" spans="1:1">
      <c r="A3456" t="str">
        <f>CONCATENATE("    - ",TEXT('DLC mass atten coeff'!CV1037,"0.000E+00"))</f>
        <v xml:space="preserve">    - 5.172E-02</v>
      </c>
    </row>
    <row r="3457" spans="1:1">
      <c r="A3457" t="str">
        <f>CONCATENATE("    - ",TEXT('DLC mass atten coeff'!CV1038,"0.000E+00"))</f>
        <v xml:space="preserve">    - 4.711E-02</v>
      </c>
    </row>
    <row r="3458" spans="1:1">
      <c r="A3458" t="str">
        <f>CONCATENATE("    - ",TEXT('DLC mass atten coeff'!CV1039,"0.000E+00"))</f>
        <v xml:space="preserve">    - 4.644E-02</v>
      </c>
    </row>
    <row r="3459" spans="1:1">
      <c r="A3459" t="str">
        <f>CONCATENATE("    - ",TEXT('DLC mass atten coeff'!CV1040,"0.000E+00"))</f>
        <v xml:space="preserve">    - 4.715E-02</v>
      </c>
    </row>
    <row r="3460" spans="1:1">
      <c r="A3460" t="str">
        <f>CONCATENATE("    - ",TEXT('DLC mass atten coeff'!CV1041,"0.000E+00"))</f>
        <v xml:space="preserve">    - 4.825E-02</v>
      </c>
    </row>
    <row r="3461" spans="1:1">
      <c r="A3461" t="str">
        <f>CONCATENATE("    - ",TEXT('DLC mass atten coeff'!CV1042,"0.000E+00"))</f>
        <v xml:space="preserve">    - 5.137E-02</v>
      </c>
    </row>
    <row r="3462" spans="1:1">
      <c r="A3462" t="str">
        <f>CONCATENATE("    - ",TEXT('DLC mass atten coeff'!CV1043,"0.000E+00"))</f>
        <v xml:space="preserve">    - 5.474E-02</v>
      </c>
    </row>
    <row r="3463" spans="1:1">
      <c r="A3463" t="str">
        <f>CONCATENATE("    - ",TEXT('DLC mass atten coeff'!CV1044,"0.000E+00"))</f>
        <v xml:space="preserve">    - 6.255E-02</v>
      </c>
    </row>
    <row r="3464" spans="1:1">
      <c r="A3464" t="str">
        <f>CONCATENATE("    - ",TEXT('DLC mass atten coeff'!CV1045,"0.000E+00"))</f>
        <v xml:space="preserve">    - 6.885E-02</v>
      </c>
    </row>
    <row r="3465" spans="1:1">
      <c r="A3465" t="str">
        <f>CONCATENATE("    - ",TEXT('DLC mass atten coeff'!CV1046,"0.000E+00"))</f>
        <v xml:space="preserve">    - 7.838E-02</v>
      </c>
    </row>
    <row r="3466" spans="1:1">
      <c r="A3466" t="str">
        <f>CONCATENATE('DLC mass atten coeff'!CW1018,":")</f>
        <v>fermium:</v>
      </c>
    </row>
    <row r="3467" spans="1:1">
      <c r="A3467" s="18" t="str">
        <f>CONCATENATE("  density: ",VLOOKUP(A3466,densities!$A$5:$B$110,2,FALSE))</f>
        <v xml:space="preserve">  density: 1.000E+01</v>
      </c>
    </row>
    <row r="3468" spans="1:1" ht="16">
      <c r="A3468" s="19" t="s">
        <v>1654</v>
      </c>
    </row>
    <row r="3469" spans="1:1">
      <c r="A3469" s="19" t="s">
        <v>1553</v>
      </c>
    </row>
    <row r="3470" spans="1:1">
      <c r="A3470" s="19" t="s">
        <v>1554</v>
      </c>
    </row>
    <row r="3471" spans="1:1">
      <c r="A3471" s="21" t="s">
        <v>1860</v>
      </c>
    </row>
    <row r="3472" spans="1:1">
      <c r="A3472" s="19" t="s">
        <v>1555</v>
      </c>
    </row>
    <row r="3473" spans="1:1">
      <c r="A3473" t="str">
        <f>CONCATENATE("    - ",TEXT('DLC mass atten coeff'!CW1019,"0.000E+00"))</f>
        <v xml:space="preserve">    - 2.196E+02</v>
      </c>
    </row>
    <row r="3474" spans="1:1">
      <c r="A3474" t="str">
        <f>CONCATENATE("    - ",TEXT('DLC mass atten coeff'!CW1020,"0.000E+00"))</f>
        <v xml:space="preserve">    - 7.901E+01</v>
      </c>
    </row>
    <row r="3475" spans="1:1">
      <c r="A3475" t="str">
        <f>CONCATENATE("    - ",TEXT('DLC mass atten coeff'!CW1021,"0.000E+00"))</f>
        <v xml:space="preserve">    - 3.788E+01</v>
      </c>
    </row>
    <row r="3476" spans="1:1">
      <c r="A3476" t="str">
        <f>CONCATENATE("    - ",TEXT('DLC mass atten coeff'!CW1022,"0.000E+00"))</f>
        <v xml:space="preserve">    - 4.998E+01</v>
      </c>
    </row>
    <row r="3477" spans="1:1">
      <c r="A3477" t="str">
        <f>CONCATENATE("    - ",TEXT('DLC mass atten coeff'!CW1023,"0.000E+00"))</f>
        <v xml:space="preserve">    - 2.421E+01</v>
      </c>
    </row>
    <row r="3478" spans="1:1">
      <c r="A3478" t="str">
        <f>CONCATENATE("    - ",TEXT('DLC mass atten coeff'!CW1024,"0.000E+00"))</f>
        <v xml:space="preserve">    - 1.366E+01</v>
      </c>
    </row>
    <row r="3479" spans="1:1">
      <c r="A3479" t="str">
        <f>CONCATENATE("    - ",TEXT('DLC mass atten coeff'!CW1025,"0.000E+00"))</f>
        <v xml:space="preserve">    - 8.532E+00</v>
      </c>
    </row>
    <row r="3480" spans="1:1">
      <c r="A3480" t="str">
        <f>CONCATENATE("    - ",TEXT('DLC mass atten coeff'!CW1026,"0.000E+00"))</f>
        <v xml:space="preserve">    - 4.061E+00</v>
      </c>
    </row>
    <row r="3481" spans="1:1">
      <c r="A3481" t="str">
        <f>CONCATENATE("    - ",TEXT('DLC mass atten coeff'!CW1027,"0.000E+00"))</f>
        <v xml:space="preserve">    - 2.296E+00</v>
      </c>
    </row>
    <row r="3482" spans="1:1">
      <c r="A3482" t="str">
        <f>CONCATENATE("    - ",TEXT('DLC mass atten coeff'!CW1028,"0.000E+00"))</f>
        <v xml:space="preserve">    - 3.008E+00</v>
      </c>
    </row>
    <row r="3483" spans="1:1">
      <c r="A3483" t="str">
        <f>CONCATENATE("    - ",TEXT('DLC mass atten coeff'!CW1029,"0.000E+00"))</f>
        <v xml:space="preserve">    - 1.512E+00</v>
      </c>
    </row>
    <row r="3484" spans="1:1">
      <c r="A3484" t="str">
        <f>CONCATENATE("    - ",TEXT('DLC mass atten coeff'!CW1030,"0.000E+00"))</f>
        <v xml:space="preserve">    - 6.019E-01</v>
      </c>
    </row>
    <row r="3485" spans="1:1">
      <c r="A3485" t="str">
        <f>CONCATENATE("    - ",TEXT('DLC mass atten coeff'!CW1031,"0.000E+00"))</f>
        <v xml:space="preserve">    - 3.351E-01</v>
      </c>
    </row>
    <row r="3486" spans="1:1">
      <c r="A3486" t="str">
        <f>CONCATENATE("    - ",TEXT('DLC mass atten coeff'!CW1032,"0.000E+00"))</f>
        <v xml:space="preserve">    - 2.239E-01</v>
      </c>
    </row>
    <row r="3487" spans="1:1">
      <c r="A3487" t="str">
        <f>CONCATENATE("    - ",TEXT('DLC mass atten coeff'!CW1033,"0.000E+00"))</f>
        <v xml:space="preserve">    - 1.669E-01</v>
      </c>
    </row>
    <row r="3488" spans="1:1">
      <c r="A3488" t="str">
        <f>CONCATENATE("    - ",TEXT('DLC mass atten coeff'!CW1034,"0.000E+00"))</f>
        <v xml:space="preserve">    - 1.116E-01</v>
      </c>
    </row>
    <row r="3489" spans="1:1">
      <c r="A3489" t="str">
        <f>CONCATENATE("    - ",TEXT('DLC mass atten coeff'!CW1035,"0.000E+00"))</f>
        <v xml:space="preserve">    - 8.547E-02</v>
      </c>
    </row>
    <row r="3490" spans="1:1">
      <c r="A3490" t="str">
        <f>CONCATENATE("    - ",TEXT('DLC mass atten coeff'!CW1036,"0.000E+00"))</f>
        <v xml:space="preserve">    - 5.937E-02</v>
      </c>
    </row>
    <row r="3491" spans="1:1">
      <c r="A3491" t="str">
        <f>CONCATENATE("    - ",TEXT('DLC mass atten coeff'!CW1037,"0.000E+00"))</f>
        <v xml:space="preserve">    - 5.170E-02</v>
      </c>
    </row>
    <row r="3492" spans="1:1">
      <c r="A3492" t="str">
        <f>CONCATENATE("    - ",TEXT('DLC mass atten coeff'!CW1038,"0.000E+00"))</f>
        <v xml:space="preserve">    - 4.702E-02</v>
      </c>
    </row>
    <row r="3493" spans="1:1">
      <c r="A3493" t="str">
        <f>CONCATENATE("    - ",TEXT('DLC mass atten coeff'!CW1039,"0.000E+00"))</f>
        <v xml:space="preserve">    - 4.630E-02</v>
      </c>
    </row>
    <row r="3494" spans="1:1">
      <c r="A3494" t="str">
        <f>CONCATENATE("    - ",TEXT('DLC mass atten coeff'!CW1040,"0.000E+00"))</f>
        <v xml:space="preserve">    - 4.698E-02</v>
      </c>
    </row>
    <row r="3495" spans="1:1">
      <c r="A3495" t="str">
        <f>CONCATENATE("    - ",TEXT('DLC mass atten coeff'!CW1041,"0.000E+00"))</f>
        <v xml:space="preserve">    - 4.804E-02</v>
      </c>
    </row>
    <row r="3496" spans="1:1">
      <c r="A3496" t="str">
        <f>CONCATENATE("    - ",TEXT('DLC mass atten coeff'!CW1042,"0.000E+00"))</f>
        <v xml:space="preserve">    - 5.113E-02</v>
      </c>
    </row>
    <row r="3497" spans="1:1">
      <c r="A3497" t="str">
        <f>CONCATENATE("    - ",TEXT('DLC mass atten coeff'!CW1043,"0.000E+00"))</f>
        <v xml:space="preserve">    - 5.447E-02</v>
      </c>
    </row>
    <row r="3498" spans="1:1">
      <c r="A3498" t="str">
        <f>CONCATENATE("    - ",TEXT('DLC mass atten coeff'!CW1044,"0.000E+00"))</f>
        <v xml:space="preserve">    - 6.227E-02</v>
      </c>
    </row>
    <row r="3499" spans="1:1">
      <c r="A3499" t="str">
        <f>CONCATENATE("    - ",TEXT('DLC mass atten coeff'!CW1045,"0.000E+00"))</f>
        <v xml:space="preserve">    - 6.857E-02</v>
      </c>
    </row>
    <row r="3500" spans="1:1">
      <c r="A3500" t="str">
        <f>CONCATENATE("    - ",TEXT('DLC mass atten coeff'!CW1046,"0.000E+00"))</f>
        <v xml:space="preserve">    - 7.807E-02</v>
      </c>
    </row>
    <row r="3501" spans="1:1">
      <c r="A3501" t="s">
        <v>1754</v>
      </c>
    </row>
    <row r="3502" spans="1:1">
      <c r="A3502" s="18" t="str">
        <f>CONCATENATE("  density: ",VLOOKUP(A3501,densities!$A$5:$B$110,2,FALSE))</f>
        <v xml:space="preserve">  density: 0.001205</v>
      </c>
    </row>
    <row r="3503" spans="1:1" ht="16">
      <c r="A3503" s="19" t="s">
        <v>1654</v>
      </c>
    </row>
    <row r="3504" spans="1:1">
      <c r="A3504" s="19" t="s">
        <v>1553</v>
      </c>
    </row>
    <row r="3505" spans="1:1">
      <c r="A3505" s="19" t="s">
        <v>1554</v>
      </c>
    </row>
    <row r="3506" spans="1:1">
      <c r="A3506" s="21" t="s">
        <v>1860</v>
      </c>
    </row>
    <row r="3507" spans="1:1">
      <c r="A3507" s="19" t="s">
        <v>1555</v>
      </c>
    </row>
    <row r="3508" spans="1:1">
      <c r="A3508" t="e">
        <f>'ANSI mass atten coeff'!#REF!</f>
        <v>#REF!</v>
      </c>
    </row>
    <row r="3509" spans="1:1">
      <c r="A3509" t="e">
        <f>'ANSI mass atten coeff'!#REF!</f>
        <v>#REF!</v>
      </c>
    </row>
    <row r="3510" spans="1:1">
      <c r="A3510" t="e">
        <f>'ANSI mass atten coeff'!#REF!</f>
        <v>#REF!</v>
      </c>
    </row>
    <row r="3511" spans="1:1">
      <c r="A3511" t="e">
        <f>'ANSI mass atten coeff'!#REF!</f>
        <v>#REF!</v>
      </c>
    </row>
    <row r="3512" spans="1:1">
      <c r="A3512" t="e">
        <f>'ANSI mass atten coeff'!#REF!</f>
        <v>#REF!</v>
      </c>
    </row>
    <row r="3513" spans="1:1">
      <c r="A3513" t="e">
        <f>'ANSI mass atten coeff'!#REF!</f>
        <v>#REF!</v>
      </c>
    </row>
    <row r="3514" spans="1:1">
      <c r="A3514" t="e">
        <f>'ANSI mass atten coeff'!#REF!</f>
        <v>#REF!</v>
      </c>
    </row>
    <row r="3515" spans="1:1">
      <c r="A3515" t="e">
        <f>'ANSI mass atten coeff'!#REF!</f>
        <v>#REF!</v>
      </c>
    </row>
    <row r="3516" spans="1:1">
      <c r="A3516" t="e">
        <f>'ANSI mass atten coeff'!#REF!</f>
        <v>#REF!</v>
      </c>
    </row>
    <row r="3517" spans="1:1">
      <c r="A3517" t="e">
        <f>'ANSI mass atten coeff'!#REF!</f>
        <v>#REF!</v>
      </c>
    </row>
    <row r="3518" spans="1:1">
      <c r="A3518" t="e">
        <f>'ANSI mass atten coeff'!#REF!</f>
        <v>#REF!</v>
      </c>
    </row>
    <row r="3519" spans="1:1">
      <c r="A3519" t="e">
        <f>'ANSI mass atten coeff'!#REF!</f>
        <v>#REF!</v>
      </c>
    </row>
    <row r="3520" spans="1:1">
      <c r="A3520" t="e">
        <f>'ANSI mass atten coeff'!#REF!</f>
        <v>#REF!</v>
      </c>
    </row>
    <row r="3521" spans="1:1">
      <c r="A3521" t="e">
        <f>'ANSI mass atten coeff'!#REF!</f>
        <v>#REF!</v>
      </c>
    </row>
    <row r="3522" spans="1:1">
      <c r="A3522" t="e">
        <f>'ANSI mass atten coeff'!#REF!</f>
        <v>#REF!</v>
      </c>
    </row>
    <row r="3523" spans="1:1">
      <c r="A3523" t="e">
        <f>'ANSI mass atten coeff'!#REF!</f>
        <v>#REF!</v>
      </c>
    </row>
    <row r="3524" spans="1:1">
      <c r="A3524" t="e">
        <f>'ANSI mass atten coeff'!#REF!</f>
        <v>#REF!</v>
      </c>
    </row>
    <row r="3525" spans="1:1">
      <c r="A3525" t="e">
        <f>'ANSI mass atten coeff'!#REF!</f>
        <v>#REF!</v>
      </c>
    </row>
    <row r="3526" spans="1:1">
      <c r="A3526" t="e">
        <f>'ANSI mass atten coeff'!#REF!</f>
        <v>#REF!</v>
      </c>
    </row>
    <row r="3527" spans="1:1">
      <c r="A3527" t="e">
        <f>'ANSI mass atten coeff'!#REF!</f>
        <v>#REF!</v>
      </c>
    </row>
    <row r="3528" spans="1:1">
      <c r="A3528" t="e">
        <f>'ANSI mass atten coeff'!#REF!</f>
        <v>#REF!</v>
      </c>
    </row>
    <row r="3529" spans="1:1">
      <c r="A3529" t="e">
        <f>'ANSI mass atten coeff'!#REF!</f>
        <v>#REF!</v>
      </c>
    </row>
    <row r="3530" spans="1:1">
      <c r="A3530" t="e">
        <f>'ANSI mass atten coeff'!#REF!</f>
        <v>#REF!</v>
      </c>
    </row>
    <row r="3531" spans="1:1">
      <c r="A3531" t="e">
        <f>'ANSI mass atten coeff'!#REF!</f>
        <v>#REF!</v>
      </c>
    </row>
    <row r="3532" spans="1:1">
      <c r="A3532" t="e">
        <f>'ANSI mass atten coeff'!#REF!</f>
        <v>#REF!</v>
      </c>
    </row>
    <row r="3533" spans="1:1">
      <c r="A3533" t="e">
        <f>'ANSI mass atten coeff'!#REF!</f>
        <v>#REF!</v>
      </c>
    </row>
    <row r="3534" spans="1:1">
      <c r="A3534" t="e">
        <f>'ANSI mass atten coeff'!#REF!</f>
        <v>#REF!</v>
      </c>
    </row>
    <row r="3535" spans="1:1">
      <c r="A3535" t="e">
        <f>'ANSI mass atten coeff'!#REF!</f>
        <v>#REF!</v>
      </c>
    </row>
    <row r="3536" spans="1:1">
      <c r="A3536" t="s">
        <v>1755</v>
      </c>
    </row>
    <row r="3537" spans="1:1">
      <c r="A3537" s="18" t="str">
        <f>CONCATENATE("  density: ",VLOOKUP(A3536,densities!$A$5:$B$110,2,FALSE))</f>
        <v xml:space="preserve">  density: 1.0</v>
      </c>
    </row>
    <row r="3538" spans="1:1" ht="16">
      <c r="A3538" s="19" t="s">
        <v>1654</v>
      </c>
    </row>
    <row r="3539" spans="1:1">
      <c r="A3539" s="19" t="s">
        <v>1553</v>
      </c>
    </row>
    <row r="3540" spans="1:1">
      <c r="A3540" s="19" t="s">
        <v>1554</v>
      </c>
    </row>
    <row r="3541" spans="1:1">
      <c r="A3541" s="21" t="s">
        <v>1860</v>
      </c>
    </row>
    <row r="3542" spans="1:1">
      <c r="A3542" s="19" t="s">
        <v>1555</v>
      </c>
    </row>
    <row r="3543" spans="1:1">
      <c r="A3543" t="e">
        <f>'ANSI mass atten coeff'!#REF!</f>
        <v>#REF!</v>
      </c>
    </row>
    <row r="3544" spans="1:1">
      <c r="A3544" t="e">
        <f>'ANSI mass atten coeff'!#REF!</f>
        <v>#REF!</v>
      </c>
    </row>
    <row r="3545" spans="1:1">
      <c r="A3545" t="e">
        <f>'ANSI mass atten coeff'!#REF!</f>
        <v>#REF!</v>
      </c>
    </row>
    <row r="3546" spans="1:1">
      <c r="A3546" t="e">
        <f>'ANSI mass atten coeff'!#REF!</f>
        <v>#REF!</v>
      </c>
    </row>
    <row r="3547" spans="1:1">
      <c r="A3547" t="e">
        <f>'ANSI mass atten coeff'!#REF!</f>
        <v>#REF!</v>
      </c>
    </row>
    <row r="3548" spans="1:1">
      <c r="A3548" t="e">
        <f>'ANSI mass atten coeff'!#REF!</f>
        <v>#REF!</v>
      </c>
    </row>
    <row r="3549" spans="1:1">
      <c r="A3549" t="e">
        <f>'ANSI mass atten coeff'!#REF!</f>
        <v>#REF!</v>
      </c>
    </row>
    <row r="3550" spans="1:1">
      <c r="A3550" t="e">
        <f>'ANSI mass atten coeff'!#REF!</f>
        <v>#REF!</v>
      </c>
    </row>
    <row r="3551" spans="1:1">
      <c r="A3551" t="e">
        <f>'ANSI mass atten coeff'!#REF!</f>
        <v>#REF!</v>
      </c>
    </row>
    <row r="3552" spans="1:1">
      <c r="A3552" t="e">
        <f>'ANSI mass atten coeff'!#REF!</f>
        <v>#REF!</v>
      </c>
    </row>
    <row r="3553" spans="1:1">
      <c r="A3553" t="e">
        <f>'ANSI mass atten coeff'!#REF!</f>
        <v>#REF!</v>
      </c>
    </row>
    <row r="3554" spans="1:1">
      <c r="A3554" t="e">
        <f>'ANSI mass atten coeff'!#REF!</f>
        <v>#REF!</v>
      </c>
    </row>
    <row r="3555" spans="1:1">
      <c r="A3555" t="e">
        <f>'ANSI mass atten coeff'!#REF!</f>
        <v>#REF!</v>
      </c>
    </row>
    <row r="3556" spans="1:1">
      <c r="A3556" t="e">
        <f>'ANSI mass atten coeff'!#REF!</f>
        <v>#REF!</v>
      </c>
    </row>
    <row r="3557" spans="1:1">
      <c r="A3557" t="e">
        <f>'ANSI mass atten coeff'!#REF!</f>
        <v>#REF!</v>
      </c>
    </row>
    <row r="3558" spans="1:1">
      <c r="A3558" t="e">
        <f>'ANSI mass atten coeff'!#REF!</f>
        <v>#REF!</v>
      </c>
    </row>
    <row r="3559" spans="1:1">
      <c r="A3559" t="e">
        <f>'ANSI mass atten coeff'!#REF!</f>
        <v>#REF!</v>
      </c>
    </row>
    <row r="3560" spans="1:1">
      <c r="A3560" t="e">
        <f>'ANSI mass atten coeff'!#REF!</f>
        <v>#REF!</v>
      </c>
    </row>
    <row r="3561" spans="1:1">
      <c r="A3561" t="e">
        <f>'ANSI mass atten coeff'!#REF!</f>
        <v>#REF!</v>
      </c>
    </row>
    <row r="3562" spans="1:1">
      <c r="A3562" t="e">
        <f>'ANSI mass atten coeff'!#REF!</f>
        <v>#REF!</v>
      </c>
    </row>
    <row r="3563" spans="1:1">
      <c r="A3563" t="e">
        <f>'ANSI mass atten coeff'!#REF!</f>
        <v>#REF!</v>
      </c>
    </row>
    <row r="3564" spans="1:1">
      <c r="A3564" t="e">
        <f>'ANSI mass atten coeff'!#REF!</f>
        <v>#REF!</v>
      </c>
    </row>
    <row r="3565" spans="1:1">
      <c r="A3565" t="e">
        <f>'ANSI mass atten coeff'!#REF!</f>
        <v>#REF!</v>
      </c>
    </row>
    <row r="3566" spans="1:1">
      <c r="A3566" t="e">
        <f>'ANSI mass atten coeff'!#REF!</f>
        <v>#REF!</v>
      </c>
    </row>
    <row r="3567" spans="1:1">
      <c r="A3567" t="e">
        <f>'ANSI mass atten coeff'!#REF!</f>
        <v>#REF!</v>
      </c>
    </row>
    <row r="3568" spans="1:1">
      <c r="A3568" t="e">
        <f>'ANSI mass atten coeff'!#REF!</f>
        <v>#REF!</v>
      </c>
    </row>
    <row r="3569" spans="1:1">
      <c r="A3569" t="e">
        <f>'ANSI mass atten coeff'!#REF!</f>
        <v>#REF!</v>
      </c>
    </row>
    <row r="3570" spans="1:1">
      <c r="A3570" t="e">
        <f>'ANSI mass atten coeff'!#REF!</f>
        <v>#REF!</v>
      </c>
    </row>
    <row r="3571" spans="1:1">
      <c r="A3571" t="s">
        <v>1756</v>
      </c>
    </row>
    <row r="3572" spans="1:1">
      <c r="A3572" s="18" t="str">
        <f>CONCATENATE("  density: ",VLOOKUP(A3571,densities!$A$5:$B$110,2,FALSE))</f>
        <v xml:space="preserve">  density: 2.3</v>
      </c>
    </row>
    <row r="3573" spans="1:1" ht="16">
      <c r="A3573" s="19" t="s">
        <v>1654</v>
      </c>
    </row>
    <row r="3574" spans="1:1">
      <c r="A3574" s="19" t="s">
        <v>1553</v>
      </c>
    </row>
    <row r="3575" spans="1:1">
      <c r="A3575" s="19" t="s">
        <v>1554</v>
      </c>
    </row>
    <row r="3576" spans="1:1">
      <c r="A3576" s="21" t="s">
        <v>1860</v>
      </c>
    </row>
    <row r="3577" spans="1:1">
      <c r="A3577" s="19" t="s">
        <v>1555</v>
      </c>
    </row>
    <row r="3578" spans="1:1">
      <c r="A3578" t="e">
        <f>'ANSI mass atten coeff'!#REF!</f>
        <v>#REF!</v>
      </c>
    </row>
    <row r="3579" spans="1:1">
      <c r="A3579" t="e">
        <f>'ANSI mass atten coeff'!#REF!</f>
        <v>#REF!</v>
      </c>
    </row>
    <row r="3580" spans="1:1">
      <c r="A3580" t="e">
        <f>'ANSI mass atten coeff'!#REF!</f>
        <v>#REF!</v>
      </c>
    </row>
    <row r="3581" spans="1:1">
      <c r="A3581" t="e">
        <f>'ANSI mass atten coeff'!#REF!</f>
        <v>#REF!</v>
      </c>
    </row>
    <row r="3582" spans="1:1">
      <c r="A3582" t="e">
        <f>'ANSI mass atten coeff'!#REF!</f>
        <v>#REF!</v>
      </c>
    </row>
    <row r="3583" spans="1:1">
      <c r="A3583" t="e">
        <f>'ANSI mass atten coeff'!#REF!</f>
        <v>#REF!</v>
      </c>
    </row>
    <row r="3584" spans="1:1">
      <c r="A3584" t="e">
        <f>'ANSI mass atten coeff'!#REF!</f>
        <v>#REF!</v>
      </c>
    </row>
    <row r="3585" spans="1:1">
      <c r="A3585" t="e">
        <f>'ANSI mass atten coeff'!#REF!</f>
        <v>#REF!</v>
      </c>
    </row>
    <row r="3586" spans="1:1">
      <c r="A3586" t="e">
        <f>'ANSI mass atten coeff'!#REF!</f>
        <v>#REF!</v>
      </c>
    </row>
    <row r="3587" spans="1:1">
      <c r="A3587" t="e">
        <f>'ANSI mass atten coeff'!#REF!</f>
        <v>#REF!</v>
      </c>
    </row>
    <row r="3588" spans="1:1">
      <c r="A3588" t="e">
        <f>'ANSI mass atten coeff'!#REF!</f>
        <v>#REF!</v>
      </c>
    </row>
    <row r="3589" spans="1:1">
      <c r="A3589" t="e">
        <f>'ANSI mass atten coeff'!#REF!</f>
        <v>#REF!</v>
      </c>
    </row>
    <row r="3590" spans="1:1">
      <c r="A3590" t="e">
        <f>'ANSI mass atten coeff'!#REF!</f>
        <v>#REF!</v>
      </c>
    </row>
    <row r="3591" spans="1:1">
      <c r="A3591" t="e">
        <f>'ANSI mass atten coeff'!#REF!</f>
        <v>#REF!</v>
      </c>
    </row>
    <row r="3592" spans="1:1">
      <c r="A3592" t="e">
        <f>'ANSI mass atten coeff'!#REF!</f>
        <v>#REF!</v>
      </c>
    </row>
    <row r="3593" spans="1:1">
      <c r="A3593" t="e">
        <f>'ANSI mass atten coeff'!#REF!</f>
        <v>#REF!</v>
      </c>
    </row>
    <row r="3594" spans="1:1">
      <c r="A3594" t="e">
        <f>'ANSI mass atten coeff'!#REF!</f>
        <v>#REF!</v>
      </c>
    </row>
    <row r="3595" spans="1:1">
      <c r="A3595" t="e">
        <f>'ANSI mass atten coeff'!#REF!</f>
        <v>#REF!</v>
      </c>
    </row>
    <row r="3596" spans="1:1">
      <c r="A3596" t="e">
        <f>'ANSI mass atten coeff'!#REF!</f>
        <v>#REF!</v>
      </c>
    </row>
    <row r="3597" spans="1:1">
      <c r="A3597" t="e">
        <f>'ANSI mass atten coeff'!#REF!</f>
        <v>#REF!</v>
      </c>
    </row>
    <row r="3598" spans="1:1">
      <c r="A3598" t="e">
        <f>'ANSI mass atten coeff'!#REF!</f>
        <v>#REF!</v>
      </c>
    </row>
    <row r="3599" spans="1:1">
      <c r="A3599" t="e">
        <f>'ANSI mass atten coeff'!#REF!</f>
        <v>#REF!</v>
      </c>
    </row>
    <row r="3600" spans="1:1">
      <c r="A3600" t="e">
        <f>'ANSI mass atten coeff'!#REF!</f>
        <v>#REF!</v>
      </c>
    </row>
    <row r="3601" spans="1:1">
      <c r="A3601" t="e">
        <f>'ANSI mass atten coeff'!#REF!</f>
        <v>#REF!</v>
      </c>
    </row>
    <row r="3602" spans="1:1">
      <c r="A3602" t="e">
        <f>'ANSI mass atten coeff'!#REF!</f>
        <v>#REF!</v>
      </c>
    </row>
    <row r="3603" spans="1:1">
      <c r="A3603" t="e">
        <f>'ANSI mass atten coeff'!#REF!</f>
        <v>#REF!</v>
      </c>
    </row>
    <row r="3604" spans="1:1">
      <c r="A3604" t="e">
        <f>'ANSI mass atten coeff'!#REF!</f>
        <v>#REF!</v>
      </c>
    </row>
    <row r="3605" spans="1:1">
      <c r="A3605" t="e">
        <f>'ANSI mass atten coeff'!#REF!</f>
        <v>#REF!</v>
      </c>
    </row>
    <row r="3606" spans="1:1">
      <c r="A3606" t="s">
        <v>1757</v>
      </c>
    </row>
    <row r="3607" spans="1:1">
      <c r="A3607" s="18" t="str">
        <f>CONCATENATE("  density: ",VLOOKUP(A3606,densities!$A$5:$B$110,2,FALSE))</f>
        <v xml:space="preserve">  density: 10.412</v>
      </c>
    </row>
    <row r="3608" spans="1:1" ht="16">
      <c r="A3608" s="19" t="s">
        <v>1654</v>
      </c>
    </row>
    <row r="3609" spans="1:1">
      <c r="A3609" s="19" t="s">
        <v>1553</v>
      </c>
    </row>
    <row r="3610" spans="1:1">
      <c r="A3610" s="19" t="s">
        <v>1554</v>
      </c>
    </row>
    <row r="3611" spans="1:1">
      <c r="A3611" s="21" t="s">
        <v>1860</v>
      </c>
    </row>
    <row r="3612" spans="1:1">
      <c r="A3612" s="19" t="s">
        <v>1555</v>
      </c>
    </row>
    <row r="3613" spans="1:1">
      <c r="A3613" t="e">
        <f>'ANSI mass atten coeff'!#REF!</f>
        <v>#REF!</v>
      </c>
    </row>
    <row r="3614" spans="1:1">
      <c r="A3614" t="e">
        <f>'ANSI mass atten coeff'!#REF!</f>
        <v>#REF!</v>
      </c>
    </row>
    <row r="3615" spans="1:1">
      <c r="A3615" t="e">
        <f>'ANSI mass atten coeff'!#REF!</f>
        <v>#REF!</v>
      </c>
    </row>
    <row r="3616" spans="1:1">
      <c r="A3616" t="e">
        <f>'ANSI mass atten coeff'!#REF!</f>
        <v>#REF!</v>
      </c>
    </row>
    <row r="3617" spans="1:1">
      <c r="A3617" t="e">
        <f>'ANSI mass atten coeff'!#REF!</f>
        <v>#REF!</v>
      </c>
    </row>
    <row r="3618" spans="1:1">
      <c r="A3618" t="e">
        <f>'ANSI mass atten coeff'!#REF!</f>
        <v>#REF!</v>
      </c>
    </row>
    <row r="3619" spans="1:1">
      <c r="A3619" t="e">
        <f>'ANSI mass atten coeff'!#REF!</f>
        <v>#REF!</v>
      </c>
    </row>
    <row r="3620" spans="1:1">
      <c r="A3620" t="e">
        <f>'ANSI mass atten coeff'!#REF!</f>
        <v>#REF!</v>
      </c>
    </row>
    <row r="3621" spans="1:1">
      <c r="A3621" t="e">
        <f>'ANSI mass atten coeff'!#REF!</f>
        <v>#REF!</v>
      </c>
    </row>
    <row r="3622" spans="1:1">
      <c r="A3622" t="e">
        <f>'ANSI mass atten coeff'!#REF!</f>
        <v>#REF!</v>
      </c>
    </row>
    <row r="3623" spans="1:1">
      <c r="A3623" t="e">
        <f>'ANSI mass atten coeff'!#REF!</f>
        <v>#REF!</v>
      </c>
    </row>
    <row r="3624" spans="1:1">
      <c r="A3624" t="e">
        <f>'ANSI mass atten coeff'!#REF!</f>
        <v>#REF!</v>
      </c>
    </row>
    <row r="3625" spans="1:1">
      <c r="A3625" t="e">
        <f>'ANSI mass atten coeff'!#REF!</f>
        <v>#REF!</v>
      </c>
    </row>
    <row r="3626" spans="1:1">
      <c r="A3626" t="e">
        <f>'ANSI mass atten coeff'!#REF!</f>
        <v>#REF!</v>
      </c>
    </row>
    <row r="3627" spans="1:1">
      <c r="A3627" t="e">
        <f>'ANSI mass atten coeff'!#REF!</f>
        <v>#REF!</v>
      </c>
    </row>
    <row r="3628" spans="1:1">
      <c r="A3628" t="e">
        <f>'ANSI mass atten coeff'!#REF!</f>
        <v>#REF!</v>
      </c>
    </row>
    <row r="3629" spans="1:1">
      <c r="A3629" t="e">
        <f>'ANSI mass atten coeff'!#REF!</f>
        <v>#REF!</v>
      </c>
    </row>
    <row r="3630" spans="1:1">
      <c r="A3630" t="e">
        <f>'ANSI mass atten coeff'!#REF!</f>
        <v>#REF!</v>
      </c>
    </row>
    <row r="3631" spans="1:1">
      <c r="A3631" t="e">
        <f>'ANSI mass atten coeff'!#REF!</f>
        <v>#REF!</v>
      </c>
    </row>
    <row r="3632" spans="1:1">
      <c r="A3632" t="e">
        <f>'ANSI mass atten coeff'!#REF!</f>
        <v>#REF!</v>
      </c>
    </row>
    <row r="3633" spans="1:1">
      <c r="A3633" t="e">
        <f>'ANSI mass atten coeff'!#REF!</f>
        <v>#REF!</v>
      </c>
    </row>
    <row r="3634" spans="1:1">
      <c r="A3634" t="e">
        <f>'ANSI mass atten coeff'!#REF!</f>
        <v>#REF!</v>
      </c>
    </row>
    <row r="3635" spans="1:1">
      <c r="A3635" t="e">
        <f>'ANSI mass atten coeff'!#REF!</f>
        <v>#REF!</v>
      </c>
    </row>
    <row r="3636" spans="1:1">
      <c r="A3636" t="e">
        <f>'ANSI mass atten coeff'!#REF!</f>
        <v>#REF!</v>
      </c>
    </row>
    <row r="3637" spans="1:1">
      <c r="A3637" t="e">
        <f>'ANSI mass atten coeff'!#REF!</f>
        <v>#REF!</v>
      </c>
    </row>
    <row r="3638" spans="1:1">
      <c r="A3638" t="e">
        <f>'ANSI mass atten coeff'!#REF!</f>
        <v>#REF!</v>
      </c>
    </row>
    <row r="3639" spans="1:1">
      <c r="A3639" t="e">
        <f>'ANSI mass atten coeff'!#REF!</f>
        <v>#REF!</v>
      </c>
    </row>
    <row r="3640" spans="1:1">
      <c r="A3640" t="e">
        <f>'ANSI mass atten coeff'!#REF!</f>
        <v>#REF!</v>
      </c>
    </row>
    <row r="3641" spans="1:1">
      <c r="A3641" t="s">
        <v>1758</v>
      </c>
    </row>
    <row r="3642" spans="1:1">
      <c r="A3642" s="18" t="str">
        <f>CONCATENATE("  density: ",VLOOKUP(A3641,densities!$A$5:$B$110,2,FALSE))</f>
        <v xml:space="preserve">  density: 8.0</v>
      </c>
    </row>
    <row r="3643" spans="1:1" ht="16">
      <c r="A3643" s="19" t="s">
        <v>1654</v>
      </c>
    </row>
    <row r="3644" spans="1:1">
      <c r="A3644" s="19" t="s">
        <v>1553</v>
      </c>
    </row>
    <row r="3645" spans="1:1">
      <c r="A3645" s="19" t="s">
        <v>1554</v>
      </c>
    </row>
    <row r="3646" spans="1:1">
      <c r="A3646" s="21" t="s">
        <v>1860</v>
      </c>
    </row>
    <row r="3647" spans="1:1">
      <c r="A3647" s="19" t="s">
        <v>1555</v>
      </c>
    </row>
    <row r="3648" spans="1:1">
      <c r="A3648" t="e">
        <f>'ANSI mass atten coeff'!#REF!</f>
        <v>#REF!</v>
      </c>
    </row>
    <row r="3649" spans="1:1">
      <c r="A3649" t="e">
        <f>'ANSI mass atten coeff'!#REF!</f>
        <v>#REF!</v>
      </c>
    </row>
    <row r="3650" spans="1:1">
      <c r="A3650" t="e">
        <f>'ANSI mass atten coeff'!#REF!</f>
        <v>#REF!</v>
      </c>
    </row>
    <row r="3651" spans="1:1">
      <c r="A3651" t="e">
        <f>'ANSI mass atten coeff'!#REF!</f>
        <v>#REF!</v>
      </c>
    </row>
    <row r="3652" spans="1:1">
      <c r="A3652" t="e">
        <f>'ANSI mass atten coeff'!#REF!</f>
        <v>#REF!</v>
      </c>
    </row>
    <row r="3653" spans="1:1">
      <c r="A3653" t="e">
        <f>'ANSI mass atten coeff'!#REF!</f>
        <v>#REF!</v>
      </c>
    </row>
    <row r="3654" spans="1:1">
      <c r="A3654" t="e">
        <f>'ANSI mass atten coeff'!#REF!</f>
        <v>#REF!</v>
      </c>
    </row>
    <row r="3655" spans="1:1">
      <c r="A3655" t="e">
        <f>'ANSI mass atten coeff'!#REF!</f>
        <v>#REF!</v>
      </c>
    </row>
    <row r="3656" spans="1:1">
      <c r="A3656" t="e">
        <f>'ANSI mass atten coeff'!#REF!</f>
        <v>#REF!</v>
      </c>
    </row>
    <row r="3657" spans="1:1">
      <c r="A3657" t="e">
        <f>'ANSI mass atten coeff'!#REF!</f>
        <v>#REF!</v>
      </c>
    </row>
    <row r="3658" spans="1:1">
      <c r="A3658" t="e">
        <f>'ANSI mass atten coeff'!#REF!</f>
        <v>#REF!</v>
      </c>
    </row>
    <row r="3659" spans="1:1">
      <c r="A3659" t="e">
        <f>'ANSI mass atten coeff'!#REF!</f>
        <v>#REF!</v>
      </c>
    </row>
    <row r="3660" spans="1:1">
      <c r="A3660" t="e">
        <f>'ANSI mass atten coeff'!#REF!</f>
        <v>#REF!</v>
      </c>
    </row>
    <row r="3661" spans="1:1">
      <c r="A3661" t="e">
        <f>'ANSI mass atten coeff'!#REF!</f>
        <v>#REF!</v>
      </c>
    </row>
    <row r="3662" spans="1:1">
      <c r="A3662" t="e">
        <f>'ANSI mass atten coeff'!#REF!</f>
        <v>#REF!</v>
      </c>
    </row>
    <row r="3663" spans="1:1">
      <c r="A3663" t="e">
        <f>'ANSI mass atten coeff'!#REF!</f>
        <v>#REF!</v>
      </c>
    </row>
    <row r="3664" spans="1:1">
      <c r="A3664" t="e">
        <f>'ANSI mass atten coeff'!#REF!</f>
        <v>#REF!</v>
      </c>
    </row>
    <row r="3665" spans="1:1">
      <c r="A3665" t="e">
        <f>'ANSI mass atten coeff'!#REF!</f>
        <v>#REF!</v>
      </c>
    </row>
    <row r="3666" spans="1:1">
      <c r="A3666" t="e">
        <f>'ANSI mass atten coeff'!#REF!</f>
        <v>#REF!</v>
      </c>
    </row>
    <row r="3667" spans="1:1">
      <c r="A3667" t="e">
        <f>'ANSI mass atten coeff'!#REF!</f>
        <v>#REF!</v>
      </c>
    </row>
    <row r="3668" spans="1:1">
      <c r="A3668" t="e">
        <f>'ANSI mass atten coeff'!#REF!</f>
        <v>#REF!</v>
      </c>
    </row>
    <row r="3669" spans="1:1">
      <c r="A3669" t="e">
        <f>'ANSI mass atten coeff'!#REF!</f>
        <v>#REF!</v>
      </c>
    </row>
    <row r="3670" spans="1:1">
      <c r="A3670" t="e">
        <f>'ANSI mass atten coeff'!#REF!</f>
        <v>#REF!</v>
      </c>
    </row>
    <row r="3671" spans="1:1">
      <c r="A3671" t="e">
        <f>'ANSI mass atten coeff'!#REF!</f>
        <v>#REF!</v>
      </c>
    </row>
    <row r="3672" spans="1:1">
      <c r="A3672" t="e">
        <f>'ANSI mass atten coeff'!#REF!</f>
        <v>#REF!</v>
      </c>
    </row>
    <row r="3673" spans="1:1">
      <c r="A3673" t="e">
        <f>'ANSI mass atten coeff'!#REF!</f>
        <v>#REF!</v>
      </c>
    </row>
    <row r="3674" spans="1:1">
      <c r="A3674" t="e">
        <f>'ANSI mass atten coeff'!#REF!</f>
        <v>#REF!</v>
      </c>
    </row>
    <row r="3675" spans="1:1">
      <c r="A3675" t="e">
        <f>'ANSI mass atten coeff'!#REF!</f>
        <v>#REF!</v>
      </c>
    </row>
    <row r="3676" spans="1:1">
      <c r="A3676" t="s">
        <v>1759</v>
      </c>
    </row>
    <row r="3677" spans="1:1">
      <c r="A3677" s="18" t="str">
        <f>CONCATENATE("  density: ",VLOOKUP(A3676,densities!$A$5:$B$110,2,FALSE))</f>
        <v xml:space="preserve">  density: 2.01</v>
      </c>
    </row>
    <row r="3678" spans="1:1" ht="16">
      <c r="A3678" s="19" t="s">
        <v>1654</v>
      </c>
    </row>
    <row r="3679" spans="1:1">
      <c r="A3679" s="19" t="s">
        <v>1553</v>
      </c>
    </row>
    <row r="3680" spans="1:1">
      <c r="A3680" s="19" t="s">
        <v>1554</v>
      </c>
    </row>
    <row r="3681" spans="1:1">
      <c r="A3681" s="21" t="s">
        <v>1860</v>
      </c>
    </row>
    <row r="3682" spans="1:1">
      <c r="A3682" s="19" t="s">
        <v>1555</v>
      </c>
    </row>
    <row r="3683" spans="1:1">
      <c r="A3683" t="e">
        <f>'ANSI mass atten coeff'!#REF!</f>
        <v>#REF!</v>
      </c>
    </row>
    <row r="3684" spans="1:1">
      <c r="A3684" t="e">
        <f>'ANSI mass atten coeff'!#REF!</f>
        <v>#REF!</v>
      </c>
    </row>
    <row r="3685" spans="1:1">
      <c r="A3685" t="e">
        <f>'ANSI mass atten coeff'!#REF!</f>
        <v>#REF!</v>
      </c>
    </row>
    <row r="3686" spans="1:1">
      <c r="A3686" t="e">
        <f>'ANSI mass atten coeff'!#REF!</f>
        <v>#REF!</v>
      </c>
    </row>
    <row r="3687" spans="1:1">
      <c r="A3687" t="e">
        <f>'ANSI mass atten coeff'!#REF!</f>
        <v>#REF!</v>
      </c>
    </row>
    <row r="3688" spans="1:1">
      <c r="A3688" t="e">
        <f>'ANSI mass atten coeff'!#REF!</f>
        <v>#REF!</v>
      </c>
    </row>
    <row r="3689" spans="1:1">
      <c r="A3689" t="e">
        <f>'ANSI mass atten coeff'!#REF!</f>
        <v>#REF!</v>
      </c>
    </row>
    <row r="3690" spans="1:1">
      <c r="A3690" t="e">
        <f>'ANSI mass atten coeff'!#REF!</f>
        <v>#REF!</v>
      </c>
    </row>
    <row r="3691" spans="1:1">
      <c r="A3691" t="e">
        <f>'ANSI mass atten coeff'!#REF!</f>
        <v>#REF!</v>
      </c>
    </row>
    <row r="3692" spans="1:1">
      <c r="A3692" t="e">
        <f>'ANSI mass atten coeff'!#REF!</f>
        <v>#REF!</v>
      </c>
    </row>
    <row r="3693" spans="1:1">
      <c r="A3693" t="e">
        <f>'ANSI mass atten coeff'!#REF!</f>
        <v>#REF!</v>
      </c>
    </row>
    <row r="3694" spans="1:1">
      <c r="A3694" t="e">
        <f>'ANSI mass atten coeff'!#REF!</f>
        <v>#REF!</v>
      </c>
    </row>
    <row r="3695" spans="1:1">
      <c r="A3695" t="e">
        <f>'ANSI mass atten coeff'!#REF!</f>
        <v>#REF!</v>
      </c>
    </row>
    <row r="3696" spans="1:1">
      <c r="A3696" t="e">
        <f>'ANSI mass atten coeff'!#REF!</f>
        <v>#REF!</v>
      </c>
    </row>
    <row r="3697" spans="1:1">
      <c r="A3697" t="e">
        <f>'ANSI mass atten coeff'!#REF!</f>
        <v>#REF!</v>
      </c>
    </row>
    <row r="3698" spans="1:1">
      <c r="A3698" t="e">
        <f>'ANSI mass atten coeff'!#REF!</f>
        <v>#REF!</v>
      </c>
    </row>
    <row r="3699" spans="1:1">
      <c r="A3699" t="e">
        <f>'ANSI mass atten coeff'!#REF!</f>
        <v>#REF!</v>
      </c>
    </row>
    <row r="3700" spans="1:1">
      <c r="A3700" t="e">
        <f>'ANSI mass atten coeff'!#REF!</f>
        <v>#REF!</v>
      </c>
    </row>
    <row r="3701" spans="1:1">
      <c r="A3701" t="e">
        <f>'ANSI mass atten coeff'!#REF!</f>
        <v>#REF!</v>
      </c>
    </row>
    <row r="3702" spans="1:1">
      <c r="A3702" t="e">
        <f>'ANSI mass atten coeff'!#REF!</f>
        <v>#REF!</v>
      </c>
    </row>
    <row r="3703" spans="1:1">
      <c r="A3703" t="e">
        <f>'ANSI mass atten coeff'!#REF!</f>
        <v>#REF!</v>
      </c>
    </row>
    <row r="3704" spans="1:1">
      <c r="A3704" t="e">
        <f>'ANSI mass atten coeff'!#REF!</f>
        <v>#REF!</v>
      </c>
    </row>
    <row r="3705" spans="1:1">
      <c r="A3705" t="e">
        <f>'ANSI mass atten coeff'!#REF!</f>
        <v>#REF!</v>
      </c>
    </row>
    <row r="3706" spans="1:1">
      <c r="A3706" t="e">
        <f>'ANSI mass atten coeff'!#REF!</f>
        <v>#REF!</v>
      </c>
    </row>
    <row r="3707" spans="1:1">
      <c r="A3707" t="e">
        <f>'ANSI mass atten coeff'!#REF!</f>
        <v>#REF!</v>
      </c>
    </row>
    <row r="3708" spans="1:1">
      <c r="A3708" t="e">
        <f>'ANSI mass atten coeff'!#REF!</f>
        <v>#REF!</v>
      </c>
    </row>
    <row r="3709" spans="1:1">
      <c r="A3709" t="e">
        <f>'ANSI mass atten coeff'!#REF!</f>
        <v>#REF!</v>
      </c>
    </row>
    <row r="3710" spans="1:1">
      <c r="A3710" t="e">
        <f>'ANSI mass atten coeff'!#REF!</f>
        <v>#REF!</v>
      </c>
    </row>
  </sheetData>
  <phoneticPr fontId="14" type="noConversion"/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34946-6045-E348-A235-31818FAD791C}">
  <sheetPr codeName="Sheet9"/>
  <dimension ref="A1:W820"/>
  <sheetViews>
    <sheetView topLeftCell="I1" zoomScale="130" zoomScaleNormal="130" workbookViewId="0">
      <selection activeCell="A190" sqref="A190"/>
    </sheetView>
  </sheetViews>
  <sheetFormatPr baseColWidth="10" defaultRowHeight="15"/>
  <sheetData>
    <row r="1" spans="1:15">
      <c r="B1" t="s">
        <v>1877</v>
      </c>
    </row>
    <row r="2" spans="1:15">
      <c r="B2" t="s">
        <v>1878</v>
      </c>
    </row>
    <row r="3" spans="1:15">
      <c r="B3" t="s">
        <v>1879</v>
      </c>
    </row>
    <row r="4" spans="1:15">
      <c r="B4" t="s">
        <v>1880</v>
      </c>
    </row>
    <row r="5" spans="1:15">
      <c r="B5" s="5" t="s">
        <v>1881</v>
      </c>
    </row>
    <row r="6" spans="1:15">
      <c r="B6" t="s">
        <v>1882</v>
      </c>
    </row>
    <row r="7" spans="1:15">
      <c r="B7" t="s">
        <v>1883</v>
      </c>
    </row>
    <row r="8" spans="1:15">
      <c r="B8" t="s">
        <v>1884</v>
      </c>
    </row>
    <row r="13" spans="1:15" ht="19">
      <c r="A13" s="38" t="s">
        <v>1885</v>
      </c>
      <c r="K13" s="7" t="s">
        <v>1889</v>
      </c>
      <c r="O13" s="7" t="s">
        <v>1890</v>
      </c>
    </row>
    <row r="14" spans="1:15">
      <c r="A14" s="40" t="s">
        <v>1887</v>
      </c>
    </row>
    <row r="15" spans="1:15" ht="19">
      <c r="A15" s="39" t="s">
        <v>1886</v>
      </c>
      <c r="K15" s="6" t="s">
        <v>1888</v>
      </c>
      <c r="O15" s="39" t="s">
        <v>1886</v>
      </c>
    </row>
    <row r="16" spans="1:15">
      <c r="A16" s="10" t="s">
        <v>1861</v>
      </c>
    </row>
    <row r="17" spans="1:23">
      <c r="A17" t="s">
        <v>0</v>
      </c>
      <c r="B17" t="s">
        <v>10</v>
      </c>
      <c r="C17" t="s">
        <v>11</v>
      </c>
      <c r="D17" t="s">
        <v>12</v>
      </c>
      <c r="E17" t="s">
        <v>15</v>
      </c>
      <c r="F17" t="s">
        <v>13</v>
      </c>
      <c r="G17" t="s">
        <v>16</v>
      </c>
      <c r="H17" t="s">
        <v>17</v>
      </c>
      <c r="I17" t="s">
        <v>14</v>
      </c>
    </row>
    <row r="18" spans="1:23">
      <c r="A18" s="10">
        <v>1.4999999999999999E-2</v>
      </c>
      <c r="B18">
        <v>2.5270000000000001</v>
      </c>
      <c r="C18">
        <v>0.95699999999999996</v>
      </c>
      <c r="D18">
        <v>2.3E-2</v>
      </c>
      <c r="E18">
        <v>12.01</v>
      </c>
      <c r="F18">
        <v>-2.1600000000000001E-2</v>
      </c>
      <c r="G18" s="2">
        <v>3.0099999999999998E-2</v>
      </c>
      <c r="H18">
        <v>0.5</v>
      </c>
      <c r="I18" s="2">
        <v>1.2370000000000001E-2</v>
      </c>
      <c r="K18" t="str">
        <f>CONCATENATE("    - ",TEXT(A18,"0.000"))</f>
        <v xml:space="preserve">    - 0.015</v>
      </c>
      <c r="L18" t="str">
        <f>CONCATENATE("    - [",TEXT(B18,"0.000"),", ",TEXT(C18,"0.000"),", ",TEXT(D18,"0.000"),", ",TEXT(E18,"0.00"),", ",TEXT(F18,"0.0000"),"]")</f>
        <v xml:space="preserve">    - [2.527, 0.957, 0.023, 12.01, -0.0216]</v>
      </c>
      <c r="O18">
        <f>A18-'DLC Buildup Factors'!G7</f>
        <v>0</v>
      </c>
      <c r="P18">
        <f>B18-'DLC Buildup Factors'!H7</f>
        <v>0</v>
      </c>
      <c r="Q18">
        <f>C18-'DLC Buildup Factors'!I7</f>
        <v>0</v>
      </c>
      <c r="R18">
        <f>D18-'DLC Buildup Factors'!J7</f>
        <v>0</v>
      </c>
      <c r="S18">
        <f>E18-'DLC Buildup Factors'!K7</f>
        <v>0</v>
      </c>
      <c r="T18">
        <f>F18-'DLC Buildup Factors'!L7</f>
        <v>0</v>
      </c>
      <c r="U18">
        <f>G18-'DLC Buildup Factors'!M7</f>
        <v>0</v>
      </c>
      <c r="V18">
        <f>H18-'DLC Buildup Factors'!N7</f>
        <v>0</v>
      </c>
      <c r="W18">
        <f>I18-'DLC Buildup Factors'!O7</f>
        <v>0</v>
      </c>
    </row>
    <row r="19" spans="1:23">
      <c r="A19" s="10">
        <v>0.02</v>
      </c>
      <c r="B19">
        <v>3.8340000000000001</v>
      </c>
      <c r="C19">
        <v>1.5169999999999999</v>
      </c>
      <c r="D19">
        <v>-8.8999999999999996E-2</v>
      </c>
      <c r="E19">
        <v>16.27</v>
      </c>
      <c r="F19">
        <v>0.03</v>
      </c>
      <c r="G19" s="2">
        <v>2.2499999999999999E-2</v>
      </c>
      <c r="H19">
        <v>0.5</v>
      </c>
      <c r="I19" s="2">
        <v>7.8799999999999999E-3</v>
      </c>
      <c r="K19" t="str">
        <f t="shared" ref="K19:K42" si="0">CONCATENATE("    - ",TEXT(A19,"0.000"))</f>
        <v xml:space="preserve">    - 0.020</v>
      </c>
      <c r="L19" t="str">
        <f t="shared" ref="L19:L42" si="1">CONCATENATE("    - [",TEXT(B19,"0.000"),", ",TEXT(C19,"0.000"),", ",TEXT(D19,"0.000"),", ",TEXT(E19,"0.00"),", ",TEXT(F19,"0.0000"),"]")</f>
        <v xml:space="preserve">    - [3.834, 1.517, -0.089, 16.27, 0.0300]</v>
      </c>
      <c r="O19">
        <f>A19-'DLC Buildup Factors'!G8</f>
        <v>0</v>
      </c>
      <c r="P19">
        <f>B19-'DLC Buildup Factors'!H8</f>
        <v>0</v>
      </c>
      <c r="Q19">
        <f>C19-'DLC Buildup Factors'!I8</f>
        <v>0</v>
      </c>
      <c r="R19">
        <f>D19-'DLC Buildup Factors'!J8</f>
        <v>0</v>
      </c>
      <c r="S19">
        <f>E19-'DLC Buildup Factors'!K8</f>
        <v>0</v>
      </c>
      <c r="T19">
        <f>F19-'DLC Buildup Factors'!L8</f>
        <v>0</v>
      </c>
      <c r="U19">
        <f>G19-'DLC Buildup Factors'!M8</f>
        <v>0</v>
      </c>
      <c r="V19">
        <f>H19-'DLC Buildup Factors'!N8</f>
        <v>0</v>
      </c>
      <c r="W19">
        <f>I19-'DLC Buildup Factors'!O8</f>
        <v>0</v>
      </c>
    </row>
    <row r="20" spans="1:23">
      <c r="A20" s="10">
        <v>0.03</v>
      </c>
      <c r="B20">
        <v>6.5430000000000001</v>
      </c>
      <c r="C20">
        <v>2.464</v>
      </c>
      <c r="D20">
        <v>-0.20399999999999999</v>
      </c>
      <c r="E20">
        <v>14.71</v>
      </c>
      <c r="F20">
        <v>7.7399999999999997E-2</v>
      </c>
      <c r="G20" s="2">
        <v>2.52E-2</v>
      </c>
      <c r="H20">
        <v>25</v>
      </c>
      <c r="I20" s="2">
        <v>1.4710000000000001E-2</v>
      </c>
      <c r="K20" t="str">
        <f t="shared" si="0"/>
        <v xml:space="preserve">    - 0.030</v>
      </c>
      <c r="L20" t="str">
        <f t="shared" si="1"/>
        <v xml:space="preserve">    - [6.543, 2.464, -0.204, 14.71, 0.0774]</v>
      </c>
      <c r="O20">
        <f>A20-'DLC Buildup Factors'!G9</f>
        <v>0</v>
      </c>
      <c r="P20">
        <f>B20-'DLC Buildup Factors'!H9</f>
        <v>0</v>
      </c>
      <c r="Q20">
        <f>C20-'DLC Buildup Factors'!I9</f>
        <v>0</v>
      </c>
      <c r="R20">
        <f>D20-'DLC Buildup Factors'!J9</f>
        <v>0</v>
      </c>
      <c r="S20">
        <f>E20-'DLC Buildup Factors'!K9</f>
        <v>0</v>
      </c>
      <c r="T20">
        <f>F20-'DLC Buildup Factors'!L9</f>
        <v>0</v>
      </c>
      <c r="U20">
        <f>G20-'DLC Buildup Factors'!M9</f>
        <v>0</v>
      </c>
      <c r="V20">
        <f>H20-'DLC Buildup Factors'!N9</f>
        <v>0</v>
      </c>
      <c r="W20">
        <f>I20-'DLC Buildup Factors'!O9</f>
        <v>0</v>
      </c>
    </row>
    <row r="21" spans="1:23">
      <c r="A21" s="10">
        <v>0.04</v>
      </c>
      <c r="B21">
        <v>8.6720000000000006</v>
      </c>
      <c r="C21">
        <v>3.15</v>
      </c>
      <c r="D21">
        <v>-0.26</v>
      </c>
      <c r="E21">
        <v>14.2</v>
      </c>
      <c r="F21">
        <v>0.10680000000000001</v>
      </c>
      <c r="G21" s="2">
        <v>3.5900000000000001E-2</v>
      </c>
      <c r="H21">
        <v>10</v>
      </c>
      <c r="I21" s="2">
        <v>2.3480000000000001E-2</v>
      </c>
      <c r="K21" t="str">
        <f t="shared" si="0"/>
        <v xml:space="preserve">    - 0.040</v>
      </c>
      <c r="L21" t="str">
        <f t="shared" si="1"/>
        <v xml:space="preserve">    - [8.672, 3.150, -0.260, 14.20, 0.1068]</v>
      </c>
      <c r="O21">
        <f>A21-'DLC Buildup Factors'!G10</f>
        <v>0</v>
      </c>
      <c r="P21">
        <f>B21-'DLC Buildup Factors'!H10</f>
        <v>0</v>
      </c>
      <c r="Q21">
        <f>C21-'DLC Buildup Factors'!I10</f>
        <v>0</v>
      </c>
      <c r="R21">
        <f>D21-'DLC Buildup Factors'!J10</f>
        <v>0</v>
      </c>
      <c r="S21">
        <f>E21-'DLC Buildup Factors'!K10</f>
        <v>0</v>
      </c>
      <c r="T21">
        <f>F21-'DLC Buildup Factors'!L10</f>
        <v>0</v>
      </c>
      <c r="U21">
        <f>G21-'DLC Buildup Factors'!M10</f>
        <v>0</v>
      </c>
      <c r="V21">
        <f>H21-'DLC Buildup Factors'!N10</f>
        <v>0</v>
      </c>
      <c r="W21">
        <f>I21-'DLC Buildup Factors'!O10</f>
        <v>0</v>
      </c>
    </row>
    <row r="22" spans="1:23">
      <c r="A22" s="10">
        <v>0.05</v>
      </c>
      <c r="B22">
        <v>9.77</v>
      </c>
      <c r="C22">
        <v>3.613</v>
      </c>
      <c r="D22">
        <v>-0.29199999999999998</v>
      </c>
      <c r="E22">
        <v>14.02</v>
      </c>
      <c r="F22">
        <v>0.12379999999999999</v>
      </c>
      <c r="G22" s="2">
        <v>4.4900000000000002E-2</v>
      </c>
      <c r="H22">
        <v>10</v>
      </c>
      <c r="I22" s="2">
        <v>2.8469999999999999E-2</v>
      </c>
      <c r="K22" t="str">
        <f t="shared" si="0"/>
        <v xml:space="preserve">    - 0.050</v>
      </c>
      <c r="L22" t="str">
        <f t="shared" si="1"/>
        <v xml:space="preserve">    - [9.770, 3.613, -0.292, 14.02, 0.1238]</v>
      </c>
      <c r="O22">
        <f>A22-'DLC Buildup Factors'!G11</f>
        <v>0</v>
      </c>
      <c r="P22">
        <f>B22-'DLC Buildup Factors'!H11</f>
        <v>0</v>
      </c>
      <c r="Q22">
        <f>C22-'DLC Buildup Factors'!I11</f>
        <v>0</v>
      </c>
      <c r="R22">
        <f>D22-'DLC Buildup Factors'!J11</f>
        <v>0</v>
      </c>
      <c r="S22">
        <f>E22-'DLC Buildup Factors'!K11</f>
        <v>0</v>
      </c>
      <c r="T22">
        <f>F22-'DLC Buildup Factors'!L11</f>
        <v>0</v>
      </c>
      <c r="U22">
        <f>G22-'DLC Buildup Factors'!M11</f>
        <v>0</v>
      </c>
      <c r="V22">
        <f>H22-'DLC Buildup Factors'!N11</f>
        <v>0</v>
      </c>
      <c r="W22">
        <f>I22-'DLC Buildup Factors'!O11</f>
        <v>0</v>
      </c>
    </row>
    <row r="23" spans="1:23">
      <c r="A23" s="10">
        <v>0.06</v>
      </c>
      <c r="B23">
        <v>9.8230000000000004</v>
      </c>
      <c r="C23">
        <v>3.9159999999999999</v>
      </c>
      <c r="D23">
        <v>-0.311</v>
      </c>
      <c r="E23">
        <v>13.93</v>
      </c>
      <c r="F23">
        <v>0.13339999999999999</v>
      </c>
      <c r="G23" s="2">
        <v>4.8500000000000001E-2</v>
      </c>
      <c r="H23">
        <v>10</v>
      </c>
      <c r="I23" s="2">
        <v>3.1329999999999997E-2</v>
      </c>
      <c r="K23" t="str">
        <f t="shared" si="0"/>
        <v xml:space="preserve">    - 0.060</v>
      </c>
      <c r="L23" t="str">
        <f t="shared" si="1"/>
        <v xml:space="preserve">    - [9.823, 3.916, -0.311, 13.93, 0.1334]</v>
      </c>
      <c r="O23">
        <f>A23-'DLC Buildup Factors'!G12</f>
        <v>0</v>
      </c>
      <c r="P23">
        <f>B23-'DLC Buildup Factors'!H12</f>
        <v>0</v>
      </c>
      <c r="Q23">
        <f>C23-'DLC Buildup Factors'!I12</f>
        <v>0</v>
      </c>
      <c r="R23">
        <f>D23-'DLC Buildup Factors'!J12</f>
        <v>0</v>
      </c>
      <c r="S23">
        <f>E23-'DLC Buildup Factors'!K12</f>
        <v>0</v>
      </c>
      <c r="T23">
        <f>F23-'DLC Buildup Factors'!L12</f>
        <v>0</v>
      </c>
      <c r="U23">
        <f>G23-'DLC Buildup Factors'!M12</f>
        <v>0</v>
      </c>
      <c r="V23">
        <f>H23-'DLC Buildup Factors'!N12</f>
        <v>0</v>
      </c>
      <c r="W23">
        <f>I23-'DLC Buildup Factors'!O12</f>
        <v>0</v>
      </c>
    </row>
    <row r="24" spans="1:23">
      <c r="A24" s="10">
        <v>0.08</v>
      </c>
      <c r="B24">
        <v>8.5820000000000007</v>
      </c>
      <c r="C24">
        <v>4.2</v>
      </c>
      <c r="D24">
        <v>-0.32800000000000001</v>
      </c>
      <c r="E24">
        <v>14.01</v>
      </c>
      <c r="F24">
        <v>0.13980000000000001</v>
      </c>
      <c r="G24" s="2">
        <v>4.9799999999999997E-2</v>
      </c>
      <c r="H24">
        <v>25</v>
      </c>
      <c r="I24" s="2">
        <v>3.1449999999999999E-2</v>
      </c>
      <c r="K24" t="str">
        <f t="shared" si="0"/>
        <v xml:space="preserve">    - 0.080</v>
      </c>
      <c r="L24" t="str">
        <f t="shared" si="1"/>
        <v xml:space="preserve">    - [8.582, 4.200, -0.328, 14.01, 0.1398]</v>
      </c>
      <c r="O24">
        <f>A24-'DLC Buildup Factors'!G13</f>
        <v>0</v>
      </c>
      <c r="P24">
        <f>B24-'DLC Buildup Factors'!H13</f>
        <v>0</v>
      </c>
      <c r="Q24">
        <f>C24-'DLC Buildup Factors'!I13</f>
        <v>0</v>
      </c>
      <c r="R24">
        <f>D24-'DLC Buildup Factors'!J13</f>
        <v>0</v>
      </c>
      <c r="S24">
        <f>E24-'DLC Buildup Factors'!K13</f>
        <v>0</v>
      </c>
      <c r="T24">
        <f>F24-'DLC Buildup Factors'!L13</f>
        <v>0</v>
      </c>
      <c r="U24">
        <f>G24-'DLC Buildup Factors'!M13</f>
        <v>0</v>
      </c>
      <c r="V24">
        <f>H24-'DLC Buildup Factors'!N13</f>
        <v>0</v>
      </c>
      <c r="W24">
        <f>I24-'DLC Buildup Factors'!O13</f>
        <v>0</v>
      </c>
    </row>
    <row r="25" spans="1:23">
      <c r="A25" s="10">
        <v>0.1</v>
      </c>
      <c r="B25">
        <v>7.3029999999999999</v>
      </c>
      <c r="C25">
        <v>4.2519999999999998</v>
      </c>
      <c r="D25">
        <v>-0.33300000000000002</v>
      </c>
      <c r="E25">
        <v>14.11</v>
      </c>
      <c r="F25">
        <v>0.1406</v>
      </c>
      <c r="G25" s="2">
        <v>4.6399999999999997E-2</v>
      </c>
      <c r="H25">
        <v>25</v>
      </c>
      <c r="I25" s="2">
        <v>2.9960000000000001E-2</v>
      </c>
      <c r="K25" t="str">
        <f t="shared" si="0"/>
        <v xml:space="preserve">    - 0.100</v>
      </c>
      <c r="L25" t="str">
        <f t="shared" si="1"/>
        <v xml:space="preserve">    - [7.303, 4.252, -0.333, 14.11, 0.1406]</v>
      </c>
      <c r="O25">
        <f>A25-'DLC Buildup Factors'!G14</f>
        <v>0</v>
      </c>
      <c r="P25">
        <f>B25-'DLC Buildup Factors'!H14</f>
        <v>0</v>
      </c>
      <c r="Q25">
        <f>C25-'DLC Buildup Factors'!I14</f>
        <v>0</v>
      </c>
      <c r="R25">
        <f>D25-'DLC Buildup Factors'!J14</f>
        <v>0</v>
      </c>
      <c r="S25">
        <f>E25-'DLC Buildup Factors'!K14</f>
        <v>0</v>
      </c>
      <c r="T25">
        <f>F25-'DLC Buildup Factors'!L14</f>
        <v>0</v>
      </c>
      <c r="U25">
        <f>G25-'DLC Buildup Factors'!M14</f>
        <v>0</v>
      </c>
      <c r="V25">
        <f>H25-'DLC Buildup Factors'!N14</f>
        <v>0</v>
      </c>
      <c r="W25">
        <f>I25-'DLC Buildup Factors'!O14</f>
        <v>0</v>
      </c>
    </row>
    <row r="26" spans="1:23">
      <c r="A26" s="10">
        <v>0.15</v>
      </c>
      <c r="B26">
        <v>4.9829999999999997</v>
      </c>
      <c r="C26">
        <v>4.1360000000000001</v>
      </c>
      <c r="D26">
        <v>-0.33100000000000002</v>
      </c>
      <c r="E26">
        <v>14.43</v>
      </c>
      <c r="F26">
        <v>0.1391</v>
      </c>
      <c r="G26" s="2">
        <v>4.2799999999999998E-2</v>
      </c>
      <c r="H26">
        <v>35</v>
      </c>
      <c r="I26" s="2">
        <v>2.596E-2</v>
      </c>
      <c r="K26" t="str">
        <f t="shared" si="0"/>
        <v xml:space="preserve">    - 0.150</v>
      </c>
      <c r="L26" t="str">
        <f t="shared" si="1"/>
        <v xml:space="preserve">    - [4.983, 4.136, -0.331, 14.43, 0.1391]</v>
      </c>
      <c r="O26">
        <f>A26-'DLC Buildup Factors'!G15</f>
        <v>0</v>
      </c>
      <c r="P26">
        <f>B26-'DLC Buildup Factors'!H15</f>
        <v>0</v>
      </c>
      <c r="Q26">
        <f>C26-'DLC Buildup Factors'!I15</f>
        <v>0</v>
      </c>
      <c r="R26">
        <f>D26-'DLC Buildup Factors'!J15</f>
        <v>0</v>
      </c>
      <c r="S26">
        <f>E26-'DLC Buildup Factors'!K15</f>
        <v>0</v>
      </c>
      <c r="T26">
        <f>F26-'DLC Buildup Factors'!L15</f>
        <v>0</v>
      </c>
      <c r="U26">
        <f>G26-'DLC Buildup Factors'!M15</f>
        <v>0</v>
      </c>
      <c r="V26">
        <f>H26-'DLC Buildup Factors'!N15</f>
        <v>0</v>
      </c>
      <c r="W26">
        <f>I26-'DLC Buildup Factors'!O15</f>
        <v>0</v>
      </c>
    </row>
    <row r="27" spans="1:23">
      <c r="A27" s="10">
        <v>0.2</v>
      </c>
      <c r="B27">
        <v>4.3959999999999999</v>
      </c>
      <c r="C27">
        <v>3.8769999999999998</v>
      </c>
      <c r="D27">
        <v>-0.32300000000000001</v>
      </c>
      <c r="E27">
        <v>14.44</v>
      </c>
      <c r="F27">
        <v>0.14249999999999999</v>
      </c>
      <c r="G27" s="2">
        <v>4.4499999999999998E-2</v>
      </c>
      <c r="H27">
        <v>35</v>
      </c>
      <c r="I27" s="2">
        <v>2.6120000000000001E-2</v>
      </c>
      <c r="K27" t="str">
        <f t="shared" si="0"/>
        <v xml:space="preserve">    - 0.200</v>
      </c>
      <c r="L27" t="str">
        <f t="shared" si="1"/>
        <v xml:space="preserve">    - [4.396, 3.877, -0.323, 14.44, 0.1425]</v>
      </c>
      <c r="O27">
        <f>A27-'DLC Buildup Factors'!G16</f>
        <v>0</v>
      </c>
      <c r="P27">
        <f>B27-'DLC Buildup Factors'!H16</f>
        <v>0</v>
      </c>
      <c r="Q27">
        <f>C27-'DLC Buildup Factors'!I16</f>
        <v>0</v>
      </c>
      <c r="R27">
        <f>D27-'DLC Buildup Factors'!J16</f>
        <v>0</v>
      </c>
      <c r="S27">
        <f>E27-'DLC Buildup Factors'!K16</f>
        <v>0</v>
      </c>
      <c r="T27">
        <f>F27-'DLC Buildup Factors'!L16</f>
        <v>0</v>
      </c>
      <c r="U27">
        <f>G27-'DLC Buildup Factors'!M16</f>
        <v>0</v>
      </c>
      <c r="V27">
        <f>H27-'DLC Buildup Factors'!N16</f>
        <v>0</v>
      </c>
      <c r="W27">
        <f>I27-'DLC Buildup Factors'!O16</f>
        <v>0</v>
      </c>
    </row>
    <row r="28" spans="1:23">
      <c r="A28" s="10">
        <v>0.3</v>
      </c>
      <c r="B28">
        <v>3.448</v>
      </c>
      <c r="C28">
        <v>3.4420000000000002</v>
      </c>
      <c r="D28">
        <v>-0.30399999999999999</v>
      </c>
      <c r="E28">
        <v>14.2</v>
      </c>
      <c r="F28">
        <v>0.14219999999999999</v>
      </c>
      <c r="G28" s="2">
        <v>4.8000000000000001E-2</v>
      </c>
      <c r="H28">
        <v>25</v>
      </c>
      <c r="I28" s="2">
        <v>2.8330000000000001E-2</v>
      </c>
      <c r="K28" t="str">
        <f t="shared" si="0"/>
        <v xml:space="preserve">    - 0.300</v>
      </c>
      <c r="L28" t="str">
        <f t="shared" si="1"/>
        <v xml:space="preserve">    - [3.448, 3.442, -0.304, 14.20, 0.1422]</v>
      </c>
      <c r="O28">
        <f>A28-'DLC Buildup Factors'!G17</f>
        <v>0</v>
      </c>
      <c r="P28">
        <f>B28-'DLC Buildup Factors'!H17</f>
        <v>0</v>
      </c>
      <c r="Q28">
        <f>C28-'DLC Buildup Factors'!I17</f>
        <v>0</v>
      </c>
      <c r="R28">
        <f>D28-'DLC Buildup Factors'!J17</f>
        <v>0</v>
      </c>
      <c r="S28">
        <f>E28-'DLC Buildup Factors'!K17</f>
        <v>0</v>
      </c>
      <c r="T28">
        <f>F28-'DLC Buildup Factors'!L17</f>
        <v>0</v>
      </c>
      <c r="U28">
        <f>G28-'DLC Buildup Factors'!M17</f>
        <v>0</v>
      </c>
      <c r="V28">
        <f>H28-'DLC Buildup Factors'!N17</f>
        <v>0</v>
      </c>
      <c r="W28">
        <f>I28-'DLC Buildup Factors'!O17</f>
        <v>0</v>
      </c>
    </row>
    <row r="29" spans="1:23">
      <c r="A29" s="10">
        <v>0.4</v>
      </c>
      <c r="B29">
        <v>3.218</v>
      </c>
      <c r="C29">
        <v>3.0459999999999998</v>
      </c>
      <c r="D29">
        <v>-0.28000000000000003</v>
      </c>
      <c r="E29">
        <v>14.18</v>
      </c>
      <c r="F29">
        <v>0.13700000000000001</v>
      </c>
      <c r="G29" s="2">
        <v>4.3700000000000003E-2</v>
      </c>
      <c r="H29">
        <v>15</v>
      </c>
      <c r="I29" s="2">
        <v>2.6519999999999998E-2</v>
      </c>
      <c r="K29" t="str">
        <f t="shared" si="0"/>
        <v xml:space="preserve">    - 0.400</v>
      </c>
      <c r="L29" t="str">
        <f t="shared" si="1"/>
        <v xml:space="preserve">    - [3.218, 3.046, -0.280, 14.18, 0.1370]</v>
      </c>
      <c r="O29">
        <f>A29-'DLC Buildup Factors'!G18</f>
        <v>0</v>
      </c>
      <c r="P29">
        <f>B29-'DLC Buildup Factors'!H18</f>
        <v>0</v>
      </c>
      <c r="Q29">
        <f>C29-'DLC Buildup Factors'!I18</f>
        <v>0</v>
      </c>
      <c r="R29">
        <f>D29-'DLC Buildup Factors'!J18</f>
        <v>0</v>
      </c>
      <c r="S29">
        <f>E29-'DLC Buildup Factors'!K18</f>
        <v>0</v>
      </c>
      <c r="T29">
        <f>F29-'DLC Buildup Factors'!L18</f>
        <v>0</v>
      </c>
      <c r="U29">
        <f>G29-'DLC Buildup Factors'!M18</f>
        <v>0</v>
      </c>
      <c r="V29">
        <f>H29-'DLC Buildup Factors'!N18</f>
        <v>0</v>
      </c>
      <c r="W29">
        <f>I29-'DLC Buildup Factors'!O18</f>
        <v>0</v>
      </c>
    </row>
    <row r="30" spans="1:23">
      <c r="A30" s="10">
        <v>0.5</v>
      </c>
      <c r="B30">
        <v>2.7930000000000001</v>
      </c>
      <c r="C30">
        <v>2.9340000000000002</v>
      </c>
      <c r="D30">
        <v>-0.28100000000000003</v>
      </c>
      <c r="E30">
        <v>13.44</v>
      </c>
      <c r="F30">
        <v>0.14940000000000001</v>
      </c>
      <c r="G30" s="2">
        <v>5.9200000000000003E-2</v>
      </c>
      <c r="H30">
        <v>35</v>
      </c>
      <c r="I30" s="2">
        <v>3.8260000000000002E-2</v>
      </c>
      <c r="K30" t="str">
        <f t="shared" si="0"/>
        <v xml:space="preserve">    - 0.500</v>
      </c>
      <c r="L30" t="str">
        <f t="shared" si="1"/>
        <v xml:space="preserve">    - [2.793, 2.934, -0.281, 13.44, 0.1494]</v>
      </c>
      <c r="O30">
        <f>A30-'DLC Buildup Factors'!G19</f>
        <v>0</v>
      </c>
      <c r="P30">
        <f>B30-'DLC Buildup Factors'!H19</f>
        <v>0</v>
      </c>
      <c r="Q30">
        <f>C30-'DLC Buildup Factors'!I19</f>
        <v>0</v>
      </c>
      <c r="R30">
        <f>D30-'DLC Buildup Factors'!J19</f>
        <v>0</v>
      </c>
      <c r="S30">
        <f>E30-'DLC Buildup Factors'!K19</f>
        <v>0</v>
      </c>
      <c r="T30">
        <f>F30-'DLC Buildup Factors'!L19</f>
        <v>0</v>
      </c>
      <c r="U30">
        <f>G30-'DLC Buildup Factors'!M19</f>
        <v>0</v>
      </c>
      <c r="V30">
        <f>H30-'DLC Buildup Factors'!N19</f>
        <v>0</v>
      </c>
      <c r="W30">
        <f>I30-'DLC Buildup Factors'!O19</f>
        <v>0</v>
      </c>
    </row>
    <row r="31" spans="1:23">
      <c r="A31" s="10">
        <v>0.6</v>
      </c>
      <c r="B31">
        <v>2.6539999999999999</v>
      </c>
      <c r="C31">
        <v>2.6720000000000002</v>
      </c>
      <c r="D31">
        <v>-0.26100000000000001</v>
      </c>
      <c r="E31">
        <v>13.2</v>
      </c>
      <c r="F31">
        <v>0.14349999999999999</v>
      </c>
      <c r="G31" s="2">
        <v>5.8200000000000002E-2</v>
      </c>
      <c r="H31">
        <v>10</v>
      </c>
      <c r="I31" s="2">
        <v>3.7470000000000003E-2</v>
      </c>
      <c r="K31" t="str">
        <f t="shared" si="0"/>
        <v xml:space="preserve">    - 0.600</v>
      </c>
      <c r="L31" t="str">
        <f t="shared" si="1"/>
        <v xml:space="preserve">    - [2.654, 2.672, -0.261, 13.20, 0.1435]</v>
      </c>
      <c r="O31">
        <f>A31-'DLC Buildup Factors'!G20</f>
        <v>0</v>
      </c>
      <c r="P31">
        <f>B31-'DLC Buildup Factors'!H20</f>
        <v>0</v>
      </c>
      <c r="Q31">
        <f>C31-'DLC Buildup Factors'!I20</f>
        <v>0</v>
      </c>
      <c r="R31">
        <f>D31-'DLC Buildup Factors'!J20</f>
        <v>0</v>
      </c>
      <c r="S31">
        <f>E31-'DLC Buildup Factors'!K20</f>
        <v>0</v>
      </c>
      <c r="T31">
        <f>F31-'DLC Buildup Factors'!L20</f>
        <v>0</v>
      </c>
      <c r="U31">
        <f>G31-'DLC Buildup Factors'!M20</f>
        <v>0</v>
      </c>
      <c r="V31">
        <f>H31-'DLC Buildup Factors'!N20</f>
        <v>0</v>
      </c>
      <c r="W31">
        <f>I31-'DLC Buildup Factors'!O20</f>
        <v>0</v>
      </c>
    </row>
    <row r="32" spans="1:23">
      <c r="A32" s="10">
        <v>0.8</v>
      </c>
      <c r="B32">
        <v>2.5049999999999999</v>
      </c>
      <c r="C32">
        <v>2.2250000000000001</v>
      </c>
      <c r="D32">
        <v>-0.215</v>
      </c>
      <c r="E32">
        <v>13.24</v>
      </c>
      <c r="F32">
        <v>0.1211</v>
      </c>
      <c r="G32" s="2">
        <v>6.1400000000000003E-2</v>
      </c>
      <c r="H32">
        <v>1</v>
      </c>
      <c r="I32" s="2">
        <v>3.848E-2</v>
      </c>
      <c r="K32" t="str">
        <f t="shared" si="0"/>
        <v xml:space="preserve">    - 0.800</v>
      </c>
      <c r="L32" t="str">
        <f t="shared" si="1"/>
        <v xml:space="preserve">    - [2.505, 2.225, -0.215, 13.24, 0.1211]</v>
      </c>
      <c r="O32">
        <f>A32-'DLC Buildup Factors'!G21</f>
        <v>0</v>
      </c>
      <c r="P32">
        <f>B32-'DLC Buildup Factors'!H21</f>
        <v>0</v>
      </c>
      <c r="Q32">
        <f>C32-'DLC Buildup Factors'!I21</f>
        <v>0</v>
      </c>
      <c r="R32">
        <f>D32-'DLC Buildup Factors'!J21</f>
        <v>0</v>
      </c>
      <c r="S32">
        <f>E32-'DLC Buildup Factors'!K21</f>
        <v>0</v>
      </c>
      <c r="T32">
        <f>F32-'DLC Buildup Factors'!L21</f>
        <v>0</v>
      </c>
      <c r="U32">
        <f>G32-'DLC Buildup Factors'!M21</f>
        <v>0</v>
      </c>
      <c r="V32">
        <f>H32-'DLC Buildup Factors'!N21</f>
        <v>0</v>
      </c>
      <c r="W32">
        <f>I32-'DLC Buildup Factors'!O21</f>
        <v>0</v>
      </c>
    </row>
    <row r="33" spans="1:23">
      <c r="A33" s="10">
        <v>1</v>
      </c>
      <c r="B33">
        <v>2.33</v>
      </c>
      <c r="C33">
        <v>1.9970000000000001</v>
      </c>
      <c r="D33">
        <v>-0.19</v>
      </c>
      <c r="E33">
        <v>12.98</v>
      </c>
      <c r="F33">
        <v>0.1115</v>
      </c>
      <c r="G33" s="2">
        <v>7.3700000000000002E-2</v>
      </c>
      <c r="H33">
        <v>1</v>
      </c>
      <c r="I33" s="2">
        <v>4.3659999999999997E-2</v>
      </c>
      <c r="K33" t="str">
        <f t="shared" si="0"/>
        <v xml:space="preserve">    - 1.000</v>
      </c>
      <c r="L33" t="str">
        <f t="shared" si="1"/>
        <v xml:space="preserve">    - [2.330, 1.997, -0.190, 12.98, 0.1115]</v>
      </c>
      <c r="O33">
        <f>A33-'DLC Buildup Factors'!G22</f>
        <v>0</v>
      </c>
      <c r="P33">
        <f>B33-'DLC Buildup Factors'!H22</f>
        <v>0</v>
      </c>
      <c r="Q33">
        <f>C33-'DLC Buildup Factors'!I22</f>
        <v>0</v>
      </c>
      <c r="R33">
        <f>D33-'DLC Buildup Factors'!J22</f>
        <v>0</v>
      </c>
      <c r="S33">
        <f>E33-'DLC Buildup Factors'!K22</f>
        <v>0</v>
      </c>
      <c r="T33">
        <f>F33-'DLC Buildup Factors'!L22</f>
        <v>0</v>
      </c>
      <c r="U33">
        <f>G33-'DLC Buildup Factors'!M22</f>
        <v>0</v>
      </c>
      <c r="V33">
        <f>H33-'DLC Buildup Factors'!N22</f>
        <v>0</v>
      </c>
      <c r="W33">
        <f>I33-'DLC Buildup Factors'!O22</f>
        <v>0</v>
      </c>
    </row>
    <row r="34" spans="1:23">
      <c r="A34" s="10">
        <v>1.5</v>
      </c>
      <c r="B34">
        <v>2.15</v>
      </c>
      <c r="C34">
        <v>1.5489999999999999</v>
      </c>
      <c r="D34">
        <v>-0.122</v>
      </c>
      <c r="E34">
        <v>13</v>
      </c>
      <c r="F34">
        <v>7.5700000000000003E-2</v>
      </c>
      <c r="G34" s="2">
        <v>6.4100000000000004E-2</v>
      </c>
      <c r="H34">
        <v>0.5</v>
      </c>
      <c r="I34" s="2">
        <v>3.2599999999999997E-2</v>
      </c>
      <c r="K34" t="str">
        <f t="shared" si="0"/>
        <v xml:space="preserve">    - 1.500</v>
      </c>
      <c r="L34" t="str">
        <f t="shared" si="1"/>
        <v xml:space="preserve">    - [2.150, 1.549, -0.122, 13.00, 0.0757]</v>
      </c>
      <c r="O34">
        <f>A34-'DLC Buildup Factors'!G23</f>
        <v>0</v>
      </c>
      <c r="P34">
        <f>B34-'DLC Buildup Factors'!H23</f>
        <v>0</v>
      </c>
      <c r="Q34">
        <f>C34-'DLC Buildup Factors'!I23</f>
        <v>0</v>
      </c>
      <c r="R34">
        <f>D34-'DLC Buildup Factors'!J23</f>
        <v>0</v>
      </c>
      <c r="S34">
        <f>E34-'DLC Buildup Factors'!K23</f>
        <v>0</v>
      </c>
      <c r="T34">
        <f>F34-'DLC Buildup Factors'!L23</f>
        <v>0</v>
      </c>
      <c r="U34">
        <f>G34-'DLC Buildup Factors'!M23</f>
        <v>0</v>
      </c>
      <c r="V34">
        <f>H34-'DLC Buildup Factors'!N23</f>
        <v>0</v>
      </c>
      <c r="W34">
        <f>I34-'DLC Buildup Factors'!O23</f>
        <v>0</v>
      </c>
    </row>
    <row r="35" spans="1:23">
      <c r="A35" s="10">
        <v>2</v>
      </c>
      <c r="B35">
        <v>2.0609999999999999</v>
      </c>
      <c r="C35">
        <v>1.284</v>
      </c>
      <c r="D35">
        <v>-6.9000000000000006E-2</v>
      </c>
      <c r="E35">
        <v>13.26</v>
      </c>
      <c r="F35">
        <v>4.3400000000000001E-2</v>
      </c>
      <c r="G35" s="2">
        <v>4.2700000000000002E-2</v>
      </c>
      <c r="H35">
        <v>0.5</v>
      </c>
      <c r="I35" s="2">
        <v>1.857E-2</v>
      </c>
      <c r="K35" t="str">
        <f t="shared" si="0"/>
        <v xml:space="preserve">    - 2.000</v>
      </c>
      <c r="L35" t="str">
        <f t="shared" si="1"/>
        <v xml:space="preserve">    - [2.061, 1.284, -0.069, 13.26, 0.0434]</v>
      </c>
      <c r="O35">
        <f>A35-'DLC Buildup Factors'!G24</f>
        <v>0</v>
      </c>
      <c r="P35">
        <f>B35-'DLC Buildup Factors'!H24</f>
        <v>0</v>
      </c>
      <c r="Q35">
        <f>C35-'DLC Buildup Factors'!I24</f>
        <v>0</v>
      </c>
      <c r="R35">
        <f>D35-'DLC Buildup Factors'!J24</f>
        <v>0</v>
      </c>
      <c r="S35">
        <f>E35-'DLC Buildup Factors'!K24</f>
        <v>0</v>
      </c>
      <c r="T35">
        <f>F35-'DLC Buildup Factors'!L24</f>
        <v>0</v>
      </c>
      <c r="U35">
        <f>G35-'DLC Buildup Factors'!M24</f>
        <v>0</v>
      </c>
      <c r="V35">
        <f>H35-'DLC Buildup Factors'!N24</f>
        <v>0</v>
      </c>
      <c r="W35">
        <f>I35-'DLC Buildup Factors'!O24</f>
        <v>0</v>
      </c>
    </row>
    <row r="36" spans="1:23">
      <c r="A36" s="10">
        <v>3</v>
      </c>
      <c r="B36">
        <v>1.863</v>
      </c>
      <c r="C36">
        <v>1.087</v>
      </c>
      <c r="D36">
        <v>-2.4E-2</v>
      </c>
      <c r="E36">
        <v>13.06</v>
      </c>
      <c r="F36">
        <v>1.6799999999999999E-2</v>
      </c>
      <c r="G36" s="2">
        <v>2.9499999999999998E-2</v>
      </c>
      <c r="H36">
        <v>0.5</v>
      </c>
      <c r="I36" s="2">
        <v>1.072E-2</v>
      </c>
      <c r="K36" t="str">
        <f t="shared" si="0"/>
        <v xml:space="preserve">    - 3.000</v>
      </c>
      <c r="L36" t="str">
        <f t="shared" si="1"/>
        <v xml:space="preserve">    - [1.863, 1.087, -0.024, 13.06, 0.0168]</v>
      </c>
      <c r="O36">
        <f>A36-'DLC Buildup Factors'!G25</f>
        <v>0</v>
      </c>
      <c r="P36">
        <f>B36-'DLC Buildup Factors'!H25</f>
        <v>0</v>
      </c>
      <c r="Q36">
        <f>C36-'DLC Buildup Factors'!I25</f>
        <v>0</v>
      </c>
      <c r="R36">
        <f>D36-'DLC Buildup Factors'!J25</f>
        <v>0</v>
      </c>
      <c r="S36">
        <f>E36-'DLC Buildup Factors'!K25</f>
        <v>0</v>
      </c>
      <c r="T36">
        <f>F36-'DLC Buildup Factors'!L25</f>
        <v>0</v>
      </c>
      <c r="U36">
        <f>G36-'DLC Buildup Factors'!M25</f>
        <v>0</v>
      </c>
      <c r="V36">
        <f>H36-'DLC Buildup Factors'!N25</f>
        <v>0</v>
      </c>
      <c r="W36">
        <f>I36-'DLC Buildup Factors'!O25</f>
        <v>0</v>
      </c>
    </row>
    <row r="37" spans="1:23">
      <c r="A37" s="10">
        <v>4</v>
      </c>
      <c r="B37">
        <v>1.74</v>
      </c>
      <c r="C37">
        <v>0.98599999999999999</v>
      </c>
      <c r="D37">
        <v>2E-3</v>
      </c>
      <c r="E37">
        <v>9.42</v>
      </c>
      <c r="F37">
        <v>2.2000000000000001E-3</v>
      </c>
      <c r="G37" s="2">
        <v>1.5900000000000001E-2</v>
      </c>
      <c r="H37">
        <v>0.5</v>
      </c>
      <c r="I37" s="2">
        <v>5.9300000000000004E-3</v>
      </c>
      <c r="K37" t="str">
        <f t="shared" si="0"/>
        <v xml:space="preserve">    - 4.000</v>
      </c>
      <c r="L37" t="str">
        <f t="shared" si="1"/>
        <v xml:space="preserve">    - [1.740, 0.986, 0.002, 9.42, 0.0022]</v>
      </c>
      <c r="O37">
        <f>A37-'DLC Buildup Factors'!G26</f>
        <v>0</v>
      </c>
      <c r="P37">
        <f>B37-'DLC Buildup Factors'!H26</f>
        <v>0</v>
      </c>
      <c r="Q37">
        <f>C37-'DLC Buildup Factors'!I26</f>
        <v>0</v>
      </c>
      <c r="R37">
        <f>D37-'DLC Buildup Factors'!J26</f>
        <v>0</v>
      </c>
      <c r="S37">
        <f>E37-'DLC Buildup Factors'!K26</f>
        <v>0</v>
      </c>
      <c r="T37">
        <f>F37-'DLC Buildup Factors'!L26</f>
        <v>0</v>
      </c>
      <c r="U37">
        <f>G37-'DLC Buildup Factors'!M26</f>
        <v>0</v>
      </c>
      <c r="V37">
        <f>H37-'DLC Buildup Factors'!N26</f>
        <v>0</v>
      </c>
      <c r="W37">
        <f>I37-'DLC Buildup Factors'!O26</f>
        <v>0</v>
      </c>
    </row>
    <row r="38" spans="1:23">
      <c r="A38" s="10">
        <v>5</v>
      </c>
      <c r="B38">
        <v>1.641</v>
      </c>
      <c r="C38">
        <v>0.93200000000000005</v>
      </c>
      <c r="D38">
        <v>1.7000000000000001E-2</v>
      </c>
      <c r="E38">
        <v>17.21</v>
      </c>
      <c r="F38">
        <v>-8.5000000000000006E-3</v>
      </c>
      <c r="G38" s="2">
        <v>1.2999999999999999E-2</v>
      </c>
      <c r="H38">
        <v>0.5</v>
      </c>
      <c r="I38" s="2">
        <v>4.8700000000000002E-3</v>
      </c>
      <c r="K38" t="str">
        <f t="shared" si="0"/>
        <v xml:space="preserve">    - 5.000</v>
      </c>
      <c r="L38" t="str">
        <f t="shared" si="1"/>
        <v xml:space="preserve">    - [1.641, 0.932, 0.017, 17.21, -0.0085]</v>
      </c>
      <c r="O38">
        <f>A38-'DLC Buildup Factors'!G27</f>
        <v>0</v>
      </c>
      <c r="P38">
        <f>B38-'DLC Buildup Factors'!H27</f>
        <v>0</v>
      </c>
      <c r="Q38">
        <f>C38-'DLC Buildup Factors'!I27</f>
        <v>0</v>
      </c>
      <c r="R38">
        <f>D38-'DLC Buildup Factors'!J27</f>
        <v>0</v>
      </c>
      <c r="S38">
        <f>E38-'DLC Buildup Factors'!K27</f>
        <v>0</v>
      </c>
      <c r="T38">
        <f>F38-'DLC Buildup Factors'!L27</f>
        <v>0</v>
      </c>
      <c r="U38">
        <f>G38-'DLC Buildup Factors'!M27</f>
        <v>0</v>
      </c>
      <c r="V38">
        <f>H38-'DLC Buildup Factors'!N27</f>
        <v>0</v>
      </c>
      <c r="W38">
        <f>I38-'DLC Buildup Factors'!O27</f>
        <v>0</v>
      </c>
    </row>
    <row r="39" spans="1:23">
      <c r="A39" s="10">
        <v>6</v>
      </c>
      <c r="B39">
        <v>1.5840000000000001</v>
      </c>
      <c r="C39">
        <v>0.88600000000000001</v>
      </c>
      <c r="D39">
        <v>3.1E-2</v>
      </c>
      <c r="E39">
        <v>14.51</v>
      </c>
      <c r="F39">
        <v>-1.5900000000000001E-2</v>
      </c>
      <c r="G39" s="2">
        <v>9.5999999999999992E-3</v>
      </c>
      <c r="H39">
        <v>0.5</v>
      </c>
      <c r="I39" s="2">
        <v>4.4999999999999997E-3</v>
      </c>
      <c r="K39" t="str">
        <f t="shared" si="0"/>
        <v xml:space="preserve">    - 6.000</v>
      </c>
      <c r="L39" t="str">
        <f t="shared" si="1"/>
        <v xml:space="preserve">    - [1.584, 0.886, 0.031, 14.51, -0.0159]</v>
      </c>
      <c r="O39">
        <f>A39-'DLC Buildup Factors'!G28</f>
        <v>0</v>
      </c>
      <c r="P39">
        <f>B39-'DLC Buildup Factors'!H28</f>
        <v>0</v>
      </c>
      <c r="Q39">
        <f>C39-'DLC Buildup Factors'!I28</f>
        <v>0</v>
      </c>
      <c r="R39">
        <f>D39-'DLC Buildup Factors'!J28</f>
        <v>0</v>
      </c>
      <c r="S39">
        <f>E39-'DLC Buildup Factors'!K28</f>
        <v>0</v>
      </c>
      <c r="T39">
        <f>F39-'DLC Buildup Factors'!L28</f>
        <v>0</v>
      </c>
      <c r="U39">
        <f>G39-'DLC Buildup Factors'!M28</f>
        <v>0</v>
      </c>
      <c r="V39">
        <f>H39-'DLC Buildup Factors'!N28</f>
        <v>0</v>
      </c>
      <c r="W39">
        <f>I39-'DLC Buildup Factors'!O28</f>
        <v>0</v>
      </c>
    </row>
    <row r="40" spans="1:23">
      <c r="A40" s="10">
        <v>8</v>
      </c>
      <c r="B40">
        <v>1.48</v>
      </c>
      <c r="C40">
        <v>0.85099999999999998</v>
      </c>
      <c r="D40">
        <v>4.1000000000000002E-2</v>
      </c>
      <c r="E40">
        <v>14.63</v>
      </c>
      <c r="F40">
        <v>-2.07E-2</v>
      </c>
      <c r="G40" s="2">
        <v>6.8999999999999999E-3</v>
      </c>
      <c r="H40">
        <v>25</v>
      </c>
      <c r="I40" s="2">
        <v>3.9300000000000003E-3</v>
      </c>
      <c r="K40" t="str">
        <f t="shared" si="0"/>
        <v xml:space="preserve">    - 8.000</v>
      </c>
      <c r="L40" t="str">
        <f t="shared" si="1"/>
        <v xml:space="preserve">    - [1.480, 0.851, 0.041, 14.63, -0.0207]</v>
      </c>
      <c r="O40">
        <f>A40-'DLC Buildup Factors'!G29</f>
        <v>0</v>
      </c>
      <c r="P40">
        <f>B40-'DLC Buildup Factors'!H29</f>
        <v>0</v>
      </c>
      <c r="Q40">
        <f>C40-'DLC Buildup Factors'!I29</f>
        <v>0</v>
      </c>
      <c r="R40">
        <f>D40-'DLC Buildup Factors'!J29</f>
        <v>0</v>
      </c>
      <c r="S40">
        <f>E40-'DLC Buildup Factors'!K29</f>
        <v>0</v>
      </c>
      <c r="T40">
        <f>F40-'DLC Buildup Factors'!L29</f>
        <v>0</v>
      </c>
      <c r="U40">
        <f>G40-'DLC Buildup Factors'!M29</f>
        <v>0</v>
      </c>
      <c r="V40">
        <f>H40-'DLC Buildup Factors'!N29</f>
        <v>0</v>
      </c>
      <c r="W40">
        <f>I40-'DLC Buildup Factors'!O29</f>
        <v>0</v>
      </c>
    </row>
    <row r="41" spans="1:23">
      <c r="A41" s="10">
        <v>10</v>
      </c>
      <c r="B41">
        <v>1.4370000000000001</v>
      </c>
      <c r="C41">
        <v>0.77200000000000002</v>
      </c>
      <c r="D41">
        <v>7.0999999999999994E-2</v>
      </c>
      <c r="E41">
        <v>14.24</v>
      </c>
      <c r="F41">
        <v>-4.6899999999999997E-2</v>
      </c>
      <c r="G41" s="2">
        <v>3.49E-2</v>
      </c>
      <c r="H41">
        <v>0.5</v>
      </c>
      <c r="I41" s="2">
        <v>1.311E-2</v>
      </c>
      <c r="K41" t="str">
        <f t="shared" si="0"/>
        <v xml:space="preserve">    - 10.000</v>
      </c>
      <c r="L41" t="str">
        <f t="shared" si="1"/>
        <v xml:space="preserve">    - [1.437, 0.772, 0.071, 14.24, -0.0469]</v>
      </c>
      <c r="O41">
        <f>A41-'DLC Buildup Factors'!G30</f>
        <v>0</v>
      </c>
      <c r="P41">
        <f>B41-'DLC Buildup Factors'!H30</f>
        <v>0</v>
      </c>
      <c r="Q41">
        <f>C41-'DLC Buildup Factors'!I30</f>
        <v>0</v>
      </c>
      <c r="R41">
        <f>D41-'DLC Buildup Factors'!J30</f>
        <v>0</v>
      </c>
      <c r="S41">
        <f>E41-'DLC Buildup Factors'!K30</f>
        <v>0</v>
      </c>
      <c r="T41">
        <f>F41-'DLC Buildup Factors'!L30</f>
        <v>0</v>
      </c>
      <c r="U41">
        <f>G41-'DLC Buildup Factors'!M30</f>
        <v>0</v>
      </c>
      <c r="V41">
        <f>H41-'DLC Buildup Factors'!N30</f>
        <v>0</v>
      </c>
      <c r="W41">
        <f>I41-'DLC Buildup Factors'!O30</f>
        <v>0</v>
      </c>
    </row>
    <row r="42" spans="1:23">
      <c r="A42" s="10">
        <v>15</v>
      </c>
      <c r="B42">
        <v>1.306</v>
      </c>
      <c r="C42">
        <v>0.80200000000000005</v>
      </c>
      <c r="D42">
        <v>5.7000000000000002E-2</v>
      </c>
      <c r="E42">
        <v>12.34</v>
      </c>
      <c r="F42">
        <v>-2.47E-2</v>
      </c>
      <c r="G42" s="2">
        <v>8.3000000000000001E-3</v>
      </c>
      <c r="H42">
        <v>35</v>
      </c>
      <c r="I42" s="2">
        <v>4.45E-3</v>
      </c>
      <c r="K42" t="str">
        <f t="shared" si="0"/>
        <v xml:space="preserve">    - 15.000</v>
      </c>
      <c r="L42" t="str">
        <f t="shared" si="1"/>
        <v xml:space="preserve">    - [1.306, 0.802, 0.057, 12.34, -0.0247]</v>
      </c>
      <c r="O42">
        <f>A42-'DLC Buildup Factors'!G31</f>
        <v>0</v>
      </c>
      <c r="P42">
        <f>B42-'DLC Buildup Factors'!H31</f>
        <v>0</v>
      </c>
      <c r="Q42">
        <f>C42-'DLC Buildup Factors'!I31</f>
        <v>0</v>
      </c>
      <c r="R42">
        <f>D42-'DLC Buildup Factors'!J31</f>
        <v>0</v>
      </c>
      <c r="S42">
        <f>E42-'DLC Buildup Factors'!K31</f>
        <v>0</v>
      </c>
      <c r="T42">
        <f>F42-'DLC Buildup Factors'!L31</f>
        <v>0</v>
      </c>
      <c r="U42">
        <f>G42-'DLC Buildup Factors'!M31</f>
        <v>0</v>
      </c>
      <c r="V42">
        <f>H42-'DLC Buildup Factors'!N31</f>
        <v>0</v>
      </c>
      <c r="W42">
        <f>I42-'DLC Buildup Factors'!O31</f>
        <v>0</v>
      </c>
    </row>
    <row r="43" spans="1:23">
      <c r="A43" s="10"/>
    </row>
    <row r="44" spans="1:23">
      <c r="A44" s="11" t="s">
        <v>1525</v>
      </c>
    </row>
    <row r="45" spans="1:23">
      <c r="A45" s="11" t="s">
        <v>1862</v>
      </c>
    </row>
    <row r="46" spans="1:23">
      <c r="A46" t="s">
        <v>0</v>
      </c>
      <c r="B46" t="s">
        <v>10</v>
      </c>
      <c r="C46" t="s">
        <v>11</v>
      </c>
      <c r="D46" t="s">
        <v>12</v>
      </c>
      <c r="E46" t="s">
        <v>15</v>
      </c>
      <c r="F46" t="s">
        <v>13</v>
      </c>
      <c r="G46" t="s">
        <v>16</v>
      </c>
      <c r="H46" t="s">
        <v>17</v>
      </c>
      <c r="I46" t="s">
        <v>14</v>
      </c>
    </row>
    <row r="47" spans="1:23">
      <c r="A47" s="11">
        <v>1.4999999999999999E-2</v>
      </c>
      <c r="B47">
        <v>1.728</v>
      </c>
      <c r="C47">
        <v>0.68300000000000005</v>
      </c>
      <c r="D47">
        <v>9.5000000000000001E-2</v>
      </c>
      <c r="E47">
        <v>15.02</v>
      </c>
      <c r="F47">
        <v>-4.5999999999999999E-2</v>
      </c>
      <c r="G47" s="2">
        <v>1.78E-2</v>
      </c>
      <c r="H47">
        <v>0.5</v>
      </c>
      <c r="I47" s="2">
        <v>7.4000000000000003E-3</v>
      </c>
      <c r="K47" t="str">
        <f>CONCATENATE("    - ",TEXT(A47,"0.000"))</f>
        <v xml:space="preserve">    - 0.015</v>
      </c>
      <c r="L47" t="str">
        <f>CONCATENATE("    - [",TEXT(B47,"0.000"),", ",TEXT(C47,"0.000"),", ",TEXT(D47,"0.000"),", ",TEXT(E47,"0.00"),", ",TEXT(F47,"0.0000"),"]")</f>
        <v xml:space="preserve">    - [1.728, 0.683, 0.095, 15.02, -0.0460]</v>
      </c>
      <c r="O47">
        <f>'ANSI Buildup Factors'!A47-'DLC Buildup Factors'!G38</f>
        <v>0</v>
      </c>
      <c r="P47">
        <f>'ANSI Buildup Factors'!B47-'DLC Buildup Factors'!H38</f>
        <v>0</v>
      </c>
      <c r="Q47">
        <f>'ANSI Buildup Factors'!C47-'DLC Buildup Factors'!I38</f>
        <v>0</v>
      </c>
      <c r="R47">
        <f>'ANSI Buildup Factors'!D47-'DLC Buildup Factors'!J38</f>
        <v>0</v>
      </c>
      <c r="S47">
        <f>'ANSI Buildup Factors'!E47-'DLC Buildup Factors'!K38</f>
        <v>0</v>
      </c>
      <c r="T47">
        <f>'ANSI Buildup Factors'!F47-'DLC Buildup Factors'!L38</f>
        <v>0</v>
      </c>
      <c r="U47">
        <f>'ANSI Buildup Factors'!G47-'DLC Buildup Factors'!M38</f>
        <v>0</v>
      </c>
      <c r="V47">
        <f>'ANSI Buildup Factors'!H47-'DLC Buildup Factors'!N38</f>
        <v>0</v>
      </c>
      <c r="W47">
        <f>'ANSI Buildup Factors'!I47-'DLC Buildup Factors'!O38</f>
        <v>0</v>
      </c>
    </row>
    <row r="48" spans="1:23">
      <c r="A48" s="11">
        <v>0.02</v>
      </c>
      <c r="B48">
        <v>2.629</v>
      </c>
      <c r="C48">
        <v>0.95899999999999996</v>
      </c>
      <c r="D48">
        <v>2.1000000000000001E-2</v>
      </c>
      <c r="E48">
        <v>13.74</v>
      </c>
      <c r="F48">
        <v>-1.7899999999999999E-2</v>
      </c>
      <c r="G48" s="2">
        <v>2.87E-2</v>
      </c>
      <c r="H48">
        <v>0.5</v>
      </c>
      <c r="I48" s="2">
        <v>1.125E-2</v>
      </c>
      <c r="K48" t="str">
        <f t="shared" ref="K48:K71" si="2">CONCATENATE("    - ",TEXT(A48,"0.000"))</f>
        <v xml:space="preserve">    - 0.020</v>
      </c>
      <c r="L48" t="str">
        <f t="shared" ref="L48:L71" si="3">CONCATENATE("    - [",TEXT(B48,"0.000"),", ",TEXT(C48,"0.000"),", ",TEXT(D48,"0.000"),", ",TEXT(E48,"0.00"),", ",TEXT(F48,"0.0000"),"]")</f>
        <v xml:space="preserve">    - [2.629, 0.959, 0.021, 13.74, -0.0179]</v>
      </c>
      <c r="O48">
        <f>'ANSI Buildup Factors'!A48-'DLC Buildup Factors'!G39</f>
        <v>0</v>
      </c>
      <c r="P48">
        <f>'ANSI Buildup Factors'!B48-'DLC Buildup Factors'!H39</f>
        <v>0</v>
      </c>
      <c r="Q48">
        <f>'ANSI Buildup Factors'!C48-'DLC Buildup Factors'!I39</f>
        <v>0</v>
      </c>
      <c r="R48">
        <f>'ANSI Buildup Factors'!D48-'DLC Buildup Factors'!J39</f>
        <v>0</v>
      </c>
      <c r="S48">
        <f>'ANSI Buildup Factors'!E48-'DLC Buildup Factors'!K39</f>
        <v>0</v>
      </c>
      <c r="T48">
        <f>'ANSI Buildup Factors'!F48-'DLC Buildup Factors'!L39</f>
        <v>0</v>
      </c>
      <c r="U48">
        <f>'ANSI Buildup Factors'!G48-'DLC Buildup Factors'!M39</f>
        <v>0</v>
      </c>
      <c r="V48">
        <f>'ANSI Buildup Factors'!H48-'DLC Buildup Factors'!N39</f>
        <v>0</v>
      </c>
      <c r="W48">
        <f>'ANSI Buildup Factors'!I48-'DLC Buildup Factors'!O39</f>
        <v>0</v>
      </c>
    </row>
    <row r="49" spans="1:23">
      <c r="A49" s="11">
        <v>0.03</v>
      </c>
      <c r="B49">
        <v>4.6989999999999998</v>
      </c>
      <c r="C49">
        <v>1.665</v>
      </c>
      <c r="D49">
        <v>-0.11700000000000001</v>
      </c>
      <c r="E49">
        <v>14.48</v>
      </c>
      <c r="F49">
        <v>4.9700000000000001E-2</v>
      </c>
      <c r="G49" s="2">
        <v>1.44E-2</v>
      </c>
      <c r="H49">
        <v>35</v>
      </c>
      <c r="I49" s="2">
        <v>8.5400000000000007E-3</v>
      </c>
      <c r="K49" t="str">
        <f t="shared" si="2"/>
        <v xml:space="preserve">    - 0.030</v>
      </c>
      <c r="L49" t="str">
        <f t="shared" si="3"/>
        <v xml:space="preserve">    - [4.699, 1.665, -0.117, 14.48, 0.0497]</v>
      </c>
      <c r="O49">
        <f>'ANSI Buildup Factors'!A49-'DLC Buildup Factors'!G40</f>
        <v>0</v>
      </c>
      <c r="P49">
        <f>'ANSI Buildup Factors'!B49-'DLC Buildup Factors'!H40</f>
        <v>0</v>
      </c>
      <c r="Q49">
        <f>'ANSI Buildup Factors'!C49-'DLC Buildup Factors'!I40</f>
        <v>0</v>
      </c>
      <c r="R49">
        <f>'ANSI Buildup Factors'!D49-'DLC Buildup Factors'!J40</f>
        <v>0</v>
      </c>
      <c r="S49">
        <f>'ANSI Buildup Factors'!E49-'DLC Buildup Factors'!K40</f>
        <v>0</v>
      </c>
      <c r="T49">
        <f>'ANSI Buildup Factors'!F49-'DLC Buildup Factors'!L40</f>
        <v>0</v>
      </c>
      <c r="U49">
        <f>'ANSI Buildup Factors'!G49-'DLC Buildup Factors'!M40</f>
        <v>0</v>
      </c>
      <c r="V49">
        <f>'ANSI Buildup Factors'!H49-'DLC Buildup Factors'!N40</f>
        <v>0</v>
      </c>
      <c r="W49">
        <f>'ANSI Buildup Factors'!I49-'DLC Buildup Factors'!O40</f>
        <v>0</v>
      </c>
    </row>
    <row r="50" spans="1:23">
      <c r="A50" s="11">
        <v>0.04</v>
      </c>
      <c r="B50">
        <v>6.9059999999999997</v>
      </c>
      <c r="C50">
        <v>2.2429999999999999</v>
      </c>
      <c r="D50">
        <v>-0.184</v>
      </c>
      <c r="E50">
        <v>14.61</v>
      </c>
      <c r="F50">
        <v>7.8799999999999995E-2</v>
      </c>
      <c r="G50" s="2">
        <v>2.3199999999999998E-2</v>
      </c>
      <c r="H50">
        <v>35</v>
      </c>
      <c r="I50" s="2">
        <v>1.257E-2</v>
      </c>
      <c r="J50" s="2"/>
      <c r="K50" t="str">
        <f t="shared" si="2"/>
        <v xml:space="preserve">    - 0.040</v>
      </c>
      <c r="L50" t="str">
        <f t="shared" si="3"/>
        <v xml:space="preserve">    - [6.906, 2.243, -0.184, 14.61, 0.0788]</v>
      </c>
      <c r="M50" s="2"/>
      <c r="N50" s="2"/>
      <c r="O50">
        <f>'ANSI Buildup Factors'!A50-'DLC Buildup Factors'!G41</f>
        <v>0</v>
      </c>
      <c r="P50">
        <f>'ANSI Buildup Factors'!B50-'DLC Buildup Factors'!H41</f>
        <v>0</v>
      </c>
      <c r="Q50">
        <f>'ANSI Buildup Factors'!C50-'DLC Buildup Factors'!I41</f>
        <v>0</v>
      </c>
      <c r="R50">
        <f>'ANSI Buildup Factors'!D50-'DLC Buildup Factors'!J41</f>
        <v>0</v>
      </c>
      <c r="S50">
        <f>'ANSI Buildup Factors'!E50-'DLC Buildup Factors'!K41</f>
        <v>0</v>
      </c>
      <c r="T50">
        <f>'ANSI Buildup Factors'!F50-'DLC Buildup Factors'!L41</f>
        <v>0</v>
      </c>
      <c r="U50">
        <f>'ANSI Buildup Factors'!G50-'DLC Buildup Factors'!M41</f>
        <v>0</v>
      </c>
      <c r="V50">
        <f>'ANSI Buildup Factors'!H50-'DLC Buildup Factors'!N41</f>
        <v>0</v>
      </c>
      <c r="W50">
        <f>'ANSI Buildup Factors'!I50-'DLC Buildup Factors'!O41</f>
        <v>0</v>
      </c>
    </row>
    <row r="51" spans="1:23">
      <c r="A51" s="11">
        <v>0.05</v>
      </c>
      <c r="B51">
        <v>8.2469999999999999</v>
      </c>
      <c r="C51">
        <v>2.657</v>
      </c>
      <c r="D51">
        <v>-0.223</v>
      </c>
      <c r="E51">
        <v>14.47</v>
      </c>
      <c r="F51">
        <v>9.7199999999999995E-2</v>
      </c>
      <c r="G51" s="2">
        <v>2.8299999999999999E-2</v>
      </c>
      <c r="H51">
        <v>25</v>
      </c>
      <c r="I51" s="2">
        <v>1.6109999999999999E-2</v>
      </c>
      <c r="K51" t="str">
        <f t="shared" si="2"/>
        <v xml:space="preserve">    - 0.050</v>
      </c>
      <c r="L51" t="str">
        <f t="shared" si="3"/>
        <v xml:space="preserve">    - [8.247, 2.657, -0.223, 14.47, 0.0972]</v>
      </c>
      <c r="O51">
        <f>'ANSI Buildup Factors'!A51-'DLC Buildup Factors'!G42</f>
        <v>0</v>
      </c>
      <c r="P51">
        <f>'ANSI Buildup Factors'!B51-'DLC Buildup Factors'!H42</f>
        <v>0</v>
      </c>
      <c r="Q51">
        <f>'ANSI Buildup Factors'!C51-'DLC Buildup Factors'!I42</f>
        <v>0</v>
      </c>
      <c r="R51">
        <f>'ANSI Buildup Factors'!D51-'DLC Buildup Factors'!J42</f>
        <v>0</v>
      </c>
      <c r="S51">
        <f>'ANSI Buildup Factors'!E51-'DLC Buildup Factors'!K42</f>
        <v>0</v>
      </c>
      <c r="T51">
        <f>'ANSI Buildup Factors'!F51-'DLC Buildup Factors'!L42</f>
        <v>0</v>
      </c>
      <c r="U51">
        <f>'ANSI Buildup Factors'!G51-'DLC Buildup Factors'!M42</f>
        <v>0</v>
      </c>
      <c r="V51">
        <f>'ANSI Buildup Factors'!H51-'DLC Buildup Factors'!N42</f>
        <v>0</v>
      </c>
      <c r="W51">
        <f>'ANSI Buildup Factors'!I51-'DLC Buildup Factors'!O42</f>
        <v>0</v>
      </c>
    </row>
    <row r="52" spans="1:23">
      <c r="A52" s="11">
        <v>0.06</v>
      </c>
      <c r="B52">
        <v>8.58</v>
      </c>
      <c r="C52">
        <v>2.9470000000000001</v>
      </c>
      <c r="D52">
        <v>-0.247</v>
      </c>
      <c r="E52">
        <v>14.36</v>
      </c>
      <c r="F52">
        <v>0.108</v>
      </c>
      <c r="G52" s="2">
        <v>3.27E-2</v>
      </c>
      <c r="H52">
        <v>15</v>
      </c>
      <c r="I52" s="2">
        <v>1.8419999999999999E-2</v>
      </c>
      <c r="K52" t="str">
        <f t="shared" si="2"/>
        <v xml:space="preserve">    - 0.060</v>
      </c>
      <c r="L52" t="str">
        <f t="shared" si="3"/>
        <v xml:space="preserve">    - [8.580, 2.947, -0.247, 14.36, 0.1080]</v>
      </c>
      <c r="O52">
        <f>'ANSI Buildup Factors'!A52-'DLC Buildup Factors'!G43</f>
        <v>0</v>
      </c>
      <c r="P52">
        <f>'ANSI Buildup Factors'!B52-'DLC Buildup Factors'!H43</f>
        <v>0</v>
      </c>
      <c r="Q52">
        <f>'ANSI Buildup Factors'!C52-'DLC Buildup Factors'!I43</f>
        <v>0</v>
      </c>
      <c r="R52">
        <f>'ANSI Buildup Factors'!D52-'DLC Buildup Factors'!J43</f>
        <v>0</v>
      </c>
      <c r="S52">
        <f>'ANSI Buildup Factors'!E52-'DLC Buildup Factors'!K43</f>
        <v>0</v>
      </c>
      <c r="T52">
        <f>'ANSI Buildup Factors'!F52-'DLC Buildup Factors'!L43</f>
        <v>0</v>
      </c>
      <c r="U52">
        <f>'ANSI Buildup Factors'!G52-'DLC Buildup Factors'!M43</f>
        <v>0</v>
      </c>
      <c r="V52">
        <f>'ANSI Buildup Factors'!H52-'DLC Buildup Factors'!N43</f>
        <v>0</v>
      </c>
      <c r="W52">
        <f>'ANSI Buildup Factors'!I52-'DLC Buildup Factors'!O43</f>
        <v>0</v>
      </c>
    </row>
    <row r="53" spans="1:23">
      <c r="A53" s="11">
        <v>0.08</v>
      </c>
      <c r="B53">
        <v>8.0890000000000004</v>
      </c>
      <c r="C53">
        <v>3.17</v>
      </c>
      <c r="D53">
        <v>-0.26200000000000001</v>
      </c>
      <c r="E53">
        <v>14.66</v>
      </c>
      <c r="F53">
        <v>0.1119</v>
      </c>
      <c r="G53" s="2">
        <v>2.8299999999999999E-2</v>
      </c>
      <c r="H53">
        <v>15</v>
      </c>
      <c r="I53" s="2">
        <v>1.6449999999999999E-2</v>
      </c>
      <c r="K53" t="str">
        <f t="shared" si="2"/>
        <v xml:space="preserve">    - 0.080</v>
      </c>
      <c r="L53" t="str">
        <f t="shared" si="3"/>
        <v xml:space="preserve">    - [8.089, 3.170, -0.262, 14.66, 0.1119]</v>
      </c>
      <c r="O53">
        <f>'ANSI Buildup Factors'!A53-'DLC Buildup Factors'!G44</f>
        <v>0</v>
      </c>
      <c r="P53">
        <f>'ANSI Buildup Factors'!B53-'DLC Buildup Factors'!H44</f>
        <v>0</v>
      </c>
      <c r="Q53">
        <f>'ANSI Buildup Factors'!C53-'DLC Buildup Factors'!I44</f>
        <v>0</v>
      </c>
      <c r="R53">
        <f>'ANSI Buildup Factors'!D53-'DLC Buildup Factors'!J44</f>
        <v>0</v>
      </c>
      <c r="S53">
        <f>'ANSI Buildup Factors'!E53-'DLC Buildup Factors'!K44</f>
        <v>0</v>
      </c>
      <c r="T53">
        <f>'ANSI Buildup Factors'!F53-'DLC Buildup Factors'!L44</f>
        <v>0</v>
      </c>
      <c r="U53">
        <f>'ANSI Buildup Factors'!G53-'DLC Buildup Factors'!M44</f>
        <v>0</v>
      </c>
      <c r="V53">
        <f>'ANSI Buildup Factors'!H53-'DLC Buildup Factors'!N44</f>
        <v>0</v>
      </c>
      <c r="W53">
        <f>'ANSI Buildup Factors'!I53-'DLC Buildup Factors'!O44</f>
        <v>0</v>
      </c>
    </row>
    <row r="54" spans="1:23">
      <c r="A54" s="11">
        <v>0.1</v>
      </c>
      <c r="B54">
        <v>8.2620000000000005</v>
      </c>
      <c r="C54">
        <v>2.9510000000000001</v>
      </c>
      <c r="D54">
        <v>-0.23799999999999999</v>
      </c>
      <c r="E54">
        <v>16.05</v>
      </c>
      <c r="F54">
        <v>9.5600000000000004E-2</v>
      </c>
      <c r="G54" s="2">
        <v>1.77E-2</v>
      </c>
      <c r="H54">
        <v>3</v>
      </c>
      <c r="I54" s="2">
        <v>1.043E-2</v>
      </c>
      <c r="K54" t="str">
        <f t="shared" si="2"/>
        <v xml:space="preserve">    - 0.100</v>
      </c>
      <c r="L54" t="str">
        <f t="shared" si="3"/>
        <v xml:space="preserve">    - [8.262, 2.951, -0.238, 16.05, 0.0956]</v>
      </c>
      <c r="O54">
        <f>'ANSI Buildup Factors'!A54-'DLC Buildup Factors'!G45</f>
        <v>0</v>
      </c>
      <c r="P54">
        <f>'ANSI Buildup Factors'!B54-'DLC Buildup Factors'!H45</f>
        <v>0</v>
      </c>
      <c r="Q54">
        <f>'ANSI Buildup Factors'!C54-'DLC Buildup Factors'!I45</f>
        <v>0</v>
      </c>
      <c r="R54">
        <f>'ANSI Buildup Factors'!D54-'DLC Buildup Factors'!J45</f>
        <v>0</v>
      </c>
      <c r="S54">
        <f>'ANSI Buildup Factors'!E54-'DLC Buildup Factors'!K45</f>
        <v>0</v>
      </c>
      <c r="T54">
        <f>'ANSI Buildup Factors'!F54-'DLC Buildup Factors'!L45</f>
        <v>0</v>
      </c>
      <c r="U54">
        <f>'ANSI Buildup Factors'!G54-'DLC Buildup Factors'!M45</f>
        <v>0</v>
      </c>
      <c r="V54">
        <f>'ANSI Buildup Factors'!H54-'DLC Buildup Factors'!N45</f>
        <v>0</v>
      </c>
      <c r="W54">
        <f>'ANSI Buildup Factors'!I54-'DLC Buildup Factors'!O45</f>
        <v>0</v>
      </c>
    </row>
    <row r="55" spans="1:23">
      <c r="A55" s="11">
        <v>0.15</v>
      </c>
      <c r="B55">
        <v>5.9429999999999996</v>
      </c>
      <c r="C55">
        <v>3.081</v>
      </c>
      <c r="D55">
        <v>-0.25600000000000001</v>
      </c>
      <c r="E55">
        <v>15.38</v>
      </c>
      <c r="F55">
        <v>0.1057</v>
      </c>
      <c r="G55" s="2">
        <v>0</v>
      </c>
      <c r="H55">
        <v>0</v>
      </c>
      <c r="I55" s="2">
        <v>0</v>
      </c>
      <c r="K55" t="str">
        <f t="shared" si="2"/>
        <v xml:space="preserve">    - 0.150</v>
      </c>
      <c r="L55" t="str">
        <f t="shared" si="3"/>
        <v xml:space="preserve">    - [5.943, 3.081, -0.256, 15.38, 0.1057]</v>
      </c>
      <c r="O55">
        <f>'ANSI Buildup Factors'!A55-'DLC Buildup Factors'!G46</f>
        <v>0</v>
      </c>
      <c r="P55">
        <f>'ANSI Buildup Factors'!B55-'DLC Buildup Factors'!H46</f>
        <v>0</v>
      </c>
      <c r="Q55">
        <f>'ANSI Buildup Factors'!C55-'DLC Buildup Factors'!I46</f>
        <v>0</v>
      </c>
      <c r="R55">
        <f>'ANSI Buildup Factors'!D55-'DLC Buildup Factors'!J46</f>
        <v>0</v>
      </c>
      <c r="S55">
        <f>'ANSI Buildup Factors'!E55-'DLC Buildup Factors'!K46</f>
        <v>0</v>
      </c>
      <c r="T55">
        <f>'ANSI Buildup Factors'!F55-'DLC Buildup Factors'!L46</f>
        <v>0</v>
      </c>
      <c r="U55">
        <f>'ANSI Buildup Factors'!G55-'DLC Buildup Factors'!M46</f>
        <v>0</v>
      </c>
      <c r="V55">
        <f>'ANSI Buildup Factors'!H55-'DLC Buildup Factors'!N46</f>
        <v>0</v>
      </c>
      <c r="W55">
        <f>'ANSI Buildup Factors'!I55-'DLC Buildup Factors'!O46</f>
        <v>0</v>
      </c>
    </row>
    <row r="56" spans="1:23">
      <c r="A56" s="11">
        <v>0.2</v>
      </c>
      <c r="B56">
        <v>3.927</v>
      </c>
      <c r="C56">
        <v>3.222</v>
      </c>
      <c r="D56">
        <v>-0.27900000000000003</v>
      </c>
      <c r="E56">
        <v>14.14</v>
      </c>
      <c r="F56">
        <v>0.1225</v>
      </c>
      <c r="G56" s="2">
        <v>3.73E-2</v>
      </c>
      <c r="H56">
        <v>15</v>
      </c>
      <c r="I56" s="2">
        <v>2.1590000000000002E-2</v>
      </c>
      <c r="K56" t="str">
        <f t="shared" si="2"/>
        <v xml:space="preserve">    - 0.200</v>
      </c>
      <c r="L56" t="str">
        <f t="shared" si="3"/>
        <v xml:space="preserve">    - [3.927, 3.222, -0.279, 14.14, 0.1225]</v>
      </c>
      <c r="O56">
        <f>'ANSI Buildup Factors'!A56-'DLC Buildup Factors'!G47</f>
        <v>0</v>
      </c>
      <c r="P56">
        <f>'ANSI Buildup Factors'!B56-'DLC Buildup Factors'!H47</f>
        <v>0</v>
      </c>
      <c r="Q56">
        <f>'ANSI Buildup Factors'!C56-'DLC Buildup Factors'!I47</f>
        <v>0</v>
      </c>
      <c r="R56">
        <f>'ANSI Buildup Factors'!D56-'DLC Buildup Factors'!J47</f>
        <v>0</v>
      </c>
      <c r="S56">
        <f>'ANSI Buildup Factors'!E56-'DLC Buildup Factors'!K47</f>
        <v>0</v>
      </c>
      <c r="T56">
        <f>'ANSI Buildup Factors'!F56-'DLC Buildup Factors'!L47</f>
        <v>0</v>
      </c>
      <c r="U56">
        <f>'ANSI Buildup Factors'!G56-'DLC Buildup Factors'!M47</f>
        <v>0</v>
      </c>
      <c r="V56">
        <f>'ANSI Buildup Factors'!H56-'DLC Buildup Factors'!N47</f>
        <v>0</v>
      </c>
      <c r="W56">
        <f>'ANSI Buildup Factors'!I56-'DLC Buildup Factors'!O47</f>
        <v>0</v>
      </c>
    </row>
    <row r="57" spans="1:23">
      <c r="A57" s="11">
        <v>0.3</v>
      </c>
      <c r="B57">
        <v>3.1560000000000001</v>
      </c>
      <c r="C57">
        <v>2.9279999999999999</v>
      </c>
      <c r="D57">
        <v>-0.26500000000000001</v>
      </c>
      <c r="E57">
        <v>13.98</v>
      </c>
      <c r="F57">
        <v>0.127</v>
      </c>
      <c r="G57" s="2">
        <v>5.1999999999999998E-2</v>
      </c>
      <c r="H57">
        <v>1</v>
      </c>
      <c r="I57" s="2">
        <v>2.6679999999999999E-2</v>
      </c>
      <c r="K57" t="str">
        <f t="shared" si="2"/>
        <v xml:space="preserve">    - 0.300</v>
      </c>
      <c r="L57" t="str">
        <f t="shared" si="3"/>
        <v xml:space="preserve">    - [3.156, 2.928, -0.265, 13.98, 0.1270]</v>
      </c>
      <c r="O57">
        <f>'ANSI Buildup Factors'!A57-'DLC Buildup Factors'!G48</f>
        <v>0</v>
      </c>
      <c r="P57">
        <f>'ANSI Buildup Factors'!B57-'DLC Buildup Factors'!H48</f>
        <v>0</v>
      </c>
      <c r="Q57">
        <f>'ANSI Buildup Factors'!C57-'DLC Buildup Factors'!I48</f>
        <v>0</v>
      </c>
      <c r="R57">
        <f>'ANSI Buildup Factors'!D57-'DLC Buildup Factors'!J48</f>
        <v>0</v>
      </c>
      <c r="S57">
        <f>'ANSI Buildup Factors'!E57-'DLC Buildup Factors'!K48</f>
        <v>0</v>
      </c>
      <c r="T57">
        <f>'ANSI Buildup Factors'!F57-'DLC Buildup Factors'!L48</f>
        <v>0</v>
      </c>
      <c r="U57">
        <f>'ANSI Buildup Factors'!G57-'DLC Buildup Factors'!M48</f>
        <v>0</v>
      </c>
      <c r="V57">
        <f>'ANSI Buildup Factors'!H57-'DLC Buildup Factors'!N48</f>
        <v>0</v>
      </c>
      <c r="W57">
        <f>'ANSI Buildup Factors'!I57-'DLC Buildup Factors'!O48</f>
        <v>0</v>
      </c>
    </row>
    <row r="58" spans="1:23">
      <c r="A58" s="11">
        <v>0.4</v>
      </c>
      <c r="B58">
        <v>2.8620000000000001</v>
      </c>
      <c r="C58">
        <v>2.63</v>
      </c>
      <c r="D58">
        <v>-0.245</v>
      </c>
      <c r="E58">
        <v>12.58</v>
      </c>
      <c r="F58">
        <v>0.1109</v>
      </c>
      <c r="G58" s="2">
        <v>3.0800000000000001E-2</v>
      </c>
      <c r="H58">
        <v>10</v>
      </c>
      <c r="I58" s="2">
        <v>2.0920000000000001E-2</v>
      </c>
      <c r="K58" t="str">
        <f t="shared" si="2"/>
        <v xml:space="preserve">    - 0.400</v>
      </c>
      <c r="L58" t="str">
        <f t="shared" si="3"/>
        <v xml:space="preserve">    - [2.862, 2.630, -0.245, 12.58, 0.1109]</v>
      </c>
      <c r="O58">
        <f>'ANSI Buildup Factors'!A58-'DLC Buildup Factors'!G49</f>
        <v>0</v>
      </c>
      <c r="P58">
        <f>'ANSI Buildup Factors'!B58-'DLC Buildup Factors'!H49</f>
        <v>0</v>
      </c>
      <c r="Q58">
        <f>'ANSI Buildup Factors'!C58-'DLC Buildup Factors'!I49</f>
        <v>0</v>
      </c>
      <c r="R58">
        <f>'ANSI Buildup Factors'!D58-'DLC Buildup Factors'!J49</f>
        <v>0</v>
      </c>
      <c r="S58">
        <f>'ANSI Buildup Factors'!E58-'DLC Buildup Factors'!K49</f>
        <v>0</v>
      </c>
      <c r="T58">
        <f>'ANSI Buildup Factors'!F58-'DLC Buildup Factors'!L49</f>
        <v>0</v>
      </c>
      <c r="U58">
        <f>'ANSI Buildup Factors'!G58-'DLC Buildup Factors'!M49</f>
        <v>0</v>
      </c>
      <c r="V58">
        <f>'ANSI Buildup Factors'!H58-'DLC Buildup Factors'!N49</f>
        <v>0</v>
      </c>
      <c r="W58">
        <f>'ANSI Buildup Factors'!I58-'DLC Buildup Factors'!O49</f>
        <v>0</v>
      </c>
    </row>
    <row r="59" spans="1:23">
      <c r="A59" s="11">
        <v>0.5</v>
      </c>
      <c r="B59">
        <v>2.6789999999999998</v>
      </c>
      <c r="C59">
        <v>2.375</v>
      </c>
      <c r="D59">
        <v>-0.222</v>
      </c>
      <c r="E59">
        <v>12.68</v>
      </c>
      <c r="F59">
        <v>0.1043</v>
      </c>
      <c r="G59" s="2">
        <v>3.44E-2</v>
      </c>
      <c r="H59">
        <v>1</v>
      </c>
      <c r="I59" s="2">
        <v>2.2610000000000002E-2</v>
      </c>
      <c r="K59" t="str">
        <f t="shared" si="2"/>
        <v xml:space="preserve">    - 0.500</v>
      </c>
      <c r="L59" t="str">
        <f t="shared" si="3"/>
        <v xml:space="preserve">    - [2.679, 2.375, -0.222, 12.68, 0.1043]</v>
      </c>
      <c r="O59">
        <f>'ANSI Buildup Factors'!A59-'DLC Buildup Factors'!G50</f>
        <v>0</v>
      </c>
      <c r="P59">
        <f>'ANSI Buildup Factors'!B59-'DLC Buildup Factors'!H50</f>
        <v>0</v>
      </c>
      <c r="Q59">
        <f>'ANSI Buildup Factors'!C59-'DLC Buildup Factors'!I50</f>
        <v>0</v>
      </c>
      <c r="R59">
        <f>'ANSI Buildup Factors'!D59-'DLC Buildup Factors'!J50</f>
        <v>0</v>
      </c>
      <c r="S59">
        <f>'ANSI Buildup Factors'!E59-'DLC Buildup Factors'!K50</f>
        <v>0</v>
      </c>
      <c r="T59">
        <f>'ANSI Buildup Factors'!F59-'DLC Buildup Factors'!L50</f>
        <v>0</v>
      </c>
      <c r="U59">
        <f>'ANSI Buildup Factors'!G59-'DLC Buildup Factors'!M50</f>
        <v>0</v>
      </c>
      <c r="V59">
        <f>'ANSI Buildup Factors'!H59-'DLC Buildup Factors'!N50</f>
        <v>0</v>
      </c>
      <c r="W59">
        <f>'ANSI Buildup Factors'!I59-'DLC Buildup Factors'!O50</f>
        <v>0</v>
      </c>
    </row>
    <row r="60" spans="1:23">
      <c r="A60" s="11">
        <v>0.6</v>
      </c>
      <c r="B60">
        <v>2.5470000000000002</v>
      </c>
      <c r="C60">
        <v>2.161</v>
      </c>
      <c r="D60">
        <v>-0.19800000000000001</v>
      </c>
      <c r="E60">
        <v>13.69</v>
      </c>
      <c r="F60">
        <v>0.10199999999999999</v>
      </c>
      <c r="G60" s="2">
        <v>4.0599999999999997E-2</v>
      </c>
      <c r="H60">
        <v>10</v>
      </c>
      <c r="I60" s="2">
        <v>2.7099999999999999E-2</v>
      </c>
      <c r="K60" t="str">
        <f t="shared" si="2"/>
        <v xml:space="preserve">    - 0.600</v>
      </c>
      <c r="L60" t="str">
        <f t="shared" si="3"/>
        <v xml:space="preserve">    - [2.547, 2.161, -0.198, 13.69, 0.1020]</v>
      </c>
      <c r="O60">
        <f>'ANSI Buildup Factors'!A60-'DLC Buildup Factors'!G51</f>
        <v>0</v>
      </c>
      <c r="P60">
        <f>'ANSI Buildup Factors'!B60-'DLC Buildup Factors'!H51</f>
        <v>0</v>
      </c>
      <c r="Q60">
        <f>'ANSI Buildup Factors'!C60-'DLC Buildup Factors'!I51</f>
        <v>0</v>
      </c>
      <c r="R60">
        <f>'ANSI Buildup Factors'!D60-'DLC Buildup Factors'!J51</f>
        <v>0</v>
      </c>
      <c r="S60">
        <f>'ANSI Buildup Factors'!E60-'DLC Buildup Factors'!K51</f>
        <v>0</v>
      </c>
      <c r="T60">
        <f>'ANSI Buildup Factors'!F60-'DLC Buildup Factors'!L51</f>
        <v>0</v>
      </c>
      <c r="U60">
        <f>'ANSI Buildup Factors'!G60-'DLC Buildup Factors'!M51</f>
        <v>0</v>
      </c>
      <c r="V60">
        <f>'ANSI Buildup Factors'!H60-'DLC Buildup Factors'!N51</f>
        <v>0</v>
      </c>
      <c r="W60">
        <f>'ANSI Buildup Factors'!I60-'DLC Buildup Factors'!O51</f>
        <v>0</v>
      </c>
    </row>
    <row r="61" spans="1:23">
      <c r="A61" s="11">
        <v>0.8</v>
      </c>
      <c r="B61">
        <v>2.359</v>
      </c>
      <c r="C61">
        <v>1.8939999999999999</v>
      </c>
      <c r="D61">
        <v>-0.16700000000000001</v>
      </c>
      <c r="E61">
        <v>13.38</v>
      </c>
      <c r="F61">
        <v>8.7599999999999997E-2</v>
      </c>
      <c r="G61" s="2">
        <v>4.3799999999999999E-2</v>
      </c>
      <c r="H61">
        <v>1</v>
      </c>
      <c r="I61" s="2">
        <v>2.8240000000000001E-2</v>
      </c>
      <c r="K61" t="str">
        <f t="shared" si="2"/>
        <v xml:space="preserve">    - 0.800</v>
      </c>
      <c r="L61" t="str">
        <f t="shared" si="3"/>
        <v xml:space="preserve">    - [2.359, 1.894, -0.167, 13.38, 0.0876]</v>
      </c>
      <c r="O61">
        <f>'ANSI Buildup Factors'!A61-'DLC Buildup Factors'!G52</f>
        <v>0</v>
      </c>
      <c r="P61">
        <f>'ANSI Buildup Factors'!B61-'DLC Buildup Factors'!H52</f>
        <v>0</v>
      </c>
      <c r="Q61">
        <f>'ANSI Buildup Factors'!C61-'DLC Buildup Factors'!I52</f>
        <v>0</v>
      </c>
      <c r="R61">
        <f>'ANSI Buildup Factors'!D61-'DLC Buildup Factors'!J52</f>
        <v>0</v>
      </c>
      <c r="S61">
        <f>'ANSI Buildup Factors'!E61-'DLC Buildup Factors'!K52</f>
        <v>0</v>
      </c>
      <c r="T61">
        <f>'ANSI Buildup Factors'!F61-'DLC Buildup Factors'!L52</f>
        <v>0</v>
      </c>
      <c r="U61">
        <f>'ANSI Buildup Factors'!G61-'DLC Buildup Factors'!M52</f>
        <v>0</v>
      </c>
      <c r="V61">
        <f>'ANSI Buildup Factors'!H61-'DLC Buildup Factors'!N52</f>
        <v>0</v>
      </c>
      <c r="W61">
        <f>'ANSI Buildup Factors'!I61-'DLC Buildup Factors'!O52</f>
        <v>0</v>
      </c>
    </row>
    <row r="62" spans="1:23">
      <c r="A62" s="11">
        <v>1</v>
      </c>
      <c r="B62">
        <v>2.258</v>
      </c>
      <c r="C62">
        <v>1.6739999999999999</v>
      </c>
      <c r="D62">
        <v>-0.13500000000000001</v>
      </c>
      <c r="E62">
        <v>13.53</v>
      </c>
      <c r="F62">
        <v>7.1800000000000003E-2</v>
      </c>
      <c r="G62" s="2">
        <v>3.6499999999999998E-2</v>
      </c>
      <c r="H62">
        <v>0.5</v>
      </c>
      <c r="I62" s="2">
        <v>2.392E-2</v>
      </c>
      <c r="K62" t="str">
        <f t="shared" si="2"/>
        <v xml:space="preserve">    - 1.000</v>
      </c>
      <c r="L62" t="str">
        <f t="shared" si="3"/>
        <v xml:space="preserve">    - [2.258, 1.674, -0.135, 13.53, 0.0718]</v>
      </c>
      <c r="O62">
        <f>'ANSI Buildup Factors'!A62-'DLC Buildup Factors'!G53</f>
        <v>0</v>
      </c>
      <c r="P62">
        <f>'ANSI Buildup Factors'!B62-'DLC Buildup Factors'!H53</f>
        <v>0</v>
      </c>
      <c r="Q62">
        <f>'ANSI Buildup Factors'!C62-'DLC Buildup Factors'!I53</f>
        <v>0</v>
      </c>
      <c r="R62">
        <f>'ANSI Buildup Factors'!D62-'DLC Buildup Factors'!J53</f>
        <v>0</v>
      </c>
      <c r="S62">
        <f>'ANSI Buildup Factors'!E62-'DLC Buildup Factors'!K53</f>
        <v>0</v>
      </c>
      <c r="T62">
        <f>'ANSI Buildup Factors'!F62-'DLC Buildup Factors'!L53</f>
        <v>0</v>
      </c>
      <c r="U62">
        <f>'ANSI Buildup Factors'!G62-'DLC Buildup Factors'!M53</f>
        <v>0</v>
      </c>
      <c r="V62">
        <f>'ANSI Buildup Factors'!H62-'DLC Buildup Factors'!N53</f>
        <v>0</v>
      </c>
      <c r="W62">
        <f>'ANSI Buildup Factors'!I62-'DLC Buildup Factors'!O53</f>
        <v>0</v>
      </c>
    </row>
    <row r="63" spans="1:23">
      <c r="A63" s="11">
        <v>1.5</v>
      </c>
      <c r="B63">
        <v>2.0750000000000002</v>
      </c>
      <c r="C63">
        <v>1.3720000000000001</v>
      </c>
      <c r="D63">
        <v>-8.3000000000000004E-2</v>
      </c>
      <c r="E63">
        <v>13.78</v>
      </c>
      <c r="F63">
        <v>4.7E-2</v>
      </c>
      <c r="G63" s="2">
        <v>3.2899999999999999E-2</v>
      </c>
      <c r="H63">
        <v>0.5</v>
      </c>
      <c r="I63" s="2">
        <v>1.5389999999999999E-2</v>
      </c>
      <c r="K63" t="str">
        <f t="shared" si="2"/>
        <v xml:space="preserve">    - 1.500</v>
      </c>
      <c r="L63" t="str">
        <f t="shared" si="3"/>
        <v xml:space="preserve">    - [2.075, 1.372, -0.083, 13.78, 0.0470]</v>
      </c>
      <c r="O63">
        <f>'ANSI Buildup Factors'!A63-'DLC Buildup Factors'!G54</f>
        <v>0</v>
      </c>
      <c r="P63">
        <f>'ANSI Buildup Factors'!B63-'DLC Buildup Factors'!H54</f>
        <v>0</v>
      </c>
      <c r="Q63">
        <f>'ANSI Buildup Factors'!C63-'DLC Buildup Factors'!I54</f>
        <v>0</v>
      </c>
      <c r="R63">
        <f>'ANSI Buildup Factors'!D63-'DLC Buildup Factors'!J54</f>
        <v>0</v>
      </c>
      <c r="S63">
        <f>'ANSI Buildup Factors'!E63-'DLC Buildup Factors'!K54</f>
        <v>0</v>
      </c>
      <c r="T63">
        <f>'ANSI Buildup Factors'!F63-'DLC Buildup Factors'!L54</f>
        <v>0</v>
      </c>
      <c r="U63">
        <f>'ANSI Buildup Factors'!G63-'DLC Buildup Factors'!M54</f>
        <v>0</v>
      </c>
      <c r="V63">
        <f>'ANSI Buildup Factors'!H63-'DLC Buildup Factors'!N54</f>
        <v>0</v>
      </c>
      <c r="W63">
        <f>'ANSI Buildup Factors'!I63-'DLC Buildup Factors'!O54</f>
        <v>0</v>
      </c>
    </row>
    <row r="64" spans="1:23">
      <c r="A64" s="11">
        <v>2</v>
      </c>
      <c r="B64">
        <v>1.9550000000000001</v>
      </c>
      <c r="C64">
        <v>1.2130000000000001</v>
      </c>
      <c r="D64">
        <v>-0.05</v>
      </c>
      <c r="E64">
        <v>14.44</v>
      </c>
      <c r="F64">
        <v>2.7799999999999998E-2</v>
      </c>
      <c r="G64" s="2">
        <v>2.86E-2</v>
      </c>
      <c r="H64">
        <v>0.5</v>
      </c>
      <c r="I64" s="2">
        <v>1.2019999999999999E-2</v>
      </c>
      <c r="K64" t="str">
        <f t="shared" si="2"/>
        <v xml:space="preserve">    - 2.000</v>
      </c>
      <c r="L64" t="str">
        <f t="shared" si="3"/>
        <v xml:space="preserve">    - [1.955, 1.213, -0.050, 14.44, 0.0278]</v>
      </c>
      <c r="O64">
        <f>'ANSI Buildup Factors'!A64-'DLC Buildup Factors'!G55</f>
        <v>0</v>
      </c>
      <c r="P64">
        <f>'ANSI Buildup Factors'!B64-'DLC Buildup Factors'!H55</f>
        <v>0</v>
      </c>
      <c r="Q64">
        <f>'ANSI Buildup Factors'!C64-'DLC Buildup Factors'!I55</f>
        <v>0</v>
      </c>
      <c r="R64">
        <f>'ANSI Buildup Factors'!D64-'DLC Buildup Factors'!J55</f>
        <v>0</v>
      </c>
      <c r="S64">
        <f>'ANSI Buildup Factors'!E64-'DLC Buildup Factors'!K55</f>
        <v>0</v>
      </c>
      <c r="T64">
        <f>'ANSI Buildup Factors'!F64-'DLC Buildup Factors'!L55</f>
        <v>0</v>
      </c>
      <c r="U64">
        <f>'ANSI Buildup Factors'!G64-'DLC Buildup Factors'!M55</f>
        <v>0</v>
      </c>
      <c r="V64">
        <f>'ANSI Buildup Factors'!H64-'DLC Buildup Factors'!N55</f>
        <v>0</v>
      </c>
      <c r="W64">
        <f>'ANSI Buildup Factors'!I64-'DLC Buildup Factors'!O55</f>
        <v>0</v>
      </c>
    </row>
    <row r="65" spans="1:23">
      <c r="A65" s="11">
        <v>3</v>
      </c>
      <c r="B65">
        <v>1.7849999999999999</v>
      </c>
      <c r="C65">
        <v>1.069</v>
      </c>
      <c r="D65">
        <v>-1.7999999999999999E-2</v>
      </c>
      <c r="E65">
        <v>12.74</v>
      </c>
      <c r="F65">
        <v>1.06E-2</v>
      </c>
      <c r="G65" s="2">
        <v>1.8200000000000001E-2</v>
      </c>
      <c r="H65">
        <v>0.5</v>
      </c>
      <c r="I65" s="2">
        <v>6.3800000000000003E-3</v>
      </c>
      <c r="K65" t="str">
        <f t="shared" si="2"/>
        <v xml:space="preserve">    - 3.000</v>
      </c>
      <c r="L65" t="str">
        <f t="shared" si="3"/>
        <v xml:space="preserve">    - [1.785, 1.069, -0.018, 12.74, 0.0106]</v>
      </c>
      <c r="O65">
        <f>'ANSI Buildup Factors'!A65-'DLC Buildup Factors'!G56</f>
        <v>0</v>
      </c>
      <c r="P65">
        <f>'ANSI Buildup Factors'!B65-'DLC Buildup Factors'!H56</f>
        <v>0</v>
      </c>
      <c r="Q65">
        <f>'ANSI Buildup Factors'!C65-'DLC Buildup Factors'!I56</f>
        <v>0</v>
      </c>
      <c r="R65">
        <f>'ANSI Buildup Factors'!D65-'DLC Buildup Factors'!J56</f>
        <v>0</v>
      </c>
      <c r="S65">
        <f>'ANSI Buildup Factors'!E65-'DLC Buildup Factors'!K56</f>
        <v>0</v>
      </c>
      <c r="T65">
        <f>'ANSI Buildup Factors'!F65-'DLC Buildup Factors'!L56</f>
        <v>0</v>
      </c>
      <c r="U65">
        <f>'ANSI Buildup Factors'!G65-'DLC Buildup Factors'!M56</f>
        <v>0</v>
      </c>
      <c r="V65">
        <f>'ANSI Buildup Factors'!H65-'DLC Buildup Factors'!N56</f>
        <v>0</v>
      </c>
      <c r="W65">
        <f>'ANSI Buildup Factors'!I65-'DLC Buildup Factors'!O56</f>
        <v>0</v>
      </c>
    </row>
    <row r="66" spans="1:23">
      <c r="A66" s="11">
        <v>4</v>
      </c>
      <c r="B66">
        <v>1.6839999999999999</v>
      </c>
      <c r="C66">
        <v>0.97799999999999998</v>
      </c>
      <c r="D66">
        <v>6.0000000000000001E-3</v>
      </c>
      <c r="E66">
        <v>17.12</v>
      </c>
      <c r="F66">
        <v>-4.4999999999999997E-3</v>
      </c>
      <c r="G66" s="2">
        <v>1.0699999999999999E-2</v>
      </c>
      <c r="H66">
        <v>0.5</v>
      </c>
      <c r="I66" s="2">
        <v>3.4199999999999999E-3</v>
      </c>
      <c r="K66" t="str">
        <f t="shared" si="2"/>
        <v xml:space="preserve">    - 4.000</v>
      </c>
      <c r="L66" t="str">
        <f t="shared" si="3"/>
        <v xml:space="preserve">    - [1.684, 0.978, 0.006, 17.12, -0.0045]</v>
      </c>
      <c r="O66">
        <f>'ANSI Buildup Factors'!A66-'DLC Buildup Factors'!G57</f>
        <v>0</v>
      </c>
      <c r="P66">
        <f>'ANSI Buildup Factors'!B66-'DLC Buildup Factors'!H57</f>
        <v>0</v>
      </c>
      <c r="Q66">
        <f>'ANSI Buildup Factors'!C66-'DLC Buildup Factors'!I57</f>
        <v>0</v>
      </c>
      <c r="R66">
        <f>'ANSI Buildup Factors'!D66-'DLC Buildup Factors'!J57</f>
        <v>0</v>
      </c>
      <c r="S66">
        <f>'ANSI Buildup Factors'!E66-'DLC Buildup Factors'!K57</f>
        <v>0</v>
      </c>
      <c r="T66">
        <f>'ANSI Buildup Factors'!F66-'DLC Buildup Factors'!L57</f>
        <v>0</v>
      </c>
      <c r="U66">
        <f>'ANSI Buildup Factors'!G66-'DLC Buildup Factors'!M57</f>
        <v>0</v>
      </c>
      <c r="V66">
        <f>'ANSI Buildup Factors'!H66-'DLC Buildup Factors'!N57</f>
        <v>0</v>
      </c>
      <c r="W66">
        <f>'ANSI Buildup Factors'!I66-'DLC Buildup Factors'!O57</f>
        <v>0</v>
      </c>
    </row>
    <row r="67" spans="1:23">
      <c r="A67" s="11">
        <v>5</v>
      </c>
      <c r="B67">
        <v>1.599</v>
      </c>
      <c r="C67">
        <v>0.93300000000000005</v>
      </c>
      <c r="D67">
        <v>1.7999999999999999E-2</v>
      </c>
      <c r="E67">
        <v>14.95</v>
      </c>
      <c r="F67">
        <v>-9.9000000000000008E-3</v>
      </c>
      <c r="G67" s="2">
        <v>7.0000000000000001E-3</v>
      </c>
      <c r="H67">
        <v>2</v>
      </c>
      <c r="I67" s="2">
        <v>2.7499999999999998E-3</v>
      </c>
      <c r="K67" t="str">
        <f t="shared" si="2"/>
        <v xml:space="preserve">    - 5.000</v>
      </c>
      <c r="L67" t="str">
        <f t="shared" si="3"/>
        <v xml:space="preserve">    - [1.599, 0.933, 0.018, 14.95, -0.0099]</v>
      </c>
      <c r="O67">
        <f>'ANSI Buildup Factors'!A67-'DLC Buildup Factors'!G58</f>
        <v>0</v>
      </c>
      <c r="P67">
        <f>'ANSI Buildup Factors'!B67-'DLC Buildup Factors'!H58</f>
        <v>0</v>
      </c>
      <c r="Q67">
        <f>'ANSI Buildup Factors'!C67-'DLC Buildup Factors'!I58</f>
        <v>0</v>
      </c>
      <c r="R67">
        <f>'ANSI Buildup Factors'!D67-'DLC Buildup Factors'!J58</f>
        <v>0</v>
      </c>
      <c r="S67">
        <f>'ANSI Buildup Factors'!E67-'DLC Buildup Factors'!K58</f>
        <v>0</v>
      </c>
      <c r="T67">
        <f>'ANSI Buildup Factors'!F67-'DLC Buildup Factors'!L58</f>
        <v>0</v>
      </c>
      <c r="U67">
        <f>'ANSI Buildup Factors'!G67-'DLC Buildup Factors'!M58</f>
        <v>0</v>
      </c>
      <c r="V67">
        <f>'ANSI Buildup Factors'!H67-'DLC Buildup Factors'!N58</f>
        <v>0</v>
      </c>
      <c r="W67">
        <f>'ANSI Buildup Factors'!I67-'DLC Buildup Factors'!O58</f>
        <v>0</v>
      </c>
    </row>
    <row r="68" spans="1:23">
      <c r="A68" s="11">
        <v>6</v>
      </c>
      <c r="B68">
        <v>1.5409999999999999</v>
      </c>
      <c r="C68">
        <v>0.90400000000000003</v>
      </c>
      <c r="D68">
        <v>2.5999999999999999E-2</v>
      </c>
      <c r="E68">
        <v>14.92</v>
      </c>
      <c r="F68">
        <v>-1.4200000000000001E-2</v>
      </c>
      <c r="G68" s="2">
        <v>5.7999999999999996E-3</v>
      </c>
      <c r="H68">
        <v>1</v>
      </c>
      <c r="I68" s="2">
        <v>2.5999999999999999E-3</v>
      </c>
      <c r="K68" t="str">
        <f t="shared" si="2"/>
        <v xml:space="preserve">    - 6.000</v>
      </c>
      <c r="L68" t="str">
        <f t="shared" si="3"/>
        <v xml:space="preserve">    - [1.541, 0.904, 0.026, 14.92, -0.0142]</v>
      </c>
      <c r="O68">
        <f>'ANSI Buildup Factors'!A68-'DLC Buildup Factors'!G59</f>
        <v>0</v>
      </c>
      <c r="P68">
        <f>'ANSI Buildup Factors'!B68-'DLC Buildup Factors'!H59</f>
        <v>0</v>
      </c>
      <c r="Q68">
        <f>'ANSI Buildup Factors'!C68-'DLC Buildup Factors'!I59</f>
        <v>0</v>
      </c>
      <c r="R68">
        <f>'ANSI Buildup Factors'!D68-'DLC Buildup Factors'!J59</f>
        <v>0</v>
      </c>
      <c r="S68">
        <f>'ANSI Buildup Factors'!E68-'DLC Buildup Factors'!K59</f>
        <v>0</v>
      </c>
      <c r="T68">
        <f>'ANSI Buildup Factors'!F68-'DLC Buildup Factors'!L59</f>
        <v>0</v>
      </c>
      <c r="U68">
        <f>'ANSI Buildup Factors'!G68-'DLC Buildup Factors'!M59</f>
        <v>0</v>
      </c>
      <c r="V68">
        <f>'ANSI Buildup Factors'!H68-'DLC Buildup Factors'!N59</f>
        <v>0</v>
      </c>
      <c r="W68">
        <f>'ANSI Buildup Factors'!I68-'DLC Buildup Factors'!O59</f>
        <v>0</v>
      </c>
    </row>
    <row r="69" spans="1:23">
      <c r="A69" s="11">
        <v>8</v>
      </c>
      <c r="B69">
        <v>1.4470000000000001</v>
      </c>
      <c r="C69">
        <v>0.873</v>
      </c>
      <c r="D69">
        <v>3.5000000000000003E-2</v>
      </c>
      <c r="E69">
        <v>14.16</v>
      </c>
      <c r="F69">
        <v>-0.02</v>
      </c>
      <c r="G69" s="2">
        <v>7.4999999999999997E-3</v>
      </c>
      <c r="H69">
        <v>35</v>
      </c>
      <c r="I69" s="2">
        <v>3.32E-3</v>
      </c>
      <c r="K69" t="str">
        <f t="shared" si="2"/>
        <v xml:space="preserve">    - 8.000</v>
      </c>
      <c r="L69" t="str">
        <f t="shared" si="3"/>
        <v xml:space="preserve">    - [1.447, 0.873, 0.035, 14.16, -0.0200]</v>
      </c>
      <c r="O69">
        <f>'ANSI Buildup Factors'!A69-'DLC Buildup Factors'!G60</f>
        <v>0</v>
      </c>
      <c r="P69">
        <f>'ANSI Buildup Factors'!B69-'DLC Buildup Factors'!H60</f>
        <v>0</v>
      </c>
      <c r="Q69">
        <f>'ANSI Buildup Factors'!C69-'DLC Buildup Factors'!I60</f>
        <v>0</v>
      </c>
      <c r="R69">
        <f>'ANSI Buildup Factors'!D69-'DLC Buildup Factors'!J60</f>
        <v>0</v>
      </c>
      <c r="S69">
        <f>'ANSI Buildup Factors'!E69-'DLC Buildup Factors'!K60</f>
        <v>0</v>
      </c>
      <c r="T69">
        <f>'ANSI Buildup Factors'!F69-'DLC Buildup Factors'!L60</f>
        <v>0</v>
      </c>
      <c r="U69">
        <f>'ANSI Buildup Factors'!G69-'DLC Buildup Factors'!M60</f>
        <v>0</v>
      </c>
      <c r="V69">
        <f>'ANSI Buildup Factors'!H69-'DLC Buildup Factors'!N60</f>
        <v>0</v>
      </c>
      <c r="W69">
        <f>'ANSI Buildup Factors'!I69-'DLC Buildup Factors'!O60</f>
        <v>0</v>
      </c>
    </row>
    <row r="70" spans="1:23">
      <c r="A70" s="11">
        <v>10</v>
      </c>
      <c r="B70">
        <v>1.383</v>
      </c>
      <c r="C70">
        <v>0.85299999999999998</v>
      </c>
      <c r="D70">
        <v>4.1000000000000002E-2</v>
      </c>
      <c r="E70">
        <v>13.43</v>
      </c>
      <c r="F70">
        <v>-1.7899999999999999E-2</v>
      </c>
      <c r="G70" s="2">
        <v>7.9000000000000008E-3</v>
      </c>
      <c r="H70">
        <v>0.5</v>
      </c>
      <c r="I70" s="2">
        <v>3.6900000000000001E-3</v>
      </c>
      <c r="K70" t="str">
        <f t="shared" si="2"/>
        <v xml:space="preserve">    - 10.000</v>
      </c>
      <c r="L70" t="str">
        <f t="shared" si="3"/>
        <v xml:space="preserve">    - [1.383, 0.853, 0.041, 13.43, -0.0179]</v>
      </c>
      <c r="O70">
        <f>'ANSI Buildup Factors'!A70-'DLC Buildup Factors'!G61</f>
        <v>0</v>
      </c>
      <c r="P70">
        <f>'ANSI Buildup Factors'!B70-'DLC Buildup Factors'!H61</f>
        <v>0</v>
      </c>
      <c r="Q70">
        <f>'ANSI Buildup Factors'!C70-'DLC Buildup Factors'!I61</f>
        <v>0</v>
      </c>
      <c r="R70">
        <f>'ANSI Buildup Factors'!D70-'DLC Buildup Factors'!J61</f>
        <v>0</v>
      </c>
      <c r="S70">
        <f>'ANSI Buildup Factors'!E70-'DLC Buildup Factors'!K61</f>
        <v>0</v>
      </c>
      <c r="T70">
        <f>'ANSI Buildup Factors'!F70-'DLC Buildup Factors'!L61</f>
        <v>0</v>
      </c>
      <c r="U70">
        <f>'ANSI Buildup Factors'!G70-'DLC Buildup Factors'!M61</f>
        <v>0</v>
      </c>
      <c r="V70">
        <f>'ANSI Buildup Factors'!H70-'DLC Buildup Factors'!N61</f>
        <v>0</v>
      </c>
      <c r="W70">
        <f>'ANSI Buildup Factors'!I70-'DLC Buildup Factors'!O61</f>
        <v>0</v>
      </c>
    </row>
    <row r="71" spans="1:23">
      <c r="A71" s="11">
        <v>15</v>
      </c>
      <c r="B71">
        <v>1.286</v>
      </c>
      <c r="C71">
        <v>0.83</v>
      </c>
      <c r="D71">
        <v>4.8000000000000001E-2</v>
      </c>
      <c r="E71">
        <v>14</v>
      </c>
      <c r="F71">
        <v>-2.4299999999999999E-2</v>
      </c>
      <c r="G71" s="2">
        <v>1.0800000000000001E-2</v>
      </c>
      <c r="H71">
        <v>1</v>
      </c>
      <c r="I71" s="2">
        <v>4.6899999999999997E-3</v>
      </c>
      <c r="K71" t="str">
        <f t="shared" si="2"/>
        <v xml:space="preserve">    - 15.000</v>
      </c>
      <c r="L71" t="str">
        <f t="shared" si="3"/>
        <v xml:space="preserve">    - [1.286, 0.830, 0.048, 14.00, -0.0243]</v>
      </c>
      <c r="O71">
        <f>'ANSI Buildup Factors'!A71-'DLC Buildup Factors'!G62</f>
        <v>0</v>
      </c>
      <c r="P71">
        <f>'ANSI Buildup Factors'!B71-'DLC Buildup Factors'!H62</f>
        <v>0</v>
      </c>
      <c r="Q71">
        <f>'ANSI Buildup Factors'!C71-'DLC Buildup Factors'!I62</f>
        <v>0</v>
      </c>
      <c r="R71">
        <f>'ANSI Buildup Factors'!D71-'DLC Buildup Factors'!J62</f>
        <v>0</v>
      </c>
      <c r="S71">
        <f>'ANSI Buildup Factors'!E71-'DLC Buildup Factors'!K62</f>
        <v>0</v>
      </c>
      <c r="T71">
        <f>'ANSI Buildup Factors'!F71-'DLC Buildup Factors'!L62</f>
        <v>0</v>
      </c>
      <c r="U71">
        <f>'ANSI Buildup Factors'!G71-'DLC Buildup Factors'!M62</f>
        <v>0</v>
      </c>
      <c r="V71">
        <f>'ANSI Buildup Factors'!H71-'DLC Buildup Factors'!N62</f>
        <v>0</v>
      </c>
      <c r="W71">
        <f>'ANSI Buildup Factors'!I71-'DLC Buildup Factors'!O62</f>
        <v>0</v>
      </c>
    </row>
    <row r="72" spans="1:23">
      <c r="A72" s="11"/>
    </row>
    <row r="73" spans="1:23">
      <c r="A73" s="10" t="s">
        <v>1525</v>
      </c>
    </row>
    <row r="74" spans="1:23">
      <c r="A74" s="10" t="s">
        <v>1527</v>
      </c>
    </row>
    <row r="75" spans="1:23">
      <c r="A75" t="s">
        <v>0</v>
      </c>
      <c r="B75" t="s">
        <v>10</v>
      </c>
      <c r="C75" t="s">
        <v>11</v>
      </c>
      <c r="D75" t="s">
        <v>12</v>
      </c>
      <c r="E75" t="s">
        <v>15</v>
      </c>
      <c r="F75" t="s">
        <v>13</v>
      </c>
      <c r="G75" t="s">
        <v>16</v>
      </c>
      <c r="H75" t="s">
        <v>17</v>
      </c>
      <c r="I75" t="s">
        <v>14</v>
      </c>
    </row>
    <row r="76" spans="1:23">
      <c r="A76" s="10">
        <v>1.4999999999999999E-2</v>
      </c>
      <c r="B76">
        <v>1.3859999999999999</v>
      </c>
      <c r="C76">
        <v>0.53900000000000003</v>
      </c>
      <c r="D76">
        <v>0.14599999999999999</v>
      </c>
      <c r="E76">
        <v>14.31</v>
      </c>
      <c r="F76">
        <v>-7.1800000000000003E-2</v>
      </c>
      <c r="G76" s="2">
        <v>1.8100000000000002E-2</v>
      </c>
      <c r="H76">
        <v>0.5</v>
      </c>
      <c r="I76" s="2">
        <v>6.9199999999999999E-3</v>
      </c>
      <c r="K76" t="str">
        <f t="shared" ref="K76" si="4">CONCATENATE("    - ",TEXT(A76,"0.000"))</f>
        <v xml:space="preserve">    - 0.015</v>
      </c>
      <c r="L76" t="str">
        <f t="shared" ref="L76" si="5">CONCATENATE("    - [",TEXT(B76,"0.000"),", ",TEXT(C76,"0.000"),", ",TEXT(D76,"0.000"),", ",TEXT(E76,"0.00"),", ",TEXT(F76,"0.0000"),"]")</f>
        <v xml:space="preserve">    - [1.386, 0.539, 0.146, 14.31, -0.0718]</v>
      </c>
      <c r="O76">
        <f>A76-'DLC Buildup Factors'!G69</f>
        <v>0</v>
      </c>
      <c r="P76">
        <f>B76-'DLC Buildup Factors'!H69</f>
        <v>0</v>
      </c>
      <c r="Q76">
        <f>C76-'DLC Buildup Factors'!I69</f>
        <v>0</v>
      </c>
      <c r="R76">
        <f>D76-'DLC Buildup Factors'!J69</f>
        <v>0</v>
      </c>
      <c r="S76">
        <f>E76-'DLC Buildup Factors'!K69</f>
        <v>0</v>
      </c>
      <c r="T76">
        <f>F76-'DLC Buildup Factors'!L69</f>
        <v>0</v>
      </c>
      <c r="U76">
        <f>G76-'DLC Buildup Factors'!M69</f>
        <v>0</v>
      </c>
      <c r="V76">
        <f>H76-'DLC Buildup Factors'!N69</f>
        <v>0</v>
      </c>
      <c r="W76">
        <f>I76-'DLC Buildup Factors'!O69</f>
        <v>0</v>
      </c>
    </row>
    <row r="77" spans="1:23">
      <c r="A77" s="10">
        <v>0.02</v>
      </c>
      <c r="B77">
        <v>1.877</v>
      </c>
      <c r="C77">
        <v>0.73199999999999998</v>
      </c>
      <c r="D77">
        <v>7.9000000000000001E-2</v>
      </c>
      <c r="E77">
        <v>16.57</v>
      </c>
      <c r="F77">
        <v>-3.95E-2</v>
      </c>
      <c r="G77" s="2">
        <v>7.7000000000000002E-3</v>
      </c>
      <c r="H77">
        <v>0.5</v>
      </c>
      <c r="I77" s="2">
        <v>4.1099999999999999E-3</v>
      </c>
      <c r="K77" t="str">
        <f t="shared" ref="K77:K100" si="6">CONCATENATE("    - ",TEXT(A77,"0.000"))</f>
        <v xml:space="preserve">    - 0.020</v>
      </c>
      <c r="L77" t="str">
        <f t="shared" ref="L77:L100" si="7">CONCATENATE("    - [",TEXT(B77,"0.000"),", ",TEXT(C77,"0.000"),", ",TEXT(D77,"0.000"),", ",TEXT(E77,"0.00"),", ",TEXT(F77,"0.0000"),"]")</f>
        <v xml:space="preserve">    - [1.877, 0.732, 0.079, 16.57, -0.0395]</v>
      </c>
      <c r="O77">
        <f>A77-'DLC Buildup Factors'!G70</f>
        <v>0</v>
      </c>
      <c r="P77">
        <f>B77-'DLC Buildup Factors'!H70</f>
        <v>0</v>
      </c>
      <c r="Q77">
        <f>C77-'DLC Buildup Factors'!I70</f>
        <v>0</v>
      </c>
      <c r="R77">
        <f>D77-'DLC Buildup Factors'!J70</f>
        <v>0</v>
      </c>
      <c r="S77">
        <f>E77-'DLC Buildup Factors'!K70</f>
        <v>0</v>
      </c>
      <c r="T77">
        <f>F77-'DLC Buildup Factors'!L70</f>
        <v>0</v>
      </c>
      <c r="U77">
        <f>G77-'DLC Buildup Factors'!M70</f>
        <v>0</v>
      </c>
      <c r="V77">
        <f>H77-'DLC Buildup Factors'!N70</f>
        <v>0</v>
      </c>
      <c r="W77">
        <f>I77-'DLC Buildup Factors'!O70</f>
        <v>0</v>
      </c>
    </row>
    <row r="78" spans="1:23">
      <c r="A78" s="10">
        <v>0.03</v>
      </c>
      <c r="B78">
        <v>3.5110000000000001</v>
      </c>
      <c r="C78">
        <v>1.153</v>
      </c>
      <c r="D78">
        <v>-2.7E-2</v>
      </c>
      <c r="E78">
        <v>12.82</v>
      </c>
      <c r="F78">
        <v>8.6999999999999994E-3</v>
      </c>
      <c r="G78" s="2">
        <v>8.3999999999999995E-3</v>
      </c>
      <c r="H78">
        <v>2</v>
      </c>
      <c r="I78" s="2">
        <v>3.9899999999999996E-3</v>
      </c>
      <c r="K78" t="str">
        <f t="shared" si="6"/>
        <v xml:space="preserve">    - 0.030</v>
      </c>
      <c r="L78" t="str">
        <f t="shared" si="7"/>
        <v xml:space="preserve">    - [3.511, 1.153, -0.027, 12.82, 0.0087]</v>
      </c>
      <c r="O78">
        <f>A78-'DLC Buildup Factors'!G71</f>
        <v>0</v>
      </c>
      <c r="P78">
        <f>B78-'DLC Buildup Factors'!H71</f>
        <v>0</v>
      </c>
      <c r="Q78">
        <f>C78-'DLC Buildup Factors'!I71</f>
        <v>0</v>
      </c>
      <c r="R78">
        <f>D78-'DLC Buildup Factors'!J71</f>
        <v>0</v>
      </c>
      <c r="S78">
        <f>E78-'DLC Buildup Factors'!K71</f>
        <v>0</v>
      </c>
      <c r="T78">
        <f>F78-'DLC Buildup Factors'!L71</f>
        <v>0</v>
      </c>
      <c r="U78">
        <f>G78-'DLC Buildup Factors'!M71</f>
        <v>0</v>
      </c>
      <c r="V78">
        <f>H78-'DLC Buildup Factors'!N71</f>
        <v>0</v>
      </c>
      <c r="W78">
        <f>I78-'DLC Buildup Factors'!O71</f>
        <v>0</v>
      </c>
    </row>
    <row r="79" spans="1:23">
      <c r="A79" s="10">
        <v>0.04</v>
      </c>
      <c r="B79">
        <v>5.26</v>
      </c>
      <c r="C79">
        <v>1.7450000000000001</v>
      </c>
      <c r="D79">
        <v>-0.129</v>
      </c>
      <c r="E79">
        <v>13.91</v>
      </c>
      <c r="F79">
        <v>5.7099999999999998E-2</v>
      </c>
      <c r="G79" s="2">
        <v>2.2800000000000001E-2</v>
      </c>
      <c r="H79">
        <v>35</v>
      </c>
      <c r="I79" s="2">
        <v>1.397E-2</v>
      </c>
      <c r="K79" t="str">
        <f t="shared" si="6"/>
        <v xml:space="preserve">    - 0.040</v>
      </c>
      <c r="L79" t="str">
        <f t="shared" si="7"/>
        <v xml:space="preserve">    - [5.260, 1.745, -0.129, 13.91, 0.0571]</v>
      </c>
      <c r="O79">
        <f>A79-'DLC Buildup Factors'!G72</f>
        <v>0</v>
      </c>
      <c r="P79">
        <f>B79-'DLC Buildup Factors'!H72</f>
        <v>0</v>
      </c>
      <c r="Q79">
        <f>C79-'DLC Buildup Factors'!I72</f>
        <v>0</v>
      </c>
      <c r="R79">
        <f>D79-'DLC Buildup Factors'!J72</f>
        <v>0</v>
      </c>
      <c r="S79">
        <f>E79-'DLC Buildup Factors'!K72</f>
        <v>0</v>
      </c>
      <c r="T79">
        <f>F79-'DLC Buildup Factors'!L72</f>
        <v>0</v>
      </c>
      <c r="U79">
        <f>G79-'DLC Buildup Factors'!M72</f>
        <v>0</v>
      </c>
      <c r="V79">
        <f>H79-'DLC Buildup Factors'!N72</f>
        <v>0</v>
      </c>
      <c r="W79">
        <f>I79-'DLC Buildup Factors'!O72</f>
        <v>0</v>
      </c>
    </row>
    <row r="80" spans="1:23">
      <c r="A80" s="10">
        <v>0.05</v>
      </c>
      <c r="B80">
        <v>6.7060000000000004</v>
      </c>
      <c r="C80">
        <v>2.1080000000000001</v>
      </c>
      <c r="D80">
        <v>-0.17</v>
      </c>
      <c r="E80">
        <v>14.34</v>
      </c>
      <c r="F80">
        <v>7.3499999999999996E-2</v>
      </c>
      <c r="G80" s="2">
        <v>2.9600000000000001E-2</v>
      </c>
      <c r="H80">
        <v>2</v>
      </c>
      <c r="I80" s="2">
        <v>1.506E-2</v>
      </c>
      <c r="K80" t="str">
        <f t="shared" si="6"/>
        <v xml:space="preserve">    - 0.050</v>
      </c>
      <c r="L80" t="str">
        <f t="shared" si="7"/>
        <v xml:space="preserve">    - [6.706, 2.108, -0.170, 14.34, 0.0735]</v>
      </c>
      <c r="O80">
        <f>A80-'DLC Buildup Factors'!G73</f>
        <v>0</v>
      </c>
      <c r="P80">
        <f>B80-'DLC Buildup Factors'!H73</f>
        <v>0</v>
      </c>
      <c r="Q80">
        <f>C80-'DLC Buildup Factors'!I73</f>
        <v>0</v>
      </c>
      <c r="R80">
        <f>D80-'DLC Buildup Factors'!J73</f>
        <v>0</v>
      </c>
      <c r="S80">
        <f>E80-'DLC Buildup Factors'!K73</f>
        <v>0</v>
      </c>
      <c r="T80">
        <f>F80-'DLC Buildup Factors'!L73</f>
        <v>0</v>
      </c>
      <c r="U80">
        <f>G80-'DLC Buildup Factors'!M73</f>
        <v>0</v>
      </c>
      <c r="V80">
        <f>H80-'DLC Buildup Factors'!N73</f>
        <v>0</v>
      </c>
      <c r="W80">
        <f>I80-'DLC Buildup Factors'!O73</f>
        <v>0</v>
      </c>
    </row>
    <row r="81" spans="1:23">
      <c r="A81" s="10">
        <v>0.06</v>
      </c>
      <c r="B81">
        <v>7.2089999999999996</v>
      </c>
      <c r="C81">
        <v>2.383</v>
      </c>
      <c r="D81">
        <v>-0.19800000000000001</v>
      </c>
      <c r="E81">
        <v>14.53</v>
      </c>
      <c r="F81">
        <v>8.7800000000000003E-2</v>
      </c>
      <c r="G81" s="2">
        <v>2.6599999999999999E-2</v>
      </c>
      <c r="H81">
        <v>15</v>
      </c>
      <c r="I81" s="2">
        <v>1.5509999999999999E-2</v>
      </c>
      <c r="K81" t="str">
        <f t="shared" si="6"/>
        <v xml:space="preserve">    - 0.060</v>
      </c>
      <c r="L81" t="str">
        <f t="shared" si="7"/>
        <v xml:space="preserve">    - [7.209, 2.383, -0.198, 14.53, 0.0878]</v>
      </c>
      <c r="O81">
        <f>A81-'DLC Buildup Factors'!G74</f>
        <v>0</v>
      </c>
      <c r="P81">
        <f>B81-'DLC Buildup Factors'!H74</f>
        <v>0</v>
      </c>
      <c r="Q81">
        <f>C81-'DLC Buildup Factors'!I74</f>
        <v>0</v>
      </c>
      <c r="R81">
        <f>D81-'DLC Buildup Factors'!J74</f>
        <v>0</v>
      </c>
      <c r="S81">
        <f>E81-'DLC Buildup Factors'!K74</f>
        <v>0</v>
      </c>
      <c r="T81">
        <f>F81-'DLC Buildup Factors'!L74</f>
        <v>0</v>
      </c>
      <c r="U81">
        <f>G81-'DLC Buildup Factors'!M74</f>
        <v>0</v>
      </c>
      <c r="V81">
        <f>H81-'DLC Buildup Factors'!N74</f>
        <v>0</v>
      </c>
      <c r="W81">
        <f>I81-'DLC Buildup Factors'!O74</f>
        <v>0</v>
      </c>
    </row>
    <row r="82" spans="1:23">
      <c r="A82" s="10">
        <v>0.08</v>
      </c>
      <c r="B82">
        <v>6.7649999999999997</v>
      </c>
      <c r="C82">
        <v>2.6909999999999998</v>
      </c>
      <c r="D82">
        <v>-0.22700000000000001</v>
      </c>
      <c r="E82">
        <v>14.44</v>
      </c>
      <c r="F82">
        <v>9.98E-2</v>
      </c>
      <c r="G82" s="2">
        <v>3.2800000000000003E-2</v>
      </c>
      <c r="H82">
        <v>15</v>
      </c>
      <c r="I82" s="2">
        <v>1.8339999999999999E-2</v>
      </c>
      <c r="K82" t="str">
        <f t="shared" si="6"/>
        <v xml:space="preserve">    - 0.080</v>
      </c>
      <c r="L82" t="str">
        <f t="shared" si="7"/>
        <v xml:space="preserve">    - [6.765, 2.691, -0.227, 14.44, 0.0998]</v>
      </c>
      <c r="O82">
        <f>A82-'DLC Buildup Factors'!G75</f>
        <v>0</v>
      </c>
      <c r="P82">
        <f>B82-'DLC Buildup Factors'!H75</f>
        <v>0</v>
      </c>
      <c r="Q82">
        <f>C82-'DLC Buildup Factors'!I75</f>
        <v>0</v>
      </c>
      <c r="R82">
        <f>D82-'DLC Buildup Factors'!J75</f>
        <v>0</v>
      </c>
      <c r="S82">
        <f>E82-'DLC Buildup Factors'!K75</f>
        <v>0</v>
      </c>
      <c r="T82">
        <f>F82-'DLC Buildup Factors'!L75</f>
        <v>0</v>
      </c>
      <c r="U82">
        <f>G82-'DLC Buildup Factors'!M75</f>
        <v>0</v>
      </c>
      <c r="V82">
        <f>H82-'DLC Buildup Factors'!N75</f>
        <v>0</v>
      </c>
      <c r="W82">
        <f>I82-'DLC Buildup Factors'!O75</f>
        <v>0</v>
      </c>
    </row>
    <row r="83" spans="1:23">
      <c r="A83" s="10">
        <v>0.1</v>
      </c>
      <c r="B83">
        <v>5.89</v>
      </c>
      <c r="C83">
        <v>2.8239999999999998</v>
      </c>
      <c r="D83">
        <v>-0.23899999999999999</v>
      </c>
      <c r="E83">
        <v>14.4</v>
      </c>
      <c r="F83">
        <v>0.1046</v>
      </c>
      <c r="G83" s="2">
        <v>3.32E-2</v>
      </c>
      <c r="H83">
        <v>15</v>
      </c>
      <c r="I83" s="2">
        <v>1.7840000000000002E-2</v>
      </c>
      <c r="K83" t="str">
        <f t="shared" si="6"/>
        <v xml:space="preserve">    - 0.100</v>
      </c>
      <c r="L83" t="str">
        <f t="shared" si="7"/>
        <v xml:space="preserve">    - [5.890, 2.824, -0.239, 14.40, 0.1046]</v>
      </c>
      <c r="O83">
        <f>A83-'DLC Buildup Factors'!G76</f>
        <v>0</v>
      </c>
      <c r="P83">
        <f>B83-'DLC Buildup Factors'!H76</f>
        <v>0</v>
      </c>
      <c r="Q83">
        <f>C83-'DLC Buildup Factors'!I76</f>
        <v>0</v>
      </c>
      <c r="R83">
        <f>D83-'DLC Buildup Factors'!J76</f>
        <v>0</v>
      </c>
      <c r="S83">
        <f>E83-'DLC Buildup Factors'!K76</f>
        <v>0</v>
      </c>
      <c r="T83">
        <f>F83-'DLC Buildup Factors'!L76</f>
        <v>0</v>
      </c>
      <c r="U83">
        <f>G83-'DLC Buildup Factors'!M76</f>
        <v>0</v>
      </c>
      <c r="V83">
        <f>H83-'DLC Buildup Factors'!N76</f>
        <v>0</v>
      </c>
      <c r="W83">
        <f>I83-'DLC Buildup Factors'!O76</f>
        <v>0</v>
      </c>
    </row>
    <row r="84" spans="1:23">
      <c r="A84" s="10">
        <v>0.15</v>
      </c>
      <c r="B84">
        <v>4.3810000000000002</v>
      </c>
      <c r="C84">
        <v>2.8660000000000001</v>
      </c>
      <c r="D84">
        <v>-0.246</v>
      </c>
      <c r="E84">
        <v>14.14</v>
      </c>
      <c r="F84">
        <v>0.1067</v>
      </c>
      <c r="G84" s="2">
        <v>3.2199999999999999E-2</v>
      </c>
      <c r="H84">
        <v>15</v>
      </c>
      <c r="I84" s="2">
        <v>1.856E-2</v>
      </c>
      <c r="K84" t="str">
        <f t="shared" si="6"/>
        <v xml:space="preserve">    - 0.150</v>
      </c>
      <c r="L84" t="str">
        <f t="shared" si="7"/>
        <v xml:space="preserve">    - [4.381, 2.866, -0.246, 14.14, 0.1067]</v>
      </c>
      <c r="O84">
        <f>A84-'DLC Buildup Factors'!G77</f>
        <v>0</v>
      </c>
      <c r="P84">
        <f>B84-'DLC Buildup Factors'!H77</f>
        <v>0</v>
      </c>
      <c r="Q84">
        <f>C84-'DLC Buildup Factors'!I77</f>
        <v>0</v>
      </c>
      <c r="R84">
        <f>D84-'DLC Buildup Factors'!J77</f>
        <v>0</v>
      </c>
      <c r="S84">
        <f>E84-'DLC Buildup Factors'!K77</f>
        <v>0</v>
      </c>
      <c r="T84">
        <f>F84-'DLC Buildup Factors'!L77</f>
        <v>0</v>
      </c>
      <c r="U84">
        <f>G84-'DLC Buildup Factors'!M77</f>
        <v>0</v>
      </c>
      <c r="V84">
        <f>H84-'DLC Buildup Factors'!N77</f>
        <v>0</v>
      </c>
      <c r="W84">
        <f>I84-'DLC Buildup Factors'!O77</f>
        <v>0</v>
      </c>
    </row>
    <row r="85" spans="1:23">
      <c r="A85" s="10">
        <v>0.2</v>
      </c>
      <c r="B85">
        <v>3.75</v>
      </c>
      <c r="C85">
        <v>2.698</v>
      </c>
      <c r="D85">
        <v>-0.23300000000000001</v>
      </c>
      <c r="E85">
        <v>15.08</v>
      </c>
      <c r="F85">
        <v>0.106</v>
      </c>
      <c r="G85" s="2">
        <v>4.1200000000000001E-2</v>
      </c>
      <c r="H85">
        <v>35</v>
      </c>
      <c r="I85" s="2">
        <v>2.2120000000000001E-2</v>
      </c>
      <c r="K85" t="str">
        <f t="shared" si="6"/>
        <v xml:space="preserve">    - 0.200</v>
      </c>
      <c r="L85" t="str">
        <f t="shared" si="7"/>
        <v xml:space="preserve">    - [3.750, 2.698, -0.233, 15.08, 0.1060]</v>
      </c>
      <c r="O85">
        <f>A85-'DLC Buildup Factors'!G78</f>
        <v>0</v>
      </c>
      <c r="P85">
        <f>B85-'DLC Buildup Factors'!H78</f>
        <v>0</v>
      </c>
      <c r="Q85">
        <f>C85-'DLC Buildup Factors'!I78</f>
        <v>0</v>
      </c>
      <c r="R85">
        <f>D85-'DLC Buildup Factors'!J78</f>
        <v>0</v>
      </c>
      <c r="S85">
        <f>E85-'DLC Buildup Factors'!K78</f>
        <v>0</v>
      </c>
      <c r="T85">
        <f>F85-'DLC Buildup Factors'!L78</f>
        <v>0</v>
      </c>
      <c r="U85">
        <f>G85-'DLC Buildup Factors'!M78</f>
        <v>0</v>
      </c>
      <c r="V85">
        <f>H85-'DLC Buildup Factors'!N78</f>
        <v>0</v>
      </c>
      <c r="W85">
        <f>I85-'DLC Buildup Factors'!O78</f>
        <v>0</v>
      </c>
    </row>
    <row r="86" spans="1:23">
      <c r="A86" s="10">
        <v>0.3</v>
      </c>
      <c r="B86">
        <v>3.1469999999999998</v>
      </c>
      <c r="C86">
        <v>2.4129999999999998</v>
      </c>
      <c r="D86">
        <v>-0.21099999999999999</v>
      </c>
      <c r="E86">
        <v>14.41</v>
      </c>
      <c r="F86">
        <v>9.4399999999999998E-2</v>
      </c>
      <c r="G86" s="2">
        <v>4.3299999999999998E-2</v>
      </c>
      <c r="H86">
        <v>3</v>
      </c>
      <c r="I86" s="2">
        <v>1.9730000000000001E-2</v>
      </c>
      <c r="K86" t="str">
        <f t="shared" si="6"/>
        <v xml:space="preserve">    - 0.300</v>
      </c>
      <c r="L86" t="str">
        <f t="shared" si="7"/>
        <v xml:space="preserve">    - [3.147, 2.413, -0.211, 14.41, 0.0944]</v>
      </c>
      <c r="O86">
        <f>A86-'DLC Buildup Factors'!G79</f>
        <v>0</v>
      </c>
      <c r="P86">
        <f>B86-'DLC Buildup Factors'!H79</f>
        <v>0</v>
      </c>
      <c r="Q86">
        <f>C86-'DLC Buildup Factors'!I79</f>
        <v>0</v>
      </c>
      <c r="R86">
        <f>D86-'DLC Buildup Factors'!J79</f>
        <v>0</v>
      </c>
      <c r="S86">
        <f>E86-'DLC Buildup Factors'!K79</f>
        <v>0</v>
      </c>
      <c r="T86">
        <f>F86-'DLC Buildup Factors'!L79</f>
        <v>0</v>
      </c>
      <c r="U86">
        <f>G86-'DLC Buildup Factors'!M79</f>
        <v>0</v>
      </c>
      <c r="V86">
        <f>H86-'DLC Buildup Factors'!N79</f>
        <v>0</v>
      </c>
      <c r="W86">
        <f>I86-'DLC Buildup Factors'!O79</f>
        <v>0</v>
      </c>
    </row>
    <row r="87" spans="1:23">
      <c r="A87" s="10">
        <v>0.4</v>
      </c>
      <c r="B87">
        <v>2.843</v>
      </c>
      <c r="C87">
        <v>2.1970000000000001</v>
      </c>
      <c r="D87">
        <v>-0.192</v>
      </c>
      <c r="E87">
        <v>13.47</v>
      </c>
      <c r="F87">
        <v>8.0500000000000002E-2</v>
      </c>
      <c r="G87" s="2">
        <v>3.04E-2</v>
      </c>
      <c r="H87">
        <v>2</v>
      </c>
      <c r="I87" s="2">
        <v>1.6639999999999999E-2</v>
      </c>
      <c r="K87" t="str">
        <f t="shared" si="6"/>
        <v xml:space="preserve">    - 0.400</v>
      </c>
      <c r="L87" t="str">
        <f t="shared" si="7"/>
        <v xml:space="preserve">    - [2.843, 2.197, -0.192, 13.47, 0.0805]</v>
      </c>
      <c r="O87">
        <f>A87-'DLC Buildup Factors'!G80</f>
        <v>0</v>
      </c>
      <c r="P87">
        <f>B87-'DLC Buildup Factors'!H80</f>
        <v>0</v>
      </c>
      <c r="Q87">
        <f>C87-'DLC Buildup Factors'!I80</f>
        <v>0</v>
      </c>
      <c r="R87">
        <f>D87-'DLC Buildup Factors'!J80</f>
        <v>0</v>
      </c>
      <c r="S87">
        <f>E87-'DLC Buildup Factors'!K80</f>
        <v>0</v>
      </c>
      <c r="T87">
        <f>F87-'DLC Buildup Factors'!L80</f>
        <v>0</v>
      </c>
      <c r="U87">
        <f>G87-'DLC Buildup Factors'!M80</f>
        <v>0</v>
      </c>
      <c r="V87">
        <f>H87-'DLC Buildup Factors'!N80</f>
        <v>0</v>
      </c>
      <c r="W87">
        <f>I87-'DLC Buildup Factors'!O80</f>
        <v>0</v>
      </c>
    </row>
    <row r="88" spans="1:23">
      <c r="A88" s="10">
        <v>0.5</v>
      </c>
      <c r="B88">
        <v>2.657</v>
      </c>
      <c r="C88">
        <v>2.0110000000000001</v>
      </c>
      <c r="D88">
        <v>-0.17100000000000001</v>
      </c>
      <c r="E88">
        <v>14.19</v>
      </c>
      <c r="F88">
        <v>7.9500000000000001E-2</v>
      </c>
      <c r="G88" s="2">
        <v>4.2200000000000001E-2</v>
      </c>
      <c r="H88">
        <v>2</v>
      </c>
      <c r="I88" s="2">
        <v>1.8849999999999999E-2</v>
      </c>
      <c r="K88" t="str">
        <f t="shared" si="6"/>
        <v xml:space="preserve">    - 0.500</v>
      </c>
      <c r="L88" t="str">
        <f t="shared" si="7"/>
        <v xml:space="preserve">    - [2.657, 2.011, -0.171, 14.19, 0.0795]</v>
      </c>
      <c r="O88">
        <f>A88-'DLC Buildup Factors'!G81</f>
        <v>0</v>
      </c>
      <c r="P88">
        <f>B88-'DLC Buildup Factors'!H81</f>
        <v>0</v>
      </c>
      <c r="Q88">
        <f>C88-'DLC Buildup Factors'!I81</f>
        <v>0</v>
      </c>
      <c r="R88">
        <f>D88-'DLC Buildup Factors'!J81</f>
        <v>0</v>
      </c>
      <c r="S88">
        <f>E88-'DLC Buildup Factors'!K81</f>
        <v>0</v>
      </c>
      <c r="T88">
        <f>F88-'DLC Buildup Factors'!L81</f>
        <v>0</v>
      </c>
      <c r="U88">
        <f>G88-'DLC Buildup Factors'!M81</f>
        <v>0</v>
      </c>
      <c r="V88">
        <f>H88-'DLC Buildup Factors'!N81</f>
        <v>0</v>
      </c>
      <c r="W88">
        <f>I88-'DLC Buildup Factors'!O81</f>
        <v>0</v>
      </c>
    </row>
    <row r="89" spans="1:23">
      <c r="A89" s="10">
        <v>0.6</v>
      </c>
      <c r="B89">
        <v>2.5430000000000001</v>
      </c>
      <c r="C89">
        <v>1.851</v>
      </c>
      <c r="D89">
        <v>-0.151</v>
      </c>
      <c r="E89">
        <v>13.6</v>
      </c>
      <c r="F89">
        <v>6.0999999999999999E-2</v>
      </c>
      <c r="G89" s="2">
        <v>4.3999999999999997E-2</v>
      </c>
      <c r="H89">
        <v>2</v>
      </c>
      <c r="I89" s="2">
        <v>1.9709999999999998E-2</v>
      </c>
      <c r="K89" t="str">
        <f t="shared" si="6"/>
        <v xml:space="preserve">    - 0.600</v>
      </c>
      <c r="L89" t="str">
        <f t="shared" si="7"/>
        <v xml:space="preserve">    - [2.543, 1.851, -0.151, 13.60, 0.0610]</v>
      </c>
      <c r="O89">
        <f>A89-'DLC Buildup Factors'!G82</f>
        <v>0</v>
      </c>
      <c r="P89">
        <f>B89-'DLC Buildup Factors'!H82</f>
        <v>0</v>
      </c>
      <c r="Q89">
        <f>C89-'DLC Buildup Factors'!I82</f>
        <v>0</v>
      </c>
      <c r="R89">
        <f>D89-'DLC Buildup Factors'!J82</f>
        <v>0</v>
      </c>
      <c r="S89">
        <f>E89-'DLC Buildup Factors'!K82</f>
        <v>0</v>
      </c>
      <c r="T89">
        <f>F89-'DLC Buildup Factors'!L82</f>
        <v>0</v>
      </c>
      <c r="U89">
        <f>G89-'DLC Buildup Factors'!M82</f>
        <v>0</v>
      </c>
      <c r="V89">
        <f>H89-'DLC Buildup Factors'!N82</f>
        <v>0</v>
      </c>
      <c r="W89">
        <f>I89-'DLC Buildup Factors'!O82</f>
        <v>0</v>
      </c>
    </row>
    <row r="90" spans="1:23">
      <c r="A90" s="10">
        <v>0.8</v>
      </c>
      <c r="B90">
        <v>2.3119999999999998</v>
      </c>
      <c r="C90">
        <v>1.6910000000000001</v>
      </c>
      <c r="D90">
        <v>-0.13300000000000001</v>
      </c>
      <c r="E90">
        <v>13.8</v>
      </c>
      <c r="F90">
        <v>6.4299999999999996E-2</v>
      </c>
      <c r="G90" s="2">
        <v>2.76E-2</v>
      </c>
      <c r="H90">
        <v>1</v>
      </c>
      <c r="I90" s="2">
        <v>1.814E-2</v>
      </c>
      <c r="K90" t="str">
        <f t="shared" si="6"/>
        <v xml:space="preserve">    - 0.800</v>
      </c>
      <c r="L90" t="str">
        <f t="shared" si="7"/>
        <v xml:space="preserve">    - [2.312, 1.691, -0.133, 13.80, 0.0643]</v>
      </c>
      <c r="O90">
        <f>A90-'DLC Buildup Factors'!G83</f>
        <v>0</v>
      </c>
      <c r="P90">
        <f>B90-'DLC Buildup Factors'!H83</f>
        <v>0</v>
      </c>
      <c r="Q90">
        <f>C90-'DLC Buildup Factors'!I83</f>
        <v>0</v>
      </c>
      <c r="R90">
        <f>D90-'DLC Buildup Factors'!J83</f>
        <v>0</v>
      </c>
      <c r="S90">
        <f>E90-'DLC Buildup Factors'!K83</f>
        <v>0</v>
      </c>
      <c r="T90">
        <f>F90-'DLC Buildup Factors'!L83</f>
        <v>0</v>
      </c>
      <c r="U90">
        <f>G90-'DLC Buildup Factors'!M83</f>
        <v>0</v>
      </c>
      <c r="V90">
        <f>H90-'DLC Buildup Factors'!N83</f>
        <v>0</v>
      </c>
      <c r="W90">
        <f>I90-'DLC Buildup Factors'!O83</f>
        <v>0</v>
      </c>
    </row>
    <row r="91" spans="1:23">
      <c r="A91" s="10">
        <v>1</v>
      </c>
      <c r="B91">
        <v>2.1920000000000002</v>
      </c>
      <c r="C91">
        <v>1.544</v>
      </c>
      <c r="D91">
        <v>-0.11</v>
      </c>
      <c r="E91">
        <v>13.78</v>
      </c>
      <c r="F91">
        <v>5.33E-2</v>
      </c>
      <c r="G91" s="2">
        <v>2.9100000000000001E-2</v>
      </c>
      <c r="H91">
        <v>1</v>
      </c>
      <c r="I91" s="2">
        <v>1.6539999999999999E-2</v>
      </c>
      <c r="K91" t="str">
        <f t="shared" si="6"/>
        <v xml:space="preserve">    - 1.000</v>
      </c>
      <c r="L91" t="str">
        <f t="shared" si="7"/>
        <v xml:space="preserve">    - [2.192, 1.544, -0.110, 13.78, 0.0533]</v>
      </c>
      <c r="O91">
        <f>A91-'DLC Buildup Factors'!G84</f>
        <v>0</v>
      </c>
      <c r="P91">
        <f>B91-'DLC Buildup Factors'!H84</f>
        <v>0</v>
      </c>
      <c r="Q91">
        <f>C91-'DLC Buildup Factors'!I84</f>
        <v>0</v>
      </c>
      <c r="R91">
        <f>D91-'DLC Buildup Factors'!J84</f>
        <v>0</v>
      </c>
      <c r="S91">
        <f>E91-'DLC Buildup Factors'!K84</f>
        <v>0</v>
      </c>
      <c r="T91">
        <f>F91-'DLC Buildup Factors'!L84</f>
        <v>0</v>
      </c>
      <c r="U91">
        <f>G91-'DLC Buildup Factors'!M84</f>
        <v>0</v>
      </c>
      <c r="V91">
        <f>H91-'DLC Buildup Factors'!N84</f>
        <v>0</v>
      </c>
      <c r="W91">
        <f>I91-'DLC Buildup Factors'!O84</f>
        <v>0</v>
      </c>
    </row>
    <row r="92" spans="1:23">
      <c r="A92" s="10">
        <v>1.5</v>
      </c>
      <c r="B92">
        <v>2.0110000000000001</v>
      </c>
      <c r="C92">
        <v>1.3109999999999999</v>
      </c>
      <c r="D92">
        <v>-6.9000000000000006E-2</v>
      </c>
      <c r="E92">
        <v>13.69</v>
      </c>
      <c r="F92">
        <v>3.32E-2</v>
      </c>
      <c r="G92" s="2">
        <v>2.47E-2</v>
      </c>
      <c r="H92">
        <v>0.5</v>
      </c>
      <c r="I92" s="2">
        <v>1.14E-2</v>
      </c>
      <c r="K92" t="str">
        <f t="shared" si="6"/>
        <v xml:space="preserve">    - 1.500</v>
      </c>
      <c r="L92" t="str">
        <f t="shared" si="7"/>
        <v xml:space="preserve">    - [2.011, 1.311, -0.069, 13.69, 0.0332]</v>
      </c>
      <c r="O92">
        <f>A92-'DLC Buildup Factors'!G85</f>
        <v>0</v>
      </c>
      <c r="P92">
        <f>B92-'DLC Buildup Factors'!H85</f>
        <v>0</v>
      </c>
      <c r="Q92">
        <f>C92-'DLC Buildup Factors'!I85</f>
        <v>0</v>
      </c>
      <c r="R92">
        <f>D92-'DLC Buildup Factors'!J85</f>
        <v>0</v>
      </c>
      <c r="S92">
        <f>E92-'DLC Buildup Factors'!K85</f>
        <v>0</v>
      </c>
      <c r="T92">
        <f>F92-'DLC Buildup Factors'!L85</f>
        <v>0</v>
      </c>
      <c r="U92">
        <f>G92-'DLC Buildup Factors'!M85</f>
        <v>0</v>
      </c>
      <c r="V92">
        <f>H92-'DLC Buildup Factors'!N85</f>
        <v>0</v>
      </c>
      <c r="W92">
        <f>I92-'DLC Buildup Factors'!O85</f>
        <v>0</v>
      </c>
    </row>
    <row r="93" spans="1:23">
      <c r="A93" s="10">
        <v>2</v>
      </c>
      <c r="B93">
        <v>1.8979999999999999</v>
      </c>
      <c r="C93">
        <v>1.1919999999999999</v>
      </c>
      <c r="D93">
        <v>-4.3999999999999997E-2</v>
      </c>
      <c r="E93">
        <v>13.99</v>
      </c>
      <c r="F93">
        <v>2.06E-2</v>
      </c>
      <c r="G93" s="2">
        <v>1.8499999999999999E-2</v>
      </c>
      <c r="H93">
        <v>0.5</v>
      </c>
      <c r="I93" s="2">
        <v>7.3899999999999999E-3</v>
      </c>
      <c r="K93" t="str">
        <f t="shared" si="6"/>
        <v xml:space="preserve">    - 2.000</v>
      </c>
      <c r="L93" t="str">
        <f t="shared" si="7"/>
        <v xml:space="preserve">    - [1.898, 1.192, -0.044, 13.99, 0.0206]</v>
      </c>
      <c r="O93">
        <f>A93-'DLC Buildup Factors'!G86</f>
        <v>0</v>
      </c>
      <c r="P93">
        <f>B93-'DLC Buildup Factors'!H86</f>
        <v>0</v>
      </c>
      <c r="Q93">
        <f>C93-'DLC Buildup Factors'!I86</f>
        <v>0</v>
      </c>
      <c r="R93">
        <f>D93-'DLC Buildup Factors'!J86</f>
        <v>0</v>
      </c>
      <c r="S93">
        <f>E93-'DLC Buildup Factors'!K86</f>
        <v>0</v>
      </c>
      <c r="T93">
        <f>F93-'DLC Buildup Factors'!L86</f>
        <v>0</v>
      </c>
      <c r="U93">
        <f>G93-'DLC Buildup Factors'!M86</f>
        <v>0</v>
      </c>
      <c r="V93">
        <f>H93-'DLC Buildup Factors'!N86</f>
        <v>0</v>
      </c>
      <c r="W93">
        <f>I93-'DLC Buildup Factors'!O86</f>
        <v>0</v>
      </c>
    </row>
    <row r="94" spans="1:23">
      <c r="A94" s="10">
        <v>3</v>
      </c>
      <c r="B94">
        <v>1.752</v>
      </c>
      <c r="C94">
        <v>1.0580000000000001</v>
      </c>
      <c r="D94">
        <v>-1.4E-2</v>
      </c>
      <c r="E94">
        <v>11.98</v>
      </c>
      <c r="F94">
        <v>6.0000000000000001E-3</v>
      </c>
      <c r="G94" s="2">
        <v>1.47E-2</v>
      </c>
      <c r="H94">
        <v>0.5</v>
      </c>
      <c r="I94" s="2">
        <v>4.6800000000000001E-3</v>
      </c>
      <c r="K94" t="str">
        <f t="shared" si="6"/>
        <v xml:space="preserve">    - 3.000</v>
      </c>
      <c r="L94" t="str">
        <f t="shared" si="7"/>
        <v xml:space="preserve">    - [1.752, 1.058, -0.014, 11.98, 0.0060]</v>
      </c>
      <c r="O94">
        <f>A94-'DLC Buildup Factors'!G87</f>
        <v>0</v>
      </c>
      <c r="P94">
        <f>B94-'DLC Buildup Factors'!H87</f>
        <v>0</v>
      </c>
      <c r="Q94">
        <f>C94-'DLC Buildup Factors'!I87</f>
        <v>0</v>
      </c>
      <c r="R94">
        <f>D94-'DLC Buildup Factors'!J87</f>
        <v>0</v>
      </c>
      <c r="S94">
        <f>E94-'DLC Buildup Factors'!K87</f>
        <v>0</v>
      </c>
      <c r="T94">
        <f>F94-'DLC Buildup Factors'!L87</f>
        <v>0</v>
      </c>
      <c r="U94">
        <f>G94-'DLC Buildup Factors'!M87</f>
        <v>0</v>
      </c>
      <c r="V94">
        <f>H94-'DLC Buildup Factors'!N87</f>
        <v>0</v>
      </c>
      <c r="W94">
        <f>I94-'DLC Buildup Factors'!O87</f>
        <v>0</v>
      </c>
    </row>
    <row r="95" spans="1:23">
      <c r="A95" s="10">
        <v>4</v>
      </c>
      <c r="B95">
        <v>1.653</v>
      </c>
      <c r="C95">
        <v>0.98599999999999999</v>
      </c>
      <c r="D95">
        <v>4.0000000000000001E-3</v>
      </c>
      <c r="E95">
        <v>25.64</v>
      </c>
      <c r="F95">
        <v>-8.0000000000000002E-3</v>
      </c>
      <c r="G95" s="2">
        <v>6.0000000000000001E-3</v>
      </c>
      <c r="H95">
        <v>0.5</v>
      </c>
      <c r="I95" s="2">
        <v>3.0200000000000001E-3</v>
      </c>
      <c r="K95" t="str">
        <f t="shared" si="6"/>
        <v xml:space="preserve">    - 4.000</v>
      </c>
      <c r="L95" t="str">
        <f t="shared" si="7"/>
        <v xml:space="preserve">    - [1.653, 0.986, 0.004, 25.64, -0.0080]</v>
      </c>
      <c r="O95">
        <f>A95-'DLC Buildup Factors'!G88</f>
        <v>0</v>
      </c>
      <c r="P95">
        <f>B95-'DLC Buildup Factors'!H88</f>
        <v>0</v>
      </c>
      <c r="Q95">
        <f>C95-'DLC Buildup Factors'!I88</f>
        <v>0</v>
      </c>
      <c r="R95">
        <f>D95-'DLC Buildup Factors'!J88</f>
        <v>0</v>
      </c>
      <c r="S95">
        <f>E95-'DLC Buildup Factors'!K88</f>
        <v>0</v>
      </c>
      <c r="T95">
        <f>F95-'DLC Buildup Factors'!L88</f>
        <v>0</v>
      </c>
      <c r="U95">
        <f>G95-'DLC Buildup Factors'!M88</f>
        <v>0</v>
      </c>
      <c r="V95">
        <f>H95-'DLC Buildup Factors'!N88</f>
        <v>0</v>
      </c>
      <c r="W95">
        <f>I95-'DLC Buildup Factors'!O88</f>
        <v>0</v>
      </c>
    </row>
    <row r="96" spans="1:23">
      <c r="A96" s="10">
        <v>5</v>
      </c>
      <c r="B96">
        <v>1.575</v>
      </c>
      <c r="C96">
        <v>0.93899999999999995</v>
      </c>
      <c r="D96">
        <v>1.7000000000000001E-2</v>
      </c>
      <c r="E96">
        <v>14.5</v>
      </c>
      <c r="F96">
        <v>-1.09E-2</v>
      </c>
      <c r="G96" s="2">
        <v>8.5000000000000006E-3</v>
      </c>
      <c r="H96">
        <v>35</v>
      </c>
      <c r="I96" s="2">
        <v>3.13E-3</v>
      </c>
      <c r="K96" t="str">
        <f t="shared" si="6"/>
        <v xml:space="preserve">    - 5.000</v>
      </c>
      <c r="L96" t="str">
        <f t="shared" si="7"/>
        <v xml:space="preserve">    - [1.575, 0.939, 0.017, 14.50, -0.0109]</v>
      </c>
      <c r="O96">
        <f>A96-'DLC Buildup Factors'!G89</f>
        <v>0</v>
      </c>
      <c r="P96">
        <f>B96-'DLC Buildup Factors'!H89</f>
        <v>0</v>
      </c>
      <c r="Q96">
        <f>C96-'DLC Buildup Factors'!I89</f>
        <v>0</v>
      </c>
      <c r="R96">
        <f>D96-'DLC Buildup Factors'!J89</f>
        <v>0</v>
      </c>
      <c r="S96">
        <f>E96-'DLC Buildup Factors'!K89</f>
        <v>0</v>
      </c>
      <c r="T96">
        <f>F96-'DLC Buildup Factors'!L89</f>
        <v>0</v>
      </c>
      <c r="U96">
        <f>G96-'DLC Buildup Factors'!M89</f>
        <v>0</v>
      </c>
      <c r="V96">
        <f>H96-'DLC Buildup Factors'!N89</f>
        <v>0</v>
      </c>
      <c r="W96">
        <f>I96-'DLC Buildup Factors'!O89</f>
        <v>0</v>
      </c>
    </row>
    <row r="97" spans="1:23">
      <c r="A97" s="10">
        <v>6</v>
      </c>
      <c r="B97">
        <v>1.5249999999999999</v>
      </c>
      <c r="C97">
        <v>0.90800000000000003</v>
      </c>
      <c r="D97">
        <v>2.5999999999999999E-2</v>
      </c>
      <c r="E97">
        <v>14.36</v>
      </c>
      <c r="F97">
        <v>-1.49E-2</v>
      </c>
      <c r="G97" s="2">
        <v>9.7000000000000003E-3</v>
      </c>
      <c r="H97">
        <v>1</v>
      </c>
      <c r="I97" s="2">
        <v>3.8E-3</v>
      </c>
      <c r="K97" t="str">
        <f t="shared" si="6"/>
        <v xml:space="preserve">    - 6.000</v>
      </c>
      <c r="L97" t="str">
        <f t="shared" si="7"/>
        <v xml:space="preserve">    - [1.525, 0.908, 0.026, 14.36, -0.0149]</v>
      </c>
      <c r="O97">
        <f>A97-'DLC Buildup Factors'!G90</f>
        <v>0</v>
      </c>
      <c r="P97">
        <f>B97-'DLC Buildup Factors'!H90</f>
        <v>0</v>
      </c>
      <c r="Q97">
        <f>C97-'DLC Buildup Factors'!I90</f>
        <v>0</v>
      </c>
      <c r="R97">
        <f>D97-'DLC Buildup Factors'!J90</f>
        <v>0</v>
      </c>
      <c r="S97">
        <f>E97-'DLC Buildup Factors'!K90</f>
        <v>0</v>
      </c>
      <c r="T97">
        <f>F97-'DLC Buildup Factors'!L90</f>
        <v>0</v>
      </c>
      <c r="U97">
        <f>G97-'DLC Buildup Factors'!M90</f>
        <v>0</v>
      </c>
      <c r="V97">
        <f>H97-'DLC Buildup Factors'!N90</f>
        <v>0</v>
      </c>
      <c r="W97">
        <f>I97-'DLC Buildup Factors'!O90</f>
        <v>0</v>
      </c>
    </row>
    <row r="98" spans="1:23">
      <c r="A98" s="10">
        <v>8</v>
      </c>
      <c r="B98">
        <v>1.44</v>
      </c>
      <c r="C98">
        <v>0.86799999999999999</v>
      </c>
      <c r="D98">
        <v>3.7999999999999999E-2</v>
      </c>
      <c r="E98">
        <v>17.079999999999998</v>
      </c>
      <c r="F98">
        <v>-3.5099999999999999E-2</v>
      </c>
      <c r="G98" s="2">
        <v>6.8999999999999999E-3</v>
      </c>
      <c r="H98">
        <v>1</v>
      </c>
      <c r="I98" s="2">
        <v>4.0200000000000001E-3</v>
      </c>
      <c r="K98" t="str">
        <f t="shared" si="6"/>
        <v xml:space="preserve">    - 8.000</v>
      </c>
      <c r="L98" t="str">
        <f t="shared" si="7"/>
        <v xml:space="preserve">    - [1.440, 0.868, 0.038, 17.08, -0.0351]</v>
      </c>
      <c r="O98">
        <f>A98-'DLC Buildup Factors'!G91</f>
        <v>0</v>
      </c>
      <c r="P98">
        <f>B98-'DLC Buildup Factors'!H91</f>
        <v>0</v>
      </c>
      <c r="Q98">
        <f>C98-'DLC Buildup Factors'!I91</f>
        <v>0</v>
      </c>
      <c r="R98">
        <f>D98-'DLC Buildup Factors'!J91</f>
        <v>0</v>
      </c>
      <c r="S98">
        <f>E98-'DLC Buildup Factors'!K91</f>
        <v>0</v>
      </c>
      <c r="T98">
        <f>F98-'DLC Buildup Factors'!L91</f>
        <v>0</v>
      </c>
      <c r="U98">
        <f>G98-'DLC Buildup Factors'!M91</f>
        <v>0</v>
      </c>
      <c r="V98">
        <f>H98-'DLC Buildup Factors'!N91</f>
        <v>0</v>
      </c>
      <c r="W98">
        <f>I98-'DLC Buildup Factors'!O91</f>
        <v>0</v>
      </c>
    </row>
    <row r="99" spans="1:23">
      <c r="A99" s="10">
        <v>10</v>
      </c>
      <c r="B99">
        <v>1.373</v>
      </c>
      <c r="C99">
        <v>0.85499999999999998</v>
      </c>
      <c r="D99">
        <v>4.2000000000000003E-2</v>
      </c>
      <c r="E99">
        <v>12.35</v>
      </c>
      <c r="F99">
        <v>-2.0799999999999999E-2</v>
      </c>
      <c r="G99" s="2">
        <v>6.3E-3</v>
      </c>
      <c r="H99">
        <v>4</v>
      </c>
      <c r="I99" s="2">
        <v>3.5100000000000001E-3</v>
      </c>
      <c r="K99" t="str">
        <f t="shared" si="6"/>
        <v xml:space="preserve">    - 10.000</v>
      </c>
      <c r="L99" t="str">
        <f t="shared" si="7"/>
        <v xml:space="preserve">    - [1.373, 0.855, 0.042, 12.35, -0.0208]</v>
      </c>
      <c r="O99">
        <f>A99-'DLC Buildup Factors'!G92</f>
        <v>0</v>
      </c>
      <c r="P99">
        <f>B99-'DLC Buildup Factors'!H92</f>
        <v>0</v>
      </c>
      <c r="Q99">
        <f>C99-'DLC Buildup Factors'!I92</f>
        <v>0</v>
      </c>
      <c r="R99">
        <f>D99-'DLC Buildup Factors'!J92</f>
        <v>0</v>
      </c>
      <c r="S99">
        <f>E99-'DLC Buildup Factors'!K92</f>
        <v>0</v>
      </c>
      <c r="T99">
        <f>F99-'DLC Buildup Factors'!L92</f>
        <v>0</v>
      </c>
      <c r="U99">
        <f>G99-'DLC Buildup Factors'!M92</f>
        <v>0</v>
      </c>
      <c r="V99">
        <f>H99-'DLC Buildup Factors'!N92</f>
        <v>0</v>
      </c>
      <c r="W99">
        <f>I99-'DLC Buildup Factors'!O92</f>
        <v>0</v>
      </c>
    </row>
    <row r="100" spans="1:23">
      <c r="A100" s="10">
        <v>15</v>
      </c>
      <c r="B100">
        <v>1.276</v>
      </c>
      <c r="C100">
        <v>0.84099999999999997</v>
      </c>
      <c r="D100">
        <v>4.5999999999999999E-2</v>
      </c>
      <c r="E100">
        <v>15.27</v>
      </c>
      <c r="F100">
        <v>-2.9600000000000001E-2</v>
      </c>
      <c r="G100" s="2">
        <v>1.29E-2</v>
      </c>
      <c r="H100">
        <v>0.5</v>
      </c>
      <c r="I100" s="2">
        <v>6.1399999999999996E-3</v>
      </c>
      <c r="K100" t="str">
        <f t="shared" si="6"/>
        <v xml:space="preserve">    - 15.000</v>
      </c>
      <c r="L100" t="str">
        <f t="shared" si="7"/>
        <v xml:space="preserve">    - [1.276, 0.841, 0.046, 15.27, -0.0296]</v>
      </c>
      <c r="O100">
        <f>A100-'DLC Buildup Factors'!G93</f>
        <v>0</v>
      </c>
      <c r="P100">
        <f>B100-'DLC Buildup Factors'!H93</f>
        <v>0</v>
      </c>
      <c r="Q100">
        <f>C100-'DLC Buildup Factors'!I93</f>
        <v>0</v>
      </c>
      <c r="R100">
        <f>D100-'DLC Buildup Factors'!J93</f>
        <v>0</v>
      </c>
      <c r="S100">
        <f>E100-'DLC Buildup Factors'!K93</f>
        <v>0</v>
      </c>
      <c r="T100">
        <f>F100-'DLC Buildup Factors'!L93</f>
        <v>0</v>
      </c>
      <c r="U100">
        <f>G100-'DLC Buildup Factors'!M93</f>
        <v>0</v>
      </c>
      <c r="V100">
        <f>H100-'DLC Buildup Factors'!N93</f>
        <v>0</v>
      </c>
      <c r="W100">
        <f>I100-'DLC Buildup Factors'!O93</f>
        <v>0</v>
      </c>
    </row>
    <row r="101" spans="1:23">
      <c r="A101" s="10"/>
    </row>
    <row r="102" spans="1:23">
      <c r="A102" s="10" t="s">
        <v>1525</v>
      </c>
    </row>
    <row r="103" spans="1:23">
      <c r="A103" s="10" t="s">
        <v>1528</v>
      </c>
    </row>
    <row r="104" spans="1:23">
      <c r="A104" t="s">
        <v>0</v>
      </c>
      <c r="B104" t="s">
        <v>10</v>
      </c>
      <c r="C104" t="s">
        <v>11</v>
      </c>
      <c r="D104" t="s">
        <v>12</v>
      </c>
      <c r="E104" t="s">
        <v>15</v>
      </c>
      <c r="F104" t="s">
        <v>13</v>
      </c>
      <c r="G104" t="s">
        <v>16</v>
      </c>
      <c r="H104" t="s">
        <v>17</v>
      </c>
      <c r="I104" t="s">
        <v>14</v>
      </c>
    </row>
    <row r="105" spans="1:23">
      <c r="A105" s="10">
        <v>1.4999999999999999E-2</v>
      </c>
      <c r="B105">
        <v>1.234</v>
      </c>
      <c r="C105">
        <v>0.47499999999999998</v>
      </c>
      <c r="D105">
        <v>0.17100000000000001</v>
      </c>
      <c r="E105">
        <v>14.27</v>
      </c>
      <c r="F105">
        <v>-8.5800000000000001E-2</v>
      </c>
      <c r="G105" s="2">
        <v>1.5599999999999999E-2</v>
      </c>
      <c r="H105">
        <v>0.5</v>
      </c>
      <c r="I105" s="2">
        <v>6.77E-3</v>
      </c>
      <c r="K105" t="str">
        <f t="shared" ref="K105" si="8">CONCATENATE("    - ",TEXT(A105,"0.000"))</f>
        <v xml:space="preserve">    - 0.015</v>
      </c>
      <c r="L105" t="str">
        <f t="shared" ref="L105" si="9">CONCATENATE("    - [",TEXT(B105,"0.000"),", ",TEXT(C105,"0.000"),", ",TEXT(D105,"0.000"),", ",TEXT(E105,"0.00"),", ",TEXT(F105,"0.0000"),"]")</f>
        <v xml:space="preserve">    - [1.234, 0.475, 0.171, 14.27, -0.0858]</v>
      </c>
      <c r="O105">
        <f>A105-'DLC Buildup Factors'!G100</f>
        <v>0</v>
      </c>
      <c r="P105">
        <f>B105-'DLC Buildup Factors'!H100</f>
        <v>0</v>
      </c>
      <c r="Q105">
        <f>C105-'DLC Buildup Factors'!I100</f>
        <v>0</v>
      </c>
      <c r="R105">
        <f>D105-'DLC Buildup Factors'!J100</f>
        <v>0</v>
      </c>
      <c r="S105">
        <f>E105-'DLC Buildup Factors'!K100</f>
        <v>0</v>
      </c>
      <c r="T105">
        <f>F105-'DLC Buildup Factors'!L100</f>
        <v>0</v>
      </c>
      <c r="U105">
        <f>G105-'DLC Buildup Factors'!M100</f>
        <v>0</v>
      </c>
      <c r="V105">
        <f>H105-'DLC Buildup Factors'!N100</f>
        <v>0</v>
      </c>
      <c r="W105">
        <f>I105-'DLC Buildup Factors'!O100</f>
        <v>0</v>
      </c>
    </row>
    <row r="106" spans="1:23">
      <c r="A106" s="10">
        <v>0.02</v>
      </c>
      <c r="B106">
        <v>1.5429999999999999</v>
      </c>
      <c r="C106">
        <v>0.58599999999999997</v>
      </c>
      <c r="D106">
        <v>0.13</v>
      </c>
      <c r="E106">
        <v>15</v>
      </c>
      <c r="F106">
        <v>-6.3200000000000006E-2</v>
      </c>
      <c r="G106" s="2">
        <v>1.9699999999999999E-2</v>
      </c>
      <c r="H106">
        <v>0.5</v>
      </c>
      <c r="I106" s="2">
        <v>7.62E-3</v>
      </c>
      <c r="K106" t="str">
        <f t="shared" ref="K106:K129" si="10">CONCATENATE("    - ",TEXT(A106,"0.000"))</f>
        <v xml:space="preserve">    - 0.020</v>
      </c>
      <c r="L106" t="str">
        <f t="shared" ref="L106:L129" si="11">CONCATENATE("    - [",TEXT(B106,"0.000"),", ",TEXT(C106,"0.000"),", ",TEXT(D106,"0.000"),", ",TEXT(E106,"0.00"),", ",TEXT(F106,"0.0000"),"]")</f>
        <v xml:space="preserve">    - [1.543, 0.586, 0.130, 15.00, -0.0632]</v>
      </c>
      <c r="O106">
        <f>A106-'DLC Buildup Factors'!G101</f>
        <v>0</v>
      </c>
      <c r="P106">
        <f>B106-'DLC Buildup Factors'!H101</f>
        <v>0</v>
      </c>
      <c r="Q106">
        <f>C106-'DLC Buildup Factors'!I101</f>
        <v>0</v>
      </c>
      <c r="R106">
        <f>D106-'DLC Buildup Factors'!J101</f>
        <v>0</v>
      </c>
      <c r="S106">
        <f>E106-'DLC Buildup Factors'!K101</f>
        <v>0</v>
      </c>
      <c r="T106">
        <f>F106-'DLC Buildup Factors'!L101</f>
        <v>0</v>
      </c>
      <c r="U106">
        <f>G106-'DLC Buildup Factors'!M101</f>
        <v>0</v>
      </c>
      <c r="V106">
        <f>H106-'DLC Buildup Factors'!N101</f>
        <v>0</v>
      </c>
      <c r="W106">
        <f>I106-'DLC Buildup Factors'!O101</f>
        <v>0</v>
      </c>
    </row>
    <row r="107" spans="1:23">
      <c r="A107" s="10">
        <v>0.03</v>
      </c>
      <c r="B107">
        <v>2.621</v>
      </c>
      <c r="C107">
        <v>0.84199999999999997</v>
      </c>
      <c r="D107">
        <v>5.2999999999999999E-2</v>
      </c>
      <c r="E107">
        <v>15.71</v>
      </c>
      <c r="F107">
        <v>-3.9800000000000002E-2</v>
      </c>
      <c r="G107" s="2">
        <v>1.9699999999999999E-2</v>
      </c>
      <c r="H107">
        <v>0.5</v>
      </c>
      <c r="I107" s="2">
        <v>8.3099999999999997E-3</v>
      </c>
      <c r="K107" t="str">
        <f t="shared" si="10"/>
        <v xml:space="preserve">    - 0.030</v>
      </c>
      <c r="L107" t="str">
        <f t="shared" si="11"/>
        <v xml:space="preserve">    - [2.621, 0.842, 0.053, 15.71, -0.0398]</v>
      </c>
      <c r="O107">
        <f>A107-'DLC Buildup Factors'!G102</f>
        <v>0</v>
      </c>
      <c r="P107">
        <f>B107-'DLC Buildup Factors'!H102</f>
        <v>0</v>
      </c>
      <c r="Q107">
        <f>C107-'DLC Buildup Factors'!I102</f>
        <v>0</v>
      </c>
      <c r="R107">
        <f>D107-'DLC Buildup Factors'!J102</f>
        <v>0</v>
      </c>
      <c r="S107">
        <f>E107-'DLC Buildup Factors'!K102</f>
        <v>0</v>
      </c>
      <c r="T107">
        <f>F107-'DLC Buildup Factors'!L102</f>
        <v>0</v>
      </c>
      <c r="U107">
        <f>G107-'DLC Buildup Factors'!M102</f>
        <v>0</v>
      </c>
      <c r="V107">
        <f>H107-'DLC Buildup Factors'!N102</f>
        <v>0</v>
      </c>
      <c r="W107">
        <f>I107-'DLC Buildup Factors'!O102</f>
        <v>0</v>
      </c>
    </row>
    <row r="108" spans="1:23">
      <c r="A108" s="10">
        <v>0.04</v>
      </c>
      <c r="B108">
        <v>3.9449999999999998</v>
      </c>
      <c r="C108">
        <v>1.2789999999999999</v>
      </c>
      <c r="D108">
        <v>-5.2999999999999999E-2</v>
      </c>
      <c r="E108">
        <v>13.58</v>
      </c>
      <c r="F108">
        <v>1.9099999999999999E-2</v>
      </c>
      <c r="G108" s="2">
        <v>8.6E-3</v>
      </c>
      <c r="H108">
        <v>25</v>
      </c>
      <c r="I108" s="2">
        <v>4.8999999999999998E-3</v>
      </c>
      <c r="K108" t="str">
        <f t="shared" si="10"/>
        <v xml:space="preserve">    - 0.040</v>
      </c>
      <c r="L108" t="str">
        <f t="shared" si="11"/>
        <v xml:space="preserve">    - [3.945, 1.279, -0.053, 13.58, 0.0191]</v>
      </c>
      <c r="O108">
        <f>A108-'DLC Buildup Factors'!G103</f>
        <v>0</v>
      </c>
      <c r="P108">
        <f>B108-'DLC Buildup Factors'!H103</f>
        <v>0</v>
      </c>
      <c r="Q108">
        <f>C108-'DLC Buildup Factors'!I103</f>
        <v>0</v>
      </c>
      <c r="R108">
        <f>D108-'DLC Buildup Factors'!J103</f>
        <v>0</v>
      </c>
      <c r="S108">
        <f>E108-'DLC Buildup Factors'!K103</f>
        <v>0</v>
      </c>
      <c r="T108">
        <f>F108-'DLC Buildup Factors'!L103</f>
        <v>0</v>
      </c>
      <c r="U108">
        <f>G108-'DLC Buildup Factors'!M103</f>
        <v>0</v>
      </c>
      <c r="V108">
        <f>H108-'DLC Buildup Factors'!N103</f>
        <v>0</v>
      </c>
      <c r="W108">
        <f>I108-'DLC Buildup Factors'!O103</f>
        <v>0</v>
      </c>
    </row>
    <row r="109" spans="1:23">
      <c r="A109" s="10">
        <v>0.05</v>
      </c>
      <c r="B109">
        <v>5.0389999999999997</v>
      </c>
      <c r="C109">
        <v>1.64</v>
      </c>
      <c r="D109">
        <v>-0.113</v>
      </c>
      <c r="E109">
        <v>13.85</v>
      </c>
      <c r="F109">
        <v>4.8899999999999999E-2</v>
      </c>
      <c r="G109" s="2">
        <v>1.6E-2</v>
      </c>
      <c r="H109">
        <v>25</v>
      </c>
      <c r="I109" s="2">
        <v>1.099E-2</v>
      </c>
      <c r="K109" t="str">
        <f t="shared" si="10"/>
        <v xml:space="preserve">    - 0.050</v>
      </c>
      <c r="L109" t="str">
        <f t="shared" si="11"/>
        <v xml:space="preserve">    - [5.039, 1.640, -0.113, 13.85, 0.0489]</v>
      </c>
      <c r="O109">
        <f>A109-'DLC Buildup Factors'!G104</f>
        <v>0</v>
      </c>
      <c r="P109">
        <f>B109-'DLC Buildup Factors'!H104</f>
        <v>0</v>
      </c>
      <c r="Q109">
        <f>C109-'DLC Buildup Factors'!I104</f>
        <v>0</v>
      </c>
      <c r="R109">
        <f>D109-'DLC Buildup Factors'!J104</f>
        <v>0</v>
      </c>
      <c r="S109">
        <f>E109-'DLC Buildup Factors'!K104</f>
        <v>0</v>
      </c>
      <c r="T109">
        <f>F109-'DLC Buildup Factors'!L104</f>
        <v>0</v>
      </c>
      <c r="U109">
        <f>G109-'DLC Buildup Factors'!M104</f>
        <v>0</v>
      </c>
      <c r="V109">
        <f>H109-'DLC Buildup Factors'!N104</f>
        <v>0</v>
      </c>
      <c r="W109">
        <f>I109-'DLC Buildup Factors'!O104</f>
        <v>0</v>
      </c>
    </row>
    <row r="110" spans="1:23">
      <c r="A110" s="10">
        <v>0.06</v>
      </c>
      <c r="B110">
        <v>5.51</v>
      </c>
      <c r="C110">
        <v>1.9370000000000001</v>
      </c>
      <c r="D110">
        <v>-0.154</v>
      </c>
      <c r="E110">
        <v>13.68</v>
      </c>
      <c r="F110">
        <v>7.1400000000000005E-2</v>
      </c>
      <c r="G110" s="2">
        <v>2.81E-2</v>
      </c>
      <c r="H110">
        <v>0.5</v>
      </c>
      <c r="I110" s="2">
        <v>1.8919999999999999E-2</v>
      </c>
      <c r="K110" t="str">
        <f t="shared" si="10"/>
        <v xml:space="preserve">    - 0.060</v>
      </c>
      <c r="L110" t="str">
        <f t="shared" si="11"/>
        <v xml:space="preserve">    - [5.510, 1.937, -0.154, 13.68, 0.0714]</v>
      </c>
      <c r="O110">
        <f>A110-'DLC Buildup Factors'!G105</f>
        <v>0</v>
      </c>
      <c r="P110">
        <f>B110-'DLC Buildup Factors'!H105</f>
        <v>0</v>
      </c>
      <c r="Q110">
        <f>C110-'DLC Buildup Factors'!I105</f>
        <v>0</v>
      </c>
      <c r="R110">
        <f>D110-'DLC Buildup Factors'!J105</f>
        <v>0</v>
      </c>
      <c r="S110">
        <f>E110-'DLC Buildup Factors'!K105</f>
        <v>0</v>
      </c>
      <c r="T110">
        <f>F110-'DLC Buildup Factors'!L105</f>
        <v>0</v>
      </c>
      <c r="U110">
        <f>G110-'DLC Buildup Factors'!M105</f>
        <v>0</v>
      </c>
      <c r="V110">
        <f>H110-'DLC Buildup Factors'!N105</f>
        <v>0</v>
      </c>
      <c r="W110">
        <f>I110-'DLC Buildup Factors'!O105</f>
        <v>0</v>
      </c>
    </row>
    <row r="111" spans="1:23">
      <c r="A111" s="10">
        <v>0.08</v>
      </c>
      <c r="B111">
        <v>5.4320000000000004</v>
      </c>
      <c r="C111">
        <v>2.2829999999999999</v>
      </c>
      <c r="D111">
        <v>-0.19400000000000001</v>
      </c>
      <c r="E111">
        <v>13.3</v>
      </c>
      <c r="F111">
        <v>8.9200000000000002E-2</v>
      </c>
      <c r="G111" s="2">
        <v>3.3099999999999997E-2</v>
      </c>
      <c r="H111">
        <v>35</v>
      </c>
      <c r="I111" s="2">
        <v>2.1919999999999999E-2</v>
      </c>
      <c r="K111" t="str">
        <f t="shared" si="10"/>
        <v xml:space="preserve">    - 0.080</v>
      </c>
      <c r="L111" t="str">
        <f t="shared" si="11"/>
        <v xml:space="preserve">    - [5.432, 2.283, -0.194, 13.30, 0.0892]</v>
      </c>
      <c r="O111">
        <f>A111-'DLC Buildup Factors'!G106</f>
        <v>0</v>
      </c>
      <c r="P111">
        <f>B111-'DLC Buildup Factors'!H106</f>
        <v>0</v>
      </c>
      <c r="Q111">
        <f>C111-'DLC Buildup Factors'!I106</f>
        <v>0</v>
      </c>
      <c r="R111">
        <f>D111-'DLC Buildup Factors'!J106</f>
        <v>0</v>
      </c>
      <c r="S111">
        <f>E111-'DLC Buildup Factors'!K106</f>
        <v>0</v>
      </c>
      <c r="T111">
        <f>F111-'DLC Buildup Factors'!L106</f>
        <v>0</v>
      </c>
      <c r="U111">
        <f>G111-'DLC Buildup Factors'!M106</f>
        <v>0</v>
      </c>
      <c r="V111">
        <f>H111-'DLC Buildup Factors'!N106</f>
        <v>0</v>
      </c>
      <c r="W111">
        <f>I111-'DLC Buildup Factors'!O106</f>
        <v>0</v>
      </c>
    </row>
    <row r="112" spans="1:23">
      <c r="A112" s="10">
        <v>0.1</v>
      </c>
      <c r="B112">
        <v>5.2080000000000002</v>
      </c>
      <c r="C112">
        <v>2.3109999999999999</v>
      </c>
      <c r="D112">
        <v>-0.191</v>
      </c>
      <c r="E112">
        <v>14.39</v>
      </c>
      <c r="F112">
        <v>8.2500000000000004E-2</v>
      </c>
      <c r="G112" s="2">
        <v>2.8799999999999999E-2</v>
      </c>
      <c r="H112">
        <v>15</v>
      </c>
      <c r="I112" s="2">
        <v>1.5720000000000001E-2</v>
      </c>
      <c r="K112" t="str">
        <f t="shared" si="10"/>
        <v xml:space="preserve">    - 0.100</v>
      </c>
      <c r="L112" t="str">
        <f t="shared" si="11"/>
        <v xml:space="preserve">    - [5.208, 2.311, -0.191, 14.39, 0.0825]</v>
      </c>
      <c r="O112">
        <f>A112-'DLC Buildup Factors'!G107</f>
        <v>0</v>
      </c>
      <c r="P112">
        <f>B112-'DLC Buildup Factors'!H107</f>
        <v>0</v>
      </c>
      <c r="Q112">
        <f>C112-'DLC Buildup Factors'!I107</f>
        <v>0</v>
      </c>
      <c r="R112">
        <f>D112-'DLC Buildup Factors'!J107</f>
        <v>0</v>
      </c>
      <c r="S112">
        <f>E112-'DLC Buildup Factors'!K107</f>
        <v>0</v>
      </c>
      <c r="T112">
        <f>F112-'DLC Buildup Factors'!L107</f>
        <v>0</v>
      </c>
      <c r="U112">
        <f>G112-'DLC Buildup Factors'!M107</f>
        <v>0</v>
      </c>
      <c r="V112">
        <f>H112-'DLC Buildup Factors'!N107</f>
        <v>0</v>
      </c>
      <c r="W112">
        <f>I112-'DLC Buildup Factors'!O107</f>
        <v>0</v>
      </c>
    </row>
    <row r="113" spans="1:23">
      <c r="A113" s="10">
        <v>0.15</v>
      </c>
      <c r="B113">
        <v>3.97</v>
      </c>
      <c r="C113">
        <v>2.4529999999999998</v>
      </c>
      <c r="D113">
        <v>-0.20899999999999999</v>
      </c>
      <c r="E113">
        <v>14.11</v>
      </c>
      <c r="F113">
        <v>9.4299999999999995E-2</v>
      </c>
      <c r="G113" s="2">
        <v>3.4099999999999998E-2</v>
      </c>
      <c r="H113">
        <v>35</v>
      </c>
      <c r="I113" s="2">
        <v>1.9820000000000001E-2</v>
      </c>
      <c r="K113" t="str">
        <f t="shared" si="10"/>
        <v xml:space="preserve">    - 0.150</v>
      </c>
      <c r="L113" t="str">
        <f t="shared" si="11"/>
        <v xml:space="preserve">    - [3.970, 2.453, -0.209, 14.11, 0.0943]</v>
      </c>
      <c r="O113">
        <f>A113-'DLC Buildup Factors'!G108</f>
        <v>0</v>
      </c>
      <c r="P113">
        <f>B113-'DLC Buildup Factors'!H108</f>
        <v>0</v>
      </c>
      <c r="Q113">
        <f>C113-'DLC Buildup Factors'!I108</f>
        <v>0</v>
      </c>
      <c r="R113">
        <f>D113-'DLC Buildup Factors'!J108</f>
        <v>0</v>
      </c>
      <c r="S113">
        <f>E113-'DLC Buildup Factors'!K108</f>
        <v>0</v>
      </c>
      <c r="T113">
        <f>F113-'DLC Buildup Factors'!L108</f>
        <v>0</v>
      </c>
      <c r="U113">
        <f>G113-'DLC Buildup Factors'!M108</f>
        <v>0</v>
      </c>
      <c r="V113">
        <f>H113-'DLC Buildup Factors'!N108</f>
        <v>0</v>
      </c>
      <c r="W113">
        <f>I113-'DLC Buildup Factors'!O108</f>
        <v>0</v>
      </c>
    </row>
    <row r="114" spans="1:23">
      <c r="A114" s="10">
        <v>0.2</v>
      </c>
      <c r="B114">
        <v>3.395</v>
      </c>
      <c r="C114">
        <v>2.4079999999999999</v>
      </c>
      <c r="D114">
        <v>-0.20799999999999999</v>
      </c>
      <c r="E114">
        <v>13.32</v>
      </c>
      <c r="F114">
        <v>8.9099999999999999E-2</v>
      </c>
      <c r="G114" s="2">
        <v>3.1899999999999998E-2</v>
      </c>
      <c r="H114">
        <v>1</v>
      </c>
      <c r="I114" s="2">
        <v>2.001E-2</v>
      </c>
      <c r="K114" t="str">
        <f t="shared" si="10"/>
        <v xml:space="preserve">    - 0.200</v>
      </c>
      <c r="L114" t="str">
        <f t="shared" si="11"/>
        <v xml:space="preserve">    - [3.395, 2.408, -0.208, 13.32, 0.0891]</v>
      </c>
      <c r="O114">
        <f>A114-'DLC Buildup Factors'!G109</f>
        <v>0</v>
      </c>
      <c r="P114">
        <f>B114-'DLC Buildup Factors'!H109</f>
        <v>0</v>
      </c>
      <c r="Q114">
        <f>C114-'DLC Buildup Factors'!I109</f>
        <v>0</v>
      </c>
      <c r="R114">
        <f>D114-'DLC Buildup Factors'!J109</f>
        <v>0</v>
      </c>
      <c r="S114">
        <f>E114-'DLC Buildup Factors'!K109</f>
        <v>0</v>
      </c>
      <c r="T114">
        <f>F114-'DLC Buildup Factors'!L109</f>
        <v>0</v>
      </c>
      <c r="U114">
        <f>G114-'DLC Buildup Factors'!M109</f>
        <v>0</v>
      </c>
      <c r="V114">
        <f>H114-'DLC Buildup Factors'!N109</f>
        <v>0</v>
      </c>
      <c r="W114">
        <f>I114-'DLC Buildup Factors'!O109</f>
        <v>0</v>
      </c>
    </row>
    <row r="115" spans="1:23">
      <c r="A115" s="10">
        <v>0.3</v>
      </c>
      <c r="B115">
        <v>2.9620000000000002</v>
      </c>
      <c r="C115">
        <v>2.1419999999999999</v>
      </c>
      <c r="D115">
        <v>-0.18</v>
      </c>
      <c r="E115">
        <v>14.06</v>
      </c>
      <c r="F115">
        <v>7.5499999999999998E-2</v>
      </c>
      <c r="G115" s="2">
        <v>2.6599999999999999E-2</v>
      </c>
      <c r="H115">
        <v>25</v>
      </c>
      <c r="I115" s="2">
        <v>1.6449999999999999E-2</v>
      </c>
      <c r="K115" t="str">
        <f t="shared" si="10"/>
        <v xml:space="preserve">    - 0.300</v>
      </c>
      <c r="L115" t="str">
        <f t="shared" si="11"/>
        <v xml:space="preserve">    - [2.962, 2.142, -0.180, 14.06, 0.0755]</v>
      </c>
      <c r="O115">
        <f>A115-'DLC Buildup Factors'!G110</f>
        <v>0</v>
      </c>
      <c r="P115">
        <f>B115-'DLC Buildup Factors'!H110</f>
        <v>0</v>
      </c>
      <c r="Q115">
        <f>C115-'DLC Buildup Factors'!I110</f>
        <v>0</v>
      </c>
      <c r="R115">
        <f>D115-'DLC Buildup Factors'!J110</f>
        <v>0</v>
      </c>
      <c r="S115">
        <f>E115-'DLC Buildup Factors'!K110</f>
        <v>0</v>
      </c>
      <c r="T115">
        <f>F115-'DLC Buildup Factors'!L110</f>
        <v>0</v>
      </c>
      <c r="U115">
        <f>G115-'DLC Buildup Factors'!M110</f>
        <v>0</v>
      </c>
      <c r="V115">
        <f>H115-'DLC Buildup Factors'!N110</f>
        <v>0</v>
      </c>
      <c r="W115">
        <f>I115-'DLC Buildup Factors'!O110</f>
        <v>0</v>
      </c>
    </row>
    <row r="116" spans="1:23">
      <c r="A116" s="10">
        <v>0.4</v>
      </c>
      <c r="B116">
        <v>2.7</v>
      </c>
      <c r="C116">
        <v>1.976</v>
      </c>
      <c r="D116">
        <v>-0.16300000000000001</v>
      </c>
      <c r="E116">
        <v>14.05</v>
      </c>
      <c r="F116">
        <v>6.9000000000000006E-2</v>
      </c>
      <c r="G116" s="2">
        <v>2.47E-2</v>
      </c>
      <c r="H116">
        <v>35</v>
      </c>
      <c r="I116" s="2">
        <v>1.626E-2</v>
      </c>
      <c r="K116" t="str">
        <f t="shared" si="10"/>
        <v xml:space="preserve">    - 0.400</v>
      </c>
      <c r="L116" t="str">
        <f t="shared" si="11"/>
        <v xml:space="preserve">    - [2.700, 1.976, -0.163, 14.05, 0.0690]</v>
      </c>
      <c r="O116">
        <f>A116-'DLC Buildup Factors'!G111</f>
        <v>0</v>
      </c>
      <c r="P116">
        <f>B116-'DLC Buildup Factors'!H111</f>
        <v>0</v>
      </c>
      <c r="Q116">
        <f>C116-'DLC Buildup Factors'!I111</f>
        <v>0</v>
      </c>
      <c r="R116">
        <f>D116-'DLC Buildup Factors'!J111</f>
        <v>0</v>
      </c>
      <c r="S116">
        <f>E116-'DLC Buildup Factors'!K111</f>
        <v>0</v>
      </c>
      <c r="T116">
        <f>F116-'DLC Buildup Factors'!L111</f>
        <v>0</v>
      </c>
      <c r="U116">
        <f>G116-'DLC Buildup Factors'!M111</f>
        <v>0</v>
      </c>
      <c r="V116">
        <f>H116-'DLC Buildup Factors'!N111</f>
        <v>0</v>
      </c>
      <c r="W116">
        <f>I116-'DLC Buildup Factors'!O111</f>
        <v>0</v>
      </c>
    </row>
    <row r="117" spans="1:23">
      <c r="A117" s="10">
        <v>0.5</v>
      </c>
      <c r="B117">
        <v>2.5379999999999998</v>
      </c>
      <c r="C117">
        <v>1.835</v>
      </c>
      <c r="D117">
        <v>-0.14599999999999999</v>
      </c>
      <c r="E117">
        <v>14.13</v>
      </c>
      <c r="F117">
        <v>6.1199999999999997E-2</v>
      </c>
      <c r="G117" s="2">
        <v>2.3400000000000001E-2</v>
      </c>
      <c r="H117">
        <v>1</v>
      </c>
      <c r="I117" s="2">
        <v>1.499E-2</v>
      </c>
      <c r="K117" t="str">
        <f t="shared" si="10"/>
        <v xml:space="preserve">    - 0.500</v>
      </c>
      <c r="L117" t="str">
        <f t="shared" si="11"/>
        <v xml:space="preserve">    - [2.538, 1.835, -0.146, 14.13, 0.0612]</v>
      </c>
      <c r="O117">
        <f>A117-'DLC Buildup Factors'!G112</f>
        <v>0</v>
      </c>
      <c r="P117">
        <f>B117-'DLC Buildup Factors'!H112</f>
        <v>0</v>
      </c>
      <c r="Q117">
        <f>C117-'DLC Buildup Factors'!I112</f>
        <v>0</v>
      </c>
      <c r="R117">
        <f>D117-'DLC Buildup Factors'!J112</f>
        <v>0</v>
      </c>
      <c r="S117">
        <f>E117-'DLC Buildup Factors'!K112</f>
        <v>0</v>
      </c>
      <c r="T117">
        <f>F117-'DLC Buildup Factors'!L112</f>
        <v>0</v>
      </c>
      <c r="U117">
        <f>G117-'DLC Buildup Factors'!M112</f>
        <v>0</v>
      </c>
      <c r="V117">
        <f>H117-'DLC Buildup Factors'!N112</f>
        <v>0</v>
      </c>
      <c r="W117">
        <f>I117-'DLC Buildup Factors'!O112</f>
        <v>0</v>
      </c>
    </row>
    <row r="118" spans="1:23">
      <c r="A118" s="10">
        <v>0.6</v>
      </c>
      <c r="B118">
        <v>2.4060000000000001</v>
      </c>
      <c r="C118">
        <v>1.7370000000000001</v>
      </c>
      <c r="D118">
        <v>-0.13400000000000001</v>
      </c>
      <c r="E118">
        <v>14.11</v>
      </c>
      <c r="F118">
        <v>5.7200000000000001E-2</v>
      </c>
      <c r="G118" s="2">
        <v>2.1600000000000001E-2</v>
      </c>
      <c r="H118">
        <v>10</v>
      </c>
      <c r="I118" s="2">
        <v>1.434E-2</v>
      </c>
      <c r="K118" t="str">
        <f t="shared" si="10"/>
        <v xml:space="preserve">    - 0.600</v>
      </c>
      <c r="L118" t="str">
        <f t="shared" si="11"/>
        <v xml:space="preserve">    - [2.406, 1.737, -0.134, 14.11, 0.0572]</v>
      </c>
      <c r="O118">
        <f>A118-'DLC Buildup Factors'!G113</f>
        <v>0</v>
      </c>
      <c r="P118">
        <f>B118-'DLC Buildup Factors'!H113</f>
        <v>0</v>
      </c>
      <c r="Q118">
        <f>C118-'DLC Buildup Factors'!I113</f>
        <v>0</v>
      </c>
      <c r="R118">
        <f>D118-'DLC Buildup Factors'!J113</f>
        <v>0</v>
      </c>
      <c r="S118">
        <f>E118-'DLC Buildup Factors'!K113</f>
        <v>0</v>
      </c>
      <c r="T118">
        <f>F118-'DLC Buildup Factors'!L113</f>
        <v>0</v>
      </c>
      <c r="U118">
        <f>G118-'DLC Buildup Factors'!M113</f>
        <v>0</v>
      </c>
      <c r="V118">
        <f>H118-'DLC Buildup Factors'!N113</f>
        <v>0</v>
      </c>
      <c r="W118">
        <f>I118-'DLC Buildup Factors'!O113</f>
        <v>0</v>
      </c>
    </row>
    <row r="119" spans="1:23">
      <c r="A119" s="10">
        <v>0.8</v>
      </c>
      <c r="B119">
        <v>2.2410000000000001</v>
      </c>
      <c r="C119">
        <v>1.58</v>
      </c>
      <c r="D119">
        <v>-0.112</v>
      </c>
      <c r="E119">
        <v>14.03</v>
      </c>
      <c r="F119">
        <v>4.8399999999999999E-2</v>
      </c>
      <c r="G119" s="2">
        <v>1.8599999999999998E-2</v>
      </c>
      <c r="H119">
        <v>1</v>
      </c>
      <c r="I119" s="2">
        <v>1.3259999999999999E-2</v>
      </c>
      <c r="K119" t="str">
        <f t="shared" si="10"/>
        <v xml:space="preserve">    - 0.800</v>
      </c>
      <c r="L119" t="str">
        <f t="shared" si="11"/>
        <v xml:space="preserve">    - [2.241, 1.580, -0.112, 14.03, 0.0484]</v>
      </c>
      <c r="O119">
        <f>A119-'DLC Buildup Factors'!G114</f>
        <v>0</v>
      </c>
      <c r="P119">
        <f>B119-'DLC Buildup Factors'!H114</f>
        <v>0</v>
      </c>
      <c r="Q119">
        <f>C119-'DLC Buildup Factors'!I114</f>
        <v>0</v>
      </c>
      <c r="R119">
        <f>D119-'DLC Buildup Factors'!J114</f>
        <v>0</v>
      </c>
      <c r="S119">
        <f>E119-'DLC Buildup Factors'!K114</f>
        <v>0</v>
      </c>
      <c r="T119">
        <f>F119-'DLC Buildup Factors'!L114</f>
        <v>0</v>
      </c>
      <c r="U119">
        <f>G119-'DLC Buildup Factors'!M114</f>
        <v>0</v>
      </c>
      <c r="V119">
        <f>H119-'DLC Buildup Factors'!N114</f>
        <v>0</v>
      </c>
      <c r="W119">
        <f>I119-'DLC Buildup Factors'!O114</f>
        <v>0</v>
      </c>
    </row>
    <row r="120" spans="1:23">
      <c r="A120" s="10">
        <v>1</v>
      </c>
      <c r="B120">
        <v>2.1230000000000002</v>
      </c>
      <c r="C120">
        <v>1.474</v>
      </c>
      <c r="D120">
        <v>-9.6000000000000002E-2</v>
      </c>
      <c r="E120">
        <v>13.97</v>
      </c>
      <c r="F120">
        <v>4.2599999999999999E-2</v>
      </c>
      <c r="G120" s="2">
        <v>3.56E-2</v>
      </c>
      <c r="H120">
        <v>1</v>
      </c>
      <c r="I120" s="2">
        <v>1.417E-2</v>
      </c>
      <c r="K120" t="str">
        <f t="shared" si="10"/>
        <v xml:space="preserve">    - 1.000</v>
      </c>
      <c r="L120" t="str">
        <f t="shared" si="11"/>
        <v xml:space="preserve">    - [2.123, 1.474, -0.096, 13.97, 0.0426]</v>
      </c>
      <c r="O120">
        <f>A120-'DLC Buildup Factors'!G115</f>
        <v>0</v>
      </c>
      <c r="P120">
        <f>B120-'DLC Buildup Factors'!H115</f>
        <v>0</v>
      </c>
      <c r="Q120">
        <f>C120-'DLC Buildup Factors'!I115</f>
        <v>0</v>
      </c>
      <c r="R120">
        <f>D120-'DLC Buildup Factors'!J115</f>
        <v>0</v>
      </c>
      <c r="S120">
        <f>E120-'DLC Buildup Factors'!K115</f>
        <v>0</v>
      </c>
      <c r="T120">
        <f>F120-'DLC Buildup Factors'!L115</f>
        <v>0</v>
      </c>
      <c r="U120">
        <f>G120-'DLC Buildup Factors'!M115</f>
        <v>0</v>
      </c>
      <c r="V120">
        <f>H120-'DLC Buildup Factors'!N115</f>
        <v>0</v>
      </c>
      <c r="W120">
        <f>I120-'DLC Buildup Factors'!O115</f>
        <v>0</v>
      </c>
    </row>
    <row r="121" spans="1:23">
      <c r="A121" s="10">
        <v>1.5</v>
      </c>
      <c r="B121">
        <v>1.968</v>
      </c>
      <c r="C121">
        <v>1.27</v>
      </c>
      <c r="D121">
        <v>-5.8000000000000003E-2</v>
      </c>
      <c r="E121">
        <v>14.81</v>
      </c>
      <c r="F121">
        <v>2.46E-2</v>
      </c>
      <c r="G121" s="2">
        <v>2.1299999999999999E-2</v>
      </c>
      <c r="H121">
        <v>0.5</v>
      </c>
      <c r="I121" s="2">
        <v>8.0599999999999995E-3</v>
      </c>
      <c r="K121" t="str">
        <f t="shared" si="10"/>
        <v xml:space="preserve">    - 1.500</v>
      </c>
      <c r="L121" t="str">
        <f t="shared" si="11"/>
        <v xml:space="preserve">    - [1.968, 1.270, -0.058, 14.81, 0.0246]</v>
      </c>
      <c r="O121">
        <f>A121-'DLC Buildup Factors'!G116</f>
        <v>0</v>
      </c>
      <c r="P121">
        <f>B121-'DLC Buildup Factors'!H116</f>
        <v>0</v>
      </c>
      <c r="Q121">
        <f>C121-'DLC Buildup Factors'!I116</f>
        <v>0</v>
      </c>
      <c r="R121">
        <f>D121-'DLC Buildup Factors'!J116</f>
        <v>0</v>
      </c>
      <c r="S121">
        <f>E121-'DLC Buildup Factors'!K116</f>
        <v>0</v>
      </c>
      <c r="T121">
        <f>F121-'DLC Buildup Factors'!L116</f>
        <v>0</v>
      </c>
      <c r="U121">
        <f>G121-'DLC Buildup Factors'!M116</f>
        <v>0</v>
      </c>
      <c r="V121">
        <f>H121-'DLC Buildup Factors'!N116</f>
        <v>0</v>
      </c>
      <c r="W121">
        <f>I121-'DLC Buildup Factors'!O116</f>
        <v>0</v>
      </c>
    </row>
    <row r="122" spans="1:23">
      <c r="A122" s="10">
        <v>2</v>
      </c>
      <c r="B122">
        <v>1.8580000000000001</v>
      </c>
      <c r="C122">
        <v>1.1759999999999999</v>
      </c>
      <c r="D122">
        <v>-0.04</v>
      </c>
      <c r="E122">
        <v>13.95</v>
      </c>
      <c r="F122">
        <v>1.7500000000000002E-2</v>
      </c>
      <c r="G122" s="2">
        <v>1.34E-2</v>
      </c>
      <c r="H122">
        <v>0.5</v>
      </c>
      <c r="I122" s="2">
        <v>5.7499999999999999E-3</v>
      </c>
      <c r="K122" t="str">
        <f t="shared" si="10"/>
        <v xml:space="preserve">    - 2.000</v>
      </c>
      <c r="L122" t="str">
        <f t="shared" si="11"/>
        <v xml:space="preserve">    - [1.858, 1.176, -0.040, 13.95, 0.0175]</v>
      </c>
      <c r="O122">
        <f>A122-'DLC Buildup Factors'!G117</f>
        <v>0</v>
      </c>
      <c r="P122">
        <f>B122-'DLC Buildup Factors'!H117</f>
        <v>0</v>
      </c>
      <c r="Q122">
        <f>C122-'DLC Buildup Factors'!I117</f>
        <v>0</v>
      </c>
      <c r="R122">
        <f>D122-'DLC Buildup Factors'!J117</f>
        <v>0</v>
      </c>
      <c r="S122">
        <f>E122-'DLC Buildup Factors'!K117</f>
        <v>0</v>
      </c>
      <c r="T122">
        <f>F122-'DLC Buildup Factors'!L117</f>
        <v>0</v>
      </c>
      <c r="U122">
        <f>G122-'DLC Buildup Factors'!M117</f>
        <v>0</v>
      </c>
      <c r="V122">
        <f>H122-'DLC Buildup Factors'!N117</f>
        <v>0</v>
      </c>
      <c r="W122">
        <f>I122-'DLC Buildup Factors'!O117</f>
        <v>0</v>
      </c>
    </row>
    <row r="123" spans="1:23">
      <c r="A123" s="10">
        <v>3</v>
      </c>
      <c r="B123">
        <v>1.718</v>
      </c>
      <c r="C123">
        <v>1.0609999999999999</v>
      </c>
      <c r="D123">
        <v>-1.4E-2</v>
      </c>
      <c r="E123">
        <v>13.95</v>
      </c>
      <c r="F123">
        <v>4.7000000000000002E-3</v>
      </c>
      <c r="G123" s="2">
        <v>9.5999999999999992E-3</v>
      </c>
      <c r="H123">
        <v>0.5</v>
      </c>
      <c r="I123" s="2">
        <v>3.4299999999999999E-3</v>
      </c>
      <c r="K123" t="str">
        <f t="shared" si="10"/>
        <v xml:space="preserve">    - 3.000</v>
      </c>
      <c r="L123" t="str">
        <f t="shared" si="11"/>
        <v xml:space="preserve">    - [1.718, 1.061, -0.014, 13.95, 0.0047]</v>
      </c>
      <c r="O123">
        <f>A123-'DLC Buildup Factors'!G118</f>
        <v>0</v>
      </c>
      <c r="P123">
        <f>B123-'DLC Buildup Factors'!H118</f>
        <v>0</v>
      </c>
      <c r="Q123">
        <f>C123-'DLC Buildup Factors'!I118</f>
        <v>0</v>
      </c>
      <c r="R123">
        <f>D123-'DLC Buildup Factors'!J118</f>
        <v>0</v>
      </c>
      <c r="S123">
        <f>E123-'DLC Buildup Factors'!K118</f>
        <v>0</v>
      </c>
      <c r="T123">
        <f>F123-'DLC Buildup Factors'!L118</f>
        <v>0</v>
      </c>
      <c r="U123">
        <f>G123-'DLC Buildup Factors'!M118</f>
        <v>0</v>
      </c>
      <c r="V123">
        <f>H123-'DLC Buildup Factors'!N118</f>
        <v>0</v>
      </c>
      <c r="W123">
        <f>I123-'DLC Buildup Factors'!O118</f>
        <v>0</v>
      </c>
    </row>
    <row r="124" spans="1:23">
      <c r="A124" s="10">
        <v>4</v>
      </c>
      <c r="B124">
        <v>1.631</v>
      </c>
      <c r="C124">
        <v>0.98899999999999999</v>
      </c>
      <c r="D124">
        <v>4.0000000000000001E-3</v>
      </c>
      <c r="E124">
        <v>15.65</v>
      </c>
      <c r="F124">
        <v>-4.4000000000000003E-3</v>
      </c>
      <c r="G124" s="2">
        <v>5.7999999999999996E-3</v>
      </c>
      <c r="H124">
        <v>2</v>
      </c>
      <c r="I124" s="2">
        <v>2.7499999999999998E-3</v>
      </c>
      <c r="K124" t="str">
        <f t="shared" si="10"/>
        <v xml:space="preserve">    - 4.000</v>
      </c>
      <c r="L124" t="str">
        <f t="shared" si="11"/>
        <v xml:space="preserve">    - [1.631, 0.989, 0.004, 15.65, -0.0044]</v>
      </c>
      <c r="O124">
        <f>A124-'DLC Buildup Factors'!G119</f>
        <v>0</v>
      </c>
      <c r="P124">
        <f>B124-'DLC Buildup Factors'!H119</f>
        <v>0</v>
      </c>
      <c r="Q124">
        <f>C124-'DLC Buildup Factors'!I119</f>
        <v>0</v>
      </c>
      <c r="R124">
        <f>D124-'DLC Buildup Factors'!J119</f>
        <v>0</v>
      </c>
      <c r="S124">
        <f>E124-'DLC Buildup Factors'!K119</f>
        <v>0</v>
      </c>
      <c r="T124">
        <f>F124-'DLC Buildup Factors'!L119</f>
        <v>0</v>
      </c>
      <c r="U124">
        <f>G124-'DLC Buildup Factors'!M119</f>
        <v>0</v>
      </c>
      <c r="V124">
        <f>H124-'DLC Buildup Factors'!N119</f>
        <v>0</v>
      </c>
      <c r="W124">
        <f>I124-'DLC Buildup Factors'!O119</f>
        <v>0</v>
      </c>
    </row>
    <row r="125" spans="1:23">
      <c r="A125" s="10">
        <v>5</v>
      </c>
      <c r="B125">
        <v>1.5620000000000001</v>
      </c>
      <c r="C125">
        <v>0.94</v>
      </c>
      <c r="D125">
        <v>1.7999999999999999E-2</v>
      </c>
      <c r="E125">
        <v>13.58</v>
      </c>
      <c r="F125">
        <v>-1.2800000000000001E-2</v>
      </c>
      <c r="G125" s="2">
        <v>5.1000000000000004E-3</v>
      </c>
      <c r="H125">
        <v>1</v>
      </c>
      <c r="I125" s="2">
        <v>2.5999999999999999E-3</v>
      </c>
      <c r="K125" t="str">
        <f t="shared" si="10"/>
        <v xml:space="preserve">    - 5.000</v>
      </c>
      <c r="L125" t="str">
        <f t="shared" si="11"/>
        <v xml:space="preserve">    - [1.562, 0.940, 0.018, 13.58, -0.0128]</v>
      </c>
      <c r="O125">
        <f>A125-'DLC Buildup Factors'!G120</f>
        <v>0</v>
      </c>
      <c r="P125">
        <f>B125-'DLC Buildup Factors'!H120</f>
        <v>0</v>
      </c>
      <c r="Q125">
        <f>C125-'DLC Buildup Factors'!I120</f>
        <v>0</v>
      </c>
      <c r="R125">
        <f>D125-'DLC Buildup Factors'!J120</f>
        <v>0</v>
      </c>
      <c r="S125">
        <f>E125-'DLC Buildup Factors'!K120</f>
        <v>0</v>
      </c>
      <c r="T125">
        <f>F125-'DLC Buildup Factors'!L120</f>
        <v>0</v>
      </c>
      <c r="U125">
        <f>G125-'DLC Buildup Factors'!M120</f>
        <v>0</v>
      </c>
      <c r="V125">
        <f>H125-'DLC Buildup Factors'!N120</f>
        <v>0</v>
      </c>
      <c r="W125">
        <f>I125-'DLC Buildup Factors'!O120</f>
        <v>0</v>
      </c>
    </row>
    <row r="126" spans="1:23">
      <c r="A126" s="10">
        <v>6</v>
      </c>
      <c r="B126">
        <v>1.5169999999999999</v>
      </c>
      <c r="C126">
        <v>0.90100000000000002</v>
      </c>
      <c r="D126">
        <v>0.03</v>
      </c>
      <c r="E126">
        <v>12.46</v>
      </c>
      <c r="F126">
        <v>-1.8599999999999998E-2</v>
      </c>
      <c r="G126" s="2">
        <v>1.0500000000000001E-2</v>
      </c>
      <c r="H126">
        <v>0.5</v>
      </c>
      <c r="I126" s="2">
        <v>4.8799999999999998E-3</v>
      </c>
      <c r="K126" t="str">
        <f t="shared" si="10"/>
        <v xml:space="preserve">    - 6.000</v>
      </c>
      <c r="L126" t="str">
        <f t="shared" si="11"/>
        <v xml:space="preserve">    - [1.517, 0.901, 0.030, 12.46, -0.0186]</v>
      </c>
      <c r="O126">
        <f>A126-'DLC Buildup Factors'!G121</f>
        <v>0</v>
      </c>
      <c r="P126">
        <f>B126-'DLC Buildup Factors'!H121</f>
        <v>0</v>
      </c>
      <c r="Q126">
        <f>C126-'DLC Buildup Factors'!I121</f>
        <v>0</v>
      </c>
      <c r="R126">
        <f>D126-'DLC Buildup Factors'!J121</f>
        <v>0</v>
      </c>
      <c r="S126">
        <f>E126-'DLC Buildup Factors'!K121</f>
        <v>0</v>
      </c>
      <c r="T126">
        <f>F126-'DLC Buildup Factors'!L121</f>
        <v>0</v>
      </c>
      <c r="U126">
        <f>G126-'DLC Buildup Factors'!M121</f>
        <v>0</v>
      </c>
      <c r="V126">
        <f>H126-'DLC Buildup Factors'!N121</f>
        <v>0</v>
      </c>
      <c r="W126">
        <f>I126-'DLC Buildup Factors'!O121</f>
        <v>0</v>
      </c>
    </row>
    <row r="127" spans="1:23">
      <c r="A127" s="10">
        <v>8</v>
      </c>
      <c r="B127">
        <v>1.423</v>
      </c>
      <c r="C127">
        <v>0.88700000000000001</v>
      </c>
      <c r="D127">
        <v>3.3000000000000002E-2</v>
      </c>
      <c r="E127">
        <v>11.67</v>
      </c>
      <c r="F127">
        <v>-1.5900000000000001E-2</v>
      </c>
      <c r="G127" s="2">
        <v>8.8999999999999999E-3</v>
      </c>
      <c r="H127">
        <v>0.5</v>
      </c>
      <c r="I127" s="2">
        <v>4.6299999999999996E-3</v>
      </c>
      <c r="K127" t="str">
        <f t="shared" si="10"/>
        <v xml:space="preserve">    - 8.000</v>
      </c>
      <c r="L127" t="str">
        <f t="shared" si="11"/>
        <v xml:space="preserve">    - [1.423, 0.887, 0.033, 11.67, -0.0159]</v>
      </c>
      <c r="O127">
        <f>A127-'DLC Buildup Factors'!G122</f>
        <v>0</v>
      </c>
      <c r="P127">
        <f>B127-'DLC Buildup Factors'!H122</f>
        <v>0</v>
      </c>
      <c r="Q127">
        <f>C127-'DLC Buildup Factors'!I122</f>
        <v>0</v>
      </c>
      <c r="R127">
        <f>D127-'DLC Buildup Factors'!J122</f>
        <v>0</v>
      </c>
      <c r="S127">
        <f>E127-'DLC Buildup Factors'!K122</f>
        <v>0</v>
      </c>
      <c r="T127">
        <f>F127-'DLC Buildup Factors'!L122</f>
        <v>0</v>
      </c>
      <c r="U127">
        <f>G127-'DLC Buildup Factors'!M122</f>
        <v>0</v>
      </c>
      <c r="V127">
        <f>H127-'DLC Buildup Factors'!N122</f>
        <v>0</v>
      </c>
      <c r="W127">
        <f>I127-'DLC Buildup Factors'!O122</f>
        <v>0</v>
      </c>
    </row>
    <row r="128" spans="1:23">
      <c r="A128" s="10">
        <v>10</v>
      </c>
      <c r="B128">
        <v>1.361</v>
      </c>
      <c r="C128">
        <v>0.873</v>
      </c>
      <c r="D128">
        <v>3.6999999999999998E-2</v>
      </c>
      <c r="E128">
        <v>14.21</v>
      </c>
      <c r="F128">
        <v>-2.2100000000000002E-2</v>
      </c>
      <c r="G128" s="2">
        <v>1.38E-2</v>
      </c>
      <c r="H128">
        <v>1</v>
      </c>
      <c r="I128" s="2">
        <v>5.2100000000000002E-3</v>
      </c>
      <c r="K128" t="str">
        <f t="shared" si="10"/>
        <v xml:space="preserve">    - 10.000</v>
      </c>
      <c r="L128" t="str">
        <f t="shared" si="11"/>
        <v xml:space="preserve">    - [1.361, 0.873, 0.037, 14.21, -0.0221]</v>
      </c>
      <c r="O128">
        <f>A128-'DLC Buildup Factors'!G123</f>
        <v>0</v>
      </c>
      <c r="P128">
        <f>B128-'DLC Buildup Factors'!H123</f>
        <v>0</v>
      </c>
      <c r="Q128">
        <f>C128-'DLC Buildup Factors'!I123</f>
        <v>0</v>
      </c>
      <c r="R128">
        <f>D128-'DLC Buildup Factors'!J123</f>
        <v>0</v>
      </c>
      <c r="S128">
        <f>E128-'DLC Buildup Factors'!K123</f>
        <v>0</v>
      </c>
      <c r="T128">
        <f>F128-'DLC Buildup Factors'!L123</f>
        <v>0</v>
      </c>
      <c r="U128">
        <f>G128-'DLC Buildup Factors'!M123</f>
        <v>0</v>
      </c>
      <c r="V128">
        <f>H128-'DLC Buildup Factors'!N123</f>
        <v>0</v>
      </c>
      <c r="W128">
        <f>I128-'DLC Buildup Factors'!O123</f>
        <v>0</v>
      </c>
    </row>
    <row r="129" spans="1:23">
      <c r="A129" s="10">
        <v>15</v>
      </c>
      <c r="B129">
        <v>1.2709999999999999</v>
      </c>
      <c r="C129">
        <v>0.84099999999999997</v>
      </c>
      <c r="D129">
        <v>4.8000000000000001E-2</v>
      </c>
      <c r="E129">
        <v>15.04</v>
      </c>
      <c r="F129">
        <v>-3.39E-2</v>
      </c>
      <c r="G129" s="2">
        <v>1.5100000000000001E-2</v>
      </c>
      <c r="H129">
        <v>0.5</v>
      </c>
      <c r="I129" s="2">
        <v>7.1000000000000004E-3</v>
      </c>
      <c r="K129" t="str">
        <f t="shared" si="10"/>
        <v xml:space="preserve">    - 15.000</v>
      </c>
      <c r="L129" t="str">
        <f t="shared" si="11"/>
        <v xml:space="preserve">    - [1.271, 0.841, 0.048, 15.04, -0.0339]</v>
      </c>
      <c r="O129">
        <f>A129-'DLC Buildup Factors'!G124</f>
        <v>0</v>
      </c>
      <c r="P129">
        <f>B129-'DLC Buildup Factors'!H124</f>
        <v>0</v>
      </c>
      <c r="Q129">
        <f>C129-'DLC Buildup Factors'!I124</f>
        <v>0</v>
      </c>
      <c r="R129">
        <f>D129-'DLC Buildup Factors'!J124</f>
        <v>0</v>
      </c>
      <c r="S129">
        <f>E129-'DLC Buildup Factors'!K124</f>
        <v>0</v>
      </c>
      <c r="T129">
        <f>F129-'DLC Buildup Factors'!L124</f>
        <v>0</v>
      </c>
      <c r="U129">
        <f>G129-'DLC Buildup Factors'!M124</f>
        <v>0</v>
      </c>
      <c r="V129">
        <f>H129-'DLC Buildup Factors'!N124</f>
        <v>0</v>
      </c>
      <c r="W129">
        <f>I129-'DLC Buildup Factors'!O124</f>
        <v>0</v>
      </c>
    </row>
    <row r="130" spans="1:23">
      <c r="A130" s="10"/>
    </row>
    <row r="131" spans="1:23">
      <c r="A131" s="12" t="s">
        <v>1525</v>
      </c>
    </row>
    <row r="132" spans="1:23">
      <c r="A132" s="12" t="s">
        <v>1529</v>
      </c>
    </row>
    <row r="133" spans="1:23">
      <c r="A133" t="s">
        <v>0</v>
      </c>
      <c r="B133" t="s">
        <v>10</v>
      </c>
      <c r="C133" t="s">
        <v>11</v>
      </c>
      <c r="D133" t="s">
        <v>12</v>
      </c>
      <c r="E133" t="s">
        <v>15</v>
      </c>
      <c r="F133" t="s">
        <v>13</v>
      </c>
      <c r="G133" t="s">
        <v>16</v>
      </c>
      <c r="H133" t="s">
        <v>17</v>
      </c>
      <c r="I133" t="s">
        <v>14</v>
      </c>
    </row>
    <row r="134" spans="1:23">
      <c r="A134" s="12">
        <v>1.4999999999999999E-2</v>
      </c>
      <c r="B134">
        <v>1.153</v>
      </c>
      <c r="C134">
        <v>0.432</v>
      </c>
      <c r="D134">
        <v>0.189</v>
      </c>
      <c r="E134">
        <v>14.49</v>
      </c>
      <c r="F134">
        <v>-9.6500000000000002E-2</v>
      </c>
      <c r="G134" s="2">
        <v>1.38E-2</v>
      </c>
      <c r="H134">
        <v>0.5</v>
      </c>
      <c r="I134" s="2">
        <v>5.1900000000000002E-3</v>
      </c>
      <c r="K134" t="str">
        <f t="shared" ref="K134" si="12">CONCATENATE("    - ",TEXT(A134,"0.000"))</f>
        <v xml:space="preserve">    - 0.015</v>
      </c>
      <c r="L134" t="str">
        <f t="shared" ref="L134" si="13">CONCATENATE("    - [",TEXT(B134,"0.000"),", ",TEXT(C134,"0.000"),", ",TEXT(D134,"0.000"),", ",TEXT(E134,"0.00"),", ",TEXT(F134,"0.0000"),"]")</f>
        <v xml:space="preserve">    - [1.153, 0.432, 0.189, 14.49, -0.0965]</v>
      </c>
      <c r="O134">
        <f>A134-'DLC Buildup Factors'!G131</f>
        <v>0</v>
      </c>
      <c r="P134">
        <f>B134-'DLC Buildup Factors'!H131</f>
        <v>0</v>
      </c>
      <c r="Q134">
        <f>C134-'DLC Buildup Factors'!I131</f>
        <v>0</v>
      </c>
      <c r="R134">
        <f>D134-'DLC Buildup Factors'!J131</f>
        <v>0</v>
      </c>
      <c r="S134">
        <f>E134-'DLC Buildup Factors'!K131</f>
        <v>0</v>
      </c>
      <c r="T134">
        <f>F134-'DLC Buildup Factors'!L131</f>
        <v>0</v>
      </c>
      <c r="U134">
        <f>G134-'DLC Buildup Factors'!M131</f>
        <v>0</v>
      </c>
      <c r="V134">
        <f>H134-'DLC Buildup Factors'!N131</f>
        <v>0</v>
      </c>
      <c r="W134">
        <f>I134-'DLC Buildup Factors'!O131</f>
        <v>0</v>
      </c>
    </row>
    <row r="135" spans="1:23">
      <c r="A135" s="12">
        <v>0.02</v>
      </c>
      <c r="B135">
        <v>1.355</v>
      </c>
      <c r="C135">
        <v>0.505</v>
      </c>
      <c r="D135">
        <v>0.16200000000000001</v>
      </c>
      <c r="E135">
        <v>14.65</v>
      </c>
      <c r="F135">
        <v>-8.2500000000000004E-2</v>
      </c>
      <c r="G135" s="2">
        <v>2.23E-2</v>
      </c>
      <c r="H135">
        <v>0.5</v>
      </c>
      <c r="I135" s="2">
        <v>8.0400000000000003E-3</v>
      </c>
      <c r="K135" t="str">
        <f t="shared" ref="K135:K158" si="14">CONCATENATE("    - ",TEXT(A135,"0.000"))</f>
        <v xml:space="preserve">    - 0.020</v>
      </c>
      <c r="L135" t="str">
        <f t="shared" ref="L135:L158" si="15">CONCATENATE("    - [",TEXT(B135,"0.000"),", ",TEXT(C135,"0.000"),", ",TEXT(D135,"0.000"),", ",TEXT(E135,"0.00"),", ",TEXT(F135,"0.0000"),"]")</f>
        <v xml:space="preserve">    - [1.355, 0.505, 0.162, 14.65, -0.0825]</v>
      </c>
      <c r="O135">
        <f>A135-'DLC Buildup Factors'!G132</f>
        <v>0</v>
      </c>
      <c r="P135">
        <f>B135-'DLC Buildup Factors'!H132</f>
        <v>0</v>
      </c>
      <c r="Q135">
        <f>C135-'DLC Buildup Factors'!I132</f>
        <v>0</v>
      </c>
      <c r="R135">
        <f>D135-'DLC Buildup Factors'!J132</f>
        <v>0</v>
      </c>
      <c r="S135">
        <f>E135-'DLC Buildup Factors'!K132</f>
        <v>0</v>
      </c>
      <c r="T135">
        <f>F135-'DLC Buildup Factors'!L132</f>
        <v>0</v>
      </c>
      <c r="U135">
        <f>G135-'DLC Buildup Factors'!M132</f>
        <v>0</v>
      </c>
      <c r="V135">
        <f>H135-'DLC Buildup Factors'!N132</f>
        <v>0</v>
      </c>
      <c r="W135">
        <f>I135-'DLC Buildup Factors'!O132</f>
        <v>0</v>
      </c>
    </row>
    <row r="136" spans="1:23">
      <c r="A136" s="12">
        <v>0.03</v>
      </c>
      <c r="B136">
        <v>2.0539999999999998</v>
      </c>
      <c r="C136">
        <v>0.71799999999999997</v>
      </c>
      <c r="D136">
        <v>8.5999999999999993E-2</v>
      </c>
      <c r="E136">
        <v>16.37</v>
      </c>
      <c r="F136">
        <v>-4.5600000000000002E-2</v>
      </c>
      <c r="G136" s="2">
        <v>3.1699999999999999E-2</v>
      </c>
      <c r="H136">
        <v>0.5</v>
      </c>
      <c r="I136" s="2">
        <v>1.1469999999999999E-2</v>
      </c>
      <c r="K136" t="str">
        <f t="shared" si="14"/>
        <v xml:space="preserve">    - 0.030</v>
      </c>
      <c r="L136" t="str">
        <f t="shared" si="15"/>
        <v xml:space="preserve">    - [2.054, 0.718, 0.086, 16.37, -0.0456]</v>
      </c>
      <c r="O136">
        <f>A136-'DLC Buildup Factors'!G133</f>
        <v>0</v>
      </c>
      <c r="P136">
        <f>B136-'DLC Buildup Factors'!H133</f>
        <v>0</v>
      </c>
      <c r="Q136">
        <f>C136-'DLC Buildup Factors'!I133</f>
        <v>0</v>
      </c>
      <c r="R136">
        <f>D136-'DLC Buildup Factors'!J133</f>
        <v>0</v>
      </c>
      <c r="S136">
        <f>E136-'DLC Buildup Factors'!K133</f>
        <v>0</v>
      </c>
      <c r="T136">
        <f>F136-'DLC Buildup Factors'!L133</f>
        <v>0</v>
      </c>
      <c r="U136">
        <f>G136-'DLC Buildup Factors'!M133</f>
        <v>0</v>
      </c>
      <c r="V136">
        <f>H136-'DLC Buildup Factors'!N133</f>
        <v>0</v>
      </c>
      <c r="W136">
        <f>I136-'DLC Buildup Factors'!O133</f>
        <v>0</v>
      </c>
    </row>
    <row r="137" spans="1:23">
      <c r="A137" s="12">
        <v>0.04</v>
      </c>
      <c r="B137">
        <v>3.137</v>
      </c>
      <c r="C137">
        <v>0.99</v>
      </c>
      <c r="D137">
        <v>1.2E-2</v>
      </c>
      <c r="E137">
        <v>13.45</v>
      </c>
      <c r="F137">
        <v>-1.34E-2</v>
      </c>
      <c r="G137" s="2">
        <v>1.2699999999999999E-2</v>
      </c>
      <c r="H137">
        <v>0.5</v>
      </c>
      <c r="I137" s="2">
        <v>4.1200000000000004E-3</v>
      </c>
      <c r="K137" t="str">
        <f t="shared" si="14"/>
        <v xml:space="preserve">    - 0.040</v>
      </c>
      <c r="L137" t="str">
        <f t="shared" si="15"/>
        <v xml:space="preserve">    - [3.137, 0.990, 0.012, 13.45, -0.0134]</v>
      </c>
      <c r="O137">
        <f>A137-'DLC Buildup Factors'!G134</f>
        <v>0</v>
      </c>
      <c r="P137">
        <f>B137-'DLC Buildup Factors'!H134</f>
        <v>0</v>
      </c>
      <c r="Q137">
        <f>C137-'DLC Buildup Factors'!I134</f>
        <v>0</v>
      </c>
      <c r="R137">
        <f>D137-'DLC Buildup Factors'!J134</f>
        <v>0</v>
      </c>
      <c r="S137">
        <f>E137-'DLC Buildup Factors'!K134</f>
        <v>0</v>
      </c>
      <c r="T137">
        <f>F137-'DLC Buildup Factors'!L134</f>
        <v>0</v>
      </c>
      <c r="U137">
        <f>G137-'DLC Buildup Factors'!M134</f>
        <v>0</v>
      </c>
      <c r="V137">
        <f>H137-'DLC Buildup Factors'!N134</f>
        <v>0</v>
      </c>
      <c r="W137">
        <f>I137-'DLC Buildup Factors'!O134</f>
        <v>0</v>
      </c>
    </row>
    <row r="138" spans="1:23">
      <c r="A138" s="12">
        <v>0.05</v>
      </c>
      <c r="B138">
        <v>4.0629999999999997</v>
      </c>
      <c r="C138">
        <v>1.3049999999999999</v>
      </c>
      <c r="D138">
        <v>-5.6000000000000001E-2</v>
      </c>
      <c r="E138">
        <v>13.54</v>
      </c>
      <c r="F138">
        <v>1.84E-2</v>
      </c>
      <c r="G138" s="2">
        <v>9.7000000000000003E-3</v>
      </c>
      <c r="H138">
        <v>4</v>
      </c>
      <c r="I138" s="2">
        <v>5.8999999999999999E-3</v>
      </c>
      <c r="K138" t="str">
        <f t="shared" si="14"/>
        <v xml:space="preserve">    - 0.050</v>
      </c>
      <c r="L138" t="str">
        <f t="shared" si="15"/>
        <v xml:space="preserve">    - [4.063, 1.305, -0.056, 13.54, 0.0184]</v>
      </c>
      <c r="O138">
        <f>A138-'DLC Buildup Factors'!G135</f>
        <v>0</v>
      </c>
      <c r="P138">
        <f>B138-'DLC Buildup Factors'!H135</f>
        <v>0</v>
      </c>
      <c r="Q138">
        <f>C138-'DLC Buildup Factors'!I135</f>
        <v>0</v>
      </c>
      <c r="R138">
        <f>D138-'DLC Buildup Factors'!J135</f>
        <v>0</v>
      </c>
      <c r="S138">
        <f>E138-'DLC Buildup Factors'!K135</f>
        <v>0</v>
      </c>
      <c r="T138">
        <f>F138-'DLC Buildup Factors'!L135</f>
        <v>0</v>
      </c>
      <c r="U138">
        <f>G138-'DLC Buildup Factors'!M135</f>
        <v>0</v>
      </c>
      <c r="V138">
        <f>H138-'DLC Buildup Factors'!N135</f>
        <v>0</v>
      </c>
      <c r="W138">
        <f>I138-'DLC Buildup Factors'!O135</f>
        <v>0</v>
      </c>
    </row>
    <row r="139" spans="1:23">
      <c r="A139" s="12">
        <v>0.06</v>
      </c>
      <c r="B139">
        <v>4.6100000000000003</v>
      </c>
      <c r="C139">
        <v>1.5620000000000001</v>
      </c>
      <c r="D139">
        <v>-0.1</v>
      </c>
      <c r="E139">
        <v>13.75</v>
      </c>
      <c r="F139">
        <v>4.1200000000000001E-2</v>
      </c>
      <c r="G139" s="2">
        <v>1.7299999999999999E-2</v>
      </c>
      <c r="H139">
        <v>0.5</v>
      </c>
      <c r="I139" s="2">
        <v>1.1769999999999999E-2</v>
      </c>
      <c r="K139" t="str">
        <f t="shared" si="14"/>
        <v xml:space="preserve">    - 0.060</v>
      </c>
      <c r="L139" t="str">
        <f t="shared" si="15"/>
        <v xml:space="preserve">    - [4.610, 1.562, -0.100, 13.75, 0.0412]</v>
      </c>
      <c r="O139">
        <f>A139-'DLC Buildup Factors'!G136</f>
        <v>0</v>
      </c>
      <c r="P139">
        <f>B139-'DLC Buildup Factors'!H136</f>
        <v>0</v>
      </c>
      <c r="Q139">
        <f>C139-'DLC Buildup Factors'!I136</f>
        <v>0</v>
      </c>
      <c r="R139">
        <f>D139-'DLC Buildup Factors'!J136</f>
        <v>0</v>
      </c>
      <c r="S139">
        <f>E139-'DLC Buildup Factors'!K136</f>
        <v>0</v>
      </c>
      <c r="T139">
        <f>F139-'DLC Buildup Factors'!L136</f>
        <v>0</v>
      </c>
      <c r="U139">
        <f>G139-'DLC Buildup Factors'!M136</f>
        <v>0</v>
      </c>
      <c r="V139">
        <f>H139-'DLC Buildup Factors'!N136</f>
        <v>0</v>
      </c>
      <c r="W139">
        <f>I139-'DLC Buildup Factors'!O136</f>
        <v>0</v>
      </c>
    </row>
    <row r="140" spans="1:23">
      <c r="A140" s="12">
        <v>0.08</v>
      </c>
      <c r="B140">
        <v>4.7830000000000004</v>
      </c>
      <c r="C140">
        <v>1.887</v>
      </c>
      <c r="D140">
        <v>-0.14599999999999999</v>
      </c>
      <c r="E140">
        <v>13.73</v>
      </c>
      <c r="F140">
        <v>6.4299999999999996E-2</v>
      </c>
      <c r="G140" s="2">
        <v>2.7099999999999999E-2</v>
      </c>
      <c r="H140">
        <v>35</v>
      </c>
      <c r="I140" s="2">
        <v>1.754E-2</v>
      </c>
      <c r="K140" t="str">
        <f t="shared" si="14"/>
        <v xml:space="preserve">    - 0.080</v>
      </c>
      <c r="L140" t="str">
        <f t="shared" si="15"/>
        <v xml:space="preserve">    - [4.783, 1.887, -0.146, 13.73, 0.0643]</v>
      </c>
      <c r="O140">
        <f>A140-'DLC Buildup Factors'!G137</f>
        <v>0</v>
      </c>
      <c r="P140">
        <f>B140-'DLC Buildup Factors'!H137</f>
        <v>0</v>
      </c>
      <c r="Q140">
        <f>C140-'DLC Buildup Factors'!I137</f>
        <v>0</v>
      </c>
      <c r="R140">
        <f>D140-'DLC Buildup Factors'!J137</f>
        <v>0</v>
      </c>
      <c r="S140">
        <f>E140-'DLC Buildup Factors'!K137</f>
        <v>0</v>
      </c>
      <c r="T140">
        <f>F140-'DLC Buildup Factors'!L137</f>
        <v>0</v>
      </c>
      <c r="U140">
        <f>G140-'DLC Buildup Factors'!M137</f>
        <v>0</v>
      </c>
      <c r="V140">
        <f>H140-'DLC Buildup Factors'!N137</f>
        <v>0</v>
      </c>
      <c r="W140">
        <f>I140-'DLC Buildup Factors'!O137</f>
        <v>0</v>
      </c>
    </row>
    <row r="141" spans="1:23">
      <c r="A141" s="12">
        <v>0.1</v>
      </c>
      <c r="B141">
        <v>4.492</v>
      </c>
      <c r="C141">
        <v>2.0430000000000001</v>
      </c>
      <c r="D141">
        <v>-0.16400000000000001</v>
      </c>
      <c r="E141">
        <v>13.85</v>
      </c>
      <c r="F141">
        <v>7.1800000000000003E-2</v>
      </c>
      <c r="G141" s="2">
        <v>2.6100000000000002E-2</v>
      </c>
      <c r="H141">
        <v>25</v>
      </c>
      <c r="I141" s="2">
        <v>1.7809999999999999E-2</v>
      </c>
      <c r="K141" t="str">
        <f t="shared" si="14"/>
        <v xml:space="preserve">    - 0.100</v>
      </c>
      <c r="L141" t="str">
        <f t="shared" si="15"/>
        <v xml:space="preserve">    - [4.492, 2.043, -0.164, 13.85, 0.0718]</v>
      </c>
      <c r="O141">
        <f>A141-'DLC Buildup Factors'!G138</f>
        <v>0</v>
      </c>
      <c r="P141">
        <f>B141-'DLC Buildup Factors'!H138</f>
        <v>0</v>
      </c>
      <c r="Q141">
        <f>C141-'DLC Buildup Factors'!I138</f>
        <v>0</v>
      </c>
      <c r="R141">
        <f>D141-'DLC Buildup Factors'!J138</f>
        <v>0</v>
      </c>
      <c r="S141">
        <f>E141-'DLC Buildup Factors'!K138</f>
        <v>0</v>
      </c>
      <c r="T141">
        <f>F141-'DLC Buildup Factors'!L138</f>
        <v>0</v>
      </c>
      <c r="U141">
        <f>G141-'DLC Buildup Factors'!M138</f>
        <v>0</v>
      </c>
      <c r="V141">
        <f>H141-'DLC Buildup Factors'!N138</f>
        <v>0</v>
      </c>
      <c r="W141">
        <f>I141-'DLC Buildup Factors'!O138</f>
        <v>0</v>
      </c>
    </row>
    <row r="142" spans="1:23">
      <c r="A142" s="12">
        <v>0.15</v>
      </c>
      <c r="B142">
        <v>3.8769999999999998</v>
      </c>
      <c r="C142">
        <v>2.069</v>
      </c>
      <c r="D142">
        <v>-0.16300000000000001</v>
      </c>
      <c r="E142">
        <v>14.48</v>
      </c>
      <c r="F142">
        <v>6.3700000000000007E-2</v>
      </c>
      <c r="G142" s="2">
        <v>2.5000000000000001E-2</v>
      </c>
      <c r="H142">
        <v>2</v>
      </c>
      <c r="I142" s="2">
        <v>1.38E-2</v>
      </c>
      <c r="K142" t="str">
        <f t="shared" si="14"/>
        <v xml:space="preserve">    - 0.150</v>
      </c>
      <c r="L142" t="str">
        <f t="shared" si="15"/>
        <v xml:space="preserve">    - [3.877, 2.069, -0.163, 14.48, 0.0637]</v>
      </c>
      <c r="O142">
        <f>A142-'DLC Buildup Factors'!G139</f>
        <v>0</v>
      </c>
      <c r="P142">
        <f>B142-'DLC Buildup Factors'!H139</f>
        <v>0</v>
      </c>
      <c r="Q142">
        <f>C142-'DLC Buildup Factors'!I139</f>
        <v>0</v>
      </c>
      <c r="R142">
        <f>D142-'DLC Buildup Factors'!J139</f>
        <v>0</v>
      </c>
      <c r="S142">
        <f>E142-'DLC Buildup Factors'!K139</f>
        <v>0</v>
      </c>
      <c r="T142">
        <f>F142-'DLC Buildup Factors'!L139</f>
        <v>0</v>
      </c>
      <c r="U142">
        <f>G142-'DLC Buildup Factors'!M139</f>
        <v>0</v>
      </c>
      <c r="V142">
        <f>H142-'DLC Buildup Factors'!N139</f>
        <v>0</v>
      </c>
      <c r="W142">
        <f>I142-'DLC Buildup Factors'!O139</f>
        <v>0</v>
      </c>
    </row>
    <row r="143" spans="1:23">
      <c r="A143" s="12">
        <v>0.2</v>
      </c>
      <c r="B143">
        <v>3.32</v>
      </c>
      <c r="C143">
        <v>2.09</v>
      </c>
      <c r="D143">
        <v>-0.16900000000000001</v>
      </c>
      <c r="E143">
        <v>14.03</v>
      </c>
      <c r="F143">
        <v>6.7799999999999999E-2</v>
      </c>
      <c r="G143" s="2">
        <v>2.3800000000000002E-2</v>
      </c>
      <c r="H143">
        <v>25</v>
      </c>
      <c r="I143" s="2">
        <v>1.4460000000000001E-2</v>
      </c>
      <c r="K143" t="str">
        <f t="shared" si="14"/>
        <v xml:space="preserve">    - 0.200</v>
      </c>
      <c r="L143" t="str">
        <f t="shared" si="15"/>
        <v xml:space="preserve">    - [3.320, 2.090, -0.169, 14.03, 0.0678]</v>
      </c>
      <c r="O143">
        <f>A143-'DLC Buildup Factors'!G140</f>
        <v>0</v>
      </c>
      <c r="P143">
        <f>B143-'DLC Buildup Factors'!H140</f>
        <v>0</v>
      </c>
      <c r="Q143">
        <f>C143-'DLC Buildup Factors'!I140</f>
        <v>0</v>
      </c>
      <c r="R143">
        <f>D143-'DLC Buildup Factors'!J140</f>
        <v>0</v>
      </c>
      <c r="S143">
        <f>E143-'DLC Buildup Factors'!K140</f>
        <v>0</v>
      </c>
      <c r="T143">
        <f>F143-'DLC Buildup Factors'!L140</f>
        <v>0</v>
      </c>
      <c r="U143">
        <f>G143-'DLC Buildup Factors'!M140</f>
        <v>0</v>
      </c>
      <c r="V143">
        <f>H143-'DLC Buildup Factors'!N140</f>
        <v>0</v>
      </c>
      <c r="W143">
        <f>I143-'DLC Buildup Factors'!O140</f>
        <v>0</v>
      </c>
    </row>
    <row r="144" spans="1:23">
      <c r="A144" s="12">
        <v>0.3</v>
      </c>
      <c r="B144">
        <v>2.87</v>
      </c>
      <c r="C144">
        <v>1.948</v>
      </c>
      <c r="D144">
        <v>-0.154</v>
      </c>
      <c r="E144">
        <v>14.2</v>
      </c>
      <c r="F144">
        <v>5.9499999999999997E-2</v>
      </c>
      <c r="G144" s="2">
        <v>2.3199999999999998E-2</v>
      </c>
      <c r="H144">
        <v>25</v>
      </c>
      <c r="I144" s="2">
        <v>1.3440000000000001E-2</v>
      </c>
      <c r="K144" t="str">
        <f t="shared" si="14"/>
        <v xml:space="preserve">    - 0.300</v>
      </c>
      <c r="L144" t="str">
        <f t="shared" si="15"/>
        <v xml:space="preserve">    - [2.870, 1.948, -0.154, 14.20, 0.0595]</v>
      </c>
      <c r="O144">
        <f>A144-'DLC Buildup Factors'!G141</f>
        <v>0</v>
      </c>
      <c r="P144">
        <f>B144-'DLC Buildup Factors'!H141</f>
        <v>0</v>
      </c>
      <c r="Q144">
        <f>C144-'DLC Buildup Factors'!I141</f>
        <v>0</v>
      </c>
      <c r="R144">
        <f>D144-'DLC Buildup Factors'!J141</f>
        <v>0</v>
      </c>
      <c r="S144">
        <f>E144-'DLC Buildup Factors'!K141</f>
        <v>0</v>
      </c>
      <c r="T144">
        <f>F144-'DLC Buildup Factors'!L141</f>
        <v>0</v>
      </c>
      <c r="U144">
        <f>G144-'DLC Buildup Factors'!M141</f>
        <v>0</v>
      </c>
      <c r="V144">
        <f>H144-'DLC Buildup Factors'!N141</f>
        <v>0</v>
      </c>
      <c r="W144">
        <f>I144-'DLC Buildup Factors'!O141</f>
        <v>0</v>
      </c>
    </row>
    <row r="145" spans="1:23">
      <c r="A145" s="12">
        <v>0.4</v>
      </c>
      <c r="B145">
        <v>2.629</v>
      </c>
      <c r="C145">
        <v>1.8280000000000001</v>
      </c>
      <c r="D145">
        <v>-0.14099999999999999</v>
      </c>
      <c r="E145">
        <v>14.19</v>
      </c>
      <c r="F145">
        <v>5.4600000000000003E-2</v>
      </c>
      <c r="G145" s="2">
        <v>1.8499999999999999E-2</v>
      </c>
      <c r="H145">
        <v>10</v>
      </c>
      <c r="I145" s="2">
        <v>1.1650000000000001E-2</v>
      </c>
      <c r="K145" t="str">
        <f t="shared" si="14"/>
        <v xml:space="preserve">    - 0.400</v>
      </c>
      <c r="L145" t="str">
        <f t="shared" si="15"/>
        <v xml:space="preserve">    - [2.629, 1.828, -0.141, 14.19, 0.0546]</v>
      </c>
      <c r="O145">
        <f>A145-'DLC Buildup Factors'!G142</f>
        <v>0</v>
      </c>
      <c r="P145">
        <f>B145-'DLC Buildup Factors'!H142</f>
        <v>0</v>
      </c>
      <c r="Q145">
        <f>C145-'DLC Buildup Factors'!I142</f>
        <v>0</v>
      </c>
      <c r="R145">
        <f>D145-'DLC Buildup Factors'!J142</f>
        <v>0</v>
      </c>
      <c r="S145">
        <f>E145-'DLC Buildup Factors'!K142</f>
        <v>0</v>
      </c>
      <c r="T145">
        <f>F145-'DLC Buildup Factors'!L142</f>
        <v>0</v>
      </c>
      <c r="U145">
        <f>G145-'DLC Buildup Factors'!M142</f>
        <v>0</v>
      </c>
      <c r="V145">
        <f>H145-'DLC Buildup Factors'!N142</f>
        <v>0</v>
      </c>
      <c r="W145">
        <f>I145-'DLC Buildup Factors'!O142</f>
        <v>0</v>
      </c>
    </row>
    <row r="146" spans="1:23">
      <c r="A146" s="12">
        <v>0.5</v>
      </c>
      <c r="B146">
        <v>2.4750000000000001</v>
      </c>
      <c r="C146">
        <v>1.7230000000000001</v>
      </c>
      <c r="D146">
        <v>-0.128</v>
      </c>
      <c r="E146">
        <v>14.2</v>
      </c>
      <c r="F146">
        <v>4.8800000000000003E-2</v>
      </c>
      <c r="G146" s="2">
        <v>1.8499999999999999E-2</v>
      </c>
      <c r="H146">
        <v>1</v>
      </c>
      <c r="I146" s="2">
        <v>1.146E-2</v>
      </c>
      <c r="K146" t="str">
        <f t="shared" si="14"/>
        <v xml:space="preserve">    - 0.500</v>
      </c>
      <c r="L146" t="str">
        <f t="shared" si="15"/>
        <v xml:space="preserve">    - [2.475, 1.723, -0.128, 14.20, 0.0488]</v>
      </c>
      <c r="O146">
        <f>A146-'DLC Buildup Factors'!G143</f>
        <v>0</v>
      </c>
      <c r="P146">
        <f>B146-'DLC Buildup Factors'!H143</f>
        <v>0</v>
      </c>
      <c r="Q146">
        <f>C146-'DLC Buildup Factors'!I143</f>
        <v>0</v>
      </c>
      <c r="R146">
        <f>D146-'DLC Buildup Factors'!J143</f>
        <v>0</v>
      </c>
      <c r="S146">
        <f>E146-'DLC Buildup Factors'!K143</f>
        <v>0</v>
      </c>
      <c r="T146">
        <f>F146-'DLC Buildup Factors'!L143</f>
        <v>0</v>
      </c>
      <c r="U146">
        <f>G146-'DLC Buildup Factors'!M143</f>
        <v>0</v>
      </c>
      <c r="V146">
        <f>H146-'DLC Buildup Factors'!N143</f>
        <v>0</v>
      </c>
      <c r="W146">
        <f>I146-'DLC Buildup Factors'!O143</f>
        <v>0</v>
      </c>
    </row>
    <row r="147" spans="1:23">
      <c r="A147" s="12">
        <v>0.6</v>
      </c>
      <c r="B147">
        <v>2.3620000000000001</v>
      </c>
      <c r="C147">
        <v>1.635</v>
      </c>
      <c r="D147">
        <v>-0.11600000000000001</v>
      </c>
      <c r="E147">
        <v>14.32</v>
      </c>
      <c r="F147">
        <v>4.3900000000000002E-2</v>
      </c>
      <c r="G147" s="2">
        <v>1.8100000000000002E-2</v>
      </c>
      <c r="H147">
        <v>1</v>
      </c>
      <c r="I147" s="2">
        <v>1.056E-2</v>
      </c>
      <c r="K147" t="str">
        <f t="shared" si="14"/>
        <v xml:space="preserve">    - 0.600</v>
      </c>
      <c r="L147" t="str">
        <f t="shared" si="15"/>
        <v xml:space="preserve">    - [2.362, 1.635, -0.116, 14.32, 0.0439]</v>
      </c>
      <c r="O147">
        <f>A147-'DLC Buildup Factors'!G144</f>
        <v>0</v>
      </c>
      <c r="P147">
        <f>B147-'DLC Buildup Factors'!H144</f>
        <v>0</v>
      </c>
      <c r="Q147">
        <f>C147-'DLC Buildup Factors'!I144</f>
        <v>0</v>
      </c>
      <c r="R147">
        <f>D147-'DLC Buildup Factors'!J144</f>
        <v>0</v>
      </c>
      <c r="S147">
        <f>E147-'DLC Buildup Factors'!K144</f>
        <v>0</v>
      </c>
      <c r="T147">
        <f>F147-'DLC Buildup Factors'!L144</f>
        <v>0</v>
      </c>
      <c r="U147">
        <f>G147-'DLC Buildup Factors'!M144</f>
        <v>0</v>
      </c>
      <c r="V147">
        <f>H147-'DLC Buildup Factors'!N144</f>
        <v>0</v>
      </c>
      <c r="W147">
        <f>I147-'DLC Buildup Factors'!O144</f>
        <v>0</v>
      </c>
    </row>
    <row r="148" spans="1:23">
      <c r="A148" s="12">
        <v>0.8</v>
      </c>
      <c r="B148">
        <v>2.1850000000000001</v>
      </c>
      <c r="C148">
        <v>1.532</v>
      </c>
      <c r="D148">
        <v>-0.10299999999999999</v>
      </c>
      <c r="E148">
        <v>14.24</v>
      </c>
      <c r="F148">
        <v>4.2700000000000002E-2</v>
      </c>
      <c r="G148" s="2">
        <v>1.95E-2</v>
      </c>
      <c r="H148">
        <v>0.5</v>
      </c>
      <c r="I148" s="2">
        <v>1.174E-2</v>
      </c>
      <c r="K148" t="str">
        <f t="shared" si="14"/>
        <v xml:space="preserve">    - 0.800</v>
      </c>
      <c r="L148" t="str">
        <f t="shared" si="15"/>
        <v xml:space="preserve">    - [2.185, 1.532, -0.103, 14.24, 0.0427]</v>
      </c>
      <c r="O148">
        <f>A148-'DLC Buildup Factors'!G145</f>
        <v>0</v>
      </c>
      <c r="P148">
        <f>B148-'DLC Buildup Factors'!H145</f>
        <v>0</v>
      </c>
      <c r="Q148">
        <f>C148-'DLC Buildup Factors'!I145</f>
        <v>0</v>
      </c>
      <c r="R148">
        <f>D148-'DLC Buildup Factors'!J145</f>
        <v>0</v>
      </c>
      <c r="S148">
        <f>E148-'DLC Buildup Factors'!K145</f>
        <v>0</v>
      </c>
      <c r="T148">
        <f>F148-'DLC Buildup Factors'!L145</f>
        <v>0</v>
      </c>
      <c r="U148">
        <f>G148-'DLC Buildup Factors'!M145</f>
        <v>0</v>
      </c>
      <c r="V148">
        <f>H148-'DLC Buildup Factors'!N145</f>
        <v>0</v>
      </c>
      <c r="W148">
        <f>I148-'DLC Buildup Factors'!O145</f>
        <v>0</v>
      </c>
    </row>
    <row r="149" spans="1:23">
      <c r="A149" s="12">
        <v>1</v>
      </c>
      <c r="B149">
        <v>2.0979999999999999</v>
      </c>
      <c r="C149">
        <v>1.4179999999999999</v>
      </c>
      <c r="D149">
        <v>-8.4000000000000005E-2</v>
      </c>
      <c r="E149">
        <v>14.35</v>
      </c>
      <c r="F149">
        <v>3.3300000000000003E-2</v>
      </c>
      <c r="G149" s="2">
        <v>1.5800000000000002E-2</v>
      </c>
      <c r="H149">
        <v>0.5</v>
      </c>
      <c r="I149" s="2">
        <v>8.2900000000000005E-3</v>
      </c>
      <c r="K149" t="str">
        <f t="shared" si="14"/>
        <v xml:space="preserve">    - 1.000</v>
      </c>
      <c r="L149" t="str">
        <f t="shared" si="15"/>
        <v xml:space="preserve">    - [2.098, 1.418, -0.084, 14.35, 0.0333]</v>
      </c>
      <c r="O149">
        <f>A149-'DLC Buildup Factors'!G146</f>
        <v>0</v>
      </c>
      <c r="P149">
        <f>B149-'DLC Buildup Factors'!H146</f>
        <v>0</v>
      </c>
      <c r="Q149">
        <f>C149-'DLC Buildup Factors'!I146</f>
        <v>0</v>
      </c>
      <c r="R149">
        <f>D149-'DLC Buildup Factors'!J146</f>
        <v>0</v>
      </c>
      <c r="S149">
        <f>E149-'DLC Buildup Factors'!K146</f>
        <v>0</v>
      </c>
      <c r="T149">
        <f>F149-'DLC Buildup Factors'!L146</f>
        <v>0</v>
      </c>
      <c r="U149">
        <f>G149-'DLC Buildup Factors'!M146</f>
        <v>0</v>
      </c>
      <c r="V149">
        <f>H149-'DLC Buildup Factors'!N146</f>
        <v>0</v>
      </c>
      <c r="W149">
        <f>I149-'DLC Buildup Factors'!O146</f>
        <v>0</v>
      </c>
    </row>
    <row r="150" spans="1:23">
      <c r="A150" s="12">
        <v>1.5</v>
      </c>
      <c r="B150">
        <v>1.929</v>
      </c>
      <c r="C150">
        <v>1.2649999999999999</v>
      </c>
      <c r="D150">
        <v>-5.7000000000000002E-2</v>
      </c>
      <c r="E150">
        <v>14.45</v>
      </c>
      <c r="F150">
        <v>2.35E-2</v>
      </c>
      <c r="G150" s="2">
        <v>1.61E-2</v>
      </c>
      <c r="H150">
        <v>0.5</v>
      </c>
      <c r="I150" s="2">
        <v>6.3299999999999997E-3</v>
      </c>
      <c r="K150" t="str">
        <f t="shared" si="14"/>
        <v xml:space="preserve">    - 1.500</v>
      </c>
      <c r="L150" t="str">
        <f t="shared" si="15"/>
        <v xml:space="preserve">    - [1.929, 1.265, -0.057, 14.45, 0.0235]</v>
      </c>
      <c r="O150">
        <f>A150-'DLC Buildup Factors'!G147</f>
        <v>0</v>
      </c>
      <c r="P150">
        <f>B150-'DLC Buildup Factors'!H147</f>
        <v>0</v>
      </c>
      <c r="Q150">
        <f>C150-'DLC Buildup Factors'!I147</f>
        <v>0</v>
      </c>
      <c r="R150">
        <f>D150-'DLC Buildup Factors'!J147</f>
        <v>0</v>
      </c>
      <c r="S150">
        <f>E150-'DLC Buildup Factors'!K147</f>
        <v>0</v>
      </c>
      <c r="T150">
        <f>F150-'DLC Buildup Factors'!L147</f>
        <v>0</v>
      </c>
      <c r="U150">
        <f>G150-'DLC Buildup Factors'!M147</f>
        <v>0</v>
      </c>
      <c r="V150">
        <f>H150-'DLC Buildup Factors'!N147</f>
        <v>0</v>
      </c>
      <c r="W150">
        <f>I150-'DLC Buildup Factors'!O147</f>
        <v>0</v>
      </c>
    </row>
    <row r="151" spans="1:23">
      <c r="A151" s="12">
        <v>2</v>
      </c>
      <c r="B151">
        <v>1.837</v>
      </c>
      <c r="C151">
        <v>1.1639999999999999</v>
      </c>
      <c r="D151">
        <v>-3.5999999999999997E-2</v>
      </c>
      <c r="E151">
        <v>15.4</v>
      </c>
      <c r="F151">
        <v>1.37E-2</v>
      </c>
      <c r="G151" s="2">
        <v>1.4500000000000001E-2</v>
      </c>
      <c r="H151">
        <v>0.5</v>
      </c>
      <c r="I151" s="2">
        <v>4.8300000000000001E-3</v>
      </c>
      <c r="K151" t="str">
        <f t="shared" si="14"/>
        <v xml:space="preserve">    - 2.000</v>
      </c>
      <c r="L151" t="str">
        <f t="shared" si="15"/>
        <v xml:space="preserve">    - [1.837, 1.164, -0.036, 15.40, 0.0137]</v>
      </c>
      <c r="O151">
        <f>A151-'DLC Buildup Factors'!G148</f>
        <v>0</v>
      </c>
      <c r="P151">
        <f>B151-'DLC Buildup Factors'!H148</f>
        <v>0</v>
      </c>
      <c r="Q151">
        <f>C151-'DLC Buildup Factors'!I148</f>
        <v>0</v>
      </c>
      <c r="R151">
        <f>D151-'DLC Buildup Factors'!J148</f>
        <v>0</v>
      </c>
      <c r="S151">
        <f>E151-'DLC Buildup Factors'!K148</f>
        <v>0</v>
      </c>
      <c r="T151">
        <f>F151-'DLC Buildup Factors'!L148</f>
        <v>0</v>
      </c>
      <c r="U151">
        <f>G151-'DLC Buildup Factors'!M148</f>
        <v>0</v>
      </c>
      <c r="V151">
        <f>H151-'DLC Buildup Factors'!N148</f>
        <v>0</v>
      </c>
      <c r="W151">
        <f>I151-'DLC Buildup Factors'!O148</f>
        <v>0</v>
      </c>
    </row>
    <row r="152" spans="1:23">
      <c r="A152" s="12">
        <v>3</v>
      </c>
      <c r="B152">
        <v>1.7110000000000001</v>
      </c>
      <c r="C152">
        <v>1.052</v>
      </c>
      <c r="D152">
        <v>-1.0999999999999999E-2</v>
      </c>
      <c r="E152">
        <v>12.88</v>
      </c>
      <c r="F152">
        <v>2E-3</v>
      </c>
      <c r="G152" s="2">
        <v>7.7000000000000002E-3</v>
      </c>
      <c r="H152">
        <v>0.5</v>
      </c>
      <c r="I152" s="2">
        <v>2.47E-3</v>
      </c>
      <c r="K152" t="str">
        <f t="shared" si="14"/>
        <v xml:space="preserve">    - 3.000</v>
      </c>
      <c r="L152" t="str">
        <f t="shared" si="15"/>
        <v xml:space="preserve">    - [1.711, 1.052, -0.011, 12.88, 0.0020]</v>
      </c>
      <c r="O152">
        <f>A152-'DLC Buildup Factors'!G149</f>
        <v>0</v>
      </c>
      <c r="P152">
        <f>B152-'DLC Buildup Factors'!H149</f>
        <v>0</v>
      </c>
      <c r="Q152">
        <f>C152-'DLC Buildup Factors'!I149</f>
        <v>0</v>
      </c>
      <c r="R152">
        <f>D152-'DLC Buildup Factors'!J149</f>
        <v>0</v>
      </c>
      <c r="S152">
        <f>E152-'DLC Buildup Factors'!K149</f>
        <v>0</v>
      </c>
      <c r="T152">
        <f>F152-'DLC Buildup Factors'!L149</f>
        <v>0</v>
      </c>
      <c r="U152">
        <f>G152-'DLC Buildup Factors'!M149</f>
        <v>0</v>
      </c>
      <c r="V152">
        <f>H152-'DLC Buildup Factors'!N149</f>
        <v>0</v>
      </c>
      <c r="W152">
        <f>I152-'DLC Buildup Factors'!O149</f>
        <v>0</v>
      </c>
    </row>
    <row r="153" spans="1:23">
      <c r="A153" s="12">
        <v>4</v>
      </c>
      <c r="B153">
        <v>1.6240000000000001</v>
      </c>
      <c r="C153">
        <v>0.99</v>
      </c>
      <c r="D153">
        <v>4.0000000000000001E-3</v>
      </c>
      <c r="E153">
        <v>20.49</v>
      </c>
      <c r="F153">
        <v>-7.0000000000000001E-3</v>
      </c>
      <c r="G153" s="2">
        <v>5.4999999999999997E-3</v>
      </c>
      <c r="H153">
        <v>4</v>
      </c>
      <c r="I153" s="2">
        <v>2.97E-3</v>
      </c>
      <c r="K153" t="str">
        <f t="shared" si="14"/>
        <v xml:space="preserve">    - 4.000</v>
      </c>
      <c r="L153" t="str">
        <f t="shared" si="15"/>
        <v xml:space="preserve">    - [1.624, 0.990, 0.004, 20.49, -0.0070]</v>
      </c>
      <c r="O153">
        <f>A153-'DLC Buildup Factors'!G150</f>
        <v>0</v>
      </c>
      <c r="P153">
        <f>B153-'DLC Buildup Factors'!H150</f>
        <v>0</v>
      </c>
      <c r="Q153">
        <f>C153-'DLC Buildup Factors'!I150</f>
        <v>0</v>
      </c>
      <c r="R153">
        <f>D153-'DLC Buildup Factors'!J150</f>
        <v>0</v>
      </c>
      <c r="S153">
        <f>E153-'DLC Buildup Factors'!K150</f>
        <v>0</v>
      </c>
      <c r="T153">
        <f>F153-'DLC Buildup Factors'!L150</f>
        <v>0</v>
      </c>
      <c r="U153">
        <f>G153-'DLC Buildup Factors'!M150</f>
        <v>0</v>
      </c>
      <c r="V153">
        <f>H153-'DLC Buildup Factors'!N150</f>
        <v>0</v>
      </c>
      <c r="W153">
        <f>I153-'DLC Buildup Factors'!O150</f>
        <v>0</v>
      </c>
    </row>
    <row r="154" spans="1:23">
      <c r="A154" s="12">
        <v>5</v>
      </c>
      <c r="B154">
        <v>1.5529999999999999</v>
      </c>
      <c r="C154">
        <v>0.94699999999999995</v>
      </c>
      <c r="D154">
        <v>1.6E-2</v>
      </c>
      <c r="E154">
        <v>14.42</v>
      </c>
      <c r="F154">
        <v>-1.11E-2</v>
      </c>
      <c r="G154" s="2">
        <v>7.0000000000000001E-3</v>
      </c>
      <c r="H154">
        <v>0.5</v>
      </c>
      <c r="I154" s="2">
        <v>3.79E-3</v>
      </c>
      <c r="K154" t="str">
        <f t="shared" si="14"/>
        <v xml:space="preserve">    - 5.000</v>
      </c>
      <c r="L154" t="str">
        <f t="shared" si="15"/>
        <v xml:space="preserve">    - [1.553, 0.947, 0.016, 14.42, -0.0111]</v>
      </c>
      <c r="O154">
        <f>A154-'DLC Buildup Factors'!G151</f>
        <v>0</v>
      </c>
      <c r="P154">
        <f>B154-'DLC Buildup Factors'!H151</f>
        <v>0</v>
      </c>
      <c r="Q154">
        <f>C154-'DLC Buildup Factors'!I151</f>
        <v>0</v>
      </c>
      <c r="R154">
        <f>D154-'DLC Buildup Factors'!J151</f>
        <v>0</v>
      </c>
      <c r="S154">
        <f>E154-'DLC Buildup Factors'!K151</f>
        <v>0</v>
      </c>
      <c r="T154">
        <f>F154-'DLC Buildup Factors'!L151</f>
        <v>0</v>
      </c>
      <c r="U154">
        <f>G154-'DLC Buildup Factors'!M151</f>
        <v>0</v>
      </c>
      <c r="V154">
        <f>H154-'DLC Buildup Factors'!N151</f>
        <v>0</v>
      </c>
      <c r="W154">
        <f>I154-'DLC Buildup Factors'!O151</f>
        <v>0</v>
      </c>
    </row>
    <row r="155" spans="1:23">
      <c r="A155" s="12">
        <v>6</v>
      </c>
      <c r="B155">
        <v>1.5049999999999999</v>
      </c>
      <c r="C155">
        <v>0.91700000000000004</v>
      </c>
      <c r="D155">
        <v>2.5000000000000001E-2</v>
      </c>
      <c r="E155">
        <v>15.64</v>
      </c>
      <c r="F155">
        <v>-2.29E-2</v>
      </c>
      <c r="G155" s="2">
        <v>9.9000000000000008E-3</v>
      </c>
      <c r="H155">
        <v>1</v>
      </c>
      <c r="I155" s="2">
        <v>4.6699999999999997E-3</v>
      </c>
      <c r="K155" t="str">
        <f t="shared" si="14"/>
        <v xml:space="preserve">    - 6.000</v>
      </c>
      <c r="L155" t="str">
        <f t="shared" si="15"/>
        <v xml:space="preserve">    - [1.505, 0.917, 0.025, 15.64, -0.0229]</v>
      </c>
      <c r="O155">
        <f>A155-'DLC Buildup Factors'!G152</f>
        <v>0</v>
      </c>
      <c r="P155">
        <f>B155-'DLC Buildup Factors'!H152</f>
        <v>0</v>
      </c>
      <c r="Q155">
        <f>C155-'DLC Buildup Factors'!I152</f>
        <v>0</v>
      </c>
      <c r="R155">
        <f>D155-'DLC Buildup Factors'!J152</f>
        <v>0</v>
      </c>
      <c r="S155">
        <f>E155-'DLC Buildup Factors'!K152</f>
        <v>0</v>
      </c>
      <c r="T155">
        <f>F155-'DLC Buildup Factors'!L152</f>
        <v>0</v>
      </c>
      <c r="U155">
        <f>G155-'DLC Buildup Factors'!M152</f>
        <v>0</v>
      </c>
      <c r="V155">
        <f>H155-'DLC Buildup Factors'!N152</f>
        <v>0</v>
      </c>
      <c r="W155">
        <f>I155-'DLC Buildup Factors'!O152</f>
        <v>0</v>
      </c>
    </row>
    <row r="156" spans="1:23">
      <c r="A156" s="12">
        <v>8</v>
      </c>
      <c r="B156">
        <v>1.417</v>
      </c>
      <c r="C156">
        <v>0.89100000000000001</v>
      </c>
      <c r="D156">
        <v>3.3000000000000002E-2</v>
      </c>
      <c r="E156">
        <v>12.3</v>
      </c>
      <c r="F156">
        <v>-1.9400000000000001E-2</v>
      </c>
      <c r="G156" s="2">
        <v>1.1599999999999999E-2</v>
      </c>
      <c r="H156">
        <v>0.5</v>
      </c>
      <c r="I156" s="2">
        <v>4.6699999999999997E-3</v>
      </c>
      <c r="K156" t="str">
        <f t="shared" si="14"/>
        <v xml:space="preserve">    - 8.000</v>
      </c>
      <c r="L156" t="str">
        <f t="shared" si="15"/>
        <v xml:space="preserve">    - [1.417, 0.891, 0.033, 12.30, -0.0194]</v>
      </c>
      <c r="O156">
        <f>A156-'DLC Buildup Factors'!G153</f>
        <v>0</v>
      </c>
      <c r="P156">
        <f>B156-'DLC Buildup Factors'!H153</f>
        <v>0</v>
      </c>
      <c r="Q156">
        <f>C156-'DLC Buildup Factors'!I153</f>
        <v>0</v>
      </c>
      <c r="R156">
        <f>D156-'DLC Buildup Factors'!J153</f>
        <v>0</v>
      </c>
      <c r="S156">
        <f>E156-'DLC Buildup Factors'!K153</f>
        <v>0</v>
      </c>
      <c r="T156">
        <f>F156-'DLC Buildup Factors'!L153</f>
        <v>0</v>
      </c>
      <c r="U156">
        <f>G156-'DLC Buildup Factors'!M153</f>
        <v>0</v>
      </c>
      <c r="V156">
        <f>H156-'DLC Buildup Factors'!N153</f>
        <v>0</v>
      </c>
      <c r="W156">
        <f>I156-'DLC Buildup Factors'!O153</f>
        <v>0</v>
      </c>
    </row>
    <row r="157" spans="1:23">
      <c r="A157" s="12">
        <v>10</v>
      </c>
      <c r="B157">
        <v>1.3580000000000001</v>
      </c>
      <c r="C157">
        <v>0.872</v>
      </c>
      <c r="D157">
        <v>3.9E-2</v>
      </c>
      <c r="E157">
        <v>13.99</v>
      </c>
      <c r="F157">
        <v>-2.52E-2</v>
      </c>
      <c r="G157" s="2">
        <v>1.14E-2</v>
      </c>
      <c r="H157">
        <v>0.5</v>
      </c>
      <c r="I157" s="2">
        <v>5.4200000000000003E-3</v>
      </c>
      <c r="K157" t="str">
        <f t="shared" si="14"/>
        <v xml:space="preserve">    - 10.000</v>
      </c>
      <c r="L157" t="str">
        <f t="shared" si="15"/>
        <v xml:space="preserve">    - [1.358, 0.872, 0.039, 13.99, -0.0252]</v>
      </c>
      <c r="O157">
        <f>A157-'DLC Buildup Factors'!G154</f>
        <v>0</v>
      </c>
      <c r="P157">
        <f>B157-'DLC Buildup Factors'!H154</f>
        <v>0</v>
      </c>
      <c r="Q157">
        <f>C157-'DLC Buildup Factors'!I154</f>
        <v>0</v>
      </c>
      <c r="R157">
        <f>D157-'DLC Buildup Factors'!J154</f>
        <v>0</v>
      </c>
      <c r="S157">
        <f>E157-'DLC Buildup Factors'!K154</f>
        <v>0</v>
      </c>
      <c r="T157">
        <f>F157-'DLC Buildup Factors'!L154</f>
        <v>0</v>
      </c>
      <c r="U157">
        <f>G157-'DLC Buildup Factors'!M154</f>
        <v>0</v>
      </c>
      <c r="V157">
        <f>H157-'DLC Buildup Factors'!N154</f>
        <v>0</v>
      </c>
      <c r="W157">
        <f>I157-'DLC Buildup Factors'!O154</f>
        <v>0</v>
      </c>
    </row>
    <row r="158" spans="1:23">
      <c r="A158" s="12">
        <v>15</v>
      </c>
      <c r="B158">
        <v>1.2649999999999999</v>
      </c>
      <c r="C158">
        <v>0.84199999999999997</v>
      </c>
      <c r="D158">
        <v>0.05</v>
      </c>
      <c r="E158">
        <v>15.03</v>
      </c>
      <c r="F158">
        <v>-3.8699999999999998E-2</v>
      </c>
      <c r="G158" s="2">
        <v>1.1900000000000001E-2</v>
      </c>
      <c r="H158">
        <v>3</v>
      </c>
      <c r="I158" s="2">
        <v>7.28E-3</v>
      </c>
      <c r="K158" t="str">
        <f t="shared" si="14"/>
        <v xml:space="preserve">    - 15.000</v>
      </c>
      <c r="L158" t="str">
        <f t="shared" si="15"/>
        <v xml:space="preserve">    - [1.265, 0.842, 0.050, 15.03, -0.0387]</v>
      </c>
      <c r="O158">
        <f>A158-'DLC Buildup Factors'!G155</f>
        <v>0</v>
      </c>
      <c r="P158">
        <f>B158-'DLC Buildup Factors'!H155</f>
        <v>0</v>
      </c>
      <c r="Q158">
        <f>C158-'DLC Buildup Factors'!I155</f>
        <v>0</v>
      </c>
      <c r="R158">
        <f>D158-'DLC Buildup Factors'!J155</f>
        <v>0</v>
      </c>
      <c r="S158">
        <f>E158-'DLC Buildup Factors'!K155</f>
        <v>0</v>
      </c>
      <c r="T158">
        <f>F158-'DLC Buildup Factors'!L155</f>
        <v>0</v>
      </c>
      <c r="U158">
        <f>G158-'DLC Buildup Factors'!M155</f>
        <v>0</v>
      </c>
      <c r="V158">
        <f>H158-'DLC Buildup Factors'!N155</f>
        <v>0</v>
      </c>
      <c r="W158">
        <f>I158-'DLC Buildup Factors'!O155</f>
        <v>0</v>
      </c>
    </row>
    <row r="159" spans="1:23">
      <c r="A159" s="12"/>
    </row>
    <row r="160" spans="1:23">
      <c r="A160" s="10" t="s">
        <v>1525</v>
      </c>
    </row>
    <row r="161" spans="1:23">
      <c r="A161" s="10" t="s">
        <v>1530</v>
      </c>
    </row>
    <row r="162" spans="1:23">
      <c r="A162" t="s">
        <v>0</v>
      </c>
      <c r="B162" t="s">
        <v>10</v>
      </c>
      <c r="C162" t="s">
        <v>11</v>
      </c>
      <c r="D162" t="s">
        <v>12</v>
      </c>
      <c r="E162" t="s">
        <v>15</v>
      </c>
      <c r="F162" t="s">
        <v>13</v>
      </c>
      <c r="G162" t="s">
        <v>16</v>
      </c>
      <c r="H162" t="s">
        <v>17</v>
      </c>
      <c r="I162" t="s">
        <v>14</v>
      </c>
    </row>
    <row r="163" spans="1:23">
      <c r="A163" s="10">
        <v>1.4999999999999999E-2</v>
      </c>
      <c r="B163">
        <v>1.052</v>
      </c>
      <c r="C163">
        <v>0.379</v>
      </c>
      <c r="D163">
        <v>0.223</v>
      </c>
      <c r="E163">
        <v>11.69</v>
      </c>
      <c r="F163">
        <v>-0.11459999999999999</v>
      </c>
      <c r="G163" s="2">
        <v>6.6E-3</v>
      </c>
      <c r="H163">
        <v>0.5</v>
      </c>
      <c r="I163" s="2">
        <v>2.7899999999999999E-3</v>
      </c>
      <c r="K163" t="str">
        <f t="shared" ref="K163" si="16">CONCATENATE("    - ",TEXT(A163,"0.000"))</f>
        <v xml:space="preserve">    - 0.015</v>
      </c>
      <c r="L163" t="str">
        <f t="shared" ref="L163" si="17">CONCATENATE("    - [",TEXT(B163,"0.000"),", ",TEXT(C163,"0.000"),", ",TEXT(D163,"0.000"),", ",TEXT(E163,"0.00"),", ",TEXT(F163,"0.0000"),"]")</f>
        <v xml:space="preserve">    - [1.052, 0.379, 0.223, 11.69, -0.1146]</v>
      </c>
      <c r="O163">
        <f>A163-'DLC Buildup Factors'!G162</f>
        <v>0</v>
      </c>
      <c r="P163">
        <f>B163-'DLC Buildup Factors'!H162</f>
        <v>0</v>
      </c>
      <c r="Q163">
        <f>C163-'DLC Buildup Factors'!I162</f>
        <v>0</v>
      </c>
      <c r="R163">
        <f>D163-'DLC Buildup Factors'!J162</f>
        <v>0</v>
      </c>
      <c r="S163">
        <f>E163-'DLC Buildup Factors'!K162</f>
        <v>0</v>
      </c>
      <c r="T163">
        <f>F163-'DLC Buildup Factors'!L162</f>
        <v>0</v>
      </c>
      <c r="U163">
        <f>G163-'DLC Buildup Factors'!M162</f>
        <v>0</v>
      </c>
      <c r="V163">
        <f>H163-'DLC Buildup Factors'!N162</f>
        <v>0</v>
      </c>
      <c r="W163">
        <f>I163-'DLC Buildup Factors'!O162</f>
        <v>0</v>
      </c>
    </row>
    <row r="164" spans="1:23">
      <c r="A164" s="10">
        <v>0.02</v>
      </c>
      <c r="B164">
        <v>1.1220000000000001</v>
      </c>
      <c r="C164">
        <v>0.39800000000000002</v>
      </c>
      <c r="D164">
        <v>0.21199999999999999</v>
      </c>
      <c r="E164">
        <v>13.54</v>
      </c>
      <c r="F164">
        <v>-0.114</v>
      </c>
      <c r="G164" s="2">
        <v>1.2E-2</v>
      </c>
      <c r="H164">
        <v>0.5</v>
      </c>
      <c r="I164" s="2">
        <v>4.3200000000000001E-3</v>
      </c>
      <c r="K164" t="str">
        <f t="shared" ref="K164:K187" si="18">CONCATENATE("    - ",TEXT(A164,"0.000"))</f>
        <v xml:space="preserve">    - 0.020</v>
      </c>
      <c r="L164" t="str">
        <f t="shared" ref="L164:L187" si="19">CONCATENATE("    - [",TEXT(B164,"0.000"),", ",TEXT(C164,"0.000"),", ",TEXT(D164,"0.000"),", ",TEXT(E164,"0.00"),", ",TEXT(F164,"0.0000"),"]")</f>
        <v xml:space="preserve">    - [1.122, 0.398, 0.212, 13.54, -0.1140]</v>
      </c>
      <c r="O164">
        <f>A164-'DLC Buildup Factors'!G163</f>
        <v>0</v>
      </c>
      <c r="P164">
        <f>B164-'DLC Buildup Factors'!H163</f>
        <v>0</v>
      </c>
      <c r="Q164">
        <f>C164-'DLC Buildup Factors'!I163</f>
        <v>0</v>
      </c>
      <c r="R164">
        <f>D164-'DLC Buildup Factors'!J163</f>
        <v>0</v>
      </c>
      <c r="S164">
        <f>E164-'DLC Buildup Factors'!K163</f>
        <v>0</v>
      </c>
      <c r="T164">
        <f>F164-'DLC Buildup Factors'!L163</f>
        <v>0</v>
      </c>
      <c r="U164">
        <f>G164-'DLC Buildup Factors'!M163</f>
        <v>0</v>
      </c>
      <c r="V164">
        <f>H164-'DLC Buildup Factors'!N163</f>
        <v>0</v>
      </c>
      <c r="W164">
        <f>I164-'DLC Buildup Factors'!O163</f>
        <v>0</v>
      </c>
    </row>
    <row r="165" spans="1:23">
      <c r="A165" s="10">
        <v>0.03</v>
      </c>
      <c r="B165">
        <v>1.3879999999999999</v>
      </c>
      <c r="C165">
        <v>0.48</v>
      </c>
      <c r="D165">
        <v>0.17599999999999999</v>
      </c>
      <c r="E165">
        <v>14.6</v>
      </c>
      <c r="F165">
        <v>-9.2100000000000001E-2</v>
      </c>
      <c r="G165" s="2">
        <v>1.9900000000000001E-2</v>
      </c>
      <c r="H165">
        <v>0.5</v>
      </c>
      <c r="I165" s="2">
        <v>7.6499999999999997E-3</v>
      </c>
      <c r="K165" t="str">
        <f t="shared" si="18"/>
        <v xml:space="preserve">    - 0.030</v>
      </c>
      <c r="L165" t="str">
        <f t="shared" si="19"/>
        <v xml:space="preserve">    - [1.388, 0.480, 0.176, 14.60, -0.0921]</v>
      </c>
      <c r="O165">
        <f>A165-'DLC Buildup Factors'!G164</f>
        <v>0</v>
      </c>
      <c r="P165">
        <f>B165-'DLC Buildup Factors'!H164</f>
        <v>0</v>
      </c>
      <c r="Q165">
        <f>C165-'DLC Buildup Factors'!I164</f>
        <v>0</v>
      </c>
      <c r="R165">
        <f>D165-'DLC Buildup Factors'!J164</f>
        <v>0</v>
      </c>
      <c r="S165">
        <f>E165-'DLC Buildup Factors'!K164</f>
        <v>0</v>
      </c>
      <c r="T165">
        <f>F165-'DLC Buildup Factors'!L164</f>
        <v>0</v>
      </c>
      <c r="U165">
        <f>G165-'DLC Buildup Factors'!M164</f>
        <v>0</v>
      </c>
      <c r="V165">
        <f>H165-'DLC Buildup Factors'!N164</f>
        <v>0</v>
      </c>
      <c r="W165">
        <f>I165-'DLC Buildup Factors'!O164</f>
        <v>0</v>
      </c>
    </row>
    <row r="166" spans="1:23">
      <c r="A166" s="10">
        <v>0.04</v>
      </c>
      <c r="B166">
        <v>1.7789999999999999</v>
      </c>
      <c r="C166">
        <v>0.66200000000000003</v>
      </c>
      <c r="D166">
        <v>9.9000000000000005E-2</v>
      </c>
      <c r="E166">
        <v>16.41</v>
      </c>
      <c r="F166">
        <v>-4.7899999999999998E-2</v>
      </c>
      <c r="G166" s="2">
        <v>2.0500000000000001E-2</v>
      </c>
      <c r="H166">
        <v>2</v>
      </c>
      <c r="I166" s="2">
        <v>7.4700000000000001E-3</v>
      </c>
      <c r="K166" t="str">
        <f t="shared" si="18"/>
        <v xml:space="preserve">    - 0.040</v>
      </c>
      <c r="L166" t="str">
        <f t="shared" si="19"/>
        <v xml:space="preserve">    - [1.779, 0.662, 0.099, 16.41, -0.0479]</v>
      </c>
      <c r="O166">
        <f>A166-'DLC Buildup Factors'!G165</f>
        <v>0</v>
      </c>
      <c r="P166">
        <f>B166-'DLC Buildup Factors'!H165</f>
        <v>0</v>
      </c>
      <c r="Q166">
        <f>C166-'DLC Buildup Factors'!I165</f>
        <v>0</v>
      </c>
      <c r="R166">
        <f>D166-'DLC Buildup Factors'!J165</f>
        <v>0</v>
      </c>
      <c r="S166">
        <f>E166-'DLC Buildup Factors'!K165</f>
        <v>0</v>
      </c>
      <c r="T166">
        <f>F166-'DLC Buildup Factors'!L165</f>
        <v>0</v>
      </c>
      <c r="U166">
        <f>G166-'DLC Buildup Factors'!M165</f>
        <v>0</v>
      </c>
      <c r="V166">
        <f>H166-'DLC Buildup Factors'!N165</f>
        <v>0</v>
      </c>
      <c r="W166">
        <f>I166-'DLC Buildup Factors'!O165</f>
        <v>0</v>
      </c>
    </row>
    <row r="167" spans="1:23">
      <c r="A167" s="10">
        <v>0.05</v>
      </c>
      <c r="B167">
        <v>2.3940000000000001</v>
      </c>
      <c r="C167">
        <v>0.74</v>
      </c>
      <c r="D167">
        <v>8.6999999999999994E-2</v>
      </c>
      <c r="E167">
        <v>14.31</v>
      </c>
      <c r="F167">
        <v>-5.5199999999999999E-2</v>
      </c>
      <c r="G167" s="2">
        <v>2.23E-2</v>
      </c>
      <c r="H167">
        <v>0.5</v>
      </c>
      <c r="I167" s="2">
        <v>1.153E-2</v>
      </c>
      <c r="K167" t="str">
        <f t="shared" si="18"/>
        <v xml:space="preserve">    - 0.050</v>
      </c>
      <c r="L167" t="str">
        <f t="shared" si="19"/>
        <v xml:space="preserve">    - [2.394, 0.740, 0.087, 14.31, -0.0552]</v>
      </c>
      <c r="O167">
        <f>A167-'DLC Buildup Factors'!G166</f>
        <v>0</v>
      </c>
      <c r="P167">
        <f>B167-'DLC Buildup Factors'!H166</f>
        <v>0</v>
      </c>
      <c r="Q167">
        <f>C167-'DLC Buildup Factors'!I166</f>
        <v>0</v>
      </c>
      <c r="R167">
        <f>D167-'DLC Buildup Factors'!J166</f>
        <v>0</v>
      </c>
      <c r="S167">
        <f>E167-'DLC Buildup Factors'!K166</f>
        <v>0</v>
      </c>
      <c r="T167">
        <f>F167-'DLC Buildup Factors'!L166</f>
        <v>0</v>
      </c>
      <c r="U167">
        <f>G167-'DLC Buildup Factors'!M166</f>
        <v>0</v>
      </c>
      <c r="V167">
        <f>H167-'DLC Buildup Factors'!N166</f>
        <v>0</v>
      </c>
      <c r="W167">
        <f>I167-'DLC Buildup Factors'!O166</f>
        <v>0</v>
      </c>
    </row>
    <row r="168" spans="1:23">
      <c r="A168" s="10">
        <v>0.06</v>
      </c>
      <c r="B168">
        <v>2.8359999999999999</v>
      </c>
      <c r="C168">
        <v>0.91</v>
      </c>
      <c r="D168">
        <v>3.7999999999999999E-2</v>
      </c>
      <c r="E168">
        <v>13.27</v>
      </c>
      <c r="F168">
        <v>-3.39E-2</v>
      </c>
      <c r="G168" s="2">
        <v>1.23E-2</v>
      </c>
      <c r="H168">
        <v>0.5</v>
      </c>
      <c r="I168" s="2">
        <v>6.0899999999999999E-3</v>
      </c>
      <c r="K168" t="str">
        <f t="shared" si="18"/>
        <v xml:space="preserve">    - 0.060</v>
      </c>
      <c r="L168" t="str">
        <f t="shared" si="19"/>
        <v xml:space="preserve">    - [2.836, 0.910, 0.038, 13.27, -0.0339]</v>
      </c>
      <c r="O168">
        <f>A168-'DLC Buildup Factors'!G167</f>
        <v>0</v>
      </c>
      <c r="P168">
        <f>B168-'DLC Buildup Factors'!H167</f>
        <v>0</v>
      </c>
      <c r="Q168">
        <f>C168-'DLC Buildup Factors'!I167</f>
        <v>0</v>
      </c>
      <c r="R168">
        <f>D168-'DLC Buildup Factors'!J167</f>
        <v>0</v>
      </c>
      <c r="S168">
        <f>E168-'DLC Buildup Factors'!K167</f>
        <v>0</v>
      </c>
      <c r="T168">
        <f>F168-'DLC Buildup Factors'!L167</f>
        <v>0</v>
      </c>
      <c r="U168">
        <f>G168-'DLC Buildup Factors'!M167</f>
        <v>0</v>
      </c>
      <c r="V168">
        <f>H168-'DLC Buildup Factors'!N167</f>
        <v>0</v>
      </c>
      <c r="W168">
        <f>I168-'DLC Buildup Factors'!O167</f>
        <v>0</v>
      </c>
    </row>
    <row r="169" spans="1:23">
      <c r="A169" s="10">
        <v>0.08</v>
      </c>
      <c r="B169">
        <v>3.3</v>
      </c>
      <c r="C169">
        <v>1.1830000000000001</v>
      </c>
      <c r="D169">
        <v>-2.8000000000000001E-2</v>
      </c>
      <c r="E169">
        <v>13.57</v>
      </c>
      <c r="F169">
        <v>-2.5000000000000001E-3</v>
      </c>
      <c r="G169" s="2">
        <v>3.0000000000000001E-3</v>
      </c>
      <c r="H169">
        <v>1</v>
      </c>
      <c r="I169" s="2">
        <v>1.41E-3</v>
      </c>
      <c r="K169" t="str">
        <f t="shared" si="18"/>
        <v xml:space="preserve">    - 0.080</v>
      </c>
      <c r="L169" t="str">
        <f t="shared" si="19"/>
        <v xml:space="preserve">    - [3.300, 1.183, -0.028, 13.57, -0.0025]</v>
      </c>
      <c r="O169">
        <f>A169-'DLC Buildup Factors'!G168</f>
        <v>0</v>
      </c>
      <c r="P169">
        <f>B169-'DLC Buildup Factors'!H168</f>
        <v>0</v>
      </c>
      <c r="Q169">
        <f>C169-'DLC Buildup Factors'!I168</f>
        <v>0</v>
      </c>
      <c r="R169">
        <f>D169-'DLC Buildup Factors'!J168</f>
        <v>0</v>
      </c>
      <c r="S169">
        <f>E169-'DLC Buildup Factors'!K168</f>
        <v>0</v>
      </c>
      <c r="T169">
        <f>F169-'DLC Buildup Factors'!L168</f>
        <v>0</v>
      </c>
      <c r="U169">
        <f>G169-'DLC Buildup Factors'!M168</f>
        <v>0</v>
      </c>
      <c r="V169">
        <f>H169-'DLC Buildup Factors'!N168</f>
        <v>0</v>
      </c>
      <c r="W169">
        <f>I169-'DLC Buildup Factors'!O168</f>
        <v>0</v>
      </c>
    </row>
    <row r="170" spans="1:23">
      <c r="A170" s="10">
        <v>0.1</v>
      </c>
      <c r="B170">
        <v>3.3879999999999999</v>
      </c>
      <c r="C170">
        <v>1.3680000000000001</v>
      </c>
      <c r="D170">
        <v>-6.2E-2</v>
      </c>
      <c r="E170">
        <v>14.35</v>
      </c>
      <c r="F170">
        <v>1.15E-2</v>
      </c>
      <c r="G170" s="2">
        <v>8.3000000000000001E-3</v>
      </c>
      <c r="H170">
        <v>4</v>
      </c>
      <c r="I170" s="2">
        <v>3.9399999999999999E-3</v>
      </c>
      <c r="K170" t="str">
        <f t="shared" si="18"/>
        <v xml:space="preserve">    - 0.100</v>
      </c>
      <c r="L170" t="str">
        <f t="shared" si="19"/>
        <v xml:space="preserve">    - [3.388, 1.368, -0.062, 14.35, 0.0115]</v>
      </c>
      <c r="O170">
        <f>A170-'DLC Buildup Factors'!G169</f>
        <v>0</v>
      </c>
      <c r="P170">
        <f>B170-'DLC Buildup Factors'!H169</f>
        <v>0</v>
      </c>
      <c r="Q170">
        <f>C170-'DLC Buildup Factors'!I169</f>
        <v>0</v>
      </c>
      <c r="R170">
        <f>D170-'DLC Buildup Factors'!J169</f>
        <v>0</v>
      </c>
      <c r="S170">
        <f>E170-'DLC Buildup Factors'!K169</f>
        <v>0</v>
      </c>
      <c r="T170">
        <f>F170-'DLC Buildup Factors'!L169</f>
        <v>0</v>
      </c>
      <c r="U170">
        <f>G170-'DLC Buildup Factors'!M169</f>
        <v>0</v>
      </c>
      <c r="V170">
        <f>H170-'DLC Buildup Factors'!N169</f>
        <v>0</v>
      </c>
      <c r="W170">
        <f>I170-'DLC Buildup Factors'!O169</f>
        <v>0</v>
      </c>
    </row>
    <row r="171" spans="1:23">
      <c r="A171" s="10">
        <v>0.15</v>
      </c>
      <c r="B171">
        <v>3.19</v>
      </c>
      <c r="C171">
        <v>1.575</v>
      </c>
      <c r="D171">
        <v>-9.5000000000000001E-2</v>
      </c>
      <c r="E171">
        <v>14.71</v>
      </c>
      <c r="F171">
        <v>2.5999999999999999E-2</v>
      </c>
      <c r="G171" s="2">
        <v>9.4999999999999998E-3</v>
      </c>
      <c r="H171">
        <v>1</v>
      </c>
      <c r="I171" s="2">
        <v>6.2100000000000002E-3</v>
      </c>
      <c r="K171" t="str">
        <f t="shared" si="18"/>
        <v xml:space="preserve">    - 0.150</v>
      </c>
      <c r="L171" t="str">
        <f t="shared" si="19"/>
        <v xml:space="preserve">    - [3.190, 1.575, -0.095, 14.71, 0.0260]</v>
      </c>
      <c r="O171">
        <f>A171-'DLC Buildup Factors'!G170</f>
        <v>0</v>
      </c>
      <c r="P171">
        <f>B171-'DLC Buildup Factors'!H170</f>
        <v>0</v>
      </c>
      <c r="Q171">
        <f>C171-'DLC Buildup Factors'!I170</f>
        <v>0</v>
      </c>
      <c r="R171">
        <f>D171-'DLC Buildup Factors'!J170</f>
        <v>0</v>
      </c>
      <c r="S171">
        <f>E171-'DLC Buildup Factors'!K170</f>
        <v>0</v>
      </c>
      <c r="T171">
        <f>F171-'DLC Buildup Factors'!L170</f>
        <v>0</v>
      </c>
      <c r="U171">
        <f>G171-'DLC Buildup Factors'!M170</f>
        <v>0</v>
      </c>
      <c r="V171">
        <f>H171-'DLC Buildup Factors'!N170</f>
        <v>0</v>
      </c>
      <c r="W171">
        <f>I171-'DLC Buildup Factors'!O170</f>
        <v>0</v>
      </c>
    </row>
    <row r="172" spans="1:23">
      <c r="A172" s="10">
        <v>0.2</v>
      </c>
      <c r="B172">
        <v>2.968</v>
      </c>
      <c r="C172">
        <v>1.627</v>
      </c>
      <c r="D172">
        <v>-0.10299999999999999</v>
      </c>
      <c r="E172">
        <v>14.63</v>
      </c>
      <c r="F172">
        <v>2.81E-2</v>
      </c>
      <c r="G172" s="2">
        <v>9.4999999999999998E-3</v>
      </c>
      <c r="H172">
        <v>1</v>
      </c>
      <c r="I172" s="2">
        <v>5.4999999999999997E-3</v>
      </c>
      <c r="K172" t="str">
        <f t="shared" si="18"/>
        <v xml:space="preserve">    - 0.200</v>
      </c>
      <c r="L172" t="str">
        <f t="shared" si="19"/>
        <v xml:space="preserve">    - [2.968, 1.627, -0.103, 14.63, 0.0281]</v>
      </c>
      <c r="O172">
        <f>A172-'DLC Buildup Factors'!G171</f>
        <v>0</v>
      </c>
      <c r="P172">
        <f>B172-'DLC Buildup Factors'!H171</f>
        <v>0</v>
      </c>
      <c r="Q172">
        <f>C172-'DLC Buildup Factors'!I171</f>
        <v>0</v>
      </c>
      <c r="R172">
        <f>D172-'DLC Buildup Factors'!J171</f>
        <v>0</v>
      </c>
      <c r="S172">
        <f>E172-'DLC Buildup Factors'!K171</f>
        <v>0</v>
      </c>
      <c r="T172">
        <f>F172-'DLC Buildup Factors'!L171</f>
        <v>0</v>
      </c>
      <c r="U172">
        <f>G172-'DLC Buildup Factors'!M171</f>
        <v>0</v>
      </c>
      <c r="V172">
        <f>H172-'DLC Buildup Factors'!N171</f>
        <v>0</v>
      </c>
      <c r="W172">
        <f>I172-'DLC Buildup Factors'!O171</f>
        <v>0</v>
      </c>
    </row>
    <row r="173" spans="1:23">
      <c r="A173" s="10">
        <v>0.3</v>
      </c>
      <c r="B173">
        <v>2.6579999999999999</v>
      </c>
      <c r="C173">
        <v>1.633</v>
      </c>
      <c r="D173">
        <v>-0.106</v>
      </c>
      <c r="E173">
        <v>14.12</v>
      </c>
      <c r="F173">
        <v>2.7900000000000001E-2</v>
      </c>
      <c r="G173" s="2">
        <v>7.3000000000000001E-3</v>
      </c>
      <c r="H173">
        <v>25</v>
      </c>
      <c r="I173" s="2">
        <v>4.8500000000000001E-3</v>
      </c>
      <c r="K173" t="str">
        <f t="shared" si="18"/>
        <v xml:space="preserve">    - 0.300</v>
      </c>
      <c r="L173" t="str">
        <f t="shared" si="19"/>
        <v xml:space="preserve">    - [2.658, 1.633, -0.106, 14.12, 0.0279]</v>
      </c>
      <c r="O173">
        <f>A173-'DLC Buildup Factors'!G172</f>
        <v>0</v>
      </c>
      <c r="P173">
        <f>B173-'DLC Buildup Factors'!H172</f>
        <v>0</v>
      </c>
      <c r="Q173">
        <f>C173-'DLC Buildup Factors'!I172</f>
        <v>0</v>
      </c>
      <c r="R173">
        <f>D173-'DLC Buildup Factors'!J172</f>
        <v>0</v>
      </c>
      <c r="S173">
        <f>E173-'DLC Buildup Factors'!K172</f>
        <v>0</v>
      </c>
      <c r="T173">
        <f>F173-'DLC Buildup Factors'!L172</f>
        <v>0</v>
      </c>
      <c r="U173">
        <f>G173-'DLC Buildup Factors'!M172</f>
        <v>0</v>
      </c>
      <c r="V173">
        <f>H173-'DLC Buildup Factors'!N172</f>
        <v>0</v>
      </c>
      <c r="W173">
        <f>I173-'DLC Buildup Factors'!O172</f>
        <v>0</v>
      </c>
    </row>
    <row r="174" spans="1:23">
      <c r="A174" s="10">
        <v>0.4</v>
      </c>
      <c r="B174">
        <v>2.4809999999999999</v>
      </c>
      <c r="C174">
        <v>1.587</v>
      </c>
      <c r="D174">
        <v>-0.10100000000000001</v>
      </c>
      <c r="E174">
        <v>15.09</v>
      </c>
      <c r="F174">
        <v>2.8500000000000001E-2</v>
      </c>
      <c r="G174" s="2">
        <v>9.7999999999999997E-3</v>
      </c>
      <c r="H174">
        <v>15</v>
      </c>
      <c r="I174" s="2">
        <v>5.5900000000000004E-3</v>
      </c>
      <c r="K174" t="str">
        <f t="shared" si="18"/>
        <v xml:space="preserve">    - 0.400</v>
      </c>
      <c r="L174" t="str">
        <f t="shared" si="19"/>
        <v xml:space="preserve">    - [2.481, 1.587, -0.101, 15.09, 0.0285]</v>
      </c>
      <c r="O174">
        <f>A174-'DLC Buildup Factors'!G173</f>
        <v>0</v>
      </c>
      <c r="P174">
        <f>B174-'DLC Buildup Factors'!H173</f>
        <v>0</v>
      </c>
      <c r="Q174">
        <f>C174-'DLC Buildup Factors'!I173</f>
        <v>0</v>
      </c>
      <c r="R174">
        <f>D174-'DLC Buildup Factors'!J173</f>
        <v>0</v>
      </c>
      <c r="S174">
        <f>E174-'DLC Buildup Factors'!K173</f>
        <v>0</v>
      </c>
      <c r="T174">
        <f>F174-'DLC Buildup Factors'!L173</f>
        <v>0</v>
      </c>
      <c r="U174">
        <f>G174-'DLC Buildup Factors'!M173</f>
        <v>0</v>
      </c>
      <c r="V174">
        <f>H174-'DLC Buildup Factors'!N173</f>
        <v>0</v>
      </c>
      <c r="W174">
        <f>I174-'DLC Buildup Factors'!O173</f>
        <v>0</v>
      </c>
    </row>
    <row r="175" spans="1:23">
      <c r="A175" s="10">
        <v>0.5</v>
      </c>
      <c r="B175">
        <v>2.35</v>
      </c>
      <c r="C175">
        <v>1.548</v>
      </c>
      <c r="D175">
        <v>-9.8000000000000004E-2</v>
      </c>
      <c r="E175">
        <v>14.86</v>
      </c>
      <c r="F175">
        <v>3.0700000000000002E-2</v>
      </c>
      <c r="G175" s="2">
        <v>1.0200000000000001E-2</v>
      </c>
      <c r="H175">
        <v>25</v>
      </c>
      <c r="I175" s="2">
        <v>5.4200000000000003E-3</v>
      </c>
      <c r="K175" t="str">
        <f t="shared" si="18"/>
        <v xml:space="preserve">    - 0.500</v>
      </c>
      <c r="L175" t="str">
        <f t="shared" si="19"/>
        <v xml:space="preserve">    - [2.350, 1.548, -0.098, 14.86, 0.0307]</v>
      </c>
      <c r="O175">
        <f>A175-'DLC Buildup Factors'!G174</f>
        <v>0</v>
      </c>
      <c r="P175">
        <f>B175-'DLC Buildup Factors'!H174</f>
        <v>0</v>
      </c>
      <c r="Q175">
        <f>C175-'DLC Buildup Factors'!I174</f>
        <v>0</v>
      </c>
      <c r="R175">
        <f>D175-'DLC Buildup Factors'!J174</f>
        <v>0</v>
      </c>
      <c r="S175">
        <f>E175-'DLC Buildup Factors'!K174</f>
        <v>0</v>
      </c>
      <c r="T175">
        <f>F175-'DLC Buildup Factors'!L174</f>
        <v>0</v>
      </c>
      <c r="U175">
        <f>G175-'DLC Buildup Factors'!M174</f>
        <v>0</v>
      </c>
      <c r="V175">
        <f>H175-'DLC Buildup Factors'!N174</f>
        <v>0</v>
      </c>
      <c r="W175">
        <f>I175-'DLC Buildup Factors'!O174</f>
        <v>0</v>
      </c>
    </row>
    <row r="176" spans="1:23">
      <c r="A176" s="10">
        <v>0.6</v>
      </c>
      <c r="B176">
        <v>2.2530000000000001</v>
      </c>
      <c r="C176">
        <v>1.498</v>
      </c>
      <c r="D176">
        <v>-0.09</v>
      </c>
      <c r="E176">
        <v>15.42</v>
      </c>
      <c r="F176">
        <v>2.64E-2</v>
      </c>
      <c r="G176" s="2">
        <v>8.8999999999999999E-3</v>
      </c>
      <c r="H176">
        <v>0.5</v>
      </c>
      <c r="I176" s="2">
        <v>4.96E-3</v>
      </c>
      <c r="K176" t="str">
        <f t="shared" si="18"/>
        <v xml:space="preserve">    - 0.600</v>
      </c>
      <c r="L176" t="str">
        <f t="shared" si="19"/>
        <v xml:space="preserve">    - [2.253, 1.498, -0.090, 15.42, 0.0264]</v>
      </c>
      <c r="O176">
        <f>A176-'DLC Buildup Factors'!G175</f>
        <v>0</v>
      </c>
      <c r="P176">
        <f>B176-'DLC Buildup Factors'!H175</f>
        <v>0</v>
      </c>
      <c r="Q176">
        <f>C176-'DLC Buildup Factors'!I175</f>
        <v>0</v>
      </c>
      <c r="R176">
        <f>D176-'DLC Buildup Factors'!J175</f>
        <v>0</v>
      </c>
      <c r="S176">
        <f>E176-'DLC Buildup Factors'!K175</f>
        <v>0</v>
      </c>
      <c r="T176">
        <f>F176-'DLC Buildup Factors'!L175</f>
        <v>0</v>
      </c>
      <c r="U176">
        <f>G176-'DLC Buildup Factors'!M175</f>
        <v>0</v>
      </c>
      <c r="V176">
        <f>H176-'DLC Buildup Factors'!N175</f>
        <v>0</v>
      </c>
      <c r="W176">
        <f>I176-'DLC Buildup Factors'!O175</f>
        <v>0</v>
      </c>
    </row>
    <row r="177" spans="1:23">
      <c r="A177" s="10">
        <v>0.8</v>
      </c>
      <c r="B177">
        <v>2.117</v>
      </c>
      <c r="C177">
        <v>1.421</v>
      </c>
      <c r="D177">
        <v>-0.08</v>
      </c>
      <c r="E177">
        <v>15.18</v>
      </c>
      <c r="F177">
        <v>2.5000000000000001E-2</v>
      </c>
      <c r="G177" s="2">
        <v>8.8999999999999999E-3</v>
      </c>
      <c r="H177">
        <v>25</v>
      </c>
      <c r="I177" s="2">
        <v>4.64E-3</v>
      </c>
      <c r="K177" t="str">
        <f t="shared" si="18"/>
        <v xml:space="preserve">    - 0.800</v>
      </c>
      <c r="L177" t="str">
        <f t="shared" si="19"/>
        <v xml:space="preserve">    - [2.117, 1.421, -0.080, 15.18, 0.0250]</v>
      </c>
      <c r="O177">
        <f>A177-'DLC Buildup Factors'!G176</f>
        <v>0</v>
      </c>
      <c r="P177">
        <f>B177-'DLC Buildup Factors'!H176</f>
        <v>0</v>
      </c>
      <c r="Q177">
        <f>C177-'DLC Buildup Factors'!I176</f>
        <v>0</v>
      </c>
      <c r="R177">
        <f>D177-'DLC Buildup Factors'!J176</f>
        <v>0</v>
      </c>
      <c r="S177">
        <f>E177-'DLC Buildup Factors'!K176</f>
        <v>0</v>
      </c>
      <c r="T177">
        <f>F177-'DLC Buildup Factors'!L176</f>
        <v>0</v>
      </c>
      <c r="U177">
        <f>G177-'DLC Buildup Factors'!M176</f>
        <v>0</v>
      </c>
      <c r="V177">
        <f>H177-'DLC Buildup Factors'!N176</f>
        <v>0</v>
      </c>
      <c r="W177">
        <f>I177-'DLC Buildup Factors'!O176</f>
        <v>0</v>
      </c>
    </row>
    <row r="178" spans="1:23">
      <c r="A178" s="10">
        <v>1</v>
      </c>
      <c r="B178">
        <v>2.0230000000000001</v>
      </c>
      <c r="C178">
        <v>1.3560000000000001</v>
      </c>
      <c r="D178">
        <v>-7.0000000000000007E-2</v>
      </c>
      <c r="E178">
        <v>15.7</v>
      </c>
      <c r="F178">
        <v>2.3400000000000001E-2</v>
      </c>
      <c r="G178" s="2">
        <v>6.4999999999999997E-3</v>
      </c>
      <c r="H178">
        <v>1</v>
      </c>
      <c r="I178" s="2">
        <v>3.46E-3</v>
      </c>
      <c r="K178" t="str">
        <f t="shared" si="18"/>
        <v xml:space="preserve">    - 1.000</v>
      </c>
      <c r="L178" t="str">
        <f t="shared" si="19"/>
        <v xml:space="preserve">    - [2.023, 1.356, -0.070, 15.70, 0.0234]</v>
      </c>
      <c r="O178">
        <f>A178-'DLC Buildup Factors'!G177</f>
        <v>0</v>
      </c>
      <c r="P178">
        <f>B178-'DLC Buildup Factors'!H177</f>
        <v>0</v>
      </c>
      <c r="Q178">
        <f>C178-'DLC Buildup Factors'!I177</f>
        <v>0</v>
      </c>
      <c r="R178">
        <f>D178-'DLC Buildup Factors'!J177</f>
        <v>0</v>
      </c>
      <c r="S178">
        <f>E178-'DLC Buildup Factors'!K177</f>
        <v>0</v>
      </c>
      <c r="T178">
        <f>F178-'DLC Buildup Factors'!L177</f>
        <v>0</v>
      </c>
      <c r="U178">
        <f>G178-'DLC Buildup Factors'!M177</f>
        <v>0</v>
      </c>
      <c r="V178">
        <f>H178-'DLC Buildup Factors'!N177</f>
        <v>0</v>
      </c>
      <c r="W178">
        <f>I178-'DLC Buildup Factors'!O177</f>
        <v>0</v>
      </c>
    </row>
    <row r="179" spans="1:23">
      <c r="A179" s="10">
        <v>1.5</v>
      </c>
      <c r="B179">
        <v>1.879</v>
      </c>
      <c r="C179">
        <v>1.234</v>
      </c>
      <c r="D179">
        <v>-4.9000000000000002E-2</v>
      </c>
      <c r="E179">
        <v>15.21</v>
      </c>
      <c r="F179">
        <v>1.6799999999999999E-2</v>
      </c>
      <c r="G179" s="2">
        <v>9.1000000000000004E-3</v>
      </c>
      <c r="H179">
        <v>0.5</v>
      </c>
      <c r="I179" s="2">
        <v>3.31E-3</v>
      </c>
      <c r="K179" t="str">
        <f t="shared" si="18"/>
        <v xml:space="preserve">    - 1.500</v>
      </c>
      <c r="L179" t="str">
        <f t="shared" si="19"/>
        <v xml:space="preserve">    - [1.879, 1.234, -0.049, 15.21, 0.0168]</v>
      </c>
      <c r="O179">
        <f>A179-'DLC Buildup Factors'!G178</f>
        <v>0</v>
      </c>
      <c r="P179">
        <f>B179-'DLC Buildup Factors'!H178</f>
        <v>0</v>
      </c>
      <c r="Q179">
        <f>C179-'DLC Buildup Factors'!I178</f>
        <v>0</v>
      </c>
      <c r="R179">
        <f>D179-'DLC Buildup Factors'!J178</f>
        <v>0</v>
      </c>
      <c r="S179">
        <f>E179-'DLC Buildup Factors'!K178</f>
        <v>0</v>
      </c>
      <c r="T179">
        <f>F179-'DLC Buildup Factors'!L178</f>
        <v>0</v>
      </c>
      <c r="U179">
        <f>G179-'DLC Buildup Factors'!M178</f>
        <v>0</v>
      </c>
      <c r="V179">
        <f>H179-'DLC Buildup Factors'!N178</f>
        <v>0</v>
      </c>
      <c r="W179">
        <f>I179-'DLC Buildup Factors'!O178</f>
        <v>0</v>
      </c>
    </row>
    <row r="180" spans="1:23">
      <c r="A180" s="10">
        <v>2</v>
      </c>
      <c r="B180">
        <v>1.7949999999999999</v>
      </c>
      <c r="C180">
        <v>1.1539999999999999</v>
      </c>
      <c r="D180">
        <v>-3.4000000000000002E-2</v>
      </c>
      <c r="E180">
        <v>14.43</v>
      </c>
      <c r="F180">
        <v>1.2200000000000001E-2</v>
      </c>
      <c r="G180" s="2">
        <v>8.0000000000000002E-3</v>
      </c>
      <c r="H180">
        <v>0.5</v>
      </c>
      <c r="I180" s="2">
        <v>3.32E-3</v>
      </c>
      <c r="K180" t="str">
        <f t="shared" si="18"/>
        <v xml:space="preserve">    - 2.000</v>
      </c>
      <c r="L180" t="str">
        <f t="shared" si="19"/>
        <v xml:space="preserve">    - [1.795, 1.154, -0.034, 14.43, 0.0122]</v>
      </c>
      <c r="O180">
        <f>A180-'DLC Buildup Factors'!G179</f>
        <v>0</v>
      </c>
      <c r="P180">
        <f>B180-'DLC Buildup Factors'!H179</f>
        <v>0</v>
      </c>
      <c r="Q180">
        <f>C180-'DLC Buildup Factors'!I179</f>
        <v>0</v>
      </c>
      <c r="R180">
        <f>D180-'DLC Buildup Factors'!J179</f>
        <v>0</v>
      </c>
      <c r="S180">
        <f>E180-'DLC Buildup Factors'!K179</f>
        <v>0</v>
      </c>
      <c r="T180">
        <f>F180-'DLC Buildup Factors'!L179</f>
        <v>0</v>
      </c>
      <c r="U180">
        <f>G180-'DLC Buildup Factors'!M179</f>
        <v>0</v>
      </c>
      <c r="V180">
        <f>H180-'DLC Buildup Factors'!N179</f>
        <v>0</v>
      </c>
      <c r="W180">
        <f>I180-'DLC Buildup Factors'!O179</f>
        <v>0</v>
      </c>
    </row>
    <row r="181" spans="1:23">
      <c r="A181" s="10">
        <v>3</v>
      </c>
      <c r="B181">
        <v>1.6839999999999999</v>
      </c>
      <c r="C181">
        <v>1.056</v>
      </c>
      <c r="D181">
        <v>-1.0999999999999999E-2</v>
      </c>
      <c r="E181">
        <v>10.47</v>
      </c>
      <c r="F181">
        <v>8.9999999999999998E-4</v>
      </c>
      <c r="G181" s="2">
        <v>5.0000000000000001E-3</v>
      </c>
      <c r="H181">
        <v>0.5</v>
      </c>
      <c r="I181" s="2">
        <v>2.14E-3</v>
      </c>
      <c r="K181" t="str">
        <f t="shared" si="18"/>
        <v xml:space="preserve">    - 3.000</v>
      </c>
      <c r="L181" t="str">
        <f t="shared" si="19"/>
        <v xml:space="preserve">    - [1.684, 1.056, -0.011, 10.47, 0.0009]</v>
      </c>
      <c r="O181">
        <f>A181-'DLC Buildup Factors'!G180</f>
        <v>0</v>
      </c>
      <c r="P181">
        <f>B181-'DLC Buildup Factors'!H180</f>
        <v>0</v>
      </c>
      <c r="Q181">
        <f>C181-'DLC Buildup Factors'!I180</f>
        <v>0</v>
      </c>
      <c r="R181">
        <f>D181-'DLC Buildup Factors'!J180</f>
        <v>0</v>
      </c>
      <c r="S181">
        <f>E181-'DLC Buildup Factors'!K180</f>
        <v>0</v>
      </c>
      <c r="T181">
        <f>F181-'DLC Buildup Factors'!L180</f>
        <v>0</v>
      </c>
      <c r="U181">
        <f>G181-'DLC Buildup Factors'!M180</f>
        <v>0</v>
      </c>
      <c r="V181">
        <f>H181-'DLC Buildup Factors'!N180</f>
        <v>0</v>
      </c>
      <c r="W181">
        <f>I181-'DLC Buildup Factors'!O180</f>
        <v>0</v>
      </c>
    </row>
    <row r="182" spans="1:23">
      <c r="A182" s="10">
        <v>4</v>
      </c>
      <c r="B182">
        <v>1.6060000000000001</v>
      </c>
      <c r="C182">
        <v>0.99199999999999999</v>
      </c>
      <c r="D182">
        <v>6.0000000000000001E-3</v>
      </c>
      <c r="E182">
        <v>12.86</v>
      </c>
      <c r="F182">
        <v>-8.8999999999999999E-3</v>
      </c>
      <c r="G182" s="2">
        <v>5.4000000000000003E-3</v>
      </c>
      <c r="H182">
        <v>3</v>
      </c>
      <c r="I182" s="2">
        <v>3.2599999999999999E-3</v>
      </c>
      <c r="K182" t="str">
        <f t="shared" si="18"/>
        <v xml:space="preserve">    - 4.000</v>
      </c>
      <c r="L182" t="str">
        <f t="shared" si="19"/>
        <v xml:space="preserve">    - [1.606, 0.992, 0.006, 12.86, -0.0089]</v>
      </c>
      <c r="O182">
        <f>A182-'DLC Buildup Factors'!G181</f>
        <v>0</v>
      </c>
      <c r="P182">
        <f>B182-'DLC Buildup Factors'!H181</f>
        <v>0</v>
      </c>
      <c r="Q182">
        <f>C182-'DLC Buildup Factors'!I181</f>
        <v>0</v>
      </c>
      <c r="R182">
        <f>D182-'DLC Buildup Factors'!J181</f>
        <v>0</v>
      </c>
      <c r="S182">
        <f>E182-'DLC Buildup Factors'!K181</f>
        <v>0</v>
      </c>
      <c r="T182">
        <f>F182-'DLC Buildup Factors'!L181</f>
        <v>0</v>
      </c>
      <c r="U182">
        <f>G182-'DLC Buildup Factors'!M181</f>
        <v>0</v>
      </c>
      <c r="V182">
        <f>H182-'DLC Buildup Factors'!N181</f>
        <v>0</v>
      </c>
      <c r="W182">
        <f>I182-'DLC Buildup Factors'!O181</f>
        <v>0</v>
      </c>
    </row>
    <row r="183" spans="1:23">
      <c r="A183" s="10">
        <v>5</v>
      </c>
      <c r="B183">
        <v>1.536</v>
      </c>
      <c r="C183">
        <v>0.95599999999999996</v>
      </c>
      <c r="D183">
        <v>1.6E-2</v>
      </c>
      <c r="E183">
        <v>15.2</v>
      </c>
      <c r="F183">
        <v>-2.0500000000000001E-2</v>
      </c>
      <c r="G183" s="2">
        <v>7.0000000000000001E-3</v>
      </c>
      <c r="H183">
        <v>25</v>
      </c>
      <c r="I183" s="2">
        <v>3.8300000000000001E-3</v>
      </c>
      <c r="K183" t="str">
        <f t="shared" si="18"/>
        <v xml:space="preserve">    - 5.000</v>
      </c>
      <c r="L183" t="str">
        <f t="shared" si="19"/>
        <v xml:space="preserve">    - [1.536, 0.956, 0.016, 15.20, -0.0205]</v>
      </c>
      <c r="O183">
        <f>A183-'DLC Buildup Factors'!G182</f>
        <v>0</v>
      </c>
      <c r="P183">
        <f>B183-'DLC Buildup Factors'!H182</f>
        <v>0</v>
      </c>
      <c r="Q183">
        <f>C183-'DLC Buildup Factors'!I182</f>
        <v>0</v>
      </c>
      <c r="R183">
        <f>D183-'DLC Buildup Factors'!J182</f>
        <v>0</v>
      </c>
      <c r="S183">
        <f>E183-'DLC Buildup Factors'!K182</f>
        <v>0</v>
      </c>
      <c r="T183">
        <f>F183-'DLC Buildup Factors'!L182</f>
        <v>0</v>
      </c>
      <c r="U183">
        <f>G183-'DLC Buildup Factors'!M182</f>
        <v>0</v>
      </c>
      <c r="V183">
        <f>H183-'DLC Buildup Factors'!N182</f>
        <v>0</v>
      </c>
      <c r="W183">
        <f>I183-'DLC Buildup Factors'!O182</f>
        <v>0</v>
      </c>
    </row>
    <row r="184" spans="1:23">
      <c r="A184" s="10">
        <v>6</v>
      </c>
      <c r="B184">
        <v>1.494</v>
      </c>
      <c r="C184">
        <v>0.91400000000000003</v>
      </c>
      <c r="D184">
        <v>3.1E-2</v>
      </c>
      <c r="E184">
        <v>11.38</v>
      </c>
      <c r="F184">
        <v>-2.47E-2</v>
      </c>
      <c r="G184" s="2">
        <v>5.4000000000000003E-3</v>
      </c>
      <c r="H184">
        <v>8</v>
      </c>
      <c r="I184" s="2">
        <v>3.4499999999999999E-3</v>
      </c>
      <c r="K184" t="str">
        <f t="shared" si="18"/>
        <v xml:space="preserve">    - 6.000</v>
      </c>
      <c r="L184" t="str">
        <f t="shared" si="19"/>
        <v xml:space="preserve">    - [1.494, 0.914, 0.031, 11.38, -0.0247]</v>
      </c>
      <c r="O184">
        <f>A184-'DLC Buildup Factors'!G183</f>
        <v>0</v>
      </c>
      <c r="P184">
        <f>B184-'DLC Buildup Factors'!H183</f>
        <v>0</v>
      </c>
      <c r="Q184">
        <f>C184-'DLC Buildup Factors'!I183</f>
        <v>0</v>
      </c>
      <c r="R184">
        <f>D184-'DLC Buildup Factors'!J183</f>
        <v>0</v>
      </c>
      <c r="S184">
        <f>E184-'DLC Buildup Factors'!K183</f>
        <v>0</v>
      </c>
      <c r="T184">
        <f>F184-'DLC Buildup Factors'!L183</f>
        <v>0</v>
      </c>
      <c r="U184">
        <f>G184-'DLC Buildup Factors'!M183</f>
        <v>0</v>
      </c>
      <c r="V184">
        <f>H184-'DLC Buildup Factors'!N183</f>
        <v>0</v>
      </c>
      <c r="W184">
        <f>I184-'DLC Buildup Factors'!O183</f>
        <v>0</v>
      </c>
    </row>
    <row r="185" spans="1:23">
      <c r="A185" s="10">
        <v>8</v>
      </c>
      <c r="B185">
        <v>1.4059999999999999</v>
      </c>
      <c r="C185">
        <v>0.90200000000000002</v>
      </c>
      <c r="D185">
        <v>3.3000000000000002E-2</v>
      </c>
      <c r="E185">
        <v>13.53</v>
      </c>
      <c r="F185">
        <v>-2.5999999999999999E-2</v>
      </c>
      <c r="G185" s="2">
        <v>9.9000000000000008E-3</v>
      </c>
      <c r="H185">
        <v>1</v>
      </c>
      <c r="I185" s="2">
        <v>6.5700000000000003E-3</v>
      </c>
      <c r="K185" t="str">
        <f t="shared" si="18"/>
        <v xml:space="preserve">    - 8.000</v>
      </c>
      <c r="L185" t="str">
        <f t="shared" si="19"/>
        <v xml:space="preserve">    - [1.406, 0.902, 0.033, 13.53, -0.0260]</v>
      </c>
      <c r="O185">
        <f>A185-'DLC Buildup Factors'!G184</f>
        <v>0</v>
      </c>
      <c r="P185">
        <f>B185-'DLC Buildup Factors'!H184</f>
        <v>0</v>
      </c>
      <c r="Q185">
        <f>C185-'DLC Buildup Factors'!I184</f>
        <v>0</v>
      </c>
      <c r="R185">
        <f>D185-'DLC Buildup Factors'!J184</f>
        <v>0</v>
      </c>
      <c r="S185">
        <f>E185-'DLC Buildup Factors'!K184</f>
        <v>0</v>
      </c>
      <c r="T185">
        <f>F185-'DLC Buildup Factors'!L184</f>
        <v>0</v>
      </c>
      <c r="U185">
        <f>G185-'DLC Buildup Factors'!M184</f>
        <v>0</v>
      </c>
      <c r="V185">
        <f>H185-'DLC Buildup Factors'!N184</f>
        <v>0</v>
      </c>
      <c r="W185">
        <f>I185-'DLC Buildup Factors'!O184</f>
        <v>0</v>
      </c>
    </row>
    <row r="186" spans="1:23">
      <c r="A186" s="10">
        <v>10</v>
      </c>
      <c r="B186">
        <v>1.347</v>
      </c>
      <c r="C186">
        <v>0.876</v>
      </c>
      <c r="D186">
        <v>4.2999999999999997E-2</v>
      </c>
      <c r="E186">
        <v>13.19</v>
      </c>
      <c r="F186">
        <v>-3.3500000000000002E-2</v>
      </c>
      <c r="G186" s="2">
        <v>1.6199999999999999E-2</v>
      </c>
      <c r="H186">
        <v>0.5</v>
      </c>
      <c r="I186" s="2">
        <v>7.3499999999999998E-3</v>
      </c>
      <c r="K186" t="str">
        <f t="shared" si="18"/>
        <v xml:space="preserve">    - 10.000</v>
      </c>
      <c r="L186" t="str">
        <f t="shared" si="19"/>
        <v xml:space="preserve">    - [1.347, 0.876, 0.043, 13.19, -0.0335]</v>
      </c>
      <c r="O186">
        <f>A186-'DLC Buildup Factors'!G185</f>
        <v>0</v>
      </c>
      <c r="P186">
        <f>B186-'DLC Buildup Factors'!H185</f>
        <v>0</v>
      </c>
      <c r="Q186">
        <f>C186-'DLC Buildup Factors'!I185</f>
        <v>0</v>
      </c>
      <c r="R186">
        <f>D186-'DLC Buildup Factors'!J185</f>
        <v>0</v>
      </c>
      <c r="S186">
        <f>E186-'DLC Buildup Factors'!K185</f>
        <v>0</v>
      </c>
      <c r="T186">
        <f>F186-'DLC Buildup Factors'!L185</f>
        <v>0</v>
      </c>
      <c r="U186">
        <f>G186-'DLC Buildup Factors'!M185</f>
        <v>0</v>
      </c>
      <c r="V186">
        <f>H186-'DLC Buildup Factors'!N185</f>
        <v>0</v>
      </c>
      <c r="W186">
        <f>I186-'DLC Buildup Factors'!O185</f>
        <v>0</v>
      </c>
    </row>
    <row r="187" spans="1:23">
      <c r="A187" s="10">
        <v>15</v>
      </c>
      <c r="B187">
        <v>1.2629999999999999</v>
      </c>
      <c r="C187">
        <v>0.82299999999999995</v>
      </c>
      <c r="D187">
        <v>6.4000000000000001E-2</v>
      </c>
      <c r="E187">
        <v>14.35</v>
      </c>
      <c r="F187">
        <v>-5.62E-2</v>
      </c>
      <c r="G187" s="2">
        <v>1.7899999999999999E-2</v>
      </c>
      <c r="H187">
        <v>3</v>
      </c>
      <c r="I187" s="2">
        <v>1.064E-2</v>
      </c>
      <c r="K187" t="str">
        <f t="shared" si="18"/>
        <v xml:space="preserve">    - 15.000</v>
      </c>
      <c r="L187" t="str">
        <f t="shared" si="19"/>
        <v xml:space="preserve">    - [1.263, 0.823, 0.064, 14.35, -0.0562]</v>
      </c>
      <c r="O187">
        <f>A187-'DLC Buildup Factors'!G186</f>
        <v>0</v>
      </c>
      <c r="P187">
        <f>B187-'DLC Buildup Factors'!H186</f>
        <v>0</v>
      </c>
      <c r="Q187">
        <f>C187-'DLC Buildup Factors'!I186</f>
        <v>0</v>
      </c>
      <c r="R187">
        <f>D187-'DLC Buildup Factors'!J186</f>
        <v>0</v>
      </c>
      <c r="S187">
        <f>E187-'DLC Buildup Factors'!K186</f>
        <v>0</v>
      </c>
      <c r="T187">
        <f>F187-'DLC Buildup Factors'!L186</f>
        <v>0</v>
      </c>
      <c r="U187">
        <f>G187-'DLC Buildup Factors'!M186</f>
        <v>0</v>
      </c>
      <c r="V187">
        <f>H187-'DLC Buildup Factors'!N186</f>
        <v>0</v>
      </c>
      <c r="W187">
        <f>I187-'DLC Buildup Factors'!O186</f>
        <v>0</v>
      </c>
    </row>
    <row r="188" spans="1:23">
      <c r="A188" s="10"/>
    </row>
    <row r="189" spans="1:23">
      <c r="A189" s="10" t="s">
        <v>1525</v>
      </c>
    </row>
    <row r="190" spans="1:23">
      <c r="A190" s="10" t="s">
        <v>1531</v>
      </c>
    </row>
    <row r="191" spans="1:23">
      <c r="A191" t="s">
        <v>0</v>
      </c>
      <c r="B191" t="s">
        <v>10</v>
      </c>
      <c r="C191" t="s">
        <v>11</v>
      </c>
      <c r="D191" t="s">
        <v>12</v>
      </c>
      <c r="E191" t="s">
        <v>15</v>
      </c>
      <c r="F191" t="s">
        <v>13</v>
      </c>
      <c r="G191" t="s">
        <v>16</v>
      </c>
      <c r="H191" t="s">
        <v>17</v>
      </c>
      <c r="I191" t="s">
        <v>14</v>
      </c>
    </row>
    <row r="192" spans="1:23">
      <c r="A192" s="10">
        <v>1.4999999999999999E-2</v>
      </c>
      <c r="B192">
        <v>1.0369999999999999</v>
      </c>
      <c r="C192">
        <v>0.40100000000000002</v>
      </c>
      <c r="D192">
        <v>0.21099999999999999</v>
      </c>
      <c r="E192">
        <v>13.33</v>
      </c>
      <c r="F192">
        <v>-0.13320000000000001</v>
      </c>
      <c r="G192" s="2">
        <v>6.4999999999999997E-3</v>
      </c>
      <c r="H192">
        <v>0.5</v>
      </c>
      <c r="I192" s="2">
        <v>3.3E-3</v>
      </c>
      <c r="K192" t="str">
        <f t="shared" ref="K192" si="20">CONCATENATE("    - ",TEXT(A192,"0.000"))</f>
        <v xml:space="preserve">    - 0.015</v>
      </c>
      <c r="L192" t="str">
        <f t="shared" ref="L192" si="21">CONCATENATE("    - [",TEXT(B192,"0.000"),", ",TEXT(C192,"0.000"),", ",TEXT(D192,"0.000"),", ",TEXT(E192,"0.00"),", ",TEXT(F192,"0.0000"),"]")</f>
        <v xml:space="preserve">    - [1.037, 0.401, 0.211, 13.33, -0.1332]</v>
      </c>
      <c r="O192">
        <f>A192-'DLC Buildup Factors'!G193</f>
        <v>0</v>
      </c>
      <c r="P192">
        <f>B192-'DLC Buildup Factors'!H193</f>
        <v>0</v>
      </c>
      <c r="Q192">
        <f>C192-'DLC Buildup Factors'!I193</f>
        <v>0</v>
      </c>
      <c r="R192">
        <f>D192-'DLC Buildup Factors'!J193</f>
        <v>0</v>
      </c>
      <c r="S192">
        <f>E192-'DLC Buildup Factors'!K193</f>
        <v>0</v>
      </c>
      <c r="T192">
        <f>F192-'DLC Buildup Factors'!L193</f>
        <v>0</v>
      </c>
      <c r="U192">
        <f>G192-'DLC Buildup Factors'!M193</f>
        <v>0</v>
      </c>
      <c r="V192">
        <f>H192-'DLC Buildup Factors'!N193</f>
        <v>0</v>
      </c>
      <c r="W192">
        <f>I192-'DLC Buildup Factors'!O193</f>
        <v>0</v>
      </c>
    </row>
    <row r="193" spans="1:23">
      <c r="A193" s="10">
        <v>0.02</v>
      </c>
      <c r="B193">
        <v>1.085</v>
      </c>
      <c r="C193">
        <v>0.439</v>
      </c>
      <c r="D193">
        <v>0.17799999999999999</v>
      </c>
      <c r="E193">
        <v>14.34</v>
      </c>
      <c r="F193">
        <v>-9.0999999999999998E-2</v>
      </c>
      <c r="G193" s="2">
        <v>7.1999999999999998E-3</v>
      </c>
      <c r="H193">
        <v>0.5</v>
      </c>
      <c r="I193" s="2">
        <v>3.79E-3</v>
      </c>
      <c r="K193" t="str">
        <f t="shared" ref="K193:K216" si="22">CONCATENATE("    - ",TEXT(A193,"0.000"))</f>
        <v xml:space="preserve">    - 0.020</v>
      </c>
      <c r="L193" t="str">
        <f t="shared" ref="L193:L216" si="23">CONCATENATE("    - [",TEXT(B193,"0.000"),", ",TEXT(C193,"0.000"),", ",TEXT(D193,"0.000"),", ",TEXT(E193,"0.00"),", ",TEXT(F193,"0.0000"),"]")</f>
        <v xml:space="preserve">    - [1.085, 0.439, 0.178, 14.34, -0.0910]</v>
      </c>
      <c r="O193">
        <f>A193-'DLC Buildup Factors'!G194</f>
        <v>0</v>
      </c>
      <c r="P193">
        <f>B193-'DLC Buildup Factors'!H194</f>
        <v>0</v>
      </c>
      <c r="Q193">
        <f>C193-'DLC Buildup Factors'!I194</f>
        <v>0</v>
      </c>
      <c r="R193">
        <f>D193-'DLC Buildup Factors'!J194</f>
        <v>0</v>
      </c>
      <c r="S193">
        <f>E193-'DLC Buildup Factors'!K194</f>
        <v>0</v>
      </c>
      <c r="T193">
        <f>F193-'DLC Buildup Factors'!L194</f>
        <v>0</v>
      </c>
      <c r="U193">
        <f>G193-'DLC Buildup Factors'!M194</f>
        <v>0</v>
      </c>
      <c r="V193">
        <f>H193-'DLC Buildup Factors'!N194</f>
        <v>0</v>
      </c>
      <c r="W193">
        <f>I193-'DLC Buildup Factors'!O194</f>
        <v>0</v>
      </c>
    </row>
    <row r="194" spans="1:23">
      <c r="A194" s="10">
        <v>0.03</v>
      </c>
      <c r="B194">
        <v>1.288</v>
      </c>
      <c r="C194">
        <v>0.44900000000000001</v>
      </c>
      <c r="D194">
        <v>0.189</v>
      </c>
      <c r="E194">
        <v>14.38</v>
      </c>
      <c r="F194">
        <v>-0.10199999999999999</v>
      </c>
      <c r="G194" s="2">
        <v>1.9199999999999998E-2</v>
      </c>
      <c r="H194">
        <v>0.5</v>
      </c>
      <c r="I194" s="2">
        <v>7.5599999999999999E-3</v>
      </c>
      <c r="J194" s="2"/>
      <c r="K194" t="str">
        <f t="shared" si="22"/>
        <v xml:space="preserve">    - 0.030</v>
      </c>
      <c r="L194" t="str">
        <f t="shared" si="23"/>
        <v xml:space="preserve">    - [1.288, 0.449, 0.189, 14.38, -0.1020]</v>
      </c>
      <c r="M194" s="2"/>
      <c r="N194" s="2"/>
      <c r="O194">
        <f>A194-'DLC Buildup Factors'!G195</f>
        <v>0</v>
      </c>
      <c r="P194">
        <f>B194-'DLC Buildup Factors'!H195</f>
        <v>0</v>
      </c>
      <c r="Q194">
        <f>C194-'DLC Buildup Factors'!I195</f>
        <v>0</v>
      </c>
      <c r="R194">
        <f>D194-'DLC Buildup Factors'!J195</f>
        <v>0</v>
      </c>
      <c r="S194">
        <f>E194-'DLC Buildup Factors'!K195</f>
        <v>0</v>
      </c>
      <c r="T194">
        <f>F194-'DLC Buildup Factors'!L195</f>
        <v>0</v>
      </c>
      <c r="U194">
        <f>G194-'DLC Buildup Factors'!M195</f>
        <v>0</v>
      </c>
      <c r="V194">
        <f>H194-'DLC Buildup Factors'!N195</f>
        <v>0</v>
      </c>
      <c r="W194">
        <f>I194-'DLC Buildup Factors'!O195</f>
        <v>0</v>
      </c>
    </row>
    <row r="195" spans="1:23">
      <c r="A195" s="10">
        <v>0.04</v>
      </c>
      <c r="B195">
        <v>1.617</v>
      </c>
      <c r="C195">
        <v>0.55700000000000005</v>
      </c>
      <c r="D195">
        <v>0.14299999999999999</v>
      </c>
      <c r="E195">
        <v>15.17</v>
      </c>
      <c r="F195">
        <v>-7.5700000000000003E-2</v>
      </c>
      <c r="G195" s="2">
        <v>1.3899999999999999E-2</v>
      </c>
      <c r="H195">
        <v>0.5</v>
      </c>
      <c r="I195" s="2">
        <v>6.3200000000000001E-3</v>
      </c>
      <c r="J195" s="2"/>
      <c r="K195" t="str">
        <f t="shared" si="22"/>
        <v xml:space="preserve">    - 0.040</v>
      </c>
      <c r="L195" t="str">
        <f t="shared" si="23"/>
        <v xml:space="preserve">    - [1.617, 0.557, 0.143, 15.17, -0.0757]</v>
      </c>
      <c r="M195" s="2"/>
      <c r="N195" s="2"/>
      <c r="O195">
        <f>A195-'DLC Buildup Factors'!G196</f>
        <v>0</v>
      </c>
      <c r="P195">
        <f>B195-'DLC Buildup Factors'!H196</f>
        <v>0</v>
      </c>
      <c r="Q195">
        <f>C195-'DLC Buildup Factors'!I196</f>
        <v>0</v>
      </c>
      <c r="R195">
        <f>D195-'DLC Buildup Factors'!J196</f>
        <v>0</v>
      </c>
      <c r="S195">
        <f>E195-'DLC Buildup Factors'!K196</f>
        <v>0</v>
      </c>
      <c r="T195">
        <f>F195-'DLC Buildup Factors'!L196</f>
        <v>0</v>
      </c>
      <c r="U195">
        <f>G195-'DLC Buildup Factors'!M196</f>
        <v>0</v>
      </c>
      <c r="V195">
        <f>H195-'DLC Buildup Factors'!N196</f>
        <v>0</v>
      </c>
      <c r="W195">
        <f>I195-'DLC Buildup Factors'!O196</f>
        <v>0</v>
      </c>
    </row>
    <row r="196" spans="1:23">
      <c r="A196" s="10">
        <v>0.05</v>
      </c>
      <c r="B196">
        <v>2.0990000000000002</v>
      </c>
      <c r="C196">
        <v>0.63300000000000001</v>
      </c>
      <c r="D196">
        <v>0.125</v>
      </c>
      <c r="E196">
        <v>14.15</v>
      </c>
      <c r="F196">
        <v>-6.5699999999999995E-2</v>
      </c>
      <c r="G196" s="2">
        <v>2.7699999999999999E-2</v>
      </c>
      <c r="H196">
        <v>0.5</v>
      </c>
      <c r="I196" s="2">
        <v>1.542E-2</v>
      </c>
      <c r="J196" s="2"/>
      <c r="K196" t="str">
        <f t="shared" si="22"/>
        <v xml:space="preserve">    - 0.050</v>
      </c>
      <c r="L196" t="str">
        <f t="shared" si="23"/>
        <v xml:space="preserve">    - [2.099, 0.633, 0.125, 14.15, -0.0657]</v>
      </c>
      <c r="M196" s="2"/>
      <c r="N196" s="2"/>
      <c r="O196">
        <f>A196-'DLC Buildup Factors'!G197</f>
        <v>0</v>
      </c>
      <c r="P196">
        <f>B196-'DLC Buildup Factors'!H197</f>
        <v>0</v>
      </c>
      <c r="Q196">
        <f>C196-'DLC Buildup Factors'!I197</f>
        <v>0</v>
      </c>
      <c r="R196">
        <f>D196-'DLC Buildup Factors'!J197</f>
        <v>0</v>
      </c>
      <c r="S196">
        <f>E196-'DLC Buildup Factors'!K197</f>
        <v>0</v>
      </c>
      <c r="T196">
        <f>F196-'DLC Buildup Factors'!L197</f>
        <v>0</v>
      </c>
      <c r="U196">
        <f>G196-'DLC Buildup Factors'!M197</f>
        <v>0</v>
      </c>
      <c r="V196">
        <f>H196-'DLC Buildup Factors'!N197</f>
        <v>0</v>
      </c>
      <c r="W196">
        <f>I196-'DLC Buildup Factors'!O197</f>
        <v>0</v>
      </c>
    </row>
    <row r="197" spans="1:23">
      <c r="A197" s="10">
        <v>0.06</v>
      </c>
      <c r="B197">
        <v>2.4670000000000001</v>
      </c>
      <c r="C197">
        <v>0.79400000000000004</v>
      </c>
      <c r="D197">
        <v>7.0999999999999994E-2</v>
      </c>
      <c r="E197">
        <v>14.91</v>
      </c>
      <c r="F197">
        <v>-5.6300000000000003E-2</v>
      </c>
      <c r="G197" s="2">
        <v>2.47E-2</v>
      </c>
      <c r="H197">
        <v>0.5</v>
      </c>
      <c r="I197" s="2">
        <v>1.0880000000000001E-2</v>
      </c>
      <c r="K197" t="str">
        <f t="shared" si="22"/>
        <v xml:space="preserve">    - 0.060</v>
      </c>
      <c r="L197" t="str">
        <f t="shared" si="23"/>
        <v xml:space="preserve">    - [2.467, 0.794, 0.071, 14.91, -0.0563]</v>
      </c>
      <c r="O197">
        <f>A197-'DLC Buildup Factors'!G198</f>
        <v>0</v>
      </c>
      <c r="P197">
        <f>B197-'DLC Buildup Factors'!H198</f>
        <v>0</v>
      </c>
      <c r="Q197">
        <f>C197-'DLC Buildup Factors'!I198</f>
        <v>0</v>
      </c>
      <c r="R197">
        <f>D197-'DLC Buildup Factors'!J198</f>
        <v>0</v>
      </c>
      <c r="S197">
        <f>E197-'DLC Buildup Factors'!K198</f>
        <v>0</v>
      </c>
      <c r="T197">
        <f>F197-'DLC Buildup Factors'!L198</f>
        <v>0</v>
      </c>
      <c r="U197">
        <f>G197-'DLC Buildup Factors'!M198</f>
        <v>0</v>
      </c>
      <c r="V197">
        <f>H197-'DLC Buildup Factors'!N198</f>
        <v>0</v>
      </c>
      <c r="W197">
        <f>I197-'DLC Buildup Factors'!O198</f>
        <v>0</v>
      </c>
    </row>
    <row r="198" spans="1:23">
      <c r="A198" s="10">
        <v>0.08</v>
      </c>
      <c r="B198">
        <v>2.95</v>
      </c>
      <c r="C198">
        <v>1.0389999999999999</v>
      </c>
      <c r="D198">
        <v>5.0000000000000001E-3</v>
      </c>
      <c r="E198">
        <v>13.7</v>
      </c>
      <c r="F198">
        <v>-2.01E-2</v>
      </c>
      <c r="G198" s="2">
        <v>7.1999999999999998E-3</v>
      </c>
      <c r="H198">
        <v>10</v>
      </c>
      <c r="I198" s="2">
        <v>4.5399999999999998E-3</v>
      </c>
      <c r="K198" t="str">
        <f t="shared" si="22"/>
        <v xml:space="preserve">    - 0.080</v>
      </c>
      <c r="L198" t="str">
        <f t="shared" si="23"/>
        <v xml:space="preserve">    - [2.950, 1.039, 0.005, 13.70, -0.0201]</v>
      </c>
      <c r="O198">
        <f>A198-'DLC Buildup Factors'!G199</f>
        <v>0</v>
      </c>
      <c r="P198">
        <f>B198-'DLC Buildup Factors'!H199</f>
        <v>0</v>
      </c>
      <c r="Q198">
        <f>C198-'DLC Buildup Factors'!I199</f>
        <v>0</v>
      </c>
      <c r="R198">
        <f>D198-'DLC Buildup Factors'!J199</f>
        <v>0</v>
      </c>
      <c r="S198">
        <f>E198-'DLC Buildup Factors'!K199</f>
        <v>0</v>
      </c>
      <c r="T198">
        <f>F198-'DLC Buildup Factors'!L199</f>
        <v>0</v>
      </c>
      <c r="U198">
        <f>G198-'DLC Buildup Factors'!M199</f>
        <v>0</v>
      </c>
      <c r="V198">
        <f>H198-'DLC Buildup Factors'!N199</f>
        <v>0</v>
      </c>
      <c r="W198">
        <f>I198-'DLC Buildup Factors'!O199</f>
        <v>0</v>
      </c>
    </row>
    <row r="199" spans="1:23">
      <c r="A199" s="10">
        <v>0.1</v>
      </c>
      <c r="B199">
        <v>3.1019999999999999</v>
      </c>
      <c r="C199">
        <v>1.2290000000000001</v>
      </c>
      <c r="D199">
        <v>-3.5000000000000003E-2</v>
      </c>
      <c r="E199">
        <v>12.29</v>
      </c>
      <c r="F199">
        <v>-3.7000000000000002E-3</v>
      </c>
      <c r="G199" s="2">
        <v>4.8999999999999998E-3</v>
      </c>
      <c r="H199">
        <v>6</v>
      </c>
      <c r="I199" s="2">
        <v>2.0200000000000001E-3</v>
      </c>
      <c r="J199" s="2"/>
      <c r="K199" t="str">
        <f t="shared" si="22"/>
        <v xml:space="preserve">    - 0.100</v>
      </c>
      <c r="L199" t="str">
        <f t="shared" si="23"/>
        <v xml:space="preserve">    - [3.102, 1.229, -0.035, 12.29, -0.0037]</v>
      </c>
      <c r="M199" s="2"/>
      <c r="N199" s="2"/>
      <c r="O199">
        <f>A199-'DLC Buildup Factors'!G200</f>
        <v>0</v>
      </c>
      <c r="P199">
        <f>B199-'DLC Buildup Factors'!H200</f>
        <v>0</v>
      </c>
      <c r="Q199">
        <f>C199-'DLC Buildup Factors'!I200</f>
        <v>0</v>
      </c>
      <c r="R199">
        <f>D199-'DLC Buildup Factors'!J200</f>
        <v>0</v>
      </c>
      <c r="S199">
        <f>E199-'DLC Buildup Factors'!K200</f>
        <v>0</v>
      </c>
      <c r="T199">
        <f>F199-'DLC Buildup Factors'!L200</f>
        <v>0</v>
      </c>
      <c r="U199">
        <f>G199-'DLC Buildup Factors'!M200</f>
        <v>0</v>
      </c>
      <c r="V199">
        <f>H199-'DLC Buildup Factors'!N200</f>
        <v>0</v>
      </c>
      <c r="W199">
        <f>I199-'DLC Buildup Factors'!O200</f>
        <v>0</v>
      </c>
    </row>
    <row r="200" spans="1:23">
      <c r="A200" s="10">
        <v>0.15</v>
      </c>
      <c r="B200">
        <v>3.032</v>
      </c>
      <c r="C200">
        <v>1.454</v>
      </c>
      <c r="D200">
        <v>-7.4999999999999997E-2</v>
      </c>
      <c r="E200">
        <v>15.08</v>
      </c>
      <c r="F200">
        <v>1.38E-2</v>
      </c>
      <c r="G200" s="2">
        <v>7.3000000000000001E-3</v>
      </c>
      <c r="H200">
        <v>1</v>
      </c>
      <c r="I200" s="2">
        <v>3.14E-3</v>
      </c>
      <c r="K200" t="str">
        <f t="shared" si="22"/>
        <v xml:space="preserve">    - 0.150</v>
      </c>
      <c r="L200" t="str">
        <f t="shared" si="23"/>
        <v xml:space="preserve">    - [3.032, 1.454, -0.075, 15.08, 0.0138]</v>
      </c>
      <c r="O200">
        <f>A200-'DLC Buildup Factors'!G201</f>
        <v>0</v>
      </c>
      <c r="P200">
        <f>B200-'DLC Buildup Factors'!H201</f>
        <v>0</v>
      </c>
      <c r="Q200">
        <f>C200-'DLC Buildup Factors'!I201</f>
        <v>0</v>
      </c>
      <c r="R200">
        <f>D200-'DLC Buildup Factors'!J201</f>
        <v>0</v>
      </c>
      <c r="S200">
        <f>E200-'DLC Buildup Factors'!K201</f>
        <v>0</v>
      </c>
      <c r="T200">
        <f>F200-'DLC Buildup Factors'!L201</f>
        <v>0</v>
      </c>
      <c r="U200">
        <f>G200-'DLC Buildup Factors'!M201</f>
        <v>0</v>
      </c>
      <c r="V200">
        <f>H200-'DLC Buildup Factors'!N201</f>
        <v>0</v>
      </c>
      <c r="W200">
        <f>I200-'DLC Buildup Factors'!O201</f>
        <v>0</v>
      </c>
    </row>
    <row r="201" spans="1:23">
      <c r="A201" s="10">
        <v>0.2</v>
      </c>
      <c r="B201">
        <v>2.8559999999999999</v>
      </c>
      <c r="C201">
        <v>1.5369999999999999</v>
      </c>
      <c r="D201">
        <v>-8.7999999999999995E-2</v>
      </c>
      <c r="E201">
        <v>15.99</v>
      </c>
      <c r="F201">
        <v>0.02</v>
      </c>
      <c r="G201" s="2">
        <v>7.7999999999999996E-3</v>
      </c>
      <c r="H201">
        <v>4</v>
      </c>
      <c r="I201" s="2">
        <v>4.1099999999999999E-3</v>
      </c>
      <c r="K201" t="str">
        <f t="shared" si="22"/>
        <v xml:space="preserve">    - 0.200</v>
      </c>
      <c r="L201" t="str">
        <f t="shared" si="23"/>
        <v xml:space="preserve">    - [2.856, 1.537, -0.088, 15.99, 0.0200]</v>
      </c>
      <c r="O201">
        <f>A201-'DLC Buildup Factors'!G202</f>
        <v>0</v>
      </c>
      <c r="P201">
        <f>B201-'DLC Buildup Factors'!H202</f>
        <v>0</v>
      </c>
      <c r="Q201">
        <f>C201-'DLC Buildup Factors'!I202</f>
        <v>0</v>
      </c>
      <c r="R201">
        <f>D201-'DLC Buildup Factors'!J202</f>
        <v>0</v>
      </c>
      <c r="S201">
        <f>E201-'DLC Buildup Factors'!K202</f>
        <v>0</v>
      </c>
      <c r="T201">
        <f>F201-'DLC Buildup Factors'!L202</f>
        <v>0</v>
      </c>
      <c r="U201">
        <f>G201-'DLC Buildup Factors'!M202</f>
        <v>0</v>
      </c>
      <c r="V201">
        <f>H201-'DLC Buildup Factors'!N202</f>
        <v>0</v>
      </c>
      <c r="W201">
        <f>I201-'DLC Buildup Factors'!O202</f>
        <v>0</v>
      </c>
    </row>
    <row r="202" spans="1:23">
      <c r="A202" s="10">
        <v>0.3</v>
      </c>
      <c r="B202">
        <v>2.5990000000000002</v>
      </c>
      <c r="C202">
        <v>1.5640000000000001</v>
      </c>
      <c r="D202">
        <v>-9.4E-2</v>
      </c>
      <c r="E202">
        <v>15.96</v>
      </c>
      <c r="F202">
        <v>2.2800000000000001E-2</v>
      </c>
      <c r="G202" s="2">
        <v>8.8999999999999999E-3</v>
      </c>
      <c r="H202">
        <v>15</v>
      </c>
      <c r="I202" s="2">
        <v>3.7299999999999998E-3</v>
      </c>
      <c r="K202" t="str">
        <f t="shared" si="22"/>
        <v xml:space="preserve">    - 0.300</v>
      </c>
      <c r="L202" t="str">
        <f t="shared" si="23"/>
        <v xml:space="preserve">    - [2.599, 1.564, -0.094, 15.96, 0.0228]</v>
      </c>
      <c r="O202">
        <f>A202-'DLC Buildup Factors'!G203</f>
        <v>0</v>
      </c>
      <c r="P202">
        <f>B202-'DLC Buildup Factors'!H203</f>
        <v>0</v>
      </c>
      <c r="Q202">
        <f>C202-'DLC Buildup Factors'!I203</f>
        <v>0</v>
      </c>
      <c r="R202">
        <f>D202-'DLC Buildup Factors'!J203</f>
        <v>0</v>
      </c>
      <c r="S202">
        <f>E202-'DLC Buildup Factors'!K203</f>
        <v>0</v>
      </c>
      <c r="T202">
        <f>F202-'DLC Buildup Factors'!L203</f>
        <v>0</v>
      </c>
      <c r="U202">
        <f>G202-'DLC Buildup Factors'!M203</f>
        <v>0</v>
      </c>
      <c r="V202">
        <f>H202-'DLC Buildup Factors'!N203</f>
        <v>0</v>
      </c>
      <c r="W202">
        <f>I202-'DLC Buildup Factors'!O203</f>
        <v>0</v>
      </c>
    </row>
    <row r="203" spans="1:23">
      <c r="A203" s="10">
        <v>0.4</v>
      </c>
      <c r="B203">
        <v>2.4369999999999998</v>
      </c>
      <c r="C203">
        <v>1.5409999999999999</v>
      </c>
      <c r="D203">
        <v>-9.2999999999999999E-2</v>
      </c>
      <c r="E203">
        <v>15.45</v>
      </c>
      <c r="F203">
        <v>2.3599999999999999E-2</v>
      </c>
      <c r="G203" s="2">
        <v>7.0000000000000001E-3</v>
      </c>
      <c r="H203">
        <v>1</v>
      </c>
      <c r="I203" s="2">
        <v>3.32E-3</v>
      </c>
      <c r="K203" t="str">
        <f t="shared" si="22"/>
        <v xml:space="preserve">    - 0.400</v>
      </c>
      <c r="L203" t="str">
        <f t="shared" si="23"/>
        <v xml:space="preserve">    - [2.437, 1.541, -0.093, 15.45, 0.0236]</v>
      </c>
      <c r="O203">
        <f>A203-'DLC Buildup Factors'!G204</f>
        <v>0</v>
      </c>
      <c r="P203">
        <f>B203-'DLC Buildup Factors'!H204</f>
        <v>0</v>
      </c>
      <c r="Q203">
        <f>C203-'DLC Buildup Factors'!I204</f>
        <v>0</v>
      </c>
      <c r="R203">
        <f>D203-'DLC Buildup Factors'!J204</f>
        <v>0</v>
      </c>
      <c r="S203">
        <f>E203-'DLC Buildup Factors'!K204</f>
        <v>0</v>
      </c>
      <c r="T203">
        <f>F203-'DLC Buildup Factors'!L204</f>
        <v>0</v>
      </c>
      <c r="U203">
        <f>G203-'DLC Buildup Factors'!M204</f>
        <v>0</v>
      </c>
      <c r="V203">
        <f>H203-'DLC Buildup Factors'!N204</f>
        <v>0</v>
      </c>
      <c r="W203">
        <f>I203-'DLC Buildup Factors'!O204</f>
        <v>0</v>
      </c>
    </row>
    <row r="204" spans="1:23">
      <c r="A204" s="10">
        <v>0.5</v>
      </c>
      <c r="B204">
        <v>2.3149999999999999</v>
      </c>
      <c r="C204">
        <v>1.5049999999999999</v>
      </c>
      <c r="D204">
        <v>-8.8999999999999996E-2</v>
      </c>
      <c r="E204">
        <v>16</v>
      </c>
      <c r="F204">
        <v>2.3599999999999999E-2</v>
      </c>
      <c r="G204" s="2">
        <v>6.4000000000000003E-3</v>
      </c>
      <c r="H204">
        <v>15</v>
      </c>
      <c r="I204" s="2">
        <v>2.8400000000000001E-3</v>
      </c>
      <c r="K204" t="str">
        <f t="shared" si="22"/>
        <v xml:space="preserve">    - 0.500</v>
      </c>
      <c r="L204" t="str">
        <f t="shared" si="23"/>
        <v xml:space="preserve">    - [2.315, 1.505, -0.089, 16.00, 0.0236]</v>
      </c>
      <c r="O204">
        <f>A204-'DLC Buildup Factors'!G205</f>
        <v>0</v>
      </c>
      <c r="P204">
        <f>B204-'DLC Buildup Factors'!H205</f>
        <v>0</v>
      </c>
      <c r="Q204">
        <f>C204-'DLC Buildup Factors'!I205</f>
        <v>0</v>
      </c>
      <c r="R204">
        <f>D204-'DLC Buildup Factors'!J205</f>
        <v>0</v>
      </c>
      <c r="S204">
        <f>E204-'DLC Buildup Factors'!K205</f>
        <v>0</v>
      </c>
      <c r="T204">
        <f>F204-'DLC Buildup Factors'!L205</f>
        <v>0</v>
      </c>
      <c r="U204">
        <f>G204-'DLC Buildup Factors'!M205</f>
        <v>0</v>
      </c>
      <c r="V204">
        <f>H204-'DLC Buildup Factors'!N205</f>
        <v>0</v>
      </c>
      <c r="W204">
        <f>I204-'DLC Buildup Factors'!O205</f>
        <v>0</v>
      </c>
    </row>
    <row r="205" spans="1:23">
      <c r="A205" s="10">
        <v>0.6</v>
      </c>
      <c r="B205">
        <v>2.2210000000000001</v>
      </c>
      <c r="C205">
        <v>1.4730000000000001</v>
      </c>
      <c r="D205">
        <v>-8.5999999999999993E-2</v>
      </c>
      <c r="E205">
        <v>15.28</v>
      </c>
      <c r="F205">
        <v>2.46E-2</v>
      </c>
      <c r="G205" s="2">
        <v>6.8999999999999999E-3</v>
      </c>
      <c r="H205">
        <v>35</v>
      </c>
      <c r="I205" s="2">
        <v>2.9099999999999998E-3</v>
      </c>
      <c r="K205" t="str">
        <f t="shared" si="22"/>
        <v xml:space="preserve">    - 0.600</v>
      </c>
      <c r="L205" t="str">
        <f t="shared" si="23"/>
        <v xml:space="preserve">    - [2.221, 1.473, -0.086, 15.28, 0.0246]</v>
      </c>
      <c r="O205">
        <f>A205-'DLC Buildup Factors'!G206</f>
        <v>0</v>
      </c>
      <c r="P205">
        <f>B205-'DLC Buildup Factors'!H206</f>
        <v>0</v>
      </c>
      <c r="Q205">
        <f>C205-'DLC Buildup Factors'!I206</f>
        <v>0</v>
      </c>
      <c r="R205">
        <f>D205-'DLC Buildup Factors'!J206</f>
        <v>0</v>
      </c>
      <c r="S205">
        <f>E205-'DLC Buildup Factors'!K206</f>
        <v>0</v>
      </c>
      <c r="T205">
        <f>F205-'DLC Buildup Factors'!L206</f>
        <v>0</v>
      </c>
      <c r="U205">
        <f>G205-'DLC Buildup Factors'!M206</f>
        <v>0</v>
      </c>
      <c r="V205">
        <f>H205-'DLC Buildup Factors'!N206</f>
        <v>0</v>
      </c>
      <c r="W205">
        <f>I205-'DLC Buildup Factors'!O206</f>
        <v>0</v>
      </c>
    </row>
    <row r="206" spans="1:23">
      <c r="A206" s="10">
        <v>0.8</v>
      </c>
      <c r="B206">
        <v>2.1</v>
      </c>
      <c r="C206">
        <v>1.401</v>
      </c>
      <c r="D206">
        <v>-7.5999999999999998E-2</v>
      </c>
      <c r="E206">
        <v>15.64</v>
      </c>
      <c r="F206">
        <v>2.3300000000000001E-2</v>
      </c>
      <c r="G206" s="2">
        <v>4.7999999999999996E-3</v>
      </c>
      <c r="H206">
        <v>1</v>
      </c>
      <c r="I206" s="2">
        <v>2.47E-3</v>
      </c>
      <c r="K206" t="str">
        <f t="shared" si="22"/>
        <v xml:space="preserve">    - 0.800</v>
      </c>
      <c r="L206" t="str">
        <f t="shared" si="23"/>
        <v xml:space="preserve">    - [2.100, 1.401, -0.076, 15.64, 0.0233]</v>
      </c>
      <c r="O206">
        <f>A206-'DLC Buildup Factors'!G207</f>
        <v>0</v>
      </c>
      <c r="P206">
        <f>B206-'DLC Buildup Factors'!H207</f>
        <v>0</v>
      </c>
      <c r="Q206">
        <f>C206-'DLC Buildup Factors'!I207</f>
        <v>0</v>
      </c>
      <c r="R206">
        <f>D206-'DLC Buildup Factors'!J207</f>
        <v>0</v>
      </c>
      <c r="S206">
        <f>E206-'DLC Buildup Factors'!K207</f>
        <v>0</v>
      </c>
      <c r="T206">
        <f>F206-'DLC Buildup Factors'!L207</f>
        <v>0</v>
      </c>
      <c r="U206">
        <f>G206-'DLC Buildup Factors'!M207</f>
        <v>0</v>
      </c>
      <c r="V206">
        <f>H206-'DLC Buildup Factors'!N207</f>
        <v>0</v>
      </c>
      <c r="W206">
        <f>I206-'DLC Buildup Factors'!O207</f>
        <v>0</v>
      </c>
    </row>
    <row r="207" spans="1:23">
      <c r="A207" s="10">
        <v>1</v>
      </c>
      <c r="B207">
        <v>2.004</v>
      </c>
      <c r="C207">
        <v>1.35</v>
      </c>
      <c r="D207">
        <v>-6.9000000000000006E-2</v>
      </c>
      <c r="E207">
        <v>15.69</v>
      </c>
      <c r="F207">
        <v>2.35E-2</v>
      </c>
      <c r="G207" s="2">
        <v>7.0000000000000001E-3</v>
      </c>
      <c r="H207">
        <v>15</v>
      </c>
      <c r="I207" s="2">
        <v>3.3E-3</v>
      </c>
      <c r="K207" t="str">
        <f t="shared" si="22"/>
        <v xml:space="preserve">    - 1.000</v>
      </c>
      <c r="L207" t="str">
        <f t="shared" si="23"/>
        <v xml:space="preserve">    - [2.004, 1.350, -0.069, 15.69, 0.0235]</v>
      </c>
      <c r="O207">
        <f>A207-'DLC Buildup Factors'!G208</f>
        <v>0</v>
      </c>
      <c r="P207">
        <f>B207-'DLC Buildup Factors'!H208</f>
        <v>0</v>
      </c>
      <c r="Q207">
        <f>C207-'DLC Buildup Factors'!I208</f>
        <v>0</v>
      </c>
      <c r="R207">
        <f>D207-'DLC Buildup Factors'!J208</f>
        <v>0</v>
      </c>
      <c r="S207">
        <f>E207-'DLC Buildup Factors'!K208</f>
        <v>0</v>
      </c>
      <c r="T207">
        <f>F207-'DLC Buildup Factors'!L208</f>
        <v>0</v>
      </c>
      <c r="U207">
        <f>G207-'DLC Buildup Factors'!M208</f>
        <v>0</v>
      </c>
      <c r="V207">
        <f>H207-'DLC Buildup Factors'!N208</f>
        <v>0</v>
      </c>
      <c r="W207">
        <f>I207-'DLC Buildup Factors'!O208</f>
        <v>0</v>
      </c>
    </row>
    <row r="208" spans="1:23">
      <c r="A208" s="10">
        <v>1.5</v>
      </c>
      <c r="B208">
        <v>1.867</v>
      </c>
      <c r="C208">
        <v>1.2330000000000001</v>
      </c>
      <c r="D208">
        <v>-4.9000000000000002E-2</v>
      </c>
      <c r="E208">
        <v>14.52</v>
      </c>
      <c r="F208">
        <v>1.6799999999999999E-2</v>
      </c>
      <c r="G208" s="2">
        <v>5.1000000000000004E-3</v>
      </c>
      <c r="H208">
        <v>0.5</v>
      </c>
      <c r="I208" s="2">
        <v>2.9199999999999999E-3</v>
      </c>
      <c r="K208" t="str">
        <f t="shared" si="22"/>
        <v xml:space="preserve">    - 1.500</v>
      </c>
      <c r="L208" t="str">
        <f t="shared" si="23"/>
        <v xml:space="preserve">    - [1.867, 1.233, -0.049, 14.52, 0.0168]</v>
      </c>
      <c r="O208">
        <f>A208-'DLC Buildup Factors'!G209</f>
        <v>0</v>
      </c>
      <c r="P208">
        <f>B208-'DLC Buildup Factors'!H209</f>
        <v>0</v>
      </c>
      <c r="Q208">
        <f>C208-'DLC Buildup Factors'!I209</f>
        <v>0</v>
      </c>
      <c r="R208">
        <f>D208-'DLC Buildup Factors'!J209</f>
        <v>0</v>
      </c>
      <c r="S208">
        <f>E208-'DLC Buildup Factors'!K209</f>
        <v>0</v>
      </c>
      <c r="T208">
        <f>F208-'DLC Buildup Factors'!L209</f>
        <v>0</v>
      </c>
      <c r="U208">
        <f>G208-'DLC Buildup Factors'!M209</f>
        <v>0</v>
      </c>
      <c r="V208">
        <f>H208-'DLC Buildup Factors'!N209</f>
        <v>0</v>
      </c>
      <c r="W208">
        <f>I208-'DLC Buildup Factors'!O209</f>
        <v>0</v>
      </c>
    </row>
    <row r="209" spans="1:23">
      <c r="A209" s="10">
        <v>2</v>
      </c>
      <c r="B209">
        <v>1.7869999999999999</v>
      </c>
      <c r="C209">
        <v>1.155</v>
      </c>
      <c r="D209">
        <v>-3.3000000000000002E-2</v>
      </c>
      <c r="E209">
        <v>16.11</v>
      </c>
      <c r="F209">
        <v>1.0800000000000001E-2</v>
      </c>
      <c r="G209" s="2">
        <v>5.1999999999999998E-3</v>
      </c>
      <c r="H209">
        <v>0.5</v>
      </c>
      <c r="I209" s="2">
        <v>2.48E-3</v>
      </c>
      <c r="K209" t="str">
        <f t="shared" si="22"/>
        <v xml:space="preserve">    - 2.000</v>
      </c>
      <c r="L209" t="str">
        <f t="shared" si="23"/>
        <v xml:space="preserve">    - [1.787, 1.155, -0.033, 16.11, 0.0108]</v>
      </c>
      <c r="O209">
        <f>A209-'DLC Buildup Factors'!G210</f>
        <v>0</v>
      </c>
      <c r="P209">
        <f>B209-'DLC Buildup Factors'!H210</f>
        <v>0</v>
      </c>
      <c r="Q209">
        <f>C209-'DLC Buildup Factors'!I210</f>
        <v>0</v>
      </c>
      <c r="R209">
        <f>D209-'DLC Buildup Factors'!J210</f>
        <v>0</v>
      </c>
      <c r="S209">
        <f>E209-'DLC Buildup Factors'!K210</f>
        <v>0</v>
      </c>
      <c r="T209">
        <f>F209-'DLC Buildup Factors'!L210</f>
        <v>0</v>
      </c>
      <c r="U209">
        <f>G209-'DLC Buildup Factors'!M210</f>
        <v>0</v>
      </c>
      <c r="V209">
        <f>H209-'DLC Buildup Factors'!N210</f>
        <v>0</v>
      </c>
      <c r="W209">
        <f>I209-'DLC Buildup Factors'!O210</f>
        <v>0</v>
      </c>
    </row>
    <row r="210" spans="1:23">
      <c r="A210" s="10">
        <v>3</v>
      </c>
      <c r="B210">
        <v>1.6739999999999999</v>
      </c>
      <c r="C210">
        <v>1.0640000000000001</v>
      </c>
      <c r="D210">
        <v>-1.2999999999999999E-2</v>
      </c>
      <c r="E210">
        <v>16.489999999999998</v>
      </c>
      <c r="F210">
        <v>2.2000000000000001E-3</v>
      </c>
      <c r="G210" s="2">
        <v>3.5999999999999999E-3</v>
      </c>
      <c r="H210">
        <v>1</v>
      </c>
      <c r="I210" s="2">
        <v>1.5E-3</v>
      </c>
      <c r="J210" s="15" t="s">
        <v>1550</v>
      </c>
      <c r="K210" t="str">
        <f t="shared" si="22"/>
        <v xml:space="preserve">    - 3.000</v>
      </c>
      <c r="L210" t="str">
        <f t="shared" si="23"/>
        <v xml:space="preserve">    - [1.674, 1.064, -0.013, 16.49, 0.0022]</v>
      </c>
      <c r="M210" s="25"/>
      <c r="N210" s="25"/>
      <c r="O210">
        <f>A210-'DLC Buildup Factors'!G211</f>
        <v>0</v>
      </c>
      <c r="P210">
        <f>B210-'DLC Buildup Factors'!H211</f>
        <v>0</v>
      </c>
      <c r="Q210">
        <f>C210-'DLC Buildup Factors'!I211</f>
        <v>0</v>
      </c>
      <c r="R210">
        <f>D210-'DLC Buildup Factors'!J211</f>
        <v>0</v>
      </c>
      <c r="S210">
        <f>E210-'DLC Buildup Factors'!K211</f>
        <v>0</v>
      </c>
      <c r="T210">
        <f>F210-'DLC Buildup Factors'!L211</f>
        <v>0</v>
      </c>
      <c r="U210">
        <f>G210-'DLC Buildup Factors'!M211</f>
        <v>0</v>
      </c>
      <c r="V210">
        <f>H210-'DLC Buildup Factors'!N211</f>
        <v>0</v>
      </c>
      <c r="W210">
        <f>I210-'DLC Buildup Factors'!O211</f>
        <v>0</v>
      </c>
    </row>
    <row r="211" spans="1:23">
      <c r="A211" s="10">
        <v>4</v>
      </c>
      <c r="B211">
        <v>1.5980000000000001</v>
      </c>
      <c r="C211">
        <v>0.997</v>
      </c>
      <c r="D211">
        <v>5.0000000000000001E-3</v>
      </c>
      <c r="E211">
        <v>13.02</v>
      </c>
      <c r="F211">
        <v>-9.1000000000000004E-3</v>
      </c>
      <c r="G211" s="2">
        <v>8.0000000000000002E-3</v>
      </c>
      <c r="H211">
        <v>0.5</v>
      </c>
      <c r="I211" s="2">
        <v>3.82E-3</v>
      </c>
      <c r="K211" t="str">
        <f t="shared" si="22"/>
        <v xml:space="preserve">    - 4.000</v>
      </c>
      <c r="L211" t="str">
        <f t="shared" si="23"/>
        <v xml:space="preserve">    - [1.598, 0.997, 0.005, 13.02, -0.0091]</v>
      </c>
      <c r="O211">
        <f>A211-'DLC Buildup Factors'!G212</f>
        <v>0</v>
      </c>
      <c r="P211">
        <f>B211-'DLC Buildup Factors'!H212</f>
        <v>0</v>
      </c>
      <c r="Q211">
        <f>C211-'DLC Buildup Factors'!I212</f>
        <v>0</v>
      </c>
      <c r="R211">
        <f>D211-'DLC Buildup Factors'!J212</f>
        <v>0</v>
      </c>
      <c r="S211">
        <f>E211-'DLC Buildup Factors'!K212</f>
        <v>0</v>
      </c>
      <c r="T211">
        <f>F211-'DLC Buildup Factors'!L212</f>
        <v>0</v>
      </c>
      <c r="U211">
        <f>G211-'DLC Buildup Factors'!M212</f>
        <v>0</v>
      </c>
      <c r="V211">
        <f>H211-'DLC Buildup Factors'!N212</f>
        <v>0</v>
      </c>
      <c r="W211">
        <f>I211-'DLC Buildup Factors'!O212</f>
        <v>0</v>
      </c>
    </row>
    <row r="212" spans="1:23">
      <c r="A212" s="10">
        <v>5</v>
      </c>
      <c r="B212">
        <v>1.538</v>
      </c>
      <c r="C212">
        <v>0.94099999999999995</v>
      </c>
      <c r="D212">
        <v>2.4E-2</v>
      </c>
      <c r="E212">
        <v>10.17</v>
      </c>
      <c r="F212">
        <v>-2.1600000000000001E-2</v>
      </c>
      <c r="G212" s="2">
        <v>5.1000000000000004E-3</v>
      </c>
      <c r="H212">
        <v>30</v>
      </c>
      <c r="I212" s="2">
        <v>3.3800000000000002E-3</v>
      </c>
      <c r="K212" t="str">
        <f t="shared" si="22"/>
        <v xml:space="preserve">    - 5.000</v>
      </c>
      <c r="L212" t="str">
        <f t="shared" si="23"/>
        <v xml:space="preserve">    - [1.538, 0.941, 0.024, 10.17, -0.0216]</v>
      </c>
      <c r="O212">
        <f>A212-'DLC Buildup Factors'!G213</f>
        <v>0</v>
      </c>
      <c r="P212">
        <f>B212-'DLC Buildup Factors'!H213</f>
        <v>0</v>
      </c>
      <c r="Q212">
        <f>C212-'DLC Buildup Factors'!I213</f>
        <v>0</v>
      </c>
      <c r="R212">
        <f>D212-'DLC Buildup Factors'!J213</f>
        <v>0</v>
      </c>
      <c r="S212">
        <f>E212-'DLC Buildup Factors'!K213</f>
        <v>0</v>
      </c>
      <c r="T212">
        <f>F212-'DLC Buildup Factors'!L213</f>
        <v>0</v>
      </c>
      <c r="U212">
        <f>G212-'DLC Buildup Factors'!M213</f>
        <v>0</v>
      </c>
      <c r="V212">
        <f>H212-'DLC Buildup Factors'!N213</f>
        <v>0</v>
      </c>
      <c r="W212">
        <f>I212-'DLC Buildup Factors'!O213</f>
        <v>0</v>
      </c>
    </row>
    <row r="213" spans="1:23">
      <c r="A213" s="10">
        <v>6</v>
      </c>
      <c r="B213">
        <v>1.484</v>
      </c>
      <c r="C213">
        <v>0.93400000000000005</v>
      </c>
      <c r="D213">
        <v>2.4E-2</v>
      </c>
      <c r="E213">
        <v>12.01</v>
      </c>
      <c r="F213">
        <v>-1.9199999999999998E-2</v>
      </c>
      <c r="G213" s="2">
        <v>1.0200000000000001E-2</v>
      </c>
      <c r="H213">
        <v>0.5</v>
      </c>
      <c r="I213" s="2">
        <v>4.47E-3</v>
      </c>
      <c r="K213" t="str">
        <f t="shared" si="22"/>
        <v xml:space="preserve">    - 6.000</v>
      </c>
      <c r="L213" t="str">
        <f t="shared" si="23"/>
        <v xml:space="preserve">    - [1.484, 0.934, 0.024, 12.01, -0.0192]</v>
      </c>
      <c r="O213">
        <f>A213-'DLC Buildup Factors'!G214</f>
        <v>0</v>
      </c>
      <c r="P213">
        <f>B213-'DLC Buildup Factors'!H214</f>
        <v>0</v>
      </c>
      <c r="Q213">
        <f>C213-'DLC Buildup Factors'!I214</f>
        <v>0</v>
      </c>
      <c r="R213">
        <f>D213-'DLC Buildup Factors'!J214</f>
        <v>0</v>
      </c>
      <c r="S213">
        <f>E213-'DLC Buildup Factors'!K214</f>
        <v>0</v>
      </c>
      <c r="T213">
        <f>F213-'DLC Buildup Factors'!L214</f>
        <v>0</v>
      </c>
      <c r="U213">
        <f>G213-'DLC Buildup Factors'!M214</f>
        <v>0</v>
      </c>
      <c r="V213">
        <f>H213-'DLC Buildup Factors'!N214</f>
        <v>0</v>
      </c>
      <c r="W213">
        <f>I213-'DLC Buildup Factors'!O214</f>
        <v>0</v>
      </c>
    </row>
    <row r="214" spans="1:23">
      <c r="A214" s="10">
        <v>8</v>
      </c>
      <c r="B214">
        <v>1.405</v>
      </c>
      <c r="C214">
        <v>0.90200000000000002</v>
      </c>
      <c r="D214">
        <v>3.4000000000000002E-2</v>
      </c>
      <c r="E214">
        <v>13.85</v>
      </c>
      <c r="F214">
        <v>-2.8500000000000001E-2</v>
      </c>
      <c r="G214" s="2">
        <v>1.06E-2</v>
      </c>
      <c r="H214">
        <v>1</v>
      </c>
      <c r="I214" s="2">
        <v>6.8399999999999997E-3</v>
      </c>
      <c r="K214" t="str">
        <f t="shared" si="22"/>
        <v xml:space="preserve">    - 8.000</v>
      </c>
      <c r="L214" t="str">
        <f t="shared" si="23"/>
        <v xml:space="preserve">    - [1.405, 0.902, 0.034, 13.85, -0.0285]</v>
      </c>
      <c r="O214">
        <f>A214-'DLC Buildup Factors'!G215</f>
        <v>0</v>
      </c>
      <c r="P214">
        <f>B214-'DLC Buildup Factors'!H215</f>
        <v>0</v>
      </c>
      <c r="Q214">
        <f>C214-'DLC Buildup Factors'!I215</f>
        <v>0</v>
      </c>
      <c r="R214">
        <f>D214-'DLC Buildup Factors'!J215</f>
        <v>0</v>
      </c>
      <c r="S214">
        <f>E214-'DLC Buildup Factors'!K215</f>
        <v>0</v>
      </c>
      <c r="T214">
        <f>F214-'DLC Buildup Factors'!L215</f>
        <v>0</v>
      </c>
      <c r="U214">
        <f>G214-'DLC Buildup Factors'!M215</f>
        <v>0</v>
      </c>
      <c r="V214">
        <f>H214-'DLC Buildup Factors'!N215</f>
        <v>0</v>
      </c>
      <c r="W214">
        <f>I214-'DLC Buildup Factors'!O215</f>
        <v>0</v>
      </c>
    </row>
    <row r="215" spans="1:23">
      <c r="A215" s="10">
        <v>10</v>
      </c>
      <c r="B215">
        <v>1.3420000000000001</v>
      </c>
      <c r="C215">
        <v>0.88600000000000001</v>
      </c>
      <c r="D215">
        <v>4.1000000000000002E-2</v>
      </c>
      <c r="E215">
        <v>13.09</v>
      </c>
      <c r="F215">
        <v>-3.32E-2</v>
      </c>
      <c r="G215" s="2">
        <v>1.8800000000000001E-2</v>
      </c>
      <c r="H215">
        <v>0.5</v>
      </c>
      <c r="I215" s="2">
        <v>8.2799999999999992E-3</v>
      </c>
      <c r="K215" t="str">
        <f t="shared" si="22"/>
        <v xml:space="preserve">    - 10.000</v>
      </c>
      <c r="L215" t="str">
        <f t="shared" si="23"/>
        <v xml:space="preserve">    - [1.342, 0.886, 0.041, 13.09, -0.0332]</v>
      </c>
      <c r="O215">
        <f>A215-'DLC Buildup Factors'!G216</f>
        <v>0</v>
      </c>
      <c r="P215">
        <f>B215-'DLC Buildup Factors'!H216</f>
        <v>0</v>
      </c>
      <c r="Q215">
        <f>C215-'DLC Buildup Factors'!I216</f>
        <v>0</v>
      </c>
      <c r="R215">
        <f>D215-'DLC Buildup Factors'!J216</f>
        <v>0</v>
      </c>
      <c r="S215">
        <f>E215-'DLC Buildup Factors'!K216</f>
        <v>0</v>
      </c>
      <c r="T215">
        <f>F215-'DLC Buildup Factors'!L216</f>
        <v>0</v>
      </c>
      <c r="U215">
        <f>G215-'DLC Buildup Factors'!M216</f>
        <v>0</v>
      </c>
      <c r="V215">
        <f>H215-'DLC Buildup Factors'!N216</f>
        <v>0</v>
      </c>
      <c r="W215">
        <f>I215-'DLC Buildup Factors'!O216</f>
        <v>0</v>
      </c>
    </row>
    <row r="216" spans="1:23">
      <c r="A216" s="10">
        <v>15</v>
      </c>
      <c r="B216">
        <v>1.2529999999999999</v>
      </c>
      <c r="C216">
        <v>0.84699999999999998</v>
      </c>
      <c r="D216">
        <v>5.7000000000000002E-2</v>
      </c>
      <c r="E216">
        <v>14.24</v>
      </c>
      <c r="F216">
        <v>-5.11E-2</v>
      </c>
      <c r="G216" s="2">
        <v>1.6899999999999998E-2</v>
      </c>
      <c r="H216">
        <v>4</v>
      </c>
      <c r="I216" s="2">
        <v>1.093E-2</v>
      </c>
      <c r="K216" t="str">
        <f t="shared" si="22"/>
        <v xml:space="preserve">    - 15.000</v>
      </c>
      <c r="L216" t="str">
        <f t="shared" si="23"/>
        <v xml:space="preserve">    - [1.253, 0.847, 0.057, 14.24, -0.0511]</v>
      </c>
      <c r="O216">
        <f>A216-'DLC Buildup Factors'!G217</f>
        <v>0</v>
      </c>
      <c r="P216">
        <f>B216-'DLC Buildup Factors'!H217</f>
        <v>0</v>
      </c>
      <c r="Q216">
        <f>C216-'DLC Buildup Factors'!I217</f>
        <v>0</v>
      </c>
      <c r="R216">
        <f>D216-'DLC Buildup Factors'!J217</f>
        <v>0</v>
      </c>
      <c r="S216">
        <f>E216-'DLC Buildup Factors'!K217</f>
        <v>0</v>
      </c>
      <c r="T216">
        <f>F216-'DLC Buildup Factors'!L217</f>
        <v>0</v>
      </c>
      <c r="U216">
        <f>G216-'DLC Buildup Factors'!M217</f>
        <v>0</v>
      </c>
      <c r="V216">
        <f>H216-'DLC Buildup Factors'!N217</f>
        <v>0</v>
      </c>
      <c r="W216">
        <f>I216-'DLC Buildup Factors'!O217</f>
        <v>0</v>
      </c>
    </row>
    <row r="217" spans="1:23">
      <c r="A217" s="15" t="s">
        <v>1550</v>
      </c>
      <c r="B217" t="s">
        <v>1551</v>
      </c>
    </row>
    <row r="218" spans="1:23">
      <c r="A218" s="10" t="s">
        <v>1532</v>
      </c>
    </row>
    <row r="219" spans="1:23">
      <c r="A219" s="10" t="s">
        <v>49</v>
      </c>
    </row>
    <row r="220" spans="1:23">
      <c r="A220" t="s">
        <v>0</v>
      </c>
      <c r="B220" t="s">
        <v>10</v>
      </c>
      <c r="C220" t="s">
        <v>11</v>
      </c>
      <c r="D220" t="s">
        <v>12</v>
      </c>
      <c r="E220" t="s">
        <v>15</v>
      </c>
      <c r="F220" t="s">
        <v>13</v>
      </c>
      <c r="G220" t="s">
        <v>16</v>
      </c>
      <c r="H220" t="s">
        <v>17</v>
      </c>
      <c r="I220" t="s">
        <v>14</v>
      </c>
    </row>
    <row r="221" spans="1:23">
      <c r="A221" s="10">
        <v>1.4999999999999999E-2</v>
      </c>
      <c r="B221">
        <v>1.0289999999999999</v>
      </c>
      <c r="C221">
        <v>0.39400000000000002</v>
      </c>
      <c r="D221">
        <v>0.20599999999999999</v>
      </c>
      <c r="E221">
        <v>15.51</v>
      </c>
      <c r="F221">
        <v>-0.13880000000000001</v>
      </c>
      <c r="G221" s="2">
        <v>4.4999999999999997E-3</v>
      </c>
      <c r="H221">
        <v>6</v>
      </c>
      <c r="I221" s="2">
        <v>2.2300000000000002E-3</v>
      </c>
      <c r="K221" t="str">
        <f t="shared" ref="K221" si="24">CONCATENATE("    - ",TEXT(A221,"0.000"))</f>
        <v xml:space="preserve">    - 0.015</v>
      </c>
      <c r="L221" t="str">
        <f t="shared" ref="L221" si="25">CONCATENATE("    - [",TEXT(B221,"0.000"),", ",TEXT(C221,"0.000"),", ",TEXT(D221,"0.000"),", ",TEXT(E221,"0.00"),", ",TEXT(F221,"0.0000"),"]")</f>
        <v xml:space="preserve">    - [1.029, 0.394, 0.206, 15.51, -0.1388]</v>
      </c>
      <c r="O221">
        <f>A221-'DLC Buildup Factors'!G224</f>
        <v>0</v>
      </c>
      <c r="P221">
        <f>B221-'DLC Buildup Factors'!H224</f>
        <v>0</v>
      </c>
      <c r="Q221">
        <f>C221-'DLC Buildup Factors'!I224</f>
        <v>0</v>
      </c>
      <c r="R221">
        <f>D221-'DLC Buildup Factors'!J224</f>
        <v>0</v>
      </c>
      <c r="S221">
        <f>E221-'DLC Buildup Factors'!K224</f>
        <v>0</v>
      </c>
      <c r="T221">
        <f>F221-'DLC Buildup Factors'!L224</f>
        <v>0</v>
      </c>
      <c r="U221">
        <f>G221-'DLC Buildup Factors'!M224</f>
        <v>0</v>
      </c>
      <c r="V221">
        <f>H221-'DLC Buildup Factors'!N224</f>
        <v>0</v>
      </c>
      <c r="W221">
        <f>I221-'DLC Buildup Factors'!O224</f>
        <v>0</v>
      </c>
    </row>
    <row r="222" spans="1:23">
      <c r="A222" s="10">
        <v>0.02</v>
      </c>
      <c r="B222">
        <v>1.0669999999999999</v>
      </c>
      <c r="C222">
        <v>0.38400000000000001</v>
      </c>
      <c r="D222">
        <v>0.22</v>
      </c>
      <c r="E222">
        <v>13.81</v>
      </c>
      <c r="F222">
        <v>-0.12039999999999999</v>
      </c>
      <c r="G222" s="2">
        <v>7.1000000000000004E-3</v>
      </c>
      <c r="H222">
        <v>0.5</v>
      </c>
      <c r="I222" s="2">
        <v>3.1199999999999999E-3</v>
      </c>
      <c r="K222" t="str">
        <f t="shared" ref="K222:K245" si="26">CONCATENATE("    - ",TEXT(A222,"0.000"))</f>
        <v xml:space="preserve">    - 0.020</v>
      </c>
      <c r="L222" t="str">
        <f t="shared" ref="L222:L245" si="27">CONCATENATE("    - [",TEXT(B222,"0.000"),", ",TEXT(C222,"0.000"),", ",TEXT(D222,"0.000"),", ",TEXT(E222,"0.00"),", ",TEXT(F222,"0.0000"),"]")</f>
        <v xml:space="preserve">    - [1.067, 0.384, 0.220, 13.81, -0.1204]</v>
      </c>
      <c r="O222">
        <f>A222-'DLC Buildup Factors'!G225</f>
        <v>0</v>
      </c>
      <c r="P222">
        <f>B222-'DLC Buildup Factors'!H225</f>
        <v>0</v>
      </c>
      <c r="Q222">
        <f>C222-'DLC Buildup Factors'!I225</f>
        <v>0</v>
      </c>
      <c r="R222">
        <f>D222-'DLC Buildup Factors'!J225</f>
        <v>0</v>
      </c>
      <c r="S222">
        <f>E222-'DLC Buildup Factors'!K225</f>
        <v>0</v>
      </c>
      <c r="T222">
        <f>F222-'DLC Buildup Factors'!L225</f>
        <v>0</v>
      </c>
      <c r="U222">
        <f>G222-'DLC Buildup Factors'!M225</f>
        <v>0</v>
      </c>
      <c r="V222">
        <f>H222-'DLC Buildup Factors'!N225</f>
        <v>0</v>
      </c>
      <c r="W222">
        <f>I222-'DLC Buildup Factors'!O225</f>
        <v>0</v>
      </c>
    </row>
    <row r="223" spans="1:23">
      <c r="A223" s="10">
        <v>0.03</v>
      </c>
      <c r="B223">
        <v>1.2230000000000001</v>
      </c>
      <c r="C223">
        <v>0.42199999999999999</v>
      </c>
      <c r="D223">
        <v>0.19800000000000001</v>
      </c>
      <c r="E223">
        <v>15.1</v>
      </c>
      <c r="F223">
        <v>-0.1042</v>
      </c>
      <c r="G223" s="2">
        <v>1.83E-2</v>
      </c>
      <c r="H223">
        <v>0.5</v>
      </c>
      <c r="I223" s="2">
        <v>6.3499999999999997E-3</v>
      </c>
      <c r="K223" t="str">
        <f t="shared" si="26"/>
        <v xml:space="preserve">    - 0.030</v>
      </c>
      <c r="L223" t="str">
        <f t="shared" si="27"/>
        <v xml:space="preserve">    - [1.223, 0.422, 0.198, 15.10, -0.1042]</v>
      </c>
      <c r="O223">
        <f>A223-'DLC Buildup Factors'!G226</f>
        <v>0</v>
      </c>
      <c r="P223">
        <f>B223-'DLC Buildup Factors'!H226</f>
        <v>0</v>
      </c>
      <c r="Q223">
        <f>C223-'DLC Buildup Factors'!I226</f>
        <v>0</v>
      </c>
      <c r="R223">
        <f>D223-'DLC Buildup Factors'!J226</f>
        <v>0</v>
      </c>
      <c r="S223">
        <f>E223-'DLC Buildup Factors'!K226</f>
        <v>0</v>
      </c>
      <c r="T223">
        <f>F223-'DLC Buildup Factors'!L226</f>
        <v>0</v>
      </c>
      <c r="U223">
        <f>G223-'DLC Buildup Factors'!M226</f>
        <v>0</v>
      </c>
      <c r="V223">
        <f>H223-'DLC Buildup Factors'!N226</f>
        <v>0</v>
      </c>
      <c r="W223">
        <f>I223-'DLC Buildup Factors'!O226</f>
        <v>0</v>
      </c>
    </row>
    <row r="224" spans="1:23">
      <c r="A224" s="10">
        <v>0.04</v>
      </c>
      <c r="B224">
        <v>1.48</v>
      </c>
      <c r="C224">
        <v>0.503</v>
      </c>
      <c r="D224">
        <v>0.16600000000000001</v>
      </c>
      <c r="E224">
        <v>14.78</v>
      </c>
      <c r="F224">
        <v>-8.9300000000000004E-2</v>
      </c>
      <c r="G224" s="2">
        <v>1.72E-2</v>
      </c>
      <c r="H224">
        <v>0.5</v>
      </c>
      <c r="I224" s="2">
        <v>6.9699999999999996E-3</v>
      </c>
      <c r="K224" t="str">
        <f t="shared" si="26"/>
        <v xml:space="preserve">    - 0.040</v>
      </c>
      <c r="L224" t="str">
        <f t="shared" si="27"/>
        <v xml:space="preserve">    - [1.480, 0.503, 0.166, 14.78, -0.0893]</v>
      </c>
      <c r="O224">
        <f>A224-'DLC Buildup Factors'!G227</f>
        <v>0</v>
      </c>
      <c r="P224">
        <f>B224-'DLC Buildup Factors'!H227</f>
        <v>0</v>
      </c>
      <c r="Q224">
        <f>C224-'DLC Buildup Factors'!I227</f>
        <v>0</v>
      </c>
      <c r="R224">
        <f>D224-'DLC Buildup Factors'!J227</f>
        <v>0</v>
      </c>
      <c r="S224">
        <f>E224-'DLC Buildup Factors'!K227</f>
        <v>0</v>
      </c>
      <c r="T224">
        <f>F224-'DLC Buildup Factors'!L227</f>
        <v>0</v>
      </c>
      <c r="U224">
        <f>G224-'DLC Buildup Factors'!M227</f>
        <v>0</v>
      </c>
      <c r="V224">
        <f>H224-'DLC Buildup Factors'!N227</f>
        <v>0</v>
      </c>
      <c r="W224">
        <f>I224-'DLC Buildup Factors'!O227</f>
        <v>0</v>
      </c>
    </row>
    <row r="225" spans="1:23">
      <c r="A225" s="10">
        <v>0.05</v>
      </c>
      <c r="B225">
        <v>1.7649999999999999</v>
      </c>
      <c r="C225">
        <v>0.66600000000000004</v>
      </c>
      <c r="D225">
        <v>9.9000000000000005E-2</v>
      </c>
      <c r="E225">
        <v>16.34</v>
      </c>
      <c r="F225">
        <v>-4.9299999999999997E-2</v>
      </c>
      <c r="G225" s="2">
        <v>2.1000000000000001E-2</v>
      </c>
      <c r="H225">
        <v>2</v>
      </c>
      <c r="I225" s="2">
        <v>7.2199999999999999E-3</v>
      </c>
      <c r="K225" t="str">
        <f t="shared" si="26"/>
        <v xml:space="preserve">    - 0.050</v>
      </c>
      <c r="L225" t="str">
        <f t="shared" si="27"/>
        <v xml:space="preserve">    - [1.765, 0.666, 0.099, 16.34, -0.0493]</v>
      </c>
      <c r="O225">
        <f>A225-'DLC Buildup Factors'!G228</f>
        <v>0</v>
      </c>
      <c r="P225">
        <f>B225-'DLC Buildup Factors'!H228</f>
        <v>0</v>
      </c>
      <c r="Q225">
        <f>C225-'DLC Buildup Factors'!I228</f>
        <v>0</v>
      </c>
      <c r="R225">
        <f>D225-'DLC Buildup Factors'!J228</f>
        <v>0</v>
      </c>
      <c r="S225">
        <f>E225-'DLC Buildup Factors'!K228</f>
        <v>0</v>
      </c>
      <c r="T225">
        <f>F225-'DLC Buildup Factors'!L228</f>
        <v>0</v>
      </c>
      <c r="U225">
        <f>G225-'DLC Buildup Factors'!M228</f>
        <v>0</v>
      </c>
      <c r="V225">
        <f>H225-'DLC Buildup Factors'!N228</f>
        <v>0</v>
      </c>
      <c r="W225">
        <f>I225-'DLC Buildup Factors'!O228</f>
        <v>0</v>
      </c>
    </row>
    <row r="226" spans="1:23">
      <c r="A226" s="10">
        <v>0.06</v>
      </c>
      <c r="B226">
        <v>2.1890000000000001</v>
      </c>
      <c r="C226">
        <v>0.69699999999999995</v>
      </c>
      <c r="D226">
        <v>0.104</v>
      </c>
      <c r="E226">
        <v>12.9</v>
      </c>
      <c r="F226">
        <v>-5.8000000000000003E-2</v>
      </c>
      <c r="G226" s="2">
        <v>0.03</v>
      </c>
      <c r="H226">
        <v>0.5</v>
      </c>
      <c r="I226" s="2">
        <v>1.3559999999999999E-2</v>
      </c>
      <c r="K226" t="str">
        <f t="shared" si="26"/>
        <v xml:space="preserve">    - 0.060</v>
      </c>
      <c r="L226" t="str">
        <f t="shared" si="27"/>
        <v xml:space="preserve">    - [2.189, 0.697, 0.104, 12.90, -0.0580]</v>
      </c>
      <c r="O226">
        <f>A226-'DLC Buildup Factors'!G229</f>
        <v>0</v>
      </c>
      <c r="P226">
        <f>B226-'DLC Buildup Factors'!H229</f>
        <v>0</v>
      </c>
      <c r="Q226">
        <f>C226-'DLC Buildup Factors'!I229</f>
        <v>0</v>
      </c>
      <c r="R226">
        <f>D226-'DLC Buildup Factors'!J229</f>
        <v>0</v>
      </c>
      <c r="S226">
        <f>E226-'DLC Buildup Factors'!K229</f>
        <v>0</v>
      </c>
      <c r="T226">
        <f>F226-'DLC Buildup Factors'!L229</f>
        <v>0</v>
      </c>
      <c r="U226">
        <f>G226-'DLC Buildup Factors'!M229</f>
        <v>0</v>
      </c>
      <c r="V226">
        <f>H226-'DLC Buildup Factors'!N229</f>
        <v>0</v>
      </c>
      <c r="W226">
        <f>I226-'DLC Buildup Factors'!O229</f>
        <v>0</v>
      </c>
    </row>
    <row r="227" spans="1:23">
      <c r="A227" s="10">
        <v>0.08</v>
      </c>
      <c r="B227">
        <v>2.64</v>
      </c>
      <c r="C227">
        <v>0.92400000000000004</v>
      </c>
      <c r="D227">
        <v>3.5000000000000003E-2</v>
      </c>
      <c r="E227">
        <v>12.99</v>
      </c>
      <c r="F227">
        <v>-3.5099999999999999E-2</v>
      </c>
      <c r="G227" s="2">
        <v>1.54E-2</v>
      </c>
      <c r="H227">
        <v>0.5</v>
      </c>
      <c r="I227" s="2">
        <v>6.6600000000000001E-3</v>
      </c>
      <c r="K227" t="str">
        <f t="shared" si="26"/>
        <v xml:space="preserve">    - 0.080</v>
      </c>
      <c r="L227" t="str">
        <f t="shared" si="27"/>
        <v xml:space="preserve">    - [2.640, 0.924, 0.035, 12.99, -0.0351]</v>
      </c>
      <c r="O227">
        <f>A227-'DLC Buildup Factors'!G230</f>
        <v>0</v>
      </c>
      <c r="P227">
        <f>B227-'DLC Buildup Factors'!H230</f>
        <v>0</v>
      </c>
      <c r="Q227">
        <f>C227-'DLC Buildup Factors'!I230</f>
        <v>0</v>
      </c>
      <c r="R227">
        <f>D227-'DLC Buildup Factors'!J230</f>
        <v>0</v>
      </c>
      <c r="S227">
        <f>E227-'DLC Buildup Factors'!K230</f>
        <v>0</v>
      </c>
      <c r="T227">
        <f>F227-'DLC Buildup Factors'!L230</f>
        <v>0</v>
      </c>
      <c r="U227">
        <f>G227-'DLC Buildup Factors'!M230</f>
        <v>0</v>
      </c>
      <c r="V227">
        <f>H227-'DLC Buildup Factors'!N230</f>
        <v>0</v>
      </c>
      <c r="W227">
        <f>I227-'DLC Buildup Factors'!O230</f>
        <v>0</v>
      </c>
    </row>
    <row r="228" spans="1:23">
      <c r="A228" s="10">
        <v>0.1</v>
      </c>
      <c r="B228">
        <v>2.847</v>
      </c>
      <c r="C228">
        <v>1.1100000000000001</v>
      </c>
      <c r="D228">
        <v>-8.9999999999999993E-3</v>
      </c>
      <c r="E228">
        <v>12.98</v>
      </c>
      <c r="F228">
        <v>-1.8700000000000001E-2</v>
      </c>
      <c r="G228" s="2">
        <v>6.3E-3</v>
      </c>
      <c r="H228">
        <v>0.5</v>
      </c>
      <c r="I228" s="2">
        <v>4.13E-3</v>
      </c>
      <c r="K228" t="str">
        <f t="shared" si="26"/>
        <v xml:space="preserve">    - 0.100</v>
      </c>
      <c r="L228" t="str">
        <f t="shared" si="27"/>
        <v xml:space="preserve">    - [2.847, 1.110, -0.009, 12.98, -0.0187]</v>
      </c>
      <c r="O228">
        <f>A228-'DLC Buildup Factors'!G231</f>
        <v>0</v>
      </c>
      <c r="P228">
        <f>B228-'DLC Buildup Factors'!H231</f>
        <v>0</v>
      </c>
      <c r="Q228">
        <f>C228-'DLC Buildup Factors'!I231</f>
        <v>0</v>
      </c>
      <c r="R228">
        <f>D228-'DLC Buildup Factors'!J231</f>
        <v>0</v>
      </c>
      <c r="S228">
        <f>E228-'DLC Buildup Factors'!K231</f>
        <v>0</v>
      </c>
      <c r="T228">
        <f>F228-'DLC Buildup Factors'!L231</f>
        <v>0</v>
      </c>
      <c r="U228">
        <f>G228-'DLC Buildup Factors'!M231</f>
        <v>0</v>
      </c>
      <c r="V228">
        <f>H228-'DLC Buildup Factors'!N231</f>
        <v>0</v>
      </c>
      <c r="W228">
        <f>I228-'DLC Buildup Factors'!O231</f>
        <v>0</v>
      </c>
    </row>
    <row r="229" spans="1:23">
      <c r="A229" s="10">
        <v>0.15</v>
      </c>
      <c r="B229">
        <v>2.8769999999999998</v>
      </c>
      <c r="C229">
        <v>1.357</v>
      </c>
      <c r="D229">
        <v>-5.8000000000000003E-2</v>
      </c>
      <c r="E229">
        <v>21.73</v>
      </c>
      <c r="F229">
        <v>7.1000000000000004E-3</v>
      </c>
      <c r="G229" s="2">
        <v>4.7999999999999996E-3</v>
      </c>
      <c r="H229">
        <v>4</v>
      </c>
      <c r="I229" s="2">
        <v>2.4299999999999999E-3</v>
      </c>
      <c r="K229" t="str">
        <f t="shared" si="26"/>
        <v xml:space="preserve">    - 0.150</v>
      </c>
      <c r="L229" t="str">
        <f t="shared" si="27"/>
        <v xml:space="preserve">    - [2.877, 1.357, -0.058, 21.73, 0.0071]</v>
      </c>
      <c r="O229">
        <f>A229-'DLC Buildup Factors'!G232</f>
        <v>0</v>
      </c>
      <c r="P229">
        <f>B229-'DLC Buildup Factors'!H232</f>
        <v>0</v>
      </c>
      <c r="Q229">
        <f>C229-'DLC Buildup Factors'!I232</f>
        <v>0</v>
      </c>
      <c r="R229">
        <f>D229-'DLC Buildup Factors'!J232</f>
        <v>0</v>
      </c>
      <c r="S229">
        <f>E229-'DLC Buildup Factors'!K232</f>
        <v>0</v>
      </c>
      <c r="T229">
        <f>F229-'DLC Buildup Factors'!L232</f>
        <v>0</v>
      </c>
      <c r="U229">
        <f>G229-'DLC Buildup Factors'!M232</f>
        <v>0</v>
      </c>
      <c r="V229">
        <f>H229-'DLC Buildup Factors'!N232</f>
        <v>0</v>
      </c>
      <c r="W229">
        <f>I229-'DLC Buildup Factors'!O232</f>
        <v>0</v>
      </c>
    </row>
    <row r="230" spans="1:23">
      <c r="A230" s="10">
        <v>0.2</v>
      </c>
      <c r="B230">
        <v>2.762</v>
      </c>
      <c r="C230">
        <v>1.4550000000000001</v>
      </c>
      <c r="D230">
        <v>-7.3999999999999996E-2</v>
      </c>
      <c r="E230">
        <v>17.02</v>
      </c>
      <c r="F230">
        <v>1.14E-2</v>
      </c>
      <c r="G230" s="2">
        <v>4.4000000000000003E-3</v>
      </c>
      <c r="H230">
        <v>1</v>
      </c>
      <c r="I230" s="2">
        <v>1.9599999999999999E-3</v>
      </c>
      <c r="K230" t="str">
        <f t="shared" si="26"/>
        <v xml:space="preserve">    - 0.200</v>
      </c>
      <c r="L230" t="str">
        <f t="shared" si="27"/>
        <v xml:space="preserve">    - [2.762, 1.455, -0.074, 17.02, 0.0114]</v>
      </c>
      <c r="O230">
        <f>A230-'DLC Buildup Factors'!G233</f>
        <v>0</v>
      </c>
      <c r="P230">
        <f>B230-'DLC Buildup Factors'!H233</f>
        <v>0</v>
      </c>
      <c r="Q230">
        <f>C230-'DLC Buildup Factors'!I233</f>
        <v>0</v>
      </c>
      <c r="R230">
        <f>D230-'DLC Buildup Factors'!J233</f>
        <v>0</v>
      </c>
      <c r="S230">
        <f>E230-'DLC Buildup Factors'!K233</f>
        <v>0</v>
      </c>
      <c r="T230">
        <f>F230-'DLC Buildup Factors'!L233</f>
        <v>0</v>
      </c>
      <c r="U230">
        <f>G230-'DLC Buildup Factors'!M233</f>
        <v>0</v>
      </c>
      <c r="V230">
        <f>H230-'DLC Buildup Factors'!N233</f>
        <v>0</v>
      </c>
      <c r="W230">
        <f>I230-'DLC Buildup Factors'!O233</f>
        <v>0</v>
      </c>
    </row>
    <row r="231" spans="1:23">
      <c r="A231" s="10">
        <v>0.3</v>
      </c>
      <c r="B231">
        <v>2.5459999999999998</v>
      </c>
      <c r="C231">
        <v>1.51</v>
      </c>
      <c r="D231">
        <v>-8.5000000000000006E-2</v>
      </c>
      <c r="E231">
        <v>16.22</v>
      </c>
      <c r="F231">
        <v>1.72E-2</v>
      </c>
      <c r="G231" s="2">
        <v>4.7999999999999996E-3</v>
      </c>
      <c r="H231">
        <v>4</v>
      </c>
      <c r="I231" s="2">
        <v>2.15E-3</v>
      </c>
      <c r="K231" t="str">
        <f t="shared" si="26"/>
        <v xml:space="preserve">    - 0.300</v>
      </c>
      <c r="L231" t="str">
        <f t="shared" si="27"/>
        <v xml:space="preserve">    - [2.546, 1.510, -0.085, 16.22, 0.0172]</v>
      </c>
      <c r="O231">
        <f>A231-'DLC Buildup Factors'!G234</f>
        <v>0</v>
      </c>
      <c r="P231">
        <f>B231-'DLC Buildup Factors'!H234</f>
        <v>0</v>
      </c>
      <c r="Q231">
        <f>C231-'DLC Buildup Factors'!I234</f>
        <v>0</v>
      </c>
      <c r="R231">
        <f>D231-'DLC Buildup Factors'!J234</f>
        <v>0</v>
      </c>
      <c r="S231">
        <f>E231-'DLC Buildup Factors'!K234</f>
        <v>0</v>
      </c>
      <c r="T231">
        <f>F231-'DLC Buildup Factors'!L234</f>
        <v>0</v>
      </c>
      <c r="U231">
        <f>G231-'DLC Buildup Factors'!M234</f>
        <v>0</v>
      </c>
      <c r="V231">
        <f>H231-'DLC Buildup Factors'!N234</f>
        <v>0</v>
      </c>
      <c r="W231">
        <f>I231-'DLC Buildup Factors'!O234</f>
        <v>0</v>
      </c>
    </row>
    <row r="232" spans="1:23">
      <c r="A232" s="10">
        <v>0.4</v>
      </c>
      <c r="B232">
        <v>2.403</v>
      </c>
      <c r="C232">
        <v>1.498</v>
      </c>
      <c r="D232">
        <v>-8.5000000000000006E-2</v>
      </c>
      <c r="E232">
        <v>16.45</v>
      </c>
      <c r="F232">
        <v>1.89E-2</v>
      </c>
      <c r="G232" s="2">
        <v>5.4000000000000003E-3</v>
      </c>
      <c r="H232">
        <v>1</v>
      </c>
      <c r="I232" s="2">
        <v>2.3700000000000001E-3</v>
      </c>
      <c r="K232" t="str">
        <f t="shared" si="26"/>
        <v xml:space="preserve">    - 0.400</v>
      </c>
      <c r="L232" t="str">
        <f t="shared" si="27"/>
        <v xml:space="preserve">    - [2.403, 1.498, -0.085, 16.45, 0.0189]</v>
      </c>
      <c r="O232">
        <f>A232-'DLC Buildup Factors'!G235</f>
        <v>0</v>
      </c>
      <c r="P232">
        <f>B232-'DLC Buildup Factors'!H235</f>
        <v>0</v>
      </c>
      <c r="Q232">
        <f>C232-'DLC Buildup Factors'!I235</f>
        <v>0</v>
      </c>
      <c r="R232">
        <f>D232-'DLC Buildup Factors'!J235</f>
        <v>0</v>
      </c>
      <c r="S232">
        <f>E232-'DLC Buildup Factors'!K235</f>
        <v>0</v>
      </c>
      <c r="T232">
        <f>F232-'DLC Buildup Factors'!L235</f>
        <v>0</v>
      </c>
      <c r="U232">
        <f>G232-'DLC Buildup Factors'!M235</f>
        <v>0</v>
      </c>
      <c r="V232">
        <f>H232-'DLC Buildup Factors'!N235</f>
        <v>0</v>
      </c>
      <c r="W232">
        <f>I232-'DLC Buildup Factors'!O235</f>
        <v>0</v>
      </c>
    </row>
    <row r="233" spans="1:23">
      <c r="A233" s="10">
        <v>0.5</v>
      </c>
      <c r="B233">
        <v>2.2869999999999999</v>
      </c>
      <c r="C233">
        <v>1.474</v>
      </c>
      <c r="D233">
        <v>-8.3000000000000004E-2</v>
      </c>
      <c r="E233">
        <v>16.41</v>
      </c>
      <c r="F233">
        <v>1.9400000000000001E-2</v>
      </c>
      <c r="G233" s="2">
        <v>3.0999999999999999E-3</v>
      </c>
      <c r="H233">
        <v>1</v>
      </c>
      <c r="I233" s="2">
        <v>1.81E-3</v>
      </c>
      <c r="K233" t="str">
        <f t="shared" si="26"/>
        <v xml:space="preserve">    - 0.500</v>
      </c>
      <c r="L233" t="str">
        <f t="shared" si="27"/>
        <v xml:space="preserve">    - [2.287, 1.474, -0.083, 16.41, 0.0194]</v>
      </c>
      <c r="O233">
        <f>A233-'DLC Buildup Factors'!G236</f>
        <v>0</v>
      </c>
      <c r="P233">
        <f>B233-'DLC Buildup Factors'!H236</f>
        <v>0</v>
      </c>
      <c r="Q233">
        <f>C233-'DLC Buildup Factors'!I236</f>
        <v>0</v>
      </c>
      <c r="R233">
        <f>D233-'DLC Buildup Factors'!J236</f>
        <v>0</v>
      </c>
      <c r="S233">
        <f>E233-'DLC Buildup Factors'!K236</f>
        <v>0</v>
      </c>
      <c r="T233">
        <f>F233-'DLC Buildup Factors'!L236</f>
        <v>0</v>
      </c>
      <c r="U233">
        <f>G233-'DLC Buildup Factors'!M236</f>
        <v>0</v>
      </c>
      <c r="V233">
        <f>H233-'DLC Buildup Factors'!N236</f>
        <v>0</v>
      </c>
      <c r="W233">
        <f>I233-'DLC Buildup Factors'!O236</f>
        <v>0</v>
      </c>
    </row>
    <row r="234" spans="1:23">
      <c r="A234" s="10">
        <v>0.6</v>
      </c>
      <c r="B234">
        <v>2.1970000000000001</v>
      </c>
      <c r="C234">
        <v>1.448</v>
      </c>
      <c r="D234">
        <v>-8.1000000000000003E-2</v>
      </c>
      <c r="E234">
        <v>17.03</v>
      </c>
      <c r="F234">
        <v>2.2700000000000001E-2</v>
      </c>
      <c r="G234" s="2">
        <v>6.7000000000000002E-3</v>
      </c>
      <c r="H234">
        <v>15</v>
      </c>
      <c r="I234" s="2">
        <v>2.9299999999999999E-3</v>
      </c>
      <c r="K234" t="str">
        <f t="shared" si="26"/>
        <v xml:space="preserve">    - 0.600</v>
      </c>
      <c r="L234" t="str">
        <f t="shared" si="27"/>
        <v xml:space="preserve">    - [2.197, 1.448, -0.081, 17.03, 0.0227]</v>
      </c>
      <c r="O234">
        <f>A234-'DLC Buildup Factors'!G237</f>
        <v>0</v>
      </c>
      <c r="P234">
        <f>B234-'DLC Buildup Factors'!H237</f>
        <v>0</v>
      </c>
      <c r="Q234">
        <f>C234-'DLC Buildup Factors'!I237</f>
        <v>0</v>
      </c>
      <c r="R234">
        <f>D234-'DLC Buildup Factors'!J237</f>
        <v>0</v>
      </c>
      <c r="S234">
        <f>E234-'DLC Buildup Factors'!K237</f>
        <v>0</v>
      </c>
      <c r="T234">
        <f>F234-'DLC Buildup Factors'!L237</f>
        <v>0</v>
      </c>
      <c r="U234">
        <f>G234-'DLC Buildup Factors'!M237</f>
        <v>0</v>
      </c>
      <c r="V234">
        <f>H234-'DLC Buildup Factors'!N237</f>
        <v>0</v>
      </c>
      <c r="W234">
        <f>I234-'DLC Buildup Factors'!O237</f>
        <v>0</v>
      </c>
    </row>
    <row r="235" spans="1:23">
      <c r="A235" s="10">
        <v>0.8</v>
      </c>
      <c r="B235">
        <v>2.08</v>
      </c>
      <c r="C235">
        <v>1.3839999999999999</v>
      </c>
      <c r="D235">
        <v>-7.1999999999999995E-2</v>
      </c>
      <c r="E235">
        <v>16.239999999999998</v>
      </c>
      <c r="F235">
        <v>2.0199999999999999E-2</v>
      </c>
      <c r="G235" s="2">
        <v>6.4000000000000003E-3</v>
      </c>
      <c r="H235">
        <v>0.5</v>
      </c>
      <c r="I235" s="2">
        <v>2.8300000000000001E-3</v>
      </c>
      <c r="K235" t="str">
        <f t="shared" si="26"/>
        <v xml:space="preserve">    - 0.800</v>
      </c>
      <c r="L235" t="str">
        <f t="shared" si="27"/>
        <v xml:space="preserve">    - [2.080, 1.384, -0.072, 16.24, 0.0202]</v>
      </c>
      <c r="O235">
        <f>A235-'DLC Buildup Factors'!G238</f>
        <v>0</v>
      </c>
      <c r="P235">
        <f>B235-'DLC Buildup Factors'!H238</f>
        <v>0</v>
      </c>
      <c r="Q235">
        <f>C235-'DLC Buildup Factors'!I238</f>
        <v>0</v>
      </c>
      <c r="R235">
        <f>D235-'DLC Buildup Factors'!J238</f>
        <v>0</v>
      </c>
      <c r="S235">
        <f>E235-'DLC Buildup Factors'!K238</f>
        <v>0</v>
      </c>
      <c r="T235">
        <f>F235-'DLC Buildup Factors'!L238</f>
        <v>0</v>
      </c>
      <c r="U235">
        <f>G235-'DLC Buildup Factors'!M238</f>
        <v>0</v>
      </c>
      <c r="V235">
        <f>H235-'DLC Buildup Factors'!N238</f>
        <v>0</v>
      </c>
      <c r="W235">
        <f>I235-'DLC Buildup Factors'!O238</f>
        <v>0</v>
      </c>
    </row>
    <row r="236" spans="1:23">
      <c r="A236" s="10">
        <v>1</v>
      </c>
      <c r="B236">
        <v>1.994</v>
      </c>
      <c r="C236">
        <v>1.3360000000000001</v>
      </c>
      <c r="D236">
        <v>-6.6000000000000003E-2</v>
      </c>
      <c r="E236">
        <v>15.85</v>
      </c>
      <c r="F236">
        <v>2.1499999999999998E-2</v>
      </c>
      <c r="G236" s="2">
        <v>6.0000000000000001E-3</v>
      </c>
      <c r="H236">
        <v>6</v>
      </c>
      <c r="I236" s="2">
        <v>2.82E-3</v>
      </c>
      <c r="K236" t="str">
        <f t="shared" si="26"/>
        <v xml:space="preserve">    - 1.000</v>
      </c>
      <c r="L236" t="str">
        <f t="shared" si="27"/>
        <v xml:space="preserve">    - [1.994, 1.336, -0.066, 15.85, 0.0215]</v>
      </c>
      <c r="O236">
        <f>A236-'DLC Buildup Factors'!G239</f>
        <v>0</v>
      </c>
      <c r="P236">
        <f>B236-'DLC Buildup Factors'!H239</f>
        <v>0</v>
      </c>
      <c r="Q236">
        <f>C236-'DLC Buildup Factors'!I239</f>
        <v>0</v>
      </c>
      <c r="R236">
        <f>D236-'DLC Buildup Factors'!J239</f>
        <v>0</v>
      </c>
      <c r="S236">
        <f>E236-'DLC Buildup Factors'!K239</f>
        <v>0</v>
      </c>
      <c r="T236">
        <f>F236-'DLC Buildup Factors'!L239</f>
        <v>0</v>
      </c>
      <c r="U236">
        <f>G236-'DLC Buildup Factors'!M239</f>
        <v>0</v>
      </c>
      <c r="V236">
        <f>H236-'DLC Buildup Factors'!N239</f>
        <v>0</v>
      </c>
      <c r="W236">
        <f>I236-'DLC Buildup Factors'!O239</f>
        <v>0</v>
      </c>
    </row>
    <row r="237" spans="1:23">
      <c r="A237" s="10">
        <v>1.5</v>
      </c>
      <c r="B237">
        <v>1.855</v>
      </c>
      <c r="C237">
        <v>1.23</v>
      </c>
      <c r="D237">
        <v>-4.8000000000000001E-2</v>
      </c>
      <c r="E237">
        <v>16.010000000000002</v>
      </c>
      <c r="F237">
        <v>1.7100000000000001E-2</v>
      </c>
      <c r="G237" s="2">
        <v>4.4999999999999997E-3</v>
      </c>
      <c r="H237">
        <v>15</v>
      </c>
      <c r="I237" s="2">
        <v>2.2599999999999999E-3</v>
      </c>
      <c r="K237" t="str">
        <f t="shared" si="26"/>
        <v xml:space="preserve">    - 1.500</v>
      </c>
      <c r="L237" t="str">
        <f t="shared" si="27"/>
        <v xml:space="preserve">    - [1.855, 1.230, -0.048, 16.01, 0.0171]</v>
      </c>
      <c r="O237">
        <f>A237-'DLC Buildup Factors'!G240</f>
        <v>0</v>
      </c>
      <c r="P237">
        <f>B237-'DLC Buildup Factors'!H240</f>
        <v>0</v>
      </c>
      <c r="Q237">
        <f>C237-'DLC Buildup Factors'!I240</f>
        <v>0</v>
      </c>
      <c r="R237">
        <f>D237-'DLC Buildup Factors'!J240</f>
        <v>0</v>
      </c>
      <c r="S237">
        <f>E237-'DLC Buildup Factors'!K240</f>
        <v>0</v>
      </c>
      <c r="T237">
        <f>F237-'DLC Buildup Factors'!L240</f>
        <v>0</v>
      </c>
      <c r="U237">
        <f>G237-'DLC Buildup Factors'!M240</f>
        <v>0</v>
      </c>
      <c r="V237">
        <f>H237-'DLC Buildup Factors'!N240</f>
        <v>0</v>
      </c>
      <c r="W237">
        <f>I237-'DLC Buildup Factors'!O240</f>
        <v>0</v>
      </c>
    </row>
    <row r="238" spans="1:23">
      <c r="A238" s="10">
        <v>2</v>
      </c>
      <c r="B238">
        <v>1.7809999999999999</v>
      </c>
      <c r="C238">
        <v>1.153</v>
      </c>
      <c r="D238">
        <v>-3.2000000000000001E-2</v>
      </c>
      <c r="E238">
        <v>15.32</v>
      </c>
      <c r="F238">
        <v>9.1000000000000004E-3</v>
      </c>
      <c r="G238" s="2">
        <v>3.2000000000000002E-3</v>
      </c>
      <c r="H238">
        <v>0.5</v>
      </c>
      <c r="I238" s="2">
        <v>1.42E-3</v>
      </c>
      <c r="K238" t="str">
        <f t="shared" si="26"/>
        <v xml:space="preserve">    - 2.000</v>
      </c>
      <c r="L238" t="str">
        <f t="shared" si="27"/>
        <v xml:space="preserve">    - [1.781, 1.153, -0.032, 15.32, 0.0091]</v>
      </c>
      <c r="O238">
        <f>A238-'DLC Buildup Factors'!G241</f>
        <v>0</v>
      </c>
      <c r="P238">
        <f>B238-'DLC Buildup Factors'!H241</f>
        <v>0</v>
      </c>
      <c r="Q238">
        <f>C238-'DLC Buildup Factors'!I241</f>
        <v>0</v>
      </c>
      <c r="R238">
        <f>D238-'DLC Buildup Factors'!J241</f>
        <v>0</v>
      </c>
      <c r="S238">
        <f>E238-'DLC Buildup Factors'!K241</f>
        <v>0</v>
      </c>
      <c r="T238">
        <f>F238-'DLC Buildup Factors'!L241</f>
        <v>0</v>
      </c>
      <c r="U238">
        <f>G238-'DLC Buildup Factors'!M241</f>
        <v>0</v>
      </c>
      <c r="V238">
        <f>H238-'DLC Buildup Factors'!N241</f>
        <v>0</v>
      </c>
      <c r="W238">
        <f>I238-'DLC Buildup Factors'!O241</f>
        <v>0</v>
      </c>
    </row>
    <row r="239" spans="1:23">
      <c r="A239" s="10">
        <v>3</v>
      </c>
      <c r="B239">
        <v>1.673</v>
      </c>
      <c r="C239">
        <v>1.0569999999999999</v>
      </c>
      <c r="D239">
        <v>-0.01</v>
      </c>
      <c r="E239">
        <v>10.79</v>
      </c>
      <c r="F239">
        <v>-2.5000000000000001E-3</v>
      </c>
      <c r="G239" s="2">
        <v>4.1999999999999997E-3</v>
      </c>
      <c r="H239">
        <v>1</v>
      </c>
      <c r="I239" s="2">
        <v>2.0200000000000001E-3</v>
      </c>
      <c r="K239" t="str">
        <f t="shared" si="26"/>
        <v xml:space="preserve">    - 3.000</v>
      </c>
      <c r="L239" t="str">
        <f t="shared" si="27"/>
        <v xml:space="preserve">    - [1.673, 1.057, -0.010, 10.79, -0.0025]</v>
      </c>
      <c r="O239">
        <f>A239-'DLC Buildup Factors'!G242</f>
        <v>0</v>
      </c>
      <c r="P239">
        <f>B239-'DLC Buildup Factors'!H242</f>
        <v>0</v>
      </c>
      <c r="Q239">
        <f>C239-'DLC Buildup Factors'!I242</f>
        <v>0</v>
      </c>
      <c r="R239">
        <f>D239-'DLC Buildup Factors'!J242</f>
        <v>0</v>
      </c>
      <c r="S239">
        <f>E239-'DLC Buildup Factors'!K242</f>
        <v>0</v>
      </c>
      <c r="T239">
        <f>F239-'DLC Buildup Factors'!L242</f>
        <v>0</v>
      </c>
      <c r="U239">
        <f>G239-'DLC Buildup Factors'!M242</f>
        <v>0</v>
      </c>
      <c r="V239">
        <f>H239-'DLC Buildup Factors'!N242</f>
        <v>0</v>
      </c>
      <c r="W239">
        <f>I239-'DLC Buildup Factors'!O242</f>
        <v>0</v>
      </c>
    </row>
    <row r="240" spans="1:23">
      <c r="A240" s="10">
        <v>4</v>
      </c>
      <c r="B240">
        <v>1.607</v>
      </c>
      <c r="C240">
        <v>0.97399999999999998</v>
      </c>
      <c r="D240">
        <v>1.2999999999999999E-2</v>
      </c>
      <c r="E240">
        <v>12.22</v>
      </c>
      <c r="F240">
        <v>-1.6400000000000001E-2</v>
      </c>
      <c r="G240" s="2">
        <v>1.0500000000000001E-2</v>
      </c>
      <c r="H240">
        <v>0.5</v>
      </c>
      <c r="I240" s="2">
        <v>4.9800000000000001E-3</v>
      </c>
      <c r="K240" t="str">
        <f t="shared" si="26"/>
        <v xml:space="preserve">    - 4.000</v>
      </c>
      <c r="L240" t="str">
        <f t="shared" si="27"/>
        <v xml:space="preserve">    - [1.607, 0.974, 0.013, 12.22, -0.0164]</v>
      </c>
      <c r="O240">
        <f>A240-'DLC Buildup Factors'!G243</f>
        <v>0</v>
      </c>
      <c r="P240">
        <f>B240-'DLC Buildup Factors'!H243</f>
        <v>0</v>
      </c>
      <c r="Q240">
        <f>C240-'DLC Buildup Factors'!I243</f>
        <v>0</v>
      </c>
      <c r="R240">
        <f>D240-'DLC Buildup Factors'!J243</f>
        <v>0</v>
      </c>
      <c r="S240">
        <f>E240-'DLC Buildup Factors'!K243</f>
        <v>0</v>
      </c>
      <c r="T240">
        <f>F240-'DLC Buildup Factors'!L243</f>
        <v>0</v>
      </c>
      <c r="U240">
        <f>G240-'DLC Buildup Factors'!M243</f>
        <v>0</v>
      </c>
      <c r="V240">
        <f>H240-'DLC Buildup Factors'!N243</f>
        <v>0</v>
      </c>
      <c r="W240">
        <f>I240-'DLC Buildup Factors'!O243</f>
        <v>0</v>
      </c>
    </row>
    <row r="241" spans="1:23">
      <c r="A241" s="10">
        <v>5</v>
      </c>
      <c r="B241">
        <v>1.5289999999999999</v>
      </c>
      <c r="C241">
        <v>0.95699999999999996</v>
      </c>
      <c r="D241">
        <v>1.7999999999999999E-2</v>
      </c>
      <c r="E241">
        <v>10.9</v>
      </c>
      <c r="F241">
        <v>-1.5699999999999999E-2</v>
      </c>
      <c r="G241" s="2">
        <v>9.1999999999999998E-3</v>
      </c>
      <c r="H241">
        <v>0.5</v>
      </c>
      <c r="I241" s="2">
        <v>4.13E-3</v>
      </c>
      <c r="K241" t="str">
        <f t="shared" si="26"/>
        <v xml:space="preserve">    - 5.000</v>
      </c>
      <c r="L241" t="str">
        <f t="shared" si="27"/>
        <v xml:space="preserve">    - [1.529, 0.957, 0.018, 10.90, -0.0157]</v>
      </c>
      <c r="O241">
        <f>A241-'DLC Buildup Factors'!G244</f>
        <v>0</v>
      </c>
      <c r="P241">
        <f>B241-'DLC Buildup Factors'!H244</f>
        <v>0</v>
      </c>
      <c r="Q241">
        <f>C241-'DLC Buildup Factors'!I244</f>
        <v>0</v>
      </c>
      <c r="R241">
        <f>D241-'DLC Buildup Factors'!J244</f>
        <v>0</v>
      </c>
      <c r="S241">
        <f>E241-'DLC Buildup Factors'!K244</f>
        <v>0</v>
      </c>
      <c r="T241">
        <f>F241-'DLC Buildup Factors'!L244</f>
        <v>0</v>
      </c>
      <c r="U241">
        <f>G241-'DLC Buildup Factors'!M244</f>
        <v>0</v>
      </c>
      <c r="V241">
        <f>H241-'DLC Buildup Factors'!N244</f>
        <v>0</v>
      </c>
      <c r="W241">
        <f>I241-'DLC Buildup Factors'!O244</f>
        <v>0</v>
      </c>
    </row>
    <row r="242" spans="1:23">
      <c r="A242" s="10">
        <v>6</v>
      </c>
      <c r="B242">
        <v>1.4810000000000001</v>
      </c>
      <c r="C242">
        <v>0.93300000000000005</v>
      </c>
      <c r="D242">
        <v>2.5999999999999999E-2</v>
      </c>
      <c r="E242">
        <v>12.33</v>
      </c>
      <c r="F242">
        <v>-2.3900000000000001E-2</v>
      </c>
      <c r="G242" s="2">
        <v>1.1299999999999999E-2</v>
      </c>
      <c r="H242">
        <v>0.5</v>
      </c>
      <c r="I242" s="2">
        <v>5.2399999999999999E-3</v>
      </c>
      <c r="K242" t="str">
        <f t="shared" si="26"/>
        <v xml:space="preserve">    - 6.000</v>
      </c>
      <c r="L242" t="str">
        <f t="shared" si="27"/>
        <v xml:space="preserve">    - [1.481, 0.933, 0.026, 12.33, -0.0239]</v>
      </c>
      <c r="O242">
        <f>A242-'DLC Buildup Factors'!G245</f>
        <v>0</v>
      </c>
      <c r="P242">
        <f>B242-'DLC Buildup Factors'!H245</f>
        <v>0</v>
      </c>
      <c r="Q242">
        <f>C242-'DLC Buildup Factors'!I245</f>
        <v>0</v>
      </c>
      <c r="R242">
        <f>D242-'DLC Buildup Factors'!J245</f>
        <v>0</v>
      </c>
      <c r="S242">
        <f>E242-'DLC Buildup Factors'!K245</f>
        <v>0</v>
      </c>
      <c r="T242">
        <f>F242-'DLC Buildup Factors'!L245</f>
        <v>0</v>
      </c>
      <c r="U242">
        <f>G242-'DLC Buildup Factors'!M245</f>
        <v>0</v>
      </c>
      <c r="V242">
        <f>H242-'DLC Buildup Factors'!N245</f>
        <v>0</v>
      </c>
      <c r="W242">
        <f>I242-'DLC Buildup Factors'!O245</f>
        <v>0</v>
      </c>
    </row>
    <row r="243" spans="1:23">
      <c r="A243" s="10">
        <v>8</v>
      </c>
      <c r="B243">
        <v>1.3959999999999999</v>
      </c>
      <c r="C243">
        <v>0.91700000000000004</v>
      </c>
      <c r="D243">
        <v>0.03</v>
      </c>
      <c r="E243">
        <v>13.88</v>
      </c>
      <c r="F243">
        <v>-2.6200000000000001E-2</v>
      </c>
      <c r="G243" s="2">
        <v>1.37E-2</v>
      </c>
      <c r="H243">
        <v>0.5</v>
      </c>
      <c r="I243" s="2">
        <v>6.77E-3</v>
      </c>
      <c r="K243" t="str">
        <f t="shared" si="26"/>
        <v xml:space="preserve">    - 8.000</v>
      </c>
      <c r="L243" t="str">
        <f t="shared" si="27"/>
        <v xml:space="preserve">    - [1.396, 0.917, 0.030, 13.88, -0.0262]</v>
      </c>
      <c r="O243">
        <f>A243-'DLC Buildup Factors'!G246</f>
        <v>0</v>
      </c>
      <c r="P243">
        <f>B243-'DLC Buildup Factors'!H246</f>
        <v>0</v>
      </c>
      <c r="Q243">
        <f>C243-'DLC Buildup Factors'!I246</f>
        <v>0</v>
      </c>
      <c r="R243">
        <f>D243-'DLC Buildup Factors'!J246</f>
        <v>0</v>
      </c>
      <c r="S243">
        <f>E243-'DLC Buildup Factors'!K246</f>
        <v>0</v>
      </c>
      <c r="T243">
        <f>F243-'DLC Buildup Factors'!L246</f>
        <v>0</v>
      </c>
      <c r="U243">
        <f>G243-'DLC Buildup Factors'!M246</f>
        <v>0</v>
      </c>
      <c r="V243">
        <f>H243-'DLC Buildup Factors'!N246</f>
        <v>0</v>
      </c>
      <c r="W243">
        <f>I243-'DLC Buildup Factors'!O246</f>
        <v>0</v>
      </c>
    </row>
    <row r="244" spans="1:23">
      <c r="A244" s="10">
        <v>10</v>
      </c>
      <c r="B244">
        <v>1.3340000000000001</v>
      </c>
      <c r="C244">
        <v>0.90200000000000002</v>
      </c>
      <c r="D244">
        <v>3.7999999999999999E-2</v>
      </c>
      <c r="E244">
        <v>13.03</v>
      </c>
      <c r="F244">
        <v>-3.32E-2</v>
      </c>
      <c r="G244" s="2">
        <v>1.4800000000000001E-2</v>
      </c>
      <c r="H244">
        <v>0.5</v>
      </c>
      <c r="I244" s="2">
        <v>7.1900000000000002E-3</v>
      </c>
      <c r="K244" t="str">
        <f t="shared" si="26"/>
        <v xml:space="preserve">    - 10.000</v>
      </c>
      <c r="L244" t="str">
        <f t="shared" si="27"/>
        <v xml:space="preserve">    - [1.334, 0.902, 0.038, 13.03, -0.0332]</v>
      </c>
      <c r="O244">
        <f>A244-'DLC Buildup Factors'!G247</f>
        <v>0</v>
      </c>
      <c r="P244">
        <f>B244-'DLC Buildup Factors'!H247</f>
        <v>0</v>
      </c>
      <c r="Q244">
        <f>C244-'DLC Buildup Factors'!I247</f>
        <v>0</v>
      </c>
      <c r="R244">
        <f>D244-'DLC Buildup Factors'!J247</f>
        <v>0</v>
      </c>
      <c r="S244">
        <f>E244-'DLC Buildup Factors'!K247</f>
        <v>0</v>
      </c>
      <c r="T244">
        <f>F244-'DLC Buildup Factors'!L247</f>
        <v>0</v>
      </c>
      <c r="U244">
        <f>G244-'DLC Buildup Factors'!M247</f>
        <v>0</v>
      </c>
      <c r="V244">
        <f>H244-'DLC Buildup Factors'!N247</f>
        <v>0</v>
      </c>
      <c r="W244">
        <f>I244-'DLC Buildup Factors'!O247</f>
        <v>0</v>
      </c>
    </row>
    <row r="245" spans="1:23">
      <c r="A245" s="10">
        <v>15</v>
      </c>
      <c r="B245">
        <v>1.244</v>
      </c>
      <c r="C245">
        <v>0.86899999999999999</v>
      </c>
      <c r="D245">
        <v>0.05</v>
      </c>
      <c r="E245">
        <v>14.91</v>
      </c>
      <c r="F245">
        <v>-4.7600000000000003E-2</v>
      </c>
      <c r="G245" s="2">
        <v>1.9699999999999999E-2</v>
      </c>
      <c r="H245">
        <v>0.5</v>
      </c>
      <c r="I245" s="2">
        <v>1.098E-2</v>
      </c>
      <c r="K245" t="str">
        <f t="shared" si="26"/>
        <v xml:space="preserve">    - 15.000</v>
      </c>
      <c r="L245" t="str">
        <f t="shared" si="27"/>
        <v xml:space="preserve">    - [1.244, 0.869, 0.050, 14.91, -0.0476]</v>
      </c>
      <c r="O245">
        <f>A245-'DLC Buildup Factors'!G248</f>
        <v>0</v>
      </c>
      <c r="P245">
        <f>B245-'DLC Buildup Factors'!H248</f>
        <v>0</v>
      </c>
      <c r="Q245">
        <f>C245-'DLC Buildup Factors'!I248</f>
        <v>0</v>
      </c>
      <c r="R245">
        <f>D245-'DLC Buildup Factors'!J248</f>
        <v>0</v>
      </c>
      <c r="S245">
        <f>E245-'DLC Buildup Factors'!K248</f>
        <v>0</v>
      </c>
      <c r="T245">
        <f>F245-'DLC Buildup Factors'!L248</f>
        <v>0</v>
      </c>
      <c r="U245">
        <f>G245-'DLC Buildup Factors'!M248</f>
        <v>0</v>
      </c>
      <c r="V245">
        <f>H245-'DLC Buildup Factors'!N248</f>
        <v>0</v>
      </c>
      <c r="W245">
        <f>I245-'DLC Buildup Factors'!O248</f>
        <v>0</v>
      </c>
    </row>
    <row r="246" spans="1:23">
      <c r="A246" s="10"/>
    </row>
    <row r="247" spans="1:23">
      <c r="A247" s="12" t="s">
        <v>1525</v>
      </c>
    </row>
    <row r="248" spans="1:23">
      <c r="A248" s="12" t="s">
        <v>1533</v>
      </c>
    </row>
    <row r="249" spans="1:23">
      <c r="A249" t="s">
        <v>0</v>
      </c>
      <c r="B249" t="s">
        <v>10</v>
      </c>
      <c r="C249" t="s">
        <v>11</v>
      </c>
      <c r="D249" t="s">
        <v>12</v>
      </c>
      <c r="E249" t="s">
        <v>15</v>
      </c>
      <c r="F249" t="s">
        <v>13</v>
      </c>
      <c r="G249" t="s">
        <v>16</v>
      </c>
      <c r="H249" t="s">
        <v>17</v>
      </c>
      <c r="I249" t="s">
        <v>14</v>
      </c>
    </row>
    <row r="250" spans="1:23">
      <c r="A250" s="12">
        <v>1.4999999999999999E-2</v>
      </c>
      <c r="B250">
        <v>1.0229999999999999</v>
      </c>
      <c r="C250">
        <v>0.34899999999999998</v>
      </c>
      <c r="D250">
        <v>0.26200000000000001</v>
      </c>
      <c r="E250">
        <v>11.98</v>
      </c>
      <c r="F250">
        <v>-0.17910000000000001</v>
      </c>
      <c r="G250" s="2">
        <v>5.0000000000000001E-3</v>
      </c>
      <c r="H250">
        <v>0.5</v>
      </c>
      <c r="I250" s="2">
        <v>2.66E-3</v>
      </c>
      <c r="K250" t="str">
        <f t="shared" ref="K250" si="28">CONCATENATE("    - ",TEXT(A250,"0.000"))</f>
        <v xml:space="preserve">    - 0.015</v>
      </c>
      <c r="L250" t="str">
        <f t="shared" ref="L250" si="29">CONCATENATE("    - [",TEXT(B250,"0.000"),", ",TEXT(C250,"0.000"),", ",TEXT(D250,"0.000"),", ",TEXT(E250,"0.00"),", ",TEXT(F250,"0.0000"),"]")</f>
        <v xml:space="preserve">    - [1.023, 0.349, 0.262, 11.98, -0.1791]</v>
      </c>
      <c r="O250">
        <f>A250-'DLC Buildup Factors'!G255</f>
        <v>0</v>
      </c>
      <c r="P250">
        <f>B250-'DLC Buildup Factors'!H255</f>
        <v>0</v>
      </c>
      <c r="Q250">
        <f>C250-'DLC Buildup Factors'!I255</f>
        <v>0</v>
      </c>
      <c r="R250">
        <f>D250-'DLC Buildup Factors'!J255</f>
        <v>0</v>
      </c>
      <c r="S250">
        <f>E250-'DLC Buildup Factors'!K255</f>
        <v>0</v>
      </c>
      <c r="T250">
        <f>F250-'DLC Buildup Factors'!L255</f>
        <v>0</v>
      </c>
      <c r="U250">
        <f>G250-'DLC Buildup Factors'!M255</f>
        <v>0</v>
      </c>
      <c r="V250">
        <f>H250-'DLC Buildup Factors'!N255</f>
        <v>0</v>
      </c>
      <c r="W250">
        <f>I250-'DLC Buildup Factors'!O255</f>
        <v>0</v>
      </c>
    </row>
    <row r="251" spans="1:23">
      <c r="A251" s="12">
        <v>0.02</v>
      </c>
      <c r="B251">
        <v>1.0509999999999999</v>
      </c>
      <c r="C251">
        <v>0.42599999999999999</v>
      </c>
      <c r="D251">
        <v>0.17899999999999999</v>
      </c>
      <c r="E251">
        <v>17.64</v>
      </c>
      <c r="F251">
        <v>-0.10780000000000001</v>
      </c>
      <c r="G251" s="2">
        <v>8.0999999999999996E-3</v>
      </c>
      <c r="H251">
        <v>0.5</v>
      </c>
      <c r="I251" s="2">
        <v>2.98E-3</v>
      </c>
      <c r="K251" t="str">
        <f t="shared" ref="K251:K274" si="30">CONCATENATE("    - ",TEXT(A251,"0.000"))</f>
        <v xml:space="preserve">    - 0.020</v>
      </c>
      <c r="L251" t="str">
        <f t="shared" ref="L251:L274" si="31">CONCATENATE("    - [",TEXT(B251,"0.000"),", ",TEXT(C251,"0.000"),", ",TEXT(D251,"0.000"),", ",TEXT(E251,"0.00"),", ",TEXT(F251,"0.0000"),"]")</f>
        <v xml:space="preserve">    - [1.051, 0.426, 0.179, 17.64, -0.1078]</v>
      </c>
      <c r="O251">
        <f>A251-'DLC Buildup Factors'!G256</f>
        <v>0</v>
      </c>
      <c r="P251">
        <f>B251-'DLC Buildup Factors'!H256</f>
        <v>0</v>
      </c>
      <c r="Q251">
        <f>C251-'DLC Buildup Factors'!I256</f>
        <v>0</v>
      </c>
      <c r="R251">
        <f>D251-'DLC Buildup Factors'!J256</f>
        <v>0</v>
      </c>
      <c r="S251">
        <f>E251-'DLC Buildup Factors'!K256</f>
        <v>0</v>
      </c>
      <c r="T251">
        <f>F251-'DLC Buildup Factors'!L256</f>
        <v>0</v>
      </c>
      <c r="U251">
        <f>G251-'DLC Buildup Factors'!M256</f>
        <v>0</v>
      </c>
      <c r="V251">
        <f>H251-'DLC Buildup Factors'!N256</f>
        <v>0</v>
      </c>
      <c r="W251">
        <f>I251-'DLC Buildup Factors'!O256</f>
        <v>0</v>
      </c>
    </row>
    <row r="252" spans="1:23">
      <c r="A252" s="12">
        <v>0.03</v>
      </c>
      <c r="B252">
        <v>1.179</v>
      </c>
      <c r="C252">
        <v>0.39500000000000002</v>
      </c>
      <c r="D252">
        <v>0.216</v>
      </c>
      <c r="E252">
        <v>13.99</v>
      </c>
      <c r="F252">
        <v>-0.1163</v>
      </c>
      <c r="G252" s="2">
        <v>1.4999999999999999E-2</v>
      </c>
      <c r="H252">
        <v>0.5</v>
      </c>
      <c r="I252" s="2">
        <v>5.9100000000000003E-3</v>
      </c>
      <c r="K252" t="str">
        <f t="shared" si="30"/>
        <v xml:space="preserve">    - 0.030</v>
      </c>
      <c r="L252" t="str">
        <f t="shared" si="31"/>
        <v xml:space="preserve">    - [1.179, 0.395, 0.216, 13.99, -0.1163]</v>
      </c>
      <c r="O252">
        <f>A252-'DLC Buildup Factors'!G257</f>
        <v>0</v>
      </c>
      <c r="P252">
        <f>B252-'DLC Buildup Factors'!H257</f>
        <v>0</v>
      </c>
      <c r="Q252">
        <f>C252-'DLC Buildup Factors'!I257</f>
        <v>0</v>
      </c>
      <c r="R252">
        <f>D252-'DLC Buildup Factors'!J257</f>
        <v>0</v>
      </c>
      <c r="S252">
        <f>E252-'DLC Buildup Factors'!K257</f>
        <v>0</v>
      </c>
      <c r="T252">
        <f>F252-'DLC Buildup Factors'!L257</f>
        <v>0</v>
      </c>
      <c r="U252">
        <f>G252-'DLC Buildup Factors'!M257</f>
        <v>0</v>
      </c>
      <c r="V252">
        <f>H252-'DLC Buildup Factors'!N257</f>
        <v>0</v>
      </c>
      <c r="W252">
        <f>I252-'DLC Buildup Factors'!O257</f>
        <v>0</v>
      </c>
    </row>
    <row r="253" spans="1:23">
      <c r="A253" s="12">
        <v>0.04</v>
      </c>
      <c r="B253">
        <v>1.385</v>
      </c>
      <c r="C253">
        <v>0.46</v>
      </c>
      <c r="D253">
        <v>0.188</v>
      </c>
      <c r="E253">
        <v>14.33</v>
      </c>
      <c r="F253">
        <v>-0.1065</v>
      </c>
      <c r="G253" s="2">
        <v>1.95E-2</v>
      </c>
      <c r="H253">
        <v>0.5</v>
      </c>
      <c r="I253" s="2">
        <v>7.8799999999999999E-3</v>
      </c>
      <c r="K253" t="str">
        <f t="shared" si="30"/>
        <v xml:space="preserve">    - 0.040</v>
      </c>
      <c r="L253" t="str">
        <f t="shared" si="31"/>
        <v xml:space="preserve">    - [1.385, 0.460, 0.188, 14.33, -0.1065]</v>
      </c>
      <c r="O253">
        <f>A253-'DLC Buildup Factors'!G258</f>
        <v>0</v>
      </c>
      <c r="P253">
        <f>B253-'DLC Buildup Factors'!H258</f>
        <v>0</v>
      </c>
      <c r="Q253">
        <f>C253-'DLC Buildup Factors'!I258</f>
        <v>0</v>
      </c>
      <c r="R253">
        <f>D253-'DLC Buildup Factors'!J258</f>
        <v>0</v>
      </c>
      <c r="S253">
        <f>E253-'DLC Buildup Factors'!K258</f>
        <v>0</v>
      </c>
      <c r="T253">
        <f>F253-'DLC Buildup Factors'!L258</f>
        <v>0</v>
      </c>
      <c r="U253">
        <f>G253-'DLC Buildup Factors'!M258</f>
        <v>0</v>
      </c>
      <c r="V253">
        <f>H253-'DLC Buildup Factors'!N258</f>
        <v>0</v>
      </c>
      <c r="W253">
        <f>I253-'DLC Buildup Factors'!O258</f>
        <v>0</v>
      </c>
    </row>
    <row r="254" spans="1:23">
      <c r="A254" s="12">
        <v>0.05</v>
      </c>
      <c r="B254">
        <v>1.64</v>
      </c>
      <c r="C254">
        <v>0.57899999999999996</v>
      </c>
      <c r="D254">
        <v>0.13500000000000001</v>
      </c>
      <c r="E254">
        <v>15.12</v>
      </c>
      <c r="F254">
        <v>-7.1499999999999994E-2</v>
      </c>
      <c r="G254" s="2">
        <v>9.4000000000000004E-3</v>
      </c>
      <c r="H254">
        <v>4</v>
      </c>
      <c r="I254" s="2">
        <v>5.8199999999999997E-3</v>
      </c>
      <c r="K254" t="str">
        <f t="shared" si="30"/>
        <v xml:space="preserve">    - 0.050</v>
      </c>
      <c r="L254" t="str">
        <f t="shared" si="31"/>
        <v xml:space="preserve">    - [1.640, 0.579, 0.135, 15.12, -0.0715]</v>
      </c>
      <c r="O254">
        <f>A254-'DLC Buildup Factors'!G259</f>
        <v>0</v>
      </c>
      <c r="P254">
        <f>B254-'DLC Buildup Factors'!H259</f>
        <v>0</v>
      </c>
      <c r="Q254">
        <f>C254-'DLC Buildup Factors'!I259</f>
        <v>0</v>
      </c>
      <c r="R254">
        <f>D254-'DLC Buildup Factors'!J259</f>
        <v>0</v>
      </c>
      <c r="S254">
        <f>E254-'DLC Buildup Factors'!K259</f>
        <v>0</v>
      </c>
      <c r="T254">
        <f>F254-'DLC Buildup Factors'!L259</f>
        <v>0</v>
      </c>
      <c r="U254">
        <f>G254-'DLC Buildup Factors'!M259</f>
        <v>0</v>
      </c>
      <c r="V254">
        <f>H254-'DLC Buildup Factors'!N259</f>
        <v>0</v>
      </c>
      <c r="W254">
        <f>I254-'DLC Buildup Factors'!O259</f>
        <v>0</v>
      </c>
    </row>
    <row r="255" spans="1:23">
      <c r="A255" s="12">
        <v>0.06</v>
      </c>
      <c r="B255">
        <v>1.8939999999999999</v>
      </c>
      <c r="C255">
        <v>0.70199999999999996</v>
      </c>
      <c r="D255">
        <v>9.1999999999999998E-2</v>
      </c>
      <c r="E255">
        <v>15.29</v>
      </c>
      <c r="F255">
        <v>-5.16E-2</v>
      </c>
      <c r="G255" s="2">
        <v>3.0200000000000001E-2</v>
      </c>
      <c r="H255">
        <v>0.5</v>
      </c>
      <c r="I255" s="2">
        <v>1.2189999999999999E-2</v>
      </c>
      <c r="K255" t="str">
        <f t="shared" si="30"/>
        <v xml:space="preserve">    - 0.060</v>
      </c>
      <c r="L255" t="str">
        <f t="shared" si="31"/>
        <v xml:space="preserve">    - [1.894, 0.702, 0.092, 15.29, -0.0516]</v>
      </c>
      <c r="O255">
        <f>A255-'DLC Buildup Factors'!G260</f>
        <v>0</v>
      </c>
      <c r="P255">
        <f>B255-'DLC Buildup Factors'!H260</f>
        <v>0</v>
      </c>
      <c r="Q255">
        <f>C255-'DLC Buildup Factors'!I260</f>
        <v>0</v>
      </c>
      <c r="R255">
        <f>D255-'DLC Buildup Factors'!J260</f>
        <v>0</v>
      </c>
      <c r="S255">
        <f>E255-'DLC Buildup Factors'!K260</f>
        <v>0</v>
      </c>
      <c r="T255">
        <f>F255-'DLC Buildup Factors'!L260</f>
        <v>0</v>
      </c>
      <c r="U255">
        <f>G255-'DLC Buildup Factors'!M260</f>
        <v>0</v>
      </c>
      <c r="V255">
        <f>H255-'DLC Buildup Factors'!N260</f>
        <v>0</v>
      </c>
      <c r="W255">
        <f>I255-'DLC Buildup Factors'!O260</f>
        <v>0</v>
      </c>
    </row>
    <row r="256" spans="1:23">
      <c r="A256" s="12">
        <v>0.08</v>
      </c>
      <c r="B256">
        <v>2.4</v>
      </c>
      <c r="C256">
        <v>0.83799999999999997</v>
      </c>
      <c r="D256">
        <v>5.8000000000000003E-2</v>
      </c>
      <c r="E256">
        <v>14.66</v>
      </c>
      <c r="F256">
        <v>-5.0500000000000003E-2</v>
      </c>
      <c r="G256" s="2">
        <v>2.3599999999999999E-2</v>
      </c>
      <c r="H256">
        <v>0.5</v>
      </c>
      <c r="I256" s="2">
        <v>1.133E-2</v>
      </c>
      <c r="K256" t="str">
        <f t="shared" si="30"/>
        <v xml:space="preserve">    - 0.080</v>
      </c>
      <c r="L256" t="str">
        <f t="shared" si="31"/>
        <v xml:space="preserve">    - [2.400, 0.838, 0.058, 14.66, -0.0505]</v>
      </c>
      <c r="O256">
        <f>A256-'DLC Buildup Factors'!G261</f>
        <v>0</v>
      </c>
      <c r="P256">
        <f>B256-'DLC Buildup Factors'!H261</f>
        <v>0</v>
      </c>
      <c r="Q256">
        <f>C256-'DLC Buildup Factors'!I261</f>
        <v>0</v>
      </c>
      <c r="R256">
        <f>D256-'DLC Buildup Factors'!J261</f>
        <v>0</v>
      </c>
      <c r="S256">
        <f>E256-'DLC Buildup Factors'!K261</f>
        <v>0</v>
      </c>
      <c r="T256">
        <f>F256-'DLC Buildup Factors'!L261</f>
        <v>0</v>
      </c>
      <c r="U256">
        <f>G256-'DLC Buildup Factors'!M261</f>
        <v>0</v>
      </c>
      <c r="V256">
        <f>H256-'DLC Buildup Factors'!N261</f>
        <v>0</v>
      </c>
      <c r="W256">
        <f>I256-'DLC Buildup Factors'!O261</f>
        <v>0</v>
      </c>
    </row>
    <row r="257" spans="1:23">
      <c r="A257" s="12">
        <v>0.1</v>
      </c>
      <c r="B257">
        <v>2.6269999999999998</v>
      </c>
      <c r="C257">
        <v>1.018</v>
      </c>
      <c r="D257">
        <v>1.2E-2</v>
      </c>
      <c r="E257">
        <v>13.65</v>
      </c>
      <c r="F257">
        <v>-2.98E-2</v>
      </c>
      <c r="G257" s="2">
        <v>1.54E-2</v>
      </c>
      <c r="H257">
        <v>0.5</v>
      </c>
      <c r="I257" s="2">
        <v>8.0499999999999999E-3</v>
      </c>
      <c r="K257" t="str">
        <f t="shared" si="30"/>
        <v xml:space="preserve">    - 0.100</v>
      </c>
      <c r="L257" t="str">
        <f t="shared" si="31"/>
        <v xml:space="preserve">    - [2.627, 1.018, 0.012, 13.65, -0.0298]</v>
      </c>
      <c r="O257">
        <f>A257-'DLC Buildup Factors'!G262</f>
        <v>0</v>
      </c>
      <c r="P257">
        <f>B257-'DLC Buildup Factors'!H262</f>
        <v>0</v>
      </c>
      <c r="Q257">
        <f>C257-'DLC Buildup Factors'!I262</f>
        <v>0</v>
      </c>
      <c r="R257">
        <f>D257-'DLC Buildup Factors'!J262</f>
        <v>0</v>
      </c>
      <c r="S257">
        <f>E257-'DLC Buildup Factors'!K262</f>
        <v>0</v>
      </c>
      <c r="T257">
        <f>F257-'DLC Buildup Factors'!L262</f>
        <v>0</v>
      </c>
      <c r="U257">
        <f>G257-'DLC Buildup Factors'!M262</f>
        <v>0</v>
      </c>
      <c r="V257">
        <f>H257-'DLC Buildup Factors'!N262</f>
        <v>0</v>
      </c>
      <c r="W257">
        <f>I257-'DLC Buildup Factors'!O262</f>
        <v>0</v>
      </c>
    </row>
    <row r="258" spans="1:23">
      <c r="A258" s="12">
        <v>0.15</v>
      </c>
      <c r="B258">
        <v>2.7330000000000001</v>
      </c>
      <c r="C258">
        <v>1.2729999999999999</v>
      </c>
      <c r="D258">
        <v>-4.2000000000000003E-2</v>
      </c>
      <c r="E258">
        <v>10.39</v>
      </c>
      <c r="F258">
        <v>-6.1999999999999998E-3</v>
      </c>
      <c r="G258" s="2">
        <v>6.6E-3</v>
      </c>
      <c r="H258">
        <v>0.5</v>
      </c>
      <c r="I258" s="2">
        <v>2.3700000000000001E-3</v>
      </c>
      <c r="K258" t="str">
        <f t="shared" si="30"/>
        <v xml:space="preserve">    - 0.150</v>
      </c>
      <c r="L258" t="str">
        <f t="shared" si="31"/>
        <v xml:space="preserve">    - [2.733, 1.273, -0.042, 10.39, -0.0062]</v>
      </c>
      <c r="O258">
        <f>A258-'DLC Buildup Factors'!G263</f>
        <v>0</v>
      </c>
      <c r="P258">
        <f>B258-'DLC Buildup Factors'!H263</f>
        <v>0</v>
      </c>
      <c r="Q258">
        <f>C258-'DLC Buildup Factors'!I263</f>
        <v>0</v>
      </c>
      <c r="R258">
        <f>D258-'DLC Buildup Factors'!J263</f>
        <v>0</v>
      </c>
      <c r="S258">
        <f>E258-'DLC Buildup Factors'!K263</f>
        <v>0</v>
      </c>
      <c r="T258">
        <f>F258-'DLC Buildup Factors'!L263</f>
        <v>0</v>
      </c>
      <c r="U258">
        <f>G258-'DLC Buildup Factors'!M263</f>
        <v>0</v>
      </c>
      <c r="V258">
        <f>H258-'DLC Buildup Factors'!N263</f>
        <v>0</v>
      </c>
      <c r="W258">
        <f>I258-'DLC Buildup Factors'!O263</f>
        <v>0</v>
      </c>
    </row>
    <row r="259" spans="1:23">
      <c r="A259" s="12">
        <v>0.2</v>
      </c>
      <c r="B259">
        <v>2.6760000000000002</v>
      </c>
      <c r="C259">
        <v>1.375</v>
      </c>
      <c r="D259">
        <v>-5.8000000000000003E-2</v>
      </c>
      <c r="E259">
        <v>7.72</v>
      </c>
      <c r="F259">
        <v>-5.1999999999999998E-3</v>
      </c>
      <c r="G259" s="2">
        <v>7.0000000000000001E-3</v>
      </c>
      <c r="H259">
        <v>30</v>
      </c>
      <c r="I259" s="2">
        <v>3.2200000000000002E-3</v>
      </c>
      <c r="J259" s="15" t="s">
        <v>1549</v>
      </c>
      <c r="K259" t="str">
        <f t="shared" si="30"/>
        <v xml:space="preserve">    - 0.200</v>
      </c>
      <c r="L259" t="str">
        <f t="shared" si="31"/>
        <v xml:space="preserve">    - [2.676, 1.375, -0.058, 7.72, -0.0052]</v>
      </c>
      <c r="M259" s="25"/>
      <c r="N259" s="25"/>
      <c r="O259">
        <f>A259-'DLC Buildup Factors'!G264</f>
        <v>0</v>
      </c>
      <c r="P259">
        <f>B259-'DLC Buildup Factors'!H264</f>
        <v>7.0000000000001172E-3</v>
      </c>
      <c r="Q259">
        <f>C259-'DLC Buildup Factors'!I264</f>
        <v>-1.4999999999999902E-2</v>
      </c>
      <c r="R259">
        <f>D259-'DLC Buildup Factors'!J264</f>
        <v>4.9999999999999975E-3</v>
      </c>
      <c r="S259">
        <f>E259-'DLC Buildup Factors'!K264</f>
        <v>-12.780000000000001</v>
      </c>
      <c r="T259">
        <f>F259-'DLC Buildup Factors'!L264</f>
        <v>-1.2500000000000001E-2</v>
      </c>
      <c r="U259">
        <f>G259-'DLC Buildup Factors'!M264</f>
        <v>2.1000000000000003E-3</v>
      </c>
      <c r="V259">
        <f>H259-'DLC Buildup Factors'!N264</f>
        <v>15</v>
      </c>
      <c r="W259">
        <f>I259-'DLC Buildup Factors'!O264</f>
        <v>2.800000000000003E-4</v>
      </c>
    </row>
    <row r="260" spans="1:23">
      <c r="A260" s="12">
        <v>0.3</v>
      </c>
      <c r="B260">
        <v>2.4830000000000001</v>
      </c>
      <c r="C260">
        <v>1.4690000000000001</v>
      </c>
      <c r="D260">
        <v>-7.8E-2</v>
      </c>
      <c r="E260">
        <v>16.89</v>
      </c>
      <c r="F260">
        <v>1.3599999999999999E-2</v>
      </c>
      <c r="G260" s="2">
        <v>5.7000000000000002E-3</v>
      </c>
      <c r="H260">
        <v>0.5</v>
      </c>
      <c r="I260" s="2">
        <v>2.2499999999999998E-3</v>
      </c>
      <c r="K260" t="str">
        <f t="shared" si="30"/>
        <v xml:space="preserve">    - 0.300</v>
      </c>
      <c r="L260" t="str">
        <f t="shared" si="31"/>
        <v xml:space="preserve">    - [2.483, 1.469, -0.078, 16.89, 0.0136]</v>
      </c>
      <c r="O260">
        <f>A260-'DLC Buildup Factors'!G265</f>
        <v>0</v>
      </c>
      <c r="P260">
        <f>B260-'DLC Buildup Factors'!H265</f>
        <v>0</v>
      </c>
      <c r="Q260">
        <f>C260-'DLC Buildup Factors'!I265</f>
        <v>0</v>
      </c>
      <c r="R260">
        <f>D260-'DLC Buildup Factors'!J265</f>
        <v>0</v>
      </c>
      <c r="S260">
        <f>E260-'DLC Buildup Factors'!K265</f>
        <v>0</v>
      </c>
      <c r="T260">
        <f>F260-'DLC Buildup Factors'!L265</f>
        <v>0</v>
      </c>
      <c r="U260">
        <f>G260-'DLC Buildup Factors'!M265</f>
        <v>0</v>
      </c>
      <c r="V260">
        <f>H260-'DLC Buildup Factors'!N265</f>
        <v>0</v>
      </c>
      <c r="W260">
        <f>I260-'DLC Buildup Factors'!O265</f>
        <v>0</v>
      </c>
    </row>
    <row r="261" spans="1:23">
      <c r="A261" s="12">
        <v>0.4</v>
      </c>
      <c r="B261">
        <v>2.355</v>
      </c>
      <c r="C261">
        <v>1.4730000000000001</v>
      </c>
      <c r="D261">
        <v>-8.1000000000000003E-2</v>
      </c>
      <c r="E261">
        <v>15.82</v>
      </c>
      <c r="F261">
        <v>1.61E-2</v>
      </c>
      <c r="G261" s="2">
        <v>5.0000000000000001E-3</v>
      </c>
      <c r="H261">
        <v>35</v>
      </c>
      <c r="I261" s="2">
        <v>2.2599999999999999E-3</v>
      </c>
      <c r="K261" t="str">
        <f t="shared" si="30"/>
        <v xml:space="preserve">    - 0.400</v>
      </c>
      <c r="L261" t="str">
        <f t="shared" si="31"/>
        <v xml:space="preserve">    - [2.355, 1.473, -0.081, 15.82, 0.0161]</v>
      </c>
      <c r="O261">
        <f>A261-'DLC Buildup Factors'!G266</f>
        <v>0</v>
      </c>
      <c r="P261">
        <f>B261-'DLC Buildup Factors'!H266</f>
        <v>0</v>
      </c>
      <c r="Q261">
        <f>C261-'DLC Buildup Factors'!I266</f>
        <v>0</v>
      </c>
      <c r="R261">
        <f>D261-'DLC Buildup Factors'!J266</f>
        <v>0</v>
      </c>
      <c r="S261">
        <f>E261-'DLC Buildup Factors'!K266</f>
        <v>0</v>
      </c>
      <c r="T261">
        <f>F261-'DLC Buildup Factors'!L266</f>
        <v>0</v>
      </c>
      <c r="U261">
        <f>G261-'DLC Buildup Factors'!M266</f>
        <v>0</v>
      </c>
      <c r="V261">
        <f>H261-'DLC Buildup Factors'!N266</f>
        <v>0</v>
      </c>
      <c r="W261">
        <f>I261-'DLC Buildup Factors'!O266</f>
        <v>0</v>
      </c>
    </row>
    <row r="262" spans="1:23">
      <c r="A262" s="12">
        <v>0.5</v>
      </c>
      <c r="B262">
        <v>2.2519999999999998</v>
      </c>
      <c r="C262">
        <v>1.4550000000000001</v>
      </c>
      <c r="D262">
        <v>-0.08</v>
      </c>
      <c r="E262">
        <v>16.3</v>
      </c>
      <c r="F262">
        <v>1.8200000000000001E-2</v>
      </c>
      <c r="G262" s="2">
        <v>4.4000000000000003E-3</v>
      </c>
      <c r="H262">
        <v>40</v>
      </c>
      <c r="I262" s="2">
        <v>1.5499999999999999E-3</v>
      </c>
      <c r="K262" t="str">
        <f t="shared" si="30"/>
        <v xml:space="preserve">    - 0.500</v>
      </c>
      <c r="L262" t="str">
        <f t="shared" si="31"/>
        <v xml:space="preserve">    - [2.252, 1.455, -0.080, 16.30, 0.0182]</v>
      </c>
      <c r="O262">
        <f>A262-'DLC Buildup Factors'!G267</f>
        <v>0</v>
      </c>
      <c r="P262">
        <f>B262-'DLC Buildup Factors'!H267</f>
        <v>0</v>
      </c>
      <c r="Q262">
        <f>C262-'DLC Buildup Factors'!I267</f>
        <v>0</v>
      </c>
      <c r="R262">
        <f>D262-'DLC Buildup Factors'!J267</f>
        <v>0</v>
      </c>
      <c r="S262">
        <f>E262-'DLC Buildup Factors'!K267</f>
        <v>0</v>
      </c>
      <c r="T262">
        <f>F262-'DLC Buildup Factors'!L267</f>
        <v>0</v>
      </c>
      <c r="U262">
        <f>G262-'DLC Buildup Factors'!M267</f>
        <v>0</v>
      </c>
      <c r="V262">
        <f>H262-'DLC Buildup Factors'!N267</f>
        <v>0</v>
      </c>
      <c r="W262">
        <f>I262-'DLC Buildup Factors'!O267</f>
        <v>0</v>
      </c>
    </row>
    <row r="263" spans="1:23">
      <c r="A263" s="12">
        <v>0.6</v>
      </c>
      <c r="B263">
        <v>2.177</v>
      </c>
      <c r="C263">
        <v>1.4239999999999999</v>
      </c>
      <c r="D263">
        <v>-7.5999999999999998E-2</v>
      </c>
      <c r="E263">
        <v>18.670000000000002</v>
      </c>
      <c r="F263">
        <v>2.1499999999999998E-2</v>
      </c>
      <c r="G263" s="2">
        <v>4.1000000000000003E-3</v>
      </c>
      <c r="H263">
        <v>5</v>
      </c>
      <c r="I263" s="2">
        <v>2.15E-3</v>
      </c>
      <c r="K263" t="str">
        <f t="shared" si="30"/>
        <v xml:space="preserve">    - 0.600</v>
      </c>
      <c r="L263" t="str">
        <f t="shared" si="31"/>
        <v xml:space="preserve">    - [2.177, 1.424, -0.076, 18.67, 0.0215]</v>
      </c>
      <c r="O263">
        <f>A263-'DLC Buildup Factors'!G268</f>
        <v>0</v>
      </c>
      <c r="P263">
        <f>B263-'DLC Buildup Factors'!H268</f>
        <v>0</v>
      </c>
      <c r="Q263">
        <f>C263-'DLC Buildup Factors'!I268</f>
        <v>0</v>
      </c>
      <c r="R263">
        <f>D263-'DLC Buildup Factors'!J268</f>
        <v>0</v>
      </c>
      <c r="S263">
        <f>E263-'DLC Buildup Factors'!K268</f>
        <v>0</v>
      </c>
      <c r="T263">
        <f>F263-'DLC Buildup Factors'!L268</f>
        <v>0</v>
      </c>
      <c r="U263">
        <f>G263-'DLC Buildup Factors'!M268</f>
        <v>0</v>
      </c>
      <c r="V263">
        <f>H263-'DLC Buildup Factors'!N268</f>
        <v>0</v>
      </c>
      <c r="W263">
        <f>I263-'DLC Buildup Factors'!O268</f>
        <v>0</v>
      </c>
    </row>
    <row r="264" spans="1:23">
      <c r="A264" s="12">
        <v>0.8</v>
      </c>
      <c r="B264">
        <v>2.0529999999999999</v>
      </c>
      <c r="C264">
        <v>1.385</v>
      </c>
      <c r="D264">
        <v>-7.2999999999999995E-2</v>
      </c>
      <c r="E264">
        <v>15.28</v>
      </c>
      <c r="F264">
        <v>2.1100000000000001E-2</v>
      </c>
      <c r="G264" s="2">
        <v>4.4000000000000003E-3</v>
      </c>
      <c r="H264">
        <v>35</v>
      </c>
      <c r="I264" s="2">
        <v>2.0300000000000001E-3</v>
      </c>
      <c r="K264" t="str">
        <f t="shared" si="30"/>
        <v xml:space="preserve">    - 0.800</v>
      </c>
      <c r="L264" t="str">
        <f t="shared" si="31"/>
        <v xml:space="preserve">    - [2.053, 1.385, -0.073, 15.28, 0.0211]</v>
      </c>
      <c r="O264">
        <f>A264-'DLC Buildup Factors'!G269</f>
        <v>0</v>
      </c>
      <c r="P264">
        <f>B264-'DLC Buildup Factors'!H269</f>
        <v>0</v>
      </c>
      <c r="Q264">
        <f>C264-'DLC Buildup Factors'!I269</f>
        <v>0</v>
      </c>
      <c r="R264">
        <f>D264-'DLC Buildup Factors'!J269</f>
        <v>0</v>
      </c>
      <c r="S264">
        <f>E264-'DLC Buildup Factors'!K269</f>
        <v>0</v>
      </c>
      <c r="T264">
        <f>F264-'DLC Buildup Factors'!L269</f>
        <v>0</v>
      </c>
      <c r="U264">
        <f>G264-'DLC Buildup Factors'!M269</f>
        <v>0</v>
      </c>
      <c r="V264">
        <f>H264-'DLC Buildup Factors'!N269</f>
        <v>0</v>
      </c>
      <c r="W264">
        <f>I264-'DLC Buildup Factors'!O269</f>
        <v>0</v>
      </c>
    </row>
    <row r="265" spans="1:23">
      <c r="A265" s="12">
        <v>1</v>
      </c>
      <c r="B265">
        <v>1.98</v>
      </c>
      <c r="C265">
        <v>1.323</v>
      </c>
      <c r="D265">
        <v>-6.3E-2</v>
      </c>
      <c r="E265">
        <v>15.81</v>
      </c>
      <c r="F265">
        <v>1.84E-2</v>
      </c>
      <c r="G265" s="2">
        <v>5.1000000000000004E-3</v>
      </c>
      <c r="H265">
        <v>1</v>
      </c>
      <c r="I265" s="2">
        <v>1.92E-3</v>
      </c>
      <c r="K265" t="str">
        <f t="shared" si="30"/>
        <v xml:space="preserve">    - 1.000</v>
      </c>
      <c r="L265" t="str">
        <f t="shared" si="31"/>
        <v xml:space="preserve">    - [1.980, 1.323, -0.063, 15.81, 0.0184]</v>
      </c>
      <c r="O265">
        <f>A265-'DLC Buildup Factors'!G270</f>
        <v>0</v>
      </c>
      <c r="P265">
        <f>B265-'DLC Buildup Factors'!H270</f>
        <v>0</v>
      </c>
      <c r="Q265">
        <f>C265-'DLC Buildup Factors'!I270</f>
        <v>0</v>
      </c>
      <c r="R265">
        <f>D265-'DLC Buildup Factors'!J270</f>
        <v>0</v>
      </c>
      <c r="S265">
        <f>E265-'DLC Buildup Factors'!K270</f>
        <v>0</v>
      </c>
      <c r="T265">
        <f>F265-'DLC Buildup Factors'!L270</f>
        <v>0</v>
      </c>
      <c r="U265">
        <f>G265-'DLC Buildup Factors'!M270</f>
        <v>0</v>
      </c>
      <c r="V265">
        <f>H265-'DLC Buildup Factors'!N270</f>
        <v>0</v>
      </c>
      <c r="W265">
        <f>I265-'DLC Buildup Factors'!O270</f>
        <v>0</v>
      </c>
    </row>
    <row r="266" spans="1:23">
      <c r="A266" s="12">
        <v>1.5</v>
      </c>
      <c r="B266">
        <v>1.8420000000000001</v>
      </c>
      <c r="C266">
        <v>1.23</v>
      </c>
      <c r="D266">
        <v>-4.8000000000000001E-2</v>
      </c>
      <c r="E266">
        <v>15.12</v>
      </c>
      <c r="F266">
        <v>1.61E-2</v>
      </c>
      <c r="G266" s="2">
        <v>4.3E-3</v>
      </c>
      <c r="H266">
        <v>35</v>
      </c>
      <c r="I266" s="2">
        <v>2.2699999999999999E-3</v>
      </c>
      <c r="K266" t="str">
        <f t="shared" si="30"/>
        <v xml:space="preserve">    - 1.500</v>
      </c>
      <c r="L266" t="str">
        <f t="shared" si="31"/>
        <v xml:space="preserve">    - [1.842, 1.230, -0.048, 15.12, 0.0161]</v>
      </c>
      <c r="O266">
        <f>A266-'DLC Buildup Factors'!G271</f>
        <v>0</v>
      </c>
      <c r="P266">
        <f>B266-'DLC Buildup Factors'!H271</f>
        <v>0</v>
      </c>
      <c r="Q266">
        <f>C266-'DLC Buildup Factors'!I271</f>
        <v>0</v>
      </c>
      <c r="R266">
        <f>D266-'DLC Buildup Factors'!J271</f>
        <v>0</v>
      </c>
      <c r="S266">
        <f>E266-'DLC Buildup Factors'!K271</f>
        <v>0</v>
      </c>
      <c r="T266">
        <f>F266-'DLC Buildup Factors'!L271</f>
        <v>0</v>
      </c>
      <c r="U266">
        <f>G266-'DLC Buildup Factors'!M271</f>
        <v>0</v>
      </c>
      <c r="V266">
        <f>H266-'DLC Buildup Factors'!N271</f>
        <v>0</v>
      </c>
      <c r="W266">
        <f>I266-'DLC Buildup Factors'!O271</f>
        <v>0</v>
      </c>
    </row>
    <row r="267" spans="1:23">
      <c r="A267" s="12">
        <v>2</v>
      </c>
      <c r="B267">
        <v>1.7709999999999999</v>
      </c>
      <c r="C267">
        <v>1.155</v>
      </c>
      <c r="D267">
        <v>-3.3000000000000002E-2</v>
      </c>
      <c r="E267">
        <v>14.57</v>
      </c>
      <c r="F267">
        <v>0.01</v>
      </c>
      <c r="G267" s="2">
        <v>4.4999999999999997E-3</v>
      </c>
      <c r="H267">
        <v>40</v>
      </c>
      <c r="I267" s="2">
        <v>1.67E-3</v>
      </c>
      <c r="K267" t="str">
        <f t="shared" si="30"/>
        <v xml:space="preserve">    - 2.000</v>
      </c>
      <c r="L267" t="str">
        <f t="shared" si="31"/>
        <v xml:space="preserve">    - [1.771, 1.155, -0.033, 14.57, 0.0100]</v>
      </c>
      <c r="O267">
        <f>A267-'DLC Buildup Factors'!G272</f>
        <v>0</v>
      </c>
      <c r="P267">
        <f>B267-'DLC Buildup Factors'!H272</f>
        <v>0</v>
      </c>
      <c r="Q267">
        <f>C267-'DLC Buildup Factors'!I272</f>
        <v>0</v>
      </c>
      <c r="R267">
        <f>D267-'DLC Buildup Factors'!J272</f>
        <v>0</v>
      </c>
      <c r="S267">
        <f>E267-'DLC Buildup Factors'!K272</f>
        <v>0</v>
      </c>
      <c r="T267">
        <f>F267-'DLC Buildup Factors'!L272</f>
        <v>0</v>
      </c>
      <c r="U267">
        <f>G267-'DLC Buildup Factors'!M272</f>
        <v>0</v>
      </c>
      <c r="V267">
        <f>H267-'DLC Buildup Factors'!N272</f>
        <v>0</v>
      </c>
      <c r="W267">
        <f>I267-'DLC Buildup Factors'!O272</f>
        <v>0</v>
      </c>
    </row>
    <row r="268" spans="1:23">
      <c r="A268" s="12">
        <v>3</v>
      </c>
      <c r="B268">
        <v>1.669</v>
      </c>
      <c r="C268">
        <v>1.0580000000000001</v>
      </c>
      <c r="D268">
        <v>-0.01</v>
      </c>
      <c r="E268">
        <v>10.43</v>
      </c>
      <c r="F268">
        <v>-2.5999999999999999E-3</v>
      </c>
      <c r="G268" s="2">
        <v>4.0000000000000001E-3</v>
      </c>
      <c r="H268">
        <v>4</v>
      </c>
      <c r="I268" s="2">
        <v>1.74E-3</v>
      </c>
      <c r="K268" t="str">
        <f t="shared" si="30"/>
        <v xml:space="preserve">    - 3.000</v>
      </c>
      <c r="L268" t="str">
        <f t="shared" si="31"/>
        <v xml:space="preserve">    - [1.669, 1.058, -0.010, 10.43, -0.0026]</v>
      </c>
      <c r="O268">
        <f>A268-'DLC Buildup Factors'!G273</f>
        <v>0</v>
      </c>
      <c r="P268">
        <f>B268-'DLC Buildup Factors'!H273</f>
        <v>0</v>
      </c>
      <c r="Q268">
        <f>C268-'DLC Buildup Factors'!I273</f>
        <v>0</v>
      </c>
      <c r="R268">
        <f>D268-'DLC Buildup Factors'!J273</f>
        <v>0</v>
      </c>
      <c r="S268">
        <f>E268-'DLC Buildup Factors'!K273</f>
        <v>0</v>
      </c>
      <c r="T268">
        <f>F268-'DLC Buildup Factors'!L273</f>
        <v>0</v>
      </c>
      <c r="U268">
        <f>G268-'DLC Buildup Factors'!M273</f>
        <v>0</v>
      </c>
      <c r="V268">
        <f>H268-'DLC Buildup Factors'!N273</f>
        <v>0</v>
      </c>
      <c r="W268">
        <f>I268-'DLC Buildup Factors'!O273</f>
        <v>0</v>
      </c>
    </row>
    <row r="269" spans="1:23">
      <c r="A269" s="12">
        <v>4</v>
      </c>
      <c r="B269">
        <v>1.585</v>
      </c>
      <c r="C269">
        <v>1.0109999999999999</v>
      </c>
      <c r="D269">
        <v>2E-3</v>
      </c>
      <c r="E269">
        <v>15.91</v>
      </c>
      <c r="F269">
        <v>-1.2500000000000001E-2</v>
      </c>
      <c r="G269" s="2">
        <v>9.4000000000000004E-3</v>
      </c>
      <c r="H269">
        <v>1</v>
      </c>
      <c r="I269" s="2">
        <v>3.5100000000000001E-3</v>
      </c>
      <c r="K269" t="str">
        <f t="shared" si="30"/>
        <v xml:space="preserve">    - 4.000</v>
      </c>
      <c r="L269" t="str">
        <f t="shared" si="31"/>
        <v xml:space="preserve">    - [1.585, 1.011, 0.002, 15.91, -0.0125]</v>
      </c>
      <c r="O269">
        <f>A269-'DLC Buildup Factors'!G274</f>
        <v>0</v>
      </c>
      <c r="P269">
        <f>B269-'DLC Buildup Factors'!H274</f>
        <v>0</v>
      </c>
      <c r="Q269">
        <f>C269-'DLC Buildup Factors'!I274</f>
        <v>0</v>
      </c>
      <c r="R269">
        <f>D269-'DLC Buildup Factors'!J274</f>
        <v>0</v>
      </c>
      <c r="S269">
        <f>E269-'DLC Buildup Factors'!K274</f>
        <v>0</v>
      </c>
      <c r="T269">
        <f>F269-'DLC Buildup Factors'!L274</f>
        <v>0</v>
      </c>
      <c r="U269">
        <f>G269-'DLC Buildup Factors'!M274</f>
        <v>0</v>
      </c>
      <c r="V269">
        <f>H269-'DLC Buildup Factors'!N274</f>
        <v>0</v>
      </c>
      <c r="W269">
        <f>I269-'DLC Buildup Factors'!O274</f>
        <v>0</v>
      </c>
    </row>
    <row r="270" spans="1:23">
      <c r="A270" s="12">
        <v>5</v>
      </c>
      <c r="B270">
        <v>1.522</v>
      </c>
      <c r="C270">
        <v>0.96699999999999997</v>
      </c>
      <c r="D270">
        <v>1.6E-2</v>
      </c>
      <c r="E270">
        <v>11.03</v>
      </c>
      <c r="F270">
        <v>-1.7000000000000001E-2</v>
      </c>
      <c r="G270" s="2">
        <v>1.26E-2</v>
      </c>
      <c r="H270">
        <v>0.5</v>
      </c>
      <c r="I270" s="2">
        <v>4.1399999999999996E-3</v>
      </c>
      <c r="K270" t="str">
        <f t="shared" si="30"/>
        <v xml:space="preserve">    - 5.000</v>
      </c>
      <c r="L270" t="str">
        <f t="shared" si="31"/>
        <v xml:space="preserve">    - [1.522, 0.967, 0.016, 11.03, -0.0170]</v>
      </c>
      <c r="O270">
        <f>A270-'DLC Buildup Factors'!G275</f>
        <v>0</v>
      </c>
      <c r="P270">
        <f>B270-'DLC Buildup Factors'!H275</f>
        <v>0</v>
      </c>
      <c r="Q270">
        <f>C270-'DLC Buildup Factors'!I275</f>
        <v>0</v>
      </c>
      <c r="R270">
        <f>D270-'DLC Buildup Factors'!J275</f>
        <v>0</v>
      </c>
      <c r="S270">
        <f>E270-'DLC Buildup Factors'!K275</f>
        <v>0</v>
      </c>
      <c r="T270">
        <f>F270-'DLC Buildup Factors'!L275</f>
        <v>0</v>
      </c>
      <c r="U270">
        <f>G270-'DLC Buildup Factors'!M275</f>
        <v>0</v>
      </c>
      <c r="V270">
        <f>H270-'DLC Buildup Factors'!N275</f>
        <v>0</v>
      </c>
      <c r="W270">
        <f>I270-'DLC Buildup Factors'!O275</f>
        <v>0</v>
      </c>
    </row>
    <row r="271" spans="1:23">
      <c r="A271" s="12">
        <v>6</v>
      </c>
      <c r="B271">
        <v>1.474</v>
      </c>
      <c r="C271">
        <v>0.95299999999999996</v>
      </c>
      <c r="D271">
        <v>1.9E-2</v>
      </c>
      <c r="E271">
        <v>14.09</v>
      </c>
      <c r="F271">
        <v>-1.9E-2</v>
      </c>
      <c r="G271" s="2">
        <v>1.54E-2</v>
      </c>
      <c r="H271">
        <v>0.5</v>
      </c>
      <c r="I271" s="2">
        <v>6.3699999999999998E-3</v>
      </c>
      <c r="K271" t="str">
        <f t="shared" si="30"/>
        <v xml:space="preserve">    - 6.000</v>
      </c>
      <c r="L271" t="str">
        <f t="shared" si="31"/>
        <v xml:space="preserve">    - [1.474, 0.953, 0.019, 14.09, -0.0190]</v>
      </c>
      <c r="O271">
        <f>A271-'DLC Buildup Factors'!G276</f>
        <v>0</v>
      </c>
      <c r="P271">
        <f>B271-'DLC Buildup Factors'!H276</f>
        <v>0</v>
      </c>
      <c r="Q271">
        <f>C271-'DLC Buildup Factors'!I276</f>
        <v>0</v>
      </c>
      <c r="R271">
        <f>D271-'DLC Buildup Factors'!J276</f>
        <v>0</v>
      </c>
      <c r="S271">
        <f>E271-'DLC Buildup Factors'!K276</f>
        <v>0</v>
      </c>
      <c r="T271">
        <f>F271-'DLC Buildup Factors'!L276</f>
        <v>0</v>
      </c>
      <c r="U271">
        <f>G271-'DLC Buildup Factors'!M276</f>
        <v>0</v>
      </c>
      <c r="V271">
        <f>H271-'DLC Buildup Factors'!N276</f>
        <v>0</v>
      </c>
      <c r="W271">
        <f>I271-'DLC Buildup Factors'!O276</f>
        <v>0</v>
      </c>
    </row>
    <row r="272" spans="1:23">
      <c r="A272" s="12">
        <v>8</v>
      </c>
      <c r="B272">
        <v>1.389</v>
      </c>
      <c r="C272">
        <v>0.93</v>
      </c>
      <c r="D272">
        <v>2.7E-2</v>
      </c>
      <c r="E272">
        <v>13.47</v>
      </c>
      <c r="F272">
        <v>-2.4899999999999999E-2</v>
      </c>
      <c r="G272" s="2">
        <v>1.7299999999999999E-2</v>
      </c>
      <c r="H272">
        <v>0.5</v>
      </c>
      <c r="I272" s="2">
        <v>7.5799999999999999E-3</v>
      </c>
      <c r="K272" t="str">
        <f t="shared" si="30"/>
        <v xml:space="preserve">    - 8.000</v>
      </c>
      <c r="L272" t="str">
        <f t="shared" si="31"/>
        <v xml:space="preserve">    - [1.389, 0.930, 0.027, 13.47, -0.0249]</v>
      </c>
      <c r="O272">
        <f>A272-'DLC Buildup Factors'!G277</f>
        <v>0</v>
      </c>
      <c r="P272">
        <f>B272-'DLC Buildup Factors'!H277</f>
        <v>0</v>
      </c>
      <c r="Q272">
        <f>C272-'DLC Buildup Factors'!I277</f>
        <v>0</v>
      </c>
      <c r="R272">
        <f>D272-'DLC Buildup Factors'!J277</f>
        <v>0</v>
      </c>
      <c r="S272">
        <f>E272-'DLC Buildup Factors'!K277</f>
        <v>0</v>
      </c>
      <c r="T272">
        <f>F272-'DLC Buildup Factors'!L277</f>
        <v>0</v>
      </c>
      <c r="U272">
        <f>G272-'DLC Buildup Factors'!M277</f>
        <v>0</v>
      </c>
      <c r="V272">
        <f>H272-'DLC Buildup Factors'!N277</f>
        <v>0</v>
      </c>
      <c r="W272">
        <f>I272-'DLC Buildup Factors'!O277</f>
        <v>0</v>
      </c>
    </row>
    <row r="273" spans="1:23">
      <c r="A273" s="12">
        <v>10</v>
      </c>
      <c r="B273">
        <v>1.331</v>
      </c>
      <c r="C273">
        <v>0.90800000000000003</v>
      </c>
      <c r="D273">
        <v>3.5999999999999997E-2</v>
      </c>
      <c r="E273">
        <v>13.36</v>
      </c>
      <c r="F273">
        <v>-3.1899999999999998E-2</v>
      </c>
      <c r="G273" s="2">
        <v>1.6400000000000001E-2</v>
      </c>
      <c r="H273">
        <v>0.5</v>
      </c>
      <c r="I273" s="2">
        <v>8.2900000000000005E-3</v>
      </c>
      <c r="K273" t="str">
        <f t="shared" si="30"/>
        <v xml:space="preserve">    - 10.000</v>
      </c>
      <c r="L273" t="str">
        <f t="shared" si="31"/>
        <v xml:space="preserve">    - [1.331, 0.908, 0.036, 13.36, -0.0319]</v>
      </c>
      <c r="O273">
        <f>A273-'DLC Buildup Factors'!G278</f>
        <v>0</v>
      </c>
      <c r="P273">
        <f>B273-'DLC Buildup Factors'!H278</f>
        <v>0</v>
      </c>
      <c r="Q273">
        <f>C273-'DLC Buildup Factors'!I278</f>
        <v>0</v>
      </c>
      <c r="R273">
        <f>D273-'DLC Buildup Factors'!J278</f>
        <v>0</v>
      </c>
      <c r="S273">
        <f>E273-'DLC Buildup Factors'!K278</f>
        <v>0</v>
      </c>
      <c r="T273">
        <f>F273-'DLC Buildup Factors'!L278</f>
        <v>0</v>
      </c>
      <c r="U273">
        <f>G273-'DLC Buildup Factors'!M278</f>
        <v>0</v>
      </c>
      <c r="V273">
        <f>H273-'DLC Buildup Factors'!N278</f>
        <v>0</v>
      </c>
      <c r="W273">
        <f>I273-'DLC Buildup Factors'!O278</f>
        <v>0</v>
      </c>
    </row>
    <row r="274" spans="1:23">
      <c r="A274" s="12">
        <v>15</v>
      </c>
      <c r="B274">
        <v>1.236</v>
      </c>
      <c r="C274">
        <v>0.88700000000000001</v>
      </c>
      <c r="D274">
        <v>4.7E-2</v>
      </c>
      <c r="E274">
        <v>13.39</v>
      </c>
      <c r="F274">
        <v>-4.3200000000000002E-2</v>
      </c>
      <c r="G274" s="2">
        <v>2.3900000000000001E-2</v>
      </c>
      <c r="H274">
        <v>0.5</v>
      </c>
      <c r="I274" s="2">
        <v>9.9299999999999996E-3</v>
      </c>
      <c r="K274" t="str">
        <f t="shared" si="30"/>
        <v xml:space="preserve">    - 15.000</v>
      </c>
      <c r="L274" t="str">
        <f t="shared" si="31"/>
        <v xml:space="preserve">    - [1.236, 0.887, 0.047, 13.39, -0.0432]</v>
      </c>
      <c r="O274">
        <f>A274-'DLC Buildup Factors'!G279</f>
        <v>0</v>
      </c>
      <c r="P274">
        <f>B274-'DLC Buildup Factors'!H279</f>
        <v>0</v>
      </c>
      <c r="Q274">
        <f>C274-'DLC Buildup Factors'!I279</f>
        <v>0</v>
      </c>
      <c r="R274">
        <f>D274-'DLC Buildup Factors'!J279</f>
        <v>0</v>
      </c>
      <c r="S274">
        <f>E274-'DLC Buildup Factors'!K279</f>
        <v>0</v>
      </c>
      <c r="T274">
        <f>F274-'DLC Buildup Factors'!L279</f>
        <v>0</v>
      </c>
      <c r="U274">
        <f>G274-'DLC Buildup Factors'!M279</f>
        <v>0</v>
      </c>
      <c r="V274">
        <f>H274-'DLC Buildup Factors'!N279</f>
        <v>0</v>
      </c>
      <c r="W274">
        <f>I274-'DLC Buildup Factors'!O279</f>
        <v>0</v>
      </c>
    </row>
    <row r="275" spans="1:23">
      <c r="A275" s="12"/>
    </row>
    <row r="276" spans="1:23">
      <c r="A276" s="12" t="s">
        <v>1525</v>
      </c>
    </row>
    <row r="277" spans="1:23">
      <c r="A277" s="12" t="s">
        <v>1534</v>
      </c>
    </row>
    <row r="278" spans="1:23">
      <c r="A278" t="s">
        <v>0</v>
      </c>
      <c r="B278" t="s">
        <v>10</v>
      </c>
      <c r="C278" t="s">
        <v>11</v>
      </c>
      <c r="D278" t="s">
        <v>12</v>
      </c>
      <c r="E278" t="s">
        <v>15</v>
      </c>
      <c r="F278" t="s">
        <v>13</v>
      </c>
      <c r="G278" t="s">
        <v>16</v>
      </c>
      <c r="H278" t="s">
        <v>17</v>
      </c>
      <c r="I278" t="s">
        <v>14</v>
      </c>
    </row>
    <row r="279" spans="1:23">
      <c r="A279" s="12">
        <v>1.4999999999999999E-2</v>
      </c>
      <c r="B279">
        <v>1.018</v>
      </c>
      <c r="C279">
        <v>0.39800000000000002</v>
      </c>
      <c r="D279">
        <v>0.21199999999999999</v>
      </c>
      <c r="E279">
        <v>12.01</v>
      </c>
      <c r="F279">
        <v>-0.12790000000000001</v>
      </c>
      <c r="G279" s="2">
        <v>5.1999999999999998E-3</v>
      </c>
      <c r="H279">
        <v>4</v>
      </c>
      <c r="I279" s="2">
        <v>2.8600000000000001E-3</v>
      </c>
      <c r="K279" t="str">
        <f t="shared" ref="K279" si="32">CONCATENATE("    - ",TEXT(A279,"0.000"))</f>
        <v xml:space="preserve">    - 0.015</v>
      </c>
      <c r="L279" t="str">
        <f t="shared" ref="L279" si="33">CONCATENATE("    - [",TEXT(B279,"0.000"),", ",TEXT(C279,"0.000"),", ",TEXT(D279,"0.000"),", ",TEXT(E279,"0.00"),", ",TEXT(F279,"0.0000"),"]")</f>
        <v xml:space="preserve">    - [1.018, 0.398, 0.212, 12.01, -0.1279]</v>
      </c>
      <c r="O279">
        <f>A279-'DLC Buildup Factors'!G286</f>
        <v>0</v>
      </c>
      <c r="P279">
        <f>B279-'DLC Buildup Factors'!H286</f>
        <v>0</v>
      </c>
      <c r="Q279">
        <f>C279-'DLC Buildup Factors'!I286</f>
        <v>0</v>
      </c>
      <c r="R279">
        <f>D279-'DLC Buildup Factors'!J286</f>
        <v>0</v>
      </c>
      <c r="S279">
        <f>E279-'DLC Buildup Factors'!K286</f>
        <v>0</v>
      </c>
      <c r="T279">
        <f>F279-'DLC Buildup Factors'!L286</f>
        <v>0</v>
      </c>
      <c r="U279">
        <f>G279-'DLC Buildup Factors'!M286</f>
        <v>0</v>
      </c>
      <c r="V279">
        <f>H279-'DLC Buildup Factors'!N286</f>
        <v>0</v>
      </c>
      <c r="W279">
        <f>I279-'DLC Buildup Factors'!O286</f>
        <v>0</v>
      </c>
    </row>
    <row r="280" spans="1:23">
      <c r="A280" s="12">
        <v>0.02</v>
      </c>
      <c r="B280">
        <v>1.0409999999999999</v>
      </c>
      <c r="C280">
        <v>0.432</v>
      </c>
      <c r="D280">
        <v>0.17499999999999999</v>
      </c>
      <c r="E280">
        <v>13.83</v>
      </c>
      <c r="F280">
        <v>-7.7100000000000002E-2</v>
      </c>
      <c r="G280" s="2">
        <v>4.4999999999999997E-3</v>
      </c>
      <c r="H280">
        <v>0.5</v>
      </c>
      <c r="I280" s="2">
        <v>2.49E-3</v>
      </c>
      <c r="K280" t="str">
        <f t="shared" ref="K280:K303" si="34">CONCATENATE("    - ",TEXT(A280,"0.000"))</f>
        <v xml:space="preserve">    - 0.020</v>
      </c>
      <c r="L280" t="str">
        <f t="shared" ref="L280:L303" si="35">CONCATENATE("    - [",TEXT(B280,"0.000"),", ",TEXT(C280,"0.000"),", ",TEXT(D280,"0.000"),", ",TEXT(E280,"0.00"),", ",TEXT(F280,"0.0000"),"]")</f>
        <v xml:space="preserve">    - [1.041, 0.432, 0.175, 13.83, -0.0771]</v>
      </c>
      <c r="O280">
        <f>A280-'DLC Buildup Factors'!G287</f>
        <v>0</v>
      </c>
      <c r="P280">
        <f>B280-'DLC Buildup Factors'!H287</f>
        <v>0</v>
      </c>
      <c r="Q280">
        <f>C280-'DLC Buildup Factors'!I287</f>
        <v>0</v>
      </c>
      <c r="R280">
        <f>D280-'DLC Buildup Factors'!J287</f>
        <v>0</v>
      </c>
      <c r="S280">
        <f>E280-'DLC Buildup Factors'!K287</f>
        <v>0</v>
      </c>
      <c r="T280">
        <f>F280-'DLC Buildup Factors'!L287</f>
        <v>0</v>
      </c>
      <c r="U280">
        <f>G280-'DLC Buildup Factors'!M287</f>
        <v>0</v>
      </c>
      <c r="V280">
        <f>H280-'DLC Buildup Factors'!N287</f>
        <v>0</v>
      </c>
      <c r="W280">
        <f>I280-'DLC Buildup Factors'!O287</f>
        <v>0</v>
      </c>
    </row>
    <row r="281" spans="1:23">
      <c r="A281" s="12">
        <v>0.03</v>
      </c>
      <c r="B281">
        <v>1.141</v>
      </c>
      <c r="C281">
        <v>0.39400000000000002</v>
      </c>
      <c r="D281">
        <v>0.21299999999999999</v>
      </c>
      <c r="E281">
        <v>14.41</v>
      </c>
      <c r="F281">
        <v>-0.115</v>
      </c>
      <c r="G281" s="2">
        <v>9.9000000000000008E-3</v>
      </c>
      <c r="H281">
        <v>0.5</v>
      </c>
      <c r="I281" s="2">
        <v>3.7200000000000002E-3</v>
      </c>
      <c r="K281" t="str">
        <f t="shared" si="34"/>
        <v xml:space="preserve">    - 0.030</v>
      </c>
      <c r="L281" t="str">
        <f t="shared" si="35"/>
        <v xml:space="preserve">    - [1.141, 0.394, 0.213, 14.41, -0.1150]</v>
      </c>
      <c r="O281">
        <f>A281-'DLC Buildup Factors'!G288</f>
        <v>0</v>
      </c>
      <c r="P281">
        <f>B281-'DLC Buildup Factors'!H288</f>
        <v>0</v>
      </c>
      <c r="Q281">
        <f>C281-'DLC Buildup Factors'!I288</f>
        <v>0</v>
      </c>
      <c r="R281">
        <f>D281-'DLC Buildup Factors'!J288</f>
        <v>0</v>
      </c>
      <c r="S281">
        <f>E281-'DLC Buildup Factors'!K288</f>
        <v>0</v>
      </c>
      <c r="T281">
        <f>F281-'DLC Buildup Factors'!L288</f>
        <v>0</v>
      </c>
      <c r="U281">
        <f>G281-'DLC Buildup Factors'!M288</f>
        <v>0</v>
      </c>
      <c r="V281">
        <f>H281-'DLC Buildup Factors'!N288</f>
        <v>0</v>
      </c>
      <c r="W281">
        <f>I281-'DLC Buildup Factors'!O288</f>
        <v>0</v>
      </c>
    </row>
    <row r="282" spans="1:23">
      <c r="A282" s="12">
        <v>0.04</v>
      </c>
      <c r="B282">
        <v>1.3140000000000001</v>
      </c>
      <c r="C282">
        <v>0.439</v>
      </c>
      <c r="D282">
        <v>0.19500000000000001</v>
      </c>
      <c r="E282">
        <v>14.43</v>
      </c>
      <c r="F282">
        <v>-0.1084</v>
      </c>
      <c r="G282" s="2">
        <v>2.1399999999999999E-2</v>
      </c>
      <c r="H282">
        <v>0.5</v>
      </c>
      <c r="I282" s="2">
        <v>8.1099999999999992E-3</v>
      </c>
      <c r="K282" t="str">
        <f t="shared" si="34"/>
        <v xml:space="preserve">    - 0.040</v>
      </c>
      <c r="L282" t="str">
        <f t="shared" si="35"/>
        <v xml:space="preserve">    - [1.314, 0.439, 0.195, 14.43, -0.1084]</v>
      </c>
      <c r="O282">
        <f>A282-'DLC Buildup Factors'!G289</f>
        <v>0</v>
      </c>
      <c r="P282">
        <f>B282-'DLC Buildup Factors'!H289</f>
        <v>0</v>
      </c>
      <c r="Q282">
        <f>C282-'DLC Buildup Factors'!I289</f>
        <v>0</v>
      </c>
      <c r="R282">
        <f>D282-'DLC Buildup Factors'!J289</f>
        <v>0</v>
      </c>
      <c r="S282">
        <f>E282-'DLC Buildup Factors'!K289</f>
        <v>0</v>
      </c>
      <c r="T282">
        <f>F282-'DLC Buildup Factors'!L289</f>
        <v>0</v>
      </c>
      <c r="U282">
        <f>G282-'DLC Buildup Factors'!M289</f>
        <v>0</v>
      </c>
      <c r="V282">
        <f>H282-'DLC Buildup Factors'!N289</f>
        <v>0</v>
      </c>
      <c r="W282">
        <f>I282-'DLC Buildup Factors'!O289</f>
        <v>0</v>
      </c>
    </row>
    <row r="283" spans="1:23">
      <c r="A283" s="12">
        <v>0.05</v>
      </c>
      <c r="B283">
        <v>1.5329999999999999</v>
      </c>
      <c r="C283">
        <v>0.52</v>
      </c>
      <c r="D283">
        <v>0.16200000000000001</v>
      </c>
      <c r="E283">
        <v>14.69</v>
      </c>
      <c r="F283">
        <v>-9.01E-2</v>
      </c>
      <c r="G283" s="2">
        <v>1.72E-2</v>
      </c>
      <c r="H283">
        <v>0.5</v>
      </c>
      <c r="I283" s="2">
        <v>7.7299999999999999E-3</v>
      </c>
      <c r="K283" t="str">
        <f t="shared" si="34"/>
        <v xml:space="preserve">    - 0.050</v>
      </c>
      <c r="L283" t="str">
        <f t="shared" si="35"/>
        <v xml:space="preserve">    - [1.533, 0.520, 0.162, 14.69, -0.0901]</v>
      </c>
      <c r="O283">
        <f>A283-'DLC Buildup Factors'!G290</f>
        <v>0</v>
      </c>
      <c r="P283">
        <f>B283-'DLC Buildup Factors'!H290</f>
        <v>0</v>
      </c>
      <c r="Q283">
        <f>C283-'DLC Buildup Factors'!I290</f>
        <v>0</v>
      </c>
      <c r="R283">
        <f>D283-'DLC Buildup Factors'!J290</f>
        <v>0</v>
      </c>
      <c r="S283">
        <f>E283-'DLC Buildup Factors'!K290</f>
        <v>0</v>
      </c>
      <c r="T283">
        <f>F283-'DLC Buildup Factors'!L290</f>
        <v>0</v>
      </c>
      <c r="U283">
        <f>G283-'DLC Buildup Factors'!M290</f>
        <v>0</v>
      </c>
      <c r="V283">
        <f>H283-'DLC Buildup Factors'!N290</f>
        <v>0</v>
      </c>
      <c r="W283">
        <f>I283-'DLC Buildup Factors'!O290</f>
        <v>0</v>
      </c>
    </row>
    <row r="284" spans="1:23">
      <c r="A284" s="12">
        <v>0.06</v>
      </c>
      <c r="B284">
        <v>1.7509999999999999</v>
      </c>
      <c r="C284">
        <v>0.63300000000000001</v>
      </c>
      <c r="D284">
        <v>0.11700000000000001</v>
      </c>
      <c r="E284">
        <v>14.78</v>
      </c>
      <c r="F284">
        <v>-6.3500000000000001E-2</v>
      </c>
      <c r="G284" s="2">
        <v>9.9000000000000008E-3</v>
      </c>
      <c r="H284">
        <v>0.5</v>
      </c>
      <c r="I284" s="2">
        <v>5.8199999999999997E-3</v>
      </c>
      <c r="K284" t="str">
        <f t="shared" si="34"/>
        <v xml:space="preserve">    - 0.060</v>
      </c>
      <c r="L284" t="str">
        <f t="shared" si="35"/>
        <v xml:space="preserve">    - [1.751, 0.633, 0.117, 14.78, -0.0635]</v>
      </c>
      <c r="O284">
        <f>A284-'DLC Buildup Factors'!G291</f>
        <v>0</v>
      </c>
      <c r="P284">
        <f>B284-'DLC Buildup Factors'!H291</f>
        <v>0</v>
      </c>
      <c r="Q284">
        <f>C284-'DLC Buildup Factors'!I291</f>
        <v>0</v>
      </c>
      <c r="R284">
        <f>D284-'DLC Buildup Factors'!J291</f>
        <v>0</v>
      </c>
      <c r="S284">
        <f>E284-'DLC Buildup Factors'!K291</f>
        <v>0</v>
      </c>
      <c r="T284">
        <f>F284-'DLC Buildup Factors'!L291</f>
        <v>0</v>
      </c>
      <c r="U284">
        <f>G284-'DLC Buildup Factors'!M291</f>
        <v>0</v>
      </c>
      <c r="V284">
        <f>H284-'DLC Buildup Factors'!N291</f>
        <v>0</v>
      </c>
      <c r="W284">
        <f>I284-'DLC Buildup Factors'!O291</f>
        <v>0</v>
      </c>
    </row>
    <row r="285" spans="1:23">
      <c r="A285" s="12">
        <v>0.08</v>
      </c>
      <c r="B285">
        <v>2.2040000000000002</v>
      </c>
      <c r="C285">
        <v>0.75700000000000001</v>
      </c>
      <c r="D285">
        <v>8.4000000000000005E-2</v>
      </c>
      <c r="E285">
        <v>12.94</v>
      </c>
      <c r="F285">
        <v>-5.16E-2</v>
      </c>
      <c r="G285" s="2">
        <v>2.7900000000000001E-2</v>
      </c>
      <c r="H285">
        <v>0.5</v>
      </c>
      <c r="I285" s="2">
        <v>1.3990000000000001E-2</v>
      </c>
      <c r="K285" t="str">
        <f t="shared" si="34"/>
        <v xml:space="preserve">    - 0.080</v>
      </c>
      <c r="L285" t="str">
        <f t="shared" si="35"/>
        <v xml:space="preserve">    - [2.204, 0.757, 0.084, 12.94, -0.0516]</v>
      </c>
      <c r="O285">
        <f>A285-'DLC Buildup Factors'!G292</f>
        <v>0</v>
      </c>
      <c r="P285">
        <f>B285-'DLC Buildup Factors'!H292</f>
        <v>0</v>
      </c>
      <c r="Q285">
        <f>C285-'DLC Buildup Factors'!I292</f>
        <v>0</v>
      </c>
      <c r="R285">
        <f>D285-'DLC Buildup Factors'!J292</f>
        <v>0</v>
      </c>
      <c r="S285">
        <f>E285-'DLC Buildup Factors'!K292</f>
        <v>0</v>
      </c>
      <c r="T285">
        <f>F285-'DLC Buildup Factors'!L292</f>
        <v>0</v>
      </c>
      <c r="U285">
        <f>G285-'DLC Buildup Factors'!M292</f>
        <v>0</v>
      </c>
      <c r="V285">
        <f>H285-'DLC Buildup Factors'!N292</f>
        <v>0</v>
      </c>
      <c r="W285">
        <f>I285-'DLC Buildup Factors'!O292</f>
        <v>0</v>
      </c>
    </row>
    <row r="286" spans="1:23">
      <c r="A286" s="12">
        <v>0.1</v>
      </c>
      <c r="B286">
        <v>2.4340000000000002</v>
      </c>
      <c r="C286">
        <v>0.94</v>
      </c>
      <c r="D286">
        <v>3.1E-2</v>
      </c>
      <c r="E286">
        <v>14.07</v>
      </c>
      <c r="F286">
        <v>-4.02E-2</v>
      </c>
      <c r="G286" s="2">
        <v>2.7E-2</v>
      </c>
      <c r="H286">
        <v>0.5</v>
      </c>
      <c r="I286" s="2">
        <v>1.1690000000000001E-2</v>
      </c>
      <c r="K286" t="str">
        <f t="shared" si="34"/>
        <v xml:space="preserve">    - 0.100</v>
      </c>
      <c r="L286" t="str">
        <f t="shared" si="35"/>
        <v xml:space="preserve">    - [2.434, 0.940, 0.031, 14.07, -0.0402]</v>
      </c>
      <c r="O286">
        <f>A286-'DLC Buildup Factors'!G293</f>
        <v>0</v>
      </c>
      <c r="P286">
        <f>B286-'DLC Buildup Factors'!H293</f>
        <v>0</v>
      </c>
      <c r="Q286">
        <f>C286-'DLC Buildup Factors'!I293</f>
        <v>0</v>
      </c>
      <c r="R286">
        <f>D286-'DLC Buildup Factors'!J293</f>
        <v>0</v>
      </c>
      <c r="S286">
        <f>E286-'DLC Buildup Factors'!K293</f>
        <v>0</v>
      </c>
      <c r="T286">
        <f>F286-'DLC Buildup Factors'!L293</f>
        <v>0</v>
      </c>
      <c r="U286">
        <f>G286-'DLC Buildup Factors'!M293</f>
        <v>0</v>
      </c>
      <c r="V286">
        <f>H286-'DLC Buildup Factors'!N293</f>
        <v>0</v>
      </c>
      <c r="W286">
        <f>I286-'DLC Buildup Factors'!O293</f>
        <v>0</v>
      </c>
    </row>
    <row r="287" spans="1:23">
      <c r="A287" s="12">
        <v>0.15</v>
      </c>
      <c r="B287">
        <v>2.6110000000000002</v>
      </c>
      <c r="C287">
        <v>1.198</v>
      </c>
      <c r="D287">
        <v>-2.7E-2</v>
      </c>
      <c r="E287">
        <v>11.68</v>
      </c>
      <c r="F287">
        <v>-1.37E-2</v>
      </c>
      <c r="G287" s="2">
        <v>8.2000000000000007E-3</v>
      </c>
      <c r="H287">
        <v>0.5</v>
      </c>
      <c r="I287" s="2">
        <v>4.96E-3</v>
      </c>
      <c r="K287" t="str">
        <f t="shared" si="34"/>
        <v xml:space="preserve">    - 0.150</v>
      </c>
      <c r="L287" t="str">
        <f t="shared" si="35"/>
        <v xml:space="preserve">    - [2.611, 1.198, -0.027, 11.68, -0.0137]</v>
      </c>
      <c r="O287">
        <f>A287-'DLC Buildup Factors'!G294</f>
        <v>0</v>
      </c>
      <c r="P287">
        <f>B287-'DLC Buildup Factors'!H294</f>
        <v>0</v>
      </c>
      <c r="Q287">
        <f>C287-'DLC Buildup Factors'!I294</f>
        <v>0</v>
      </c>
      <c r="R287">
        <f>D287-'DLC Buildup Factors'!J294</f>
        <v>0</v>
      </c>
      <c r="S287">
        <f>E287-'DLC Buildup Factors'!K294</f>
        <v>0</v>
      </c>
      <c r="T287">
        <f>F287-'DLC Buildup Factors'!L294</f>
        <v>0</v>
      </c>
      <c r="U287">
        <f>G287-'DLC Buildup Factors'!M294</f>
        <v>0</v>
      </c>
      <c r="V287">
        <f>H287-'DLC Buildup Factors'!N294</f>
        <v>0</v>
      </c>
      <c r="W287">
        <f>I287-'DLC Buildup Factors'!O294</f>
        <v>0</v>
      </c>
    </row>
    <row r="288" spans="1:23">
      <c r="A288" s="12">
        <v>0.2</v>
      </c>
      <c r="B288">
        <v>2.59</v>
      </c>
      <c r="C288">
        <v>1.319</v>
      </c>
      <c r="D288">
        <v>-4.8000000000000001E-2</v>
      </c>
      <c r="E288">
        <v>9.0299999999999994</v>
      </c>
      <c r="F288">
        <v>-8.8000000000000005E-3</v>
      </c>
      <c r="G288" s="2">
        <v>6.7999999999999996E-3</v>
      </c>
      <c r="H288">
        <v>3</v>
      </c>
      <c r="I288" s="2">
        <v>3.8300000000000001E-3</v>
      </c>
      <c r="K288" t="str">
        <f t="shared" si="34"/>
        <v xml:space="preserve">    - 0.200</v>
      </c>
      <c r="L288" t="str">
        <f t="shared" si="35"/>
        <v xml:space="preserve">    - [2.590, 1.319, -0.048, 9.03, -0.0088]</v>
      </c>
      <c r="O288">
        <f>A288-'DLC Buildup Factors'!G295</f>
        <v>0</v>
      </c>
      <c r="P288">
        <f>B288-'DLC Buildup Factors'!H295</f>
        <v>0</v>
      </c>
      <c r="Q288">
        <f>C288-'DLC Buildup Factors'!I295</f>
        <v>0</v>
      </c>
      <c r="R288">
        <f>D288-'DLC Buildup Factors'!J295</f>
        <v>0</v>
      </c>
      <c r="S288">
        <f>E288-'DLC Buildup Factors'!K295</f>
        <v>0</v>
      </c>
      <c r="T288">
        <f>F288-'DLC Buildup Factors'!L295</f>
        <v>0</v>
      </c>
      <c r="U288">
        <f>G288-'DLC Buildup Factors'!M295</f>
        <v>0</v>
      </c>
      <c r="V288">
        <f>H288-'DLC Buildup Factors'!N295</f>
        <v>0</v>
      </c>
      <c r="W288">
        <f>I288-'DLC Buildup Factors'!O295</f>
        <v>0</v>
      </c>
    </row>
    <row r="289" spans="1:23">
      <c r="A289" s="12">
        <v>0.3</v>
      </c>
      <c r="B289">
        <v>2.431</v>
      </c>
      <c r="C289">
        <v>1.4330000000000001</v>
      </c>
      <c r="D289">
        <v>-7.1999999999999995E-2</v>
      </c>
      <c r="E289">
        <v>19.170000000000002</v>
      </c>
      <c r="F289">
        <v>1.2500000000000001E-2</v>
      </c>
      <c r="G289" s="2">
        <v>1.06E-2</v>
      </c>
      <c r="H289">
        <v>0.5</v>
      </c>
      <c r="I289" s="2">
        <v>3.2799999999999999E-3</v>
      </c>
      <c r="K289" t="str">
        <f t="shared" si="34"/>
        <v xml:space="preserve">    - 0.300</v>
      </c>
      <c r="L289" t="str">
        <f t="shared" si="35"/>
        <v xml:space="preserve">    - [2.431, 1.433, -0.072, 19.17, 0.0125]</v>
      </c>
      <c r="O289">
        <f>A289-'DLC Buildup Factors'!G296</f>
        <v>0</v>
      </c>
      <c r="P289">
        <f>B289-'DLC Buildup Factors'!H296</f>
        <v>0</v>
      </c>
      <c r="Q289">
        <f>C289-'DLC Buildup Factors'!I296</f>
        <v>0</v>
      </c>
      <c r="R289">
        <f>D289-'DLC Buildup Factors'!J296</f>
        <v>0</v>
      </c>
      <c r="S289">
        <f>E289-'DLC Buildup Factors'!K296</f>
        <v>0</v>
      </c>
      <c r="T289">
        <f>F289-'DLC Buildup Factors'!L296</f>
        <v>0</v>
      </c>
      <c r="U289">
        <f>G289-'DLC Buildup Factors'!M296</f>
        <v>0</v>
      </c>
      <c r="V289">
        <f>H289-'DLC Buildup Factors'!N296</f>
        <v>0</v>
      </c>
      <c r="W289">
        <f>I289-'DLC Buildup Factors'!O296</f>
        <v>0</v>
      </c>
    </row>
    <row r="290" spans="1:23">
      <c r="A290" s="12">
        <v>0.4</v>
      </c>
      <c r="B290">
        <v>2.3250000000000002</v>
      </c>
      <c r="C290">
        <v>1.44</v>
      </c>
      <c r="D290">
        <v>-7.4999999999999997E-2</v>
      </c>
      <c r="E290">
        <v>17.170000000000002</v>
      </c>
      <c r="F290">
        <v>1.3899999999999999E-2</v>
      </c>
      <c r="G290" s="2">
        <v>3.8999999999999998E-3</v>
      </c>
      <c r="H290">
        <v>0.5</v>
      </c>
      <c r="I290" s="2">
        <v>2.4599999999999999E-3</v>
      </c>
      <c r="K290" t="str">
        <f t="shared" si="34"/>
        <v xml:space="preserve">    - 0.400</v>
      </c>
      <c r="L290" t="str">
        <f t="shared" si="35"/>
        <v xml:space="preserve">    - [2.325, 1.440, -0.075, 17.17, 0.0139]</v>
      </c>
      <c r="O290">
        <f>A290-'DLC Buildup Factors'!G297</f>
        <v>0</v>
      </c>
      <c r="P290">
        <f>B290-'DLC Buildup Factors'!H297</f>
        <v>0</v>
      </c>
      <c r="Q290">
        <f>C290-'DLC Buildup Factors'!I297</f>
        <v>0</v>
      </c>
      <c r="R290">
        <f>D290-'DLC Buildup Factors'!J297</f>
        <v>0</v>
      </c>
      <c r="S290">
        <f>E290-'DLC Buildup Factors'!K297</f>
        <v>0</v>
      </c>
      <c r="T290">
        <f>F290-'DLC Buildup Factors'!L297</f>
        <v>0</v>
      </c>
      <c r="U290">
        <f>G290-'DLC Buildup Factors'!M297</f>
        <v>0</v>
      </c>
      <c r="V290">
        <f>H290-'DLC Buildup Factors'!N297</f>
        <v>0</v>
      </c>
      <c r="W290">
        <f>I290-'DLC Buildup Factors'!O297</f>
        <v>0</v>
      </c>
    </row>
    <row r="291" spans="1:23">
      <c r="A291" s="12">
        <v>0.5</v>
      </c>
      <c r="B291">
        <v>2.2240000000000002</v>
      </c>
      <c r="C291">
        <v>1.4330000000000001</v>
      </c>
      <c r="D291">
        <v>-7.5999999999999998E-2</v>
      </c>
      <c r="E291">
        <v>16.309999999999999</v>
      </c>
      <c r="F291">
        <v>1.5699999999999999E-2</v>
      </c>
      <c r="G291" s="2">
        <v>7.0000000000000001E-3</v>
      </c>
      <c r="H291">
        <v>0.5</v>
      </c>
      <c r="I291" s="2">
        <v>2.5000000000000001E-3</v>
      </c>
      <c r="K291" t="str">
        <f t="shared" si="34"/>
        <v xml:space="preserve">    - 0.500</v>
      </c>
      <c r="L291" t="str">
        <f t="shared" si="35"/>
        <v xml:space="preserve">    - [2.224, 1.433, -0.076, 16.31, 0.0157]</v>
      </c>
      <c r="O291">
        <f>A291-'DLC Buildup Factors'!G298</f>
        <v>0</v>
      </c>
      <c r="P291">
        <f>B291-'DLC Buildup Factors'!H298</f>
        <v>0</v>
      </c>
      <c r="Q291">
        <f>C291-'DLC Buildup Factors'!I298</f>
        <v>0</v>
      </c>
      <c r="R291">
        <f>D291-'DLC Buildup Factors'!J298</f>
        <v>0</v>
      </c>
      <c r="S291">
        <f>E291-'DLC Buildup Factors'!K298</f>
        <v>0</v>
      </c>
      <c r="T291">
        <f>F291-'DLC Buildup Factors'!L298</f>
        <v>0</v>
      </c>
      <c r="U291">
        <f>G291-'DLC Buildup Factors'!M298</f>
        <v>0</v>
      </c>
      <c r="V291">
        <f>H291-'DLC Buildup Factors'!N298</f>
        <v>0</v>
      </c>
      <c r="W291">
        <f>I291-'DLC Buildup Factors'!O298</f>
        <v>0</v>
      </c>
    </row>
    <row r="292" spans="1:23">
      <c r="A292" s="12">
        <v>0.6</v>
      </c>
      <c r="B292">
        <v>2.1469999999999998</v>
      </c>
      <c r="C292">
        <v>1.4159999999999999</v>
      </c>
      <c r="D292">
        <v>-7.4999999999999997E-2</v>
      </c>
      <c r="E292">
        <v>16.440000000000001</v>
      </c>
      <c r="F292">
        <v>1.7999999999999999E-2</v>
      </c>
      <c r="G292" s="2">
        <v>3.0000000000000001E-3</v>
      </c>
      <c r="H292">
        <v>6</v>
      </c>
      <c r="I292" s="2">
        <v>1.5299999999999999E-3</v>
      </c>
      <c r="K292" t="str">
        <f t="shared" si="34"/>
        <v xml:space="preserve">    - 0.600</v>
      </c>
      <c r="L292" t="str">
        <f t="shared" si="35"/>
        <v xml:space="preserve">    - [2.147, 1.416, -0.075, 16.44, 0.0180]</v>
      </c>
      <c r="O292">
        <f>A292-'DLC Buildup Factors'!G299</f>
        <v>0</v>
      </c>
      <c r="P292">
        <f>B292-'DLC Buildup Factors'!H299</f>
        <v>0</v>
      </c>
      <c r="Q292">
        <f>C292-'DLC Buildup Factors'!I299</f>
        <v>0</v>
      </c>
      <c r="R292">
        <f>D292-'DLC Buildup Factors'!J299</f>
        <v>0</v>
      </c>
      <c r="S292">
        <f>E292-'DLC Buildup Factors'!K299</f>
        <v>0</v>
      </c>
      <c r="T292">
        <f>F292-'DLC Buildup Factors'!L299</f>
        <v>0</v>
      </c>
      <c r="U292">
        <f>G292-'DLC Buildup Factors'!M299</f>
        <v>0</v>
      </c>
      <c r="V292">
        <f>H292-'DLC Buildup Factors'!N299</f>
        <v>0</v>
      </c>
      <c r="W292">
        <f>I292-'DLC Buildup Factors'!O299</f>
        <v>0</v>
      </c>
    </row>
    <row r="293" spans="1:23">
      <c r="A293" s="12">
        <v>0.8</v>
      </c>
      <c r="B293">
        <v>2.0350000000000001</v>
      </c>
      <c r="C293">
        <v>1.375</v>
      </c>
      <c r="D293">
        <v>-7.0999999999999994E-2</v>
      </c>
      <c r="E293">
        <v>15.64</v>
      </c>
      <c r="F293">
        <v>2.0500000000000001E-2</v>
      </c>
      <c r="G293" s="2">
        <v>6.7000000000000002E-3</v>
      </c>
      <c r="H293">
        <v>0.5</v>
      </c>
      <c r="I293" s="2">
        <v>2.2599999999999999E-3</v>
      </c>
      <c r="K293" t="str">
        <f t="shared" si="34"/>
        <v xml:space="preserve">    - 0.800</v>
      </c>
      <c r="L293" t="str">
        <f t="shared" si="35"/>
        <v xml:space="preserve">    - [2.035, 1.375, -0.071, 15.64, 0.0205]</v>
      </c>
      <c r="O293">
        <f>A293-'DLC Buildup Factors'!G300</f>
        <v>0</v>
      </c>
      <c r="P293">
        <f>B293-'DLC Buildup Factors'!H300</f>
        <v>0</v>
      </c>
      <c r="Q293">
        <f>C293-'DLC Buildup Factors'!I300</f>
        <v>0</v>
      </c>
      <c r="R293">
        <f>D293-'DLC Buildup Factors'!J300</f>
        <v>0</v>
      </c>
      <c r="S293">
        <f>E293-'DLC Buildup Factors'!K300</f>
        <v>0</v>
      </c>
      <c r="T293">
        <f>F293-'DLC Buildup Factors'!L300</f>
        <v>0</v>
      </c>
      <c r="U293">
        <f>G293-'DLC Buildup Factors'!M300</f>
        <v>0</v>
      </c>
      <c r="V293">
        <f>H293-'DLC Buildup Factors'!N300</f>
        <v>0</v>
      </c>
      <c r="W293">
        <f>I293-'DLC Buildup Factors'!O300</f>
        <v>0</v>
      </c>
    </row>
    <row r="294" spans="1:23">
      <c r="A294" s="12">
        <v>1</v>
      </c>
      <c r="B294">
        <v>1.9590000000000001</v>
      </c>
      <c r="C294">
        <v>1.323</v>
      </c>
      <c r="D294">
        <v>-6.3E-2</v>
      </c>
      <c r="E294">
        <v>17.02</v>
      </c>
      <c r="F294">
        <v>2.0400000000000001E-2</v>
      </c>
      <c r="G294" s="2">
        <v>3.7000000000000002E-3</v>
      </c>
      <c r="H294">
        <v>15</v>
      </c>
      <c r="I294" s="2">
        <v>1.65E-3</v>
      </c>
      <c r="K294" t="str">
        <f t="shared" si="34"/>
        <v xml:space="preserve">    - 1.000</v>
      </c>
      <c r="L294" t="str">
        <f t="shared" si="35"/>
        <v xml:space="preserve">    - [1.959, 1.323, -0.063, 17.02, 0.0204]</v>
      </c>
      <c r="O294">
        <f>A294-'DLC Buildup Factors'!G301</f>
        <v>0</v>
      </c>
      <c r="P294">
        <f>B294-'DLC Buildup Factors'!H301</f>
        <v>0</v>
      </c>
      <c r="Q294">
        <f>C294-'DLC Buildup Factors'!I301</f>
        <v>0</v>
      </c>
      <c r="R294">
        <f>D294-'DLC Buildup Factors'!J301</f>
        <v>0</v>
      </c>
      <c r="S294">
        <f>E294-'DLC Buildup Factors'!K301</f>
        <v>0</v>
      </c>
      <c r="T294">
        <f>F294-'DLC Buildup Factors'!L301</f>
        <v>0</v>
      </c>
      <c r="U294">
        <f>G294-'DLC Buildup Factors'!M301</f>
        <v>0</v>
      </c>
      <c r="V294">
        <f>H294-'DLC Buildup Factors'!N301</f>
        <v>0</v>
      </c>
      <c r="W294">
        <f>I294-'DLC Buildup Factors'!O301</f>
        <v>0</v>
      </c>
    </row>
    <row r="295" spans="1:23">
      <c r="A295" s="12">
        <v>1.5</v>
      </c>
      <c r="B295">
        <v>1.8340000000000001</v>
      </c>
      <c r="C295">
        <v>1.226</v>
      </c>
      <c r="D295">
        <v>-4.7E-2</v>
      </c>
      <c r="E295">
        <v>15.36</v>
      </c>
      <c r="F295">
        <v>1.55E-2</v>
      </c>
      <c r="G295" s="2">
        <v>3.7000000000000002E-3</v>
      </c>
      <c r="H295">
        <v>10</v>
      </c>
      <c r="I295" s="2">
        <v>1.8400000000000001E-3</v>
      </c>
      <c r="K295" t="str">
        <f t="shared" si="34"/>
        <v xml:space="preserve">    - 1.500</v>
      </c>
      <c r="L295" t="str">
        <f t="shared" si="35"/>
        <v xml:space="preserve">    - [1.834, 1.226, -0.047, 15.36, 0.0155]</v>
      </c>
      <c r="O295">
        <f>A295-'DLC Buildup Factors'!G302</f>
        <v>0</v>
      </c>
      <c r="P295">
        <f>B295-'DLC Buildup Factors'!H302</f>
        <v>0</v>
      </c>
      <c r="Q295">
        <f>C295-'DLC Buildup Factors'!I302</f>
        <v>0</v>
      </c>
      <c r="R295">
        <f>D295-'DLC Buildup Factors'!J302</f>
        <v>0</v>
      </c>
      <c r="S295">
        <f>E295-'DLC Buildup Factors'!K302</f>
        <v>0</v>
      </c>
      <c r="T295">
        <f>F295-'DLC Buildup Factors'!L302</f>
        <v>0</v>
      </c>
      <c r="U295">
        <f>G295-'DLC Buildup Factors'!M302</f>
        <v>0</v>
      </c>
      <c r="V295">
        <f>H295-'DLC Buildup Factors'!N302</f>
        <v>0</v>
      </c>
      <c r="W295">
        <f>I295-'DLC Buildup Factors'!O302</f>
        <v>0</v>
      </c>
    </row>
    <row r="296" spans="1:23">
      <c r="A296" s="12">
        <v>2</v>
      </c>
      <c r="B296">
        <v>1.7629999999999999</v>
      </c>
      <c r="C296">
        <v>1.1559999999999999</v>
      </c>
      <c r="D296">
        <v>-3.3000000000000002E-2</v>
      </c>
      <c r="E296">
        <v>14.97</v>
      </c>
      <c r="F296">
        <v>9.9000000000000008E-3</v>
      </c>
      <c r="G296" s="2">
        <v>4.0000000000000001E-3</v>
      </c>
      <c r="H296">
        <v>0.5</v>
      </c>
      <c r="I296" s="2">
        <v>1.9E-3</v>
      </c>
      <c r="K296" t="str">
        <f t="shared" si="34"/>
        <v xml:space="preserve">    - 2.000</v>
      </c>
      <c r="L296" t="str">
        <f t="shared" si="35"/>
        <v xml:space="preserve">    - [1.763, 1.156, -0.033, 14.97, 0.0099]</v>
      </c>
      <c r="O296">
        <f>A296-'DLC Buildup Factors'!G303</f>
        <v>0</v>
      </c>
      <c r="P296">
        <f>B296-'DLC Buildup Factors'!H303</f>
        <v>0</v>
      </c>
      <c r="Q296">
        <f>C296-'DLC Buildup Factors'!I303</f>
        <v>0</v>
      </c>
      <c r="R296">
        <f>D296-'DLC Buildup Factors'!J303</f>
        <v>0</v>
      </c>
      <c r="S296">
        <f>E296-'DLC Buildup Factors'!K303</f>
        <v>0</v>
      </c>
      <c r="T296">
        <f>F296-'DLC Buildup Factors'!L303</f>
        <v>0</v>
      </c>
      <c r="U296">
        <f>G296-'DLC Buildup Factors'!M303</f>
        <v>0</v>
      </c>
      <c r="V296">
        <f>H296-'DLC Buildup Factors'!N303</f>
        <v>0</v>
      </c>
      <c r="W296">
        <f>I296-'DLC Buildup Factors'!O303</f>
        <v>0</v>
      </c>
    </row>
    <row r="297" spans="1:23">
      <c r="A297" s="12">
        <v>3</v>
      </c>
      <c r="B297">
        <v>1.6639999999999999</v>
      </c>
      <c r="C297">
        <v>1.0589999999999999</v>
      </c>
      <c r="D297">
        <v>-0.01</v>
      </c>
      <c r="E297">
        <v>13.4</v>
      </c>
      <c r="F297">
        <v>-3.0000000000000001E-3</v>
      </c>
      <c r="G297" s="2">
        <v>3.5999999999999999E-3</v>
      </c>
      <c r="H297">
        <v>1</v>
      </c>
      <c r="I297" s="2">
        <v>2.31E-3</v>
      </c>
      <c r="K297" t="str">
        <f t="shared" si="34"/>
        <v xml:space="preserve">    - 3.000</v>
      </c>
      <c r="L297" t="str">
        <f t="shared" si="35"/>
        <v xml:space="preserve">    - [1.664, 1.059, -0.010, 13.40, -0.0030]</v>
      </c>
      <c r="O297">
        <f>A297-'DLC Buildup Factors'!G304</f>
        <v>0</v>
      </c>
      <c r="P297">
        <f>B297-'DLC Buildup Factors'!H304</f>
        <v>0</v>
      </c>
      <c r="Q297">
        <f>C297-'DLC Buildup Factors'!I304</f>
        <v>0</v>
      </c>
      <c r="R297">
        <f>D297-'DLC Buildup Factors'!J304</f>
        <v>0</v>
      </c>
      <c r="S297">
        <f>E297-'DLC Buildup Factors'!K304</f>
        <v>0</v>
      </c>
      <c r="T297">
        <f>F297-'DLC Buildup Factors'!L304</f>
        <v>0</v>
      </c>
      <c r="U297">
        <f>G297-'DLC Buildup Factors'!M304</f>
        <v>0</v>
      </c>
      <c r="V297">
        <f>H297-'DLC Buildup Factors'!N304</f>
        <v>0</v>
      </c>
      <c r="W297">
        <f>I297-'DLC Buildup Factors'!O304</f>
        <v>0</v>
      </c>
    </row>
    <row r="298" spans="1:23">
      <c r="A298" s="12">
        <v>4</v>
      </c>
      <c r="B298">
        <v>1.59</v>
      </c>
      <c r="C298">
        <v>1.0029999999999999</v>
      </c>
      <c r="D298">
        <v>5.0000000000000001E-3</v>
      </c>
      <c r="E298">
        <v>15.05</v>
      </c>
      <c r="F298">
        <v>-1.5599999999999999E-2</v>
      </c>
      <c r="G298" s="2">
        <v>7.4000000000000003E-3</v>
      </c>
      <c r="H298">
        <v>4</v>
      </c>
      <c r="I298" s="2">
        <v>4.1900000000000001E-3</v>
      </c>
      <c r="K298" t="str">
        <f t="shared" si="34"/>
        <v xml:space="preserve">    - 4.000</v>
      </c>
      <c r="L298" t="str">
        <f t="shared" si="35"/>
        <v xml:space="preserve">    - [1.590, 1.003, 0.005, 15.05, -0.0156]</v>
      </c>
      <c r="O298">
        <f>A298-'DLC Buildup Factors'!G305</f>
        <v>0</v>
      </c>
      <c r="P298">
        <f>B298-'DLC Buildup Factors'!H305</f>
        <v>0</v>
      </c>
      <c r="Q298">
        <f>C298-'DLC Buildup Factors'!I305</f>
        <v>0</v>
      </c>
      <c r="R298">
        <f>D298-'DLC Buildup Factors'!J305</f>
        <v>0</v>
      </c>
      <c r="S298">
        <f>E298-'DLC Buildup Factors'!K305</f>
        <v>0</v>
      </c>
      <c r="T298">
        <f>F298-'DLC Buildup Factors'!L305</f>
        <v>0</v>
      </c>
      <c r="U298">
        <f>G298-'DLC Buildup Factors'!M305</f>
        <v>0</v>
      </c>
      <c r="V298">
        <f>H298-'DLC Buildup Factors'!N305</f>
        <v>0</v>
      </c>
      <c r="W298">
        <f>I298-'DLC Buildup Factors'!O305</f>
        <v>0</v>
      </c>
    </row>
    <row r="299" spans="1:23">
      <c r="A299" s="12">
        <v>5</v>
      </c>
      <c r="B299">
        <v>1.5209999999999999</v>
      </c>
      <c r="C299">
        <v>0.96799999999999997</v>
      </c>
      <c r="D299">
        <v>1.6E-2</v>
      </c>
      <c r="E299">
        <v>11.99</v>
      </c>
      <c r="F299">
        <v>-1.7600000000000001E-2</v>
      </c>
      <c r="G299" s="2">
        <v>1.2999999999999999E-2</v>
      </c>
      <c r="H299">
        <v>0.5</v>
      </c>
      <c r="I299" s="2">
        <v>5.0299999999999997E-3</v>
      </c>
      <c r="K299" t="str">
        <f t="shared" si="34"/>
        <v xml:space="preserve">    - 5.000</v>
      </c>
      <c r="L299" t="str">
        <f t="shared" si="35"/>
        <v xml:space="preserve">    - [1.521, 0.968, 0.016, 11.99, -0.0176]</v>
      </c>
      <c r="O299">
        <f>A299-'DLC Buildup Factors'!G306</f>
        <v>0</v>
      </c>
      <c r="P299">
        <f>B299-'DLC Buildup Factors'!H306</f>
        <v>0</v>
      </c>
      <c r="Q299">
        <f>C299-'DLC Buildup Factors'!I306</f>
        <v>0</v>
      </c>
      <c r="R299">
        <f>D299-'DLC Buildup Factors'!J306</f>
        <v>0</v>
      </c>
      <c r="S299">
        <f>E299-'DLC Buildup Factors'!K306</f>
        <v>0</v>
      </c>
      <c r="T299">
        <f>F299-'DLC Buildup Factors'!L306</f>
        <v>0</v>
      </c>
      <c r="U299">
        <f>G299-'DLC Buildup Factors'!M306</f>
        <v>0</v>
      </c>
      <c r="V299">
        <f>H299-'DLC Buildup Factors'!N306</f>
        <v>0</v>
      </c>
      <c r="W299">
        <f>I299-'DLC Buildup Factors'!O306</f>
        <v>0</v>
      </c>
    </row>
    <row r="300" spans="1:23">
      <c r="A300" s="12">
        <v>6</v>
      </c>
      <c r="B300">
        <v>1.47</v>
      </c>
      <c r="C300">
        <v>0.95799999999999996</v>
      </c>
      <c r="D300">
        <v>1.7999999999999999E-2</v>
      </c>
      <c r="E300">
        <v>14.3</v>
      </c>
      <c r="F300">
        <v>-1.9E-2</v>
      </c>
      <c r="G300" s="2">
        <v>1.7299999999999999E-2</v>
      </c>
      <c r="H300">
        <v>0.5</v>
      </c>
      <c r="I300" s="2">
        <v>7.4200000000000004E-3</v>
      </c>
      <c r="K300" t="str">
        <f t="shared" si="34"/>
        <v xml:space="preserve">    - 6.000</v>
      </c>
      <c r="L300" t="str">
        <f t="shared" si="35"/>
        <v xml:space="preserve">    - [1.470, 0.958, 0.018, 14.30, -0.0190]</v>
      </c>
      <c r="O300">
        <f>A300-'DLC Buildup Factors'!G307</f>
        <v>0</v>
      </c>
      <c r="P300">
        <f>B300-'DLC Buildup Factors'!H307</f>
        <v>0</v>
      </c>
      <c r="Q300">
        <f>C300-'DLC Buildup Factors'!I307</f>
        <v>0</v>
      </c>
      <c r="R300">
        <f>D300-'DLC Buildup Factors'!J307</f>
        <v>0</v>
      </c>
      <c r="S300">
        <f>E300-'DLC Buildup Factors'!K307</f>
        <v>0</v>
      </c>
      <c r="T300">
        <f>F300-'DLC Buildup Factors'!L307</f>
        <v>0</v>
      </c>
      <c r="U300">
        <f>G300-'DLC Buildup Factors'!M307</f>
        <v>0</v>
      </c>
      <c r="V300">
        <f>H300-'DLC Buildup Factors'!N307</f>
        <v>0</v>
      </c>
      <c r="W300">
        <f>I300-'DLC Buildup Factors'!O307</f>
        <v>0</v>
      </c>
    </row>
    <row r="301" spans="1:23">
      <c r="A301" s="12">
        <v>8</v>
      </c>
      <c r="B301">
        <v>1.389</v>
      </c>
      <c r="C301">
        <v>0.92800000000000005</v>
      </c>
      <c r="D301">
        <v>2.9000000000000001E-2</v>
      </c>
      <c r="E301">
        <v>13.67</v>
      </c>
      <c r="F301">
        <v>-2.7900000000000001E-2</v>
      </c>
      <c r="G301" s="2">
        <v>1.7100000000000001E-2</v>
      </c>
      <c r="H301">
        <v>0.5</v>
      </c>
      <c r="I301" s="2">
        <v>8.3999999999999995E-3</v>
      </c>
      <c r="K301" t="str">
        <f t="shared" si="34"/>
        <v xml:space="preserve">    - 8.000</v>
      </c>
      <c r="L301" t="str">
        <f t="shared" si="35"/>
        <v xml:space="preserve">    - [1.389, 0.928, 0.029, 13.67, -0.0279]</v>
      </c>
      <c r="O301">
        <f>A301-'DLC Buildup Factors'!G308</f>
        <v>0</v>
      </c>
      <c r="P301">
        <f>B301-'DLC Buildup Factors'!H308</f>
        <v>0</v>
      </c>
      <c r="Q301">
        <f>C301-'DLC Buildup Factors'!I308</f>
        <v>0</v>
      </c>
      <c r="R301">
        <f>D301-'DLC Buildup Factors'!J308</f>
        <v>0</v>
      </c>
      <c r="S301">
        <f>E301-'DLC Buildup Factors'!K308</f>
        <v>0</v>
      </c>
      <c r="T301">
        <f>F301-'DLC Buildup Factors'!L308</f>
        <v>0</v>
      </c>
      <c r="U301">
        <f>G301-'DLC Buildup Factors'!M308</f>
        <v>0</v>
      </c>
      <c r="V301">
        <f>H301-'DLC Buildup Factors'!N308</f>
        <v>0</v>
      </c>
      <c r="W301">
        <f>I301-'DLC Buildup Factors'!O308</f>
        <v>0</v>
      </c>
    </row>
    <row r="302" spans="1:23">
      <c r="A302" s="12">
        <v>10</v>
      </c>
      <c r="B302">
        <v>1.33</v>
      </c>
      <c r="C302">
        <v>0.90700000000000003</v>
      </c>
      <c r="D302">
        <v>3.7999999999999999E-2</v>
      </c>
      <c r="E302">
        <v>13.34</v>
      </c>
      <c r="F302">
        <v>-3.49E-2</v>
      </c>
      <c r="G302" s="2">
        <v>1.67E-2</v>
      </c>
      <c r="H302">
        <v>0.5</v>
      </c>
      <c r="I302" s="2">
        <v>8.8999999999999999E-3</v>
      </c>
      <c r="K302" t="str">
        <f t="shared" si="34"/>
        <v xml:space="preserve">    - 10.000</v>
      </c>
      <c r="L302" t="str">
        <f t="shared" si="35"/>
        <v xml:space="preserve">    - [1.330, 0.907, 0.038, 13.34, -0.0349]</v>
      </c>
      <c r="O302">
        <f>A302-'DLC Buildup Factors'!G309</f>
        <v>0</v>
      </c>
      <c r="P302">
        <f>B302-'DLC Buildup Factors'!H309</f>
        <v>0</v>
      </c>
      <c r="Q302">
        <f>C302-'DLC Buildup Factors'!I309</f>
        <v>0</v>
      </c>
      <c r="R302">
        <f>D302-'DLC Buildup Factors'!J309</f>
        <v>0</v>
      </c>
      <c r="S302">
        <f>E302-'DLC Buildup Factors'!K309</f>
        <v>0</v>
      </c>
      <c r="T302">
        <f>F302-'DLC Buildup Factors'!L309</f>
        <v>0</v>
      </c>
      <c r="U302">
        <f>G302-'DLC Buildup Factors'!M309</f>
        <v>0</v>
      </c>
      <c r="V302">
        <f>H302-'DLC Buildup Factors'!N309</f>
        <v>0</v>
      </c>
      <c r="W302">
        <f>I302-'DLC Buildup Factors'!O309</f>
        <v>0</v>
      </c>
    </row>
    <row r="303" spans="1:23">
      <c r="A303" s="12">
        <v>15</v>
      </c>
      <c r="B303">
        <v>1.2350000000000001</v>
      </c>
      <c r="C303">
        <v>0.879</v>
      </c>
      <c r="D303">
        <v>5.2999999999999999E-2</v>
      </c>
      <c r="E303">
        <v>13.06</v>
      </c>
      <c r="F303">
        <v>-5.0799999999999998E-2</v>
      </c>
      <c r="G303" s="2">
        <v>2.4E-2</v>
      </c>
      <c r="H303">
        <v>0.5</v>
      </c>
      <c r="I303" s="2">
        <v>1.027E-2</v>
      </c>
      <c r="K303" t="str">
        <f t="shared" si="34"/>
        <v xml:space="preserve">    - 15.000</v>
      </c>
      <c r="L303" t="str">
        <f t="shared" si="35"/>
        <v xml:space="preserve">    - [1.235, 0.879, 0.053, 13.06, -0.0508]</v>
      </c>
      <c r="O303">
        <f>A303-'DLC Buildup Factors'!G310</f>
        <v>0</v>
      </c>
      <c r="P303">
        <f>B303-'DLC Buildup Factors'!H310</f>
        <v>0</v>
      </c>
      <c r="Q303">
        <f>C303-'DLC Buildup Factors'!I310</f>
        <v>0</v>
      </c>
      <c r="R303">
        <f>D303-'DLC Buildup Factors'!J310</f>
        <v>0</v>
      </c>
      <c r="S303">
        <f>E303-'DLC Buildup Factors'!K310</f>
        <v>0</v>
      </c>
      <c r="T303">
        <f>F303-'DLC Buildup Factors'!L310</f>
        <v>0</v>
      </c>
      <c r="U303">
        <f>G303-'DLC Buildup Factors'!M310</f>
        <v>0</v>
      </c>
      <c r="V303">
        <f>H303-'DLC Buildup Factors'!N310</f>
        <v>0</v>
      </c>
      <c r="W303">
        <f>I303-'DLC Buildup Factors'!O310</f>
        <v>0</v>
      </c>
    </row>
    <row r="304" spans="1:23">
      <c r="A304" s="12"/>
    </row>
    <row r="305" spans="1:23">
      <c r="A305" s="10" t="s">
        <v>1525</v>
      </c>
    </row>
    <row r="306" spans="1:23">
      <c r="A306" s="10" t="s">
        <v>1535</v>
      </c>
    </row>
    <row r="307" spans="1:23">
      <c r="A307" t="s">
        <v>0</v>
      </c>
      <c r="B307" t="s">
        <v>10</v>
      </c>
      <c r="C307" t="s">
        <v>11</v>
      </c>
      <c r="D307" t="s">
        <v>12</v>
      </c>
      <c r="E307" t="s">
        <v>15</v>
      </c>
      <c r="F307" t="s">
        <v>13</v>
      </c>
      <c r="G307" t="s">
        <v>16</v>
      </c>
      <c r="H307" t="s">
        <v>17</v>
      </c>
      <c r="I307" t="s">
        <v>14</v>
      </c>
    </row>
    <row r="308" spans="1:23">
      <c r="A308" s="10">
        <v>1.4999999999999999E-2</v>
      </c>
      <c r="B308">
        <v>1.0169999999999999</v>
      </c>
      <c r="C308">
        <v>0.29299999999999998</v>
      </c>
      <c r="D308">
        <v>0.32500000000000001</v>
      </c>
      <c r="E308">
        <v>10.44</v>
      </c>
      <c r="F308">
        <v>-0.25209999999999999</v>
      </c>
      <c r="G308" s="2">
        <v>4.3E-3</v>
      </c>
      <c r="H308">
        <v>6</v>
      </c>
      <c r="I308" s="2">
        <v>2.4499999999999999E-3</v>
      </c>
      <c r="K308" t="str">
        <f t="shared" ref="K308" si="36">CONCATENATE("    - ",TEXT(A308,"0.000"))</f>
        <v xml:space="preserve">    - 0.015</v>
      </c>
      <c r="L308" t="str">
        <f t="shared" ref="L308" si="37">CONCATENATE("    - [",TEXT(B308,"0.000"),", ",TEXT(C308,"0.000"),", ",TEXT(D308,"0.000"),", ",TEXT(E308,"0.00"),", ",TEXT(F308,"0.0000"),"]")</f>
        <v xml:space="preserve">    - [1.017, 0.293, 0.325, 10.44, -0.2521]</v>
      </c>
      <c r="O308">
        <f>A308-'DLC Buildup Factors'!G317</f>
        <v>0</v>
      </c>
      <c r="P308">
        <f>B308-'DLC Buildup Factors'!H317</f>
        <v>0</v>
      </c>
      <c r="Q308">
        <f>C308-'DLC Buildup Factors'!I317</f>
        <v>0</v>
      </c>
      <c r="R308">
        <f>D308-'DLC Buildup Factors'!J317</f>
        <v>0</v>
      </c>
      <c r="S308">
        <f>E308-'DLC Buildup Factors'!K317</f>
        <v>0</v>
      </c>
      <c r="T308">
        <f>F308-'DLC Buildup Factors'!L317</f>
        <v>0</v>
      </c>
      <c r="U308">
        <f>G308-'DLC Buildup Factors'!M317</f>
        <v>0</v>
      </c>
      <c r="V308">
        <f>H308-'DLC Buildup Factors'!N317</f>
        <v>0</v>
      </c>
      <c r="W308">
        <f>I308-'DLC Buildup Factors'!O317</f>
        <v>0</v>
      </c>
    </row>
    <row r="309" spans="1:23">
      <c r="A309" s="10">
        <v>0.02</v>
      </c>
      <c r="B309">
        <v>1.0389999999999999</v>
      </c>
      <c r="C309">
        <v>0.34</v>
      </c>
      <c r="D309">
        <v>0.22800000000000001</v>
      </c>
      <c r="E309">
        <v>27.88</v>
      </c>
      <c r="F309">
        <v>-0.38340000000000002</v>
      </c>
      <c r="G309" s="2">
        <v>5.1999999999999998E-3</v>
      </c>
      <c r="H309">
        <v>8</v>
      </c>
      <c r="I309" s="2">
        <v>2.64E-3</v>
      </c>
      <c r="K309" t="str">
        <f t="shared" ref="K309:K332" si="38">CONCATENATE("    - ",TEXT(A309,"0.000"))</f>
        <v xml:space="preserve">    - 0.020</v>
      </c>
      <c r="L309" t="str">
        <f t="shared" ref="L309:L332" si="39">CONCATENATE("    - [",TEXT(B309,"0.000"),", ",TEXT(C309,"0.000"),", ",TEXT(D309,"0.000"),", ",TEXT(E309,"0.00"),", ",TEXT(F309,"0.0000"),"]")</f>
        <v xml:space="preserve">    - [1.039, 0.340, 0.228, 27.88, -0.3834]</v>
      </c>
      <c r="O309">
        <f>A309-'DLC Buildup Factors'!G318</f>
        <v>0</v>
      </c>
      <c r="P309">
        <f>B309-'DLC Buildup Factors'!H318</f>
        <v>0</v>
      </c>
      <c r="Q309">
        <f>C309-'DLC Buildup Factors'!I318</f>
        <v>0</v>
      </c>
      <c r="R309">
        <f>D309-'DLC Buildup Factors'!J318</f>
        <v>0</v>
      </c>
      <c r="S309">
        <f>E309-'DLC Buildup Factors'!K318</f>
        <v>0</v>
      </c>
      <c r="T309">
        <f>F309-'DLC Buildup Factors'!L318</f>
        <v>0</v>
      </c>
      <c r="U309">
        <f>G309-'DLC Buildup Factors'!M318</f>
        <v>0</v>
      </c>
      <c r="V309">
        <f>H309-'DLC Buildup Factors'!N318</f>
        <v>0</v>
      </c>
      <c r="W309">
        <f>I309-'DLC Buildup Factors'!O318</f>
        <v>0</v>
      </c>
    </row>
    <row r="310" spans="1:23">
      <c r="A310" s="10">
        <v>0.03</v>
      </c>
      <c r="B310">
        <v>1.115</v>
      </c>
      <c r="C310">
        <v>0.38700000000000001</v>
      </c>
      <c r="D310">
        <v>0.215</v>
      </c>
      <c r="E310">
        <v>13.89</v>
      </c>
      <c r="F310">
        <v>-0.11550000000000001</v>
      </c>
      <c r="G310" s="2">
        <v>7.3000000000000001E-3</v>
      </c>
      <c r="H310">
        <v>3</v>
      </c>
      <c r="I310" s="2">
        <v>3.96E-3</v>
      </c>
      <c r="K310" t="str">
        <f t="shared" si="38"/>
        <v xml:space="preserve">    - 0.030</v>
      </c>
      <c r="L310" t="str">
        <f t="shared" si="39"/>
        <v xml:space="preserve">    - [1.115, 0.387, 0.215, 13.89, -0.1155]</v>
      </c>
      <c r="O310">
        <f>A310-'DLC Buildup Factors'!G319</f>
        <v>0</v>
      </c>
      <c r="P310">
        <f>B310-'DLC Buildup Factors'!H319</f>
        <v>0</v>
      </c>
      <c r="Q310">
        <f>C310-'DLC Buildup Factors'!I319</f>
        <v>0</v>
      </c>
      <c r="R310">
        <f>D310-'DLC Buildup Factors'!J319</f>
        <v>0</v>
      </c>
      <c r="S310">
        <f>E310-'DLC Buildup Factors'!K319</f>
        <v>0</v>
      </c>
      <c r="T310">
        <f>F310-'DLC Buildup Factors'!L319</f>
        <v>0</v>
      </c>
      <c r="U310">
        <f>G310-'DLC Buildup Factors'!M319</f>
        <v>0</v>
      </c>
      <c r="V310">
        <f>H310-'DLC Buildup Factors'!N319</f>
        <v>0</v>
      </c>
      <c r="W310">
        <f>I310-'DLC Buildup Factors'!O319</f>
        <v>0</v>
      </c>
    </row>
    <row r="311" spans="1:23">
      <c r="A311" s="10">
        <v>0.04</v>
      </c>
      <c r="B311">
        <v>1.2569999999999999</v>
      </c>
      <c r="C311">
        <v>0.41799999999999998</v>
      </c>
      <c r="D311">
        <v>0.20399999999999999</v>
      </c>
      <c r="E311">
        <v>14.6</v>
      </c>
      <c r="F311">
        <v>-0.11260000000000001</v>
      </c>
      <c r="G311" s="2">
        <v>1.66E-2</v>
      </c>
      <c r="H311">
        <v>0.5</v>
      </c>
      <c r="I311" s="2">
        <v>6.8599999999999998E-3</v>
      </c>
      <c r="K311" t="str">
        <f t="shared" si="38"/>
        <v xml:space="preserve">    - 0.040</v>
      </c>
      <c r="L311" t="str">
        <f t="shared" si="39"/>
        <v xml:space="preserve">    - [1.257, 0.418, 0.204, 14.60, -0.1126]</v>
      </c>
      <c r="O311">
        <f>A311-'DLC Buildup Factors'!G320</f>
        <v>0</v>
      </c>
      <c r="P311">
        <f>B311-'DLC Buildup Factors'!H320</f>
        <v>0</v>
      </c>
      <c r="Q311">
        <f>C311-'DLC Buildup Factors'!I320</f>
        <v>0</v>
      </c>
      <c r="R311">
        <f>D311-'DLC Buildup Factors'!J320</f>
        <v>0</v>
      </c>
      <c r="S311">
        <f>E311-'DLC Buildup Factors'!K320</f>
        <v>0</v>
      </c>
      <c r="T311">
        <f>F311-'DLC Buildup Factors'!L320</f>
        <v>0</v>
      </c>
      <c r="U311">
        <f>G311-'DLC Buildup Factors'!M320</f>
        <v>0</v>
      </c>
      <c r="V311">
        <f>H311-'DLC Buildup Factors'!N320</f>
        <v>0</v>
      </c>
      <c r="W311">
        <f>I311-'DLC Buildup Factors'!O320</f>
        <v>0</v>
      </c>
    </row>
    <row r="312" spans="1:23">
      <c r="A312" s="10">
        <v>0.05</v>
      </c>
      <c r="B312">
        <v>1.44</v>
      </c>
      <c r="C312">
        <v>0.48699999999999999</v>
      </c>
      <c r="D312">
        <v>0.17599999999999999</v>
      </c>
      <c r="E312">
        <v>14.61</v>
      </c>
      <c r="F312">
        <v>-9.8799999999999999E-2</v>
      </c>
      <c r="G312" s="2">
        <v>1.89E-2</v>
      </c>
      <c r="H312">
        <v>0.5</v>
      </c>
      <c r="I312" s="2">
        <v>7.8600000000000007E-3</v>
      </c>
      <c r="K312" t="str">
        <f t="shared" si="38"/>
        <v xml:space="preserve">    - 0.050</v>
      </c>
      <c r="L312" t="str">
        <f t="shared" si="39"/>
        <v xml:space="preserve">    - [1.440, 0.487, 0.176, 14.61, -0.0988]</v>
      </c>
      <c r="O312">
        <f>A312-'DLC Buildup Factors'!G321</f>
        <v>0</v>
      </c>
      <c r="P312">
        <f>B312-'DLC Buildup Factors'!H321</f>
        <v>0</v>
      </c>
      <c r="Q312">
        <f>C312-'DLC Buildup Factors'!I321</f>
        <v>0</v>
      </c>
      <c r="R312">
        <f>D312-'DLC Buildup Factors'!J321</f>
        <v>0</v>
      </c>
      <c r="S312">
        <f>E312-'DLC Buildup Factors'!K321</f>
        <v>0</v>
      </c>
      <c r="T312">
        <f>F312-'DLC Buildup Factors'!L321</f>
        <v>0</v>
      </c>
      <c r="U312">
        <f>G312-'DLC Buildup Factors'!M321</f>
        <v>0</v>
      </c>
      <c r="V312">
        <f>H312-'DLC Buildup Factors'!N321</f>
        <v>0</v>
      </c>
      <c r="W312">
        <f>I312-'DLC Buildup Factors'!O321</f>
        <v>0</v>
      </c>
    </row>
    <row r="313" spans="1:23">
      <c r="A313" s="10">
        <v>0.06</v>
      </c>
      <c r="B313">
        <v>1.635</v>
      </c>
      <c r="C313">
        <v>0.57599999999999996</v>
      </c>
      <c r="D313">
        <v>0.14000000000000001</v>
      </c>
      <c r="E313">
        <v>14.63</v>
      </c>
      <c r="F313">
        <f>-0.0781</f>
        <v>-7.8100000000000003E-2</v>
      </c>
      <c r="G313" s="2">
        <v>1.54E-2</v>
      </c>
      <c r="H313">
        <v>0.5</v>
      </c>
      <c r="I313" s="2">
        <v>7.8600000000000007E-3</v>
      </c>
      <c r="K313" t="str">
        <f t="shared" si="38"/>
        <v xml:space="preserve">    - 0.060</v>
      </c>
      <c r="L313" t="str">
        <f t="shared" si="39"/>
        <v xml:space="preserve">    - [1.635, 0.576, 0.140, 14.63, -0.0781]</v>
      </c>
      <c r="O313">
        <f>A313-'DLC Buildup Factors'!G322</f>
        <v>0</v>
      </c>
      <c r="P313">
        <f>B313-'DLC Buildup Factors'!H322</f>
        <v>0</v>
      </c>
      <c r="Q313">
        <f>C313-'DLC Buildup Factors'!I322</f>
        <v>0</v>
      </c>
      <c r="R313">
        <f>D313-'DLC Buildup Factors'!J322</f>
        <v>0</v>
      </c>
      <c r="S313">
        <f>E313-'DLC Buildup Factors'!K322</f>
        <v>0</v>
      </c>
      <c r="T313">
        <f>F313-'DLC Buildup Factors'!L322</f>
        <v>0</v>
      </c>
      <c r="U313">
        <f>G313-'DLC Buildup Factors'!M322</f>
        <v>0</v>
      </c>
      <c r="V313">
        <f>H313-'DLC Buildup Factors'!N322</f>
        <v>0</v>
      </c>
      <c r="W313">
        <f>I313-'DLC Buildup Factors'!O322</f>
        <v>0</v>
      </c>
    </row>
    <row r="314" spans="1:23">
      <c r="A314" s="10">
        <v>0.08</v>
      </c>
      <c r="B314">
        <v>1.9650000000000001</v>
      </c>
      <c r="C314">
        <v>0.76300000000000001</v>
      </c>
      <c r="D314">
        <v>7.3999999999999996E-2</v>
      </c>
      <c r="E314">
        <v>14.91</v>
      </c>
      <c r="F314">
        <v>-4.4499999999999998E-2</v>
      </c>
      <c r="G314" s="2">
        <v>3.7199999999999997E-2</v>
      </c>
      <c r="H314">
        <v>0.5</v>
      </c>
      <c r="I314" s="2">
        <v>1.329E-2</v>
      </c>
      <c r="K314" t="str">
        <f t="shared" si="38"/>
        <v xml:space="preserve">    - 0.080</v>
      </c>
      <c r="L314" t="str">
        <f t="shared" si="39"/>
        <v xml:space="preserve">    - [1.965, 0.763, 0.074, 14.91, -0.0445]</v>
      </c>
      <c r="O314">
        <f>A314-'DLC Buildup Factors'!G323</f>
        <v>0</v>
      </c>
      <c r="P314">
        <f>B314-'DLC Buildup Factors'!H323</f>
        <v>0</v>
      </c>
      <c r="Q314">
        <f>C314-'DLC Buildup Factors'!I323</f>
        <v>0</v>
      </c>
      <c r="R314">
        <f>D314-'DLC Buildup Factors'!J323</f>
        <v>0</v>
      </c>
      <c r="S314">
        <f>E314-'DLC Buildup Factors'!K323</f>
        <v>0</v>
      </c>
      <c r="T314">
        <f>F314-'DLC Buildup Factors'!L323</f>
        <v>0</v>
      </c>
      <c r="U314">
        <f>G314-'DLC Buildup Factors'!M323</f>
        <v>0</v>
      </c>
      <c r="V314">
        <f>H314-'DLC Buildup Factors'!N323</f>
        <v>0</v>
      </c>
      <c r="W314">
        <f>I314-'DLC Buildup Factors'!O323</f>
        <v>0</v>
      </c>
    </row>
    <row r="315" spans="1:23">
      <c r="A315" s="10">
        <v>0.1</v>
      </c>
      <c r="B315">
        <v>2.2759999999999998</v>
      </c>
      <c r="C315">
        <v>0.86799999999999999</v>
      </c>
      <c r="D315">
        <v>5.0999999999999997E-2</v>
      </c>
      <c r="E315">
        <v>12.99</v>
      </c>
      <c r="F315">
        <v>-4.41E-2</v>
      </c>
      <c r="G315" s="2">
        <v>2.5600000000000001E-2</v>
      </c>
      <c r="H315">
        <v>0.5</v>
      </c>
      <c r="I315" s="2">
        <v>1.2749999999999999E-2</v>
      </c>
      <c r="K315" t="str">
        <f t="shared" si="38"/>
        <v xml:space="preserve">    - 0.100</v>
      </c>
      <c r="L315" t="str">
        <f t="shared" si="39"/>
        <v xml:space="preserve">    - [2.276, 0.868, 0.051, 12.99, -0.0441]</v>
      </c>
      <c r="O315">
        <f>A315-'DLC Buildup Factors'!G324</f>
        <v>0</v>
      </c>
      <c r="P315">
        <f>B315-'DLC Buildup Factors'!H324</f>
        <v>0</v>
      </c>
      <c r="Q315">
        <f>C315-'DLC Buildup Factors'!I324</f>
        <v>0</v>
      </c>
      <c r="R315">
        <f>D315-'DLC Buildup Factors'!J324</f>
        <v>0</v>
      </c>
      <c r="S315">
        <f>E315-'DLC Buildup Factors'!K324</f>
        <v>0</v>
      </c>
      <c r="T315">
        <f>F315-'DLC Buildup Factors'!L324</f>
        <v>0</v>
      </c>
      <c r="U315">
        <f>G315-'DLC Buildup Factors'!M324</f>
        <v>0</v>
      </c>
      <c r="V315">
        <f>H315-'DLC Buildup Factors'!N324</f>
        <v>0</v>
      </c>
      <c r="W315">
        <f>I315-'DLC Buildup Factors'!O324</f>
        <v>0</v>
      </c>
    </row>
    <row r="316" spans="1:23">
      <c r="A316" s="10">
        <v>0.15</v>
      </c>
      <c r="B316">
        <v>2.492</v>
      </c>
      <c r="C316">
        <v>1.133</v>
      </c>
      <c r="D316">
        <v>-1.4E-2</v>
      </c>
      <c r="E316">
        <v>12.6</v>
      </c>
      <c r="F316">
        <v>-1.9599999999999999E-2</v>
      </c>
      <c r="G316" s="2">
        <v>1.66E-2</v>
      </c>
      <c r="H316">
        <v>0.5</v>
      </c>
      <c r="I316" s="2">
        <v>7.2300000000000003E-3</v>
      </c>
      <c r="K316" t="str">
        <f t="shared" si="38"/>
        <v xml:space="preserve">    - 0.150</v>
      </c>
      <c r="L316" t="str">
        <f t="shared" si="39"/>
        <v xml:space="preserve">    - [2.492, 1.133, -0.014, 12.60, -0.0196]</v>
      </c>
      <c r="O316">
        <f>A316-'DLC Buildup Factors'!G325</f>
        <v>0</v>
      </c>
      <c r="P316">
        <f>B316-'DLC Buildup Factors'!H325</f>
        <v>0</v>
      </c>
      <c r="Q316">
        <f>C316-'DLC Buildup Factors'!I325</f>
        <v>0</v>
      </c>
      <c r="R316">
        <f>D316-'DLC Buildup Factors'!J325</f>
        <v>0</v>
      </c>
      <c r="S316">
        <f>E316-'DLC Buildup Factors'!K325</f>
        <v>0</v>
      </c>
      <c r="T316">
        <f>F316-'DLC Buildup Factors'!L325</f>
        <v>0</v>
      </c>
      <c r="U316">
        <f>G316-'DLC Buildup Factors'!M325</f>
        <v>0</v>
      </c>
      <c r="V316">
        <f>H316-'DLC Buildup Factors'!N325</f>
        <v>0</v>
      </c>
      <c r="W316">
        <f>I316-'DLC Buildup Factors'!O325</f>
        <v>0</v>
      </c>
    </row>
    <row r="317" spans="1:23">
      <c r="A317" s="10">
        <v>0.2</v>
      </c>
      <c r="B317">
        <v>2.5</v>
      </c>
      <c r="C317">
        <v>1.2689999999999999</v>
      </c>
      <c r="D317">
        <v>-3.9E-2</v>
      </c>
      <c r="E317">
        <v>10.97</v>
      </c>
      <c r="F317">
        <v>-1.23E-2</v>
      </c>
      <c r="G317" s="2">
        <v>1.14E-2</v>
      </c>
      <c r="H317">
        <v>0.5</v>
      </c>
      <c r="I317" s="2">
        <v>5.0600000000000003E-3</v>
      </c>
      <c r="K317" t="str">
        <f t="shared" si="38"/>
        <v xml:space="preserve">    - 0.200</v>
      </c>
      <c r="L317" t="str">
        <f t="shared" si="39"/>
        <v xml:space="preserve">    - [2.500, 1.269, -0.039, 10.97, -0.0123]</v>
      </c>
      <c r="O317">
        <f>A317-'DLC Buildup Factors'!G326</f>
        <v>0</v>
      </c>
      <c r="P317">
        <f>B317-'DLC Buildup Factors'!H326</f>
        <v>0</v>
      </c>
      <c r="Q317">
        <f>C317-'DLC Buildup Factors'!I326</f>
        <v>0</v>
      </c>
      <c r="R317">
        <f>D317-'DLC Buildup Factors'!J326</f>
        <v>0</v>
      </c>
      <c r="S317">
        <f>E317-'DLC Buildup Factors'!K326</f>
        <v>0</v>
      </c>
      <c r="T317">
        <f>F317-'DLC Buildup Factors'!L326</f>
        <v>0</v>
      </c>
      <c r="U317">
        <f>G317-'DLC Buildup Factors'!M326</f>
        <v>0</v>
      </c>
      <c r="V317">
        <f>H317-'DLC Buildup Factors'!N326</f>
        <v>0</v>
      </c>
      <c r="W317">
        <f>I317-'DLC Buildup Factors'!O326</f>
        <v>0</v>
      </c>
    </row>
    <row r="318" spans="1:23">
      <c r="A318" s="10">
        <v>0.3</v>
      </c>
      <c r="B318">
        <v>2.407</v>
      </c>
      <c r="C318">
        <v>1.3640000000000001</v>
      </c>
      <c r="D318">
        <v>-5.6000000000000001E-2</v>
      </c>
      <c r="E318">
        <v>7.84</v>
      </c>
      <c r="F318">
        <v>-9.9000000000000008E-3</v>
      </c>
      <c r="G318" s="2">
        <v>6.6E-3</v>
      </c>
      <c r="H318">
        <v>35</v>
      </c>
      <c r="I318" s="2">
        <v>3.7499999999999999E-3</v>
      </c>
      <c r="J318" s="15" t="s">
        <v>1549</v>
      </c>
      <c r="K318" t="str">
        <f t="shared" si="38"/>
        <v xml:space="preserve">    - 0.300</v>
      </c>
      <c r="L318" t="str">
        <f t="shared" si="39"/>
        <v xml:space="preserve">    - [2.407, 1.364, -0.056, 7.84, -0.0099]</v>
      </c>
      <c r="M318" s="25"/>
      <c r="N318" s="25"/>
      <c r="O318">
        <f>A318-'DLC Buildup Factors'!G327</f>
        <v>0</v>
      </c>
      <c r="P318">
        <f>B318-'DLC Buildup Factors'!H327</f>
        <v>2.2000000000000242E-2</v>
      </c>
      <c r="Q318">
        <f>C318-'DLC Buildup Factors'!I327</f>
        <v>-2.8999999999999915E-2</v>
      </c>
      <c r="R318">
        <f>D318-'DLC Buildup Factors'!J327</f>
        <v>9.0000000000000011E-3</v>
      </c>
      <c r="S318">
        <f>E318-'DLC Buildup Factors'!K327</f>
        <v>-17.87</v>
      </c>
      <c r="T318">
        <f>F318-'DLC Buildup Factors'!L327</f>
        <v>-2.3400000000000001E-2</v>
      </c>
      <c r="U318">
        <f>G318-'DLC Buildup Factors'!M327</f>
        <v>-6.9999999999999993E-3</v>
      </c>
      <c r="V318">
        <f>H318-'DLC Buildup Factors'!N327</f>
        <v>34.5</v>
      </c>
      <c r="W318">
        <f>I318-'DLC Buildup Factors'!O327</f>
        <v>-1.5100000000000001E-3</v>
      </c>
    </row>
    <row r="319" spans="1:23">
      <c r="A319" s="10">
        <v>0.4</v>
      </c>
      <c r="B319">
        <v>2.2850000000000001</v>
      </c>
      <c r="C319">
        <v>1.417</v>
      </c>
      <c r="D319">
        <v>-7.0999999999999994E-2</v>
      </c>
      <c r="E319">
        <v>20.45</v>
      </c>
      <c r="F319">
        <v>1.55E-2</v>
      </c>
      <c r="G319" s="2">
        <v>7.0000000000000001E-3</v>
      </c>
      <c r="H319">
        <v>0.5</v>
      </c>
      <c r="I319" s="2">
        <v>3.0599999999999998E-3</v>
      </c>
      <c r="K319" t="str">
        <f t="shared" si="38"/>
        <v xml:space="preserve">    - 0.400</v>
      </c>
      <c r="L319" t="str">
        <f t="shared" si="39"/>
        <v xml:space="preserve">    - [2.285, 1.417, -0.071, 20.45, 0.0155]</v>
      </c>
      <c r="O319">
        <f>A319-'DLC Buildup Factors'!G328</f>
        <v>0</v>
      </c>
      <c r="P319">
        <f>B319-'DLC Buildup Factors'!H328</f>
        <v>0</v>
      </c>
      <c r="Q319">
        <f>C319-'DLC Buildup Factors'!I328</f>
        <v>0</v>
      </c>
      <c r="R319">
        <f>D319-'DLC Buildup Factors'!J328</f>
        <v>0</v>
      </c>
      <c r="S319">
        <f>E319-'DLC Buildup Factors'!K328</f>
        <v>0</v>
      </c>
      <c r="T319">
        <f>F319-'DLC Buildup Factors'!L328</f>
        <v>0</v>
      </c>
      <c r="U319">
        <f>G319-'DLC Buildup Factors'!M328</f>
        <v>0</v>
      </c>
      <c r="V319">
        <f>H319-'DLC Buildup Factors'!N328</f>
        <v>0</v>
      </c>
      <c r="W319">
        <f>I319-'DLC Buildup Factors'!O328</f>
        <v>0</v>
      </c>
    </row>
    <row r="320" spans="1:23">
      <c r="A320" s="10">
        <v>0.5</v>
      </c>
      <c r="B320">
        <v>2.2010000000000001</v>
      </c>
      <c r="C320">
        <v>1.415</v>
      </c>
      <c r="D320">
        <v>-7.2999999999999995E-2</v>
      </c>
      <c r="E320">
        <v>16.28</v>
      </c>
      <c r="F320">
        <v>1.4800000000000001E-2</v>
      </c>
      <c r="G320" s="2">
        <v>5.7999999999999996E-3</v>
      </c>
      <c r="H320">
        <v>0.5</v>
      </c>
      <c r="I320" s="2">
        <v>3.1800000000000001E-3</v>
      </c>
      <c r="K320" t="str">
        <f t="shared" si="38"/>
        <v xml:space="preserve">    - 0.500</v>
      </c>
      <c r="L320" t="str">
        <f t="shared" si="39"/>
        <v xml:space="preserve">    - [2.201, 1.415, -0.073, 16.28, 0.0148]</v>
      </c>
      <c r="O320">
        <f>A320-'DLC Buildup Factors'!G329</f>
        <v>0</v>
      </c>
      <c r="P320">
        <f>B320-'DLC Buildup Factors'!H329</f>
        <v>0</v>
      </c>
      <c r="Q320">
        <f>C320-'DLC Buildup Factors'!I329</f>
        <v>0</v>
      </c>
      <c r="R320">
        <f>D320-'DLC Buildup Factors'!J329</f>
        <v>0</v>
      </c>
      <c r="S320">
        <f>E320-'DLC Buildup Factors'!K329</f>
        <v>0</v>
      </c>
      <c r="T320">
        <f>F320-'DLC Buildup Factors'!L329</f>
        <v>0</v>
      </c>
      <c r="U320">
        <f>G320-'DLC Buildup Factors'!M329</f>
        <v>0</v>
      </c>
      <c r="V320">
        <f>H320-'DLC Buildup Factors'!N329</f>
        <v>0</v>
      </c>
      <c r="W320">
        <f>I320-'DLC Buildup Factors'!O329</f>
        <v>0</v>
      </c>
    </row>
    <row r="321" spans="1:23">
      <c r="A321" s="10">
        <v>0.6</v>
      </c>
      <c r="B321">
        <v>2.1349999999999998</v>
      </c>
      <c r="C321">
        <v>1.3919999999999999</v>
      </c>
      <c r="D321">
        <v>-7.0000000000000007E-2</v>
      </c>
      <c r="E321">
        <v>18.059999999999999</v>
      </c>
      <c r="F321">
        <v>1.5800000000000002E-2</v>
      </c>
      <c r="G321" s="2">
        <v>4.4000000000000003E-3</v>
      </c>
      <c r="H321">
        <v>3</v>
      </c>
      <c r="I321" s="2">
        <v>2.6900000000000001E-3</v>
      </c>
      <c r="K321" t="str">
        <f t="shared" si="38"/>
        <v xml:space="preserve">    - 0.600</v>
      </c>
      <c r="L321" t="str">
        <f t="shared" si="39"/>
        <v xml:space="preserve">    - [2.135, 1.392, -0.070, 18.06, 0.0158]</v>
      </c>
      <c r="O321">
        <f>A321-'DLC Buildup Factors'!G330</f>
        <v>0</v>
      </c>
      <c r="P321">
        <f>B321-'DLC Buildup Factors'!H330</f>
        <v>0</v>
      </c>
      <c r="Q321">
        <f>C321-'DLC Buildup Factors'!I330</f>
        <v>0</v>
      </c>
      <c r="R321">
        <f>D321-'DLC Buildup Factors'!J330</f>
        <v>0</v>
      </c>
      <c r="S321">
        <f>E321-'DLC Buildup Factors'!K330</f>
        <v>0</v>
      </c>
      <c r="T321">
        <f>F321-'DLC Buildup Factors'!L330</f>
        <v>0</v>
      </c>
      <c r="U321">
        <f>G321-'DLC Buildup Factors'!M330</f>
        <v>0</v>
      </c>
      <c r="V321">
        <f>H321-'DLC Buildup Factors'!N330</f>
        <v>0</v>
      </c>
      <c r="W321">
        <f>I321-'DLC Buildup Factors'!O330</f>
        <v>0</v>
      </c>
    </row>
    <row r="322" spans="1:23">
      <c r="A322" s="10">
        <v>0.8</v>
      </c>
      <c r="B322">
        <v>2.0289999999999999</v>
      </c>
      <c r="C322">
        <v>1.353</v>
      </c>
      <c r="D322">
        <v>-6.6000000000000003E-2</v>
      </c>
      <c r="E322">
        <v>16.59</v>
      </c>
      <c r="F322">
        <v>1.66E-2</v>
      </c>
      <c r="G322" s="2">
        <v>2.8E-3</v>
      </c>
      <c r="H322">
        <v>3</v>
      </c>
      <c r="I322" s="2">
        <v>1.56E-3</v>
      </c>
      <c r="K322" t="str">
        <f t="shared" si="38"/>
        <v xml:space="preserve">    - 0.800</v>
      </c>
      <c r="L322" t="str">
        <f t="shared" si="39"/>
        <v xml:space="preserve">    - [2.029, 1.353, -0.066, 16.59, 0.0166]</v>
      </c>
      <c r="O322">
        <f>A322-'DLC Buildup Factors'!G331</f>
        <v>0</v>
      </c>
      <c r="P322">
        <f>B322-'DLC Buildup Factors'!H331</f>
        <v>0</v>
      </c>
      <c r="Q322">
        <f>C322-'DLC Buildup Factors'!I331</f>
        <v>0</v>
      </c>
      <c r="R322">
        <f>D322-'DLC Buildup Factors'!J331</f>
        <v>0</v>
      </c>
      <c r="S322">
        <f>E322-'DLC Buildup Factors'!K331</f>
        <v>0</v>
      </c>
      <c r="T322">
        <f>F322-'DLC Buildup Factors'!L331</f>
        <v>0</v>
      </c>
      <c r="U322">
        <f>G322-'DLC Buildup Factors'!M331</f>
        <v>0</v>
      </c>
      <c r="V322">
        <f>H322-'DLC Buildup Factors'!N331</f>
        <v>0</v>
      </c>
      <c r="W322">
        <f>I322-'DLC Buildup Factors'!O331</f>
        <v>0</v>
      </c>
    </row>
    <row r="323" spans="1:23">
      <c r="A323" s="10">
        <v>1</v>
      </c>
      <c r="B323">
        <v>1.9510000000000001</v>
      </c>
      <c r="C323">
        <v>1.3129999999999999</v>
      </c>
      <c r="D323">
        <v>-6.0999999999999999E-2</v>
      </c>
      <c r="E323">
        <v>15.85</v>
      </c>
      <c r="F323">
        <v>1.7299999999999999E-2</v>
      </c>
      <c r="G323" s="2">
        <v>3.2000000000000002E-3</v>
      </c>
      <c r="H323">
        <v>40</v>
      </c>
      <c r="I323" s="2">
        <v>1.75E-3</v>
      </c>
      <c r="K323" t="str">
        <f t="shared" si="38"/>
        <v xml:space="preserve">    - 1.000</v>
      </c>
      <c r="L323" t="str">
        <f t="shared" si="39"/>
        <v xml:space="preserve">    - [1.951, 1.313, -0.061, 15.85, 0.0173]</v>
      </c>
      <c r="O323">
        <f>A323-'DLC Buildup Factors'!G332</f>
        <v>0</v>
      </c>
      <c r="P323">
        <f>B323-'DLC Buildup Factors'!H332</f>
        <v>0</v>
      </c>
      <c r="Q323">
        <f>C323-'DLC Buildup Factors'!I332</f>
        <v>0</v>
      </c>
      <c r="R323">
        <f>D323-'DLC Buildup Factors'!J332</f>
        <v>0</v>
      </c>
      <c r="S323">
        <f>E323-'DLC Buildup Factors'!K332</f>
        <v>0</v>
      </c>
      <c r="T323">
        <f>F323-'DLC Buildup Factors'!L332</f>
        <v>0</v>
      </c>
      <c r="U323">
        <f>G323-'DLC Buildup Factors'!M332</f>
        <v>0</v>
      </c>
      <c r="V323">
        <f>H323-'DLC Buildup Factors'!N332</f>
        <v>0</v>
      </c>
      <c r="W323">
        <f>I323-'DLC Buildup Factors'!O332</f>
        <v>0</v>
      </c>
    </row>
    <row r="324" spans="1:23">
      <c r="A324" s="10">
        <v>1.5</v>
      </c>
      <c r="B324">
        <v>1.8320000000000001</v>
      </c>
      <c r="C324">
        <v>1.2150000000000001</v>
      </c>
      <c r="D324">
        <v>-4.3999999999999997E-2</v>
      </c>
      <c r="E324">
        <v>16.11</v>
      </c>
      <c r="F324">
        <v>1.3100000000000001E-2</v>
      </c>
      <c r="G324" s="2">
        <v>3.3999999999999998E-3</v>
      </c>
      <c r="H324">
        <v>8</v>
      </c>
      <c r="I324" s="2">
        <v>1.58E-3</v>
      </c>
      <c r="K324" t="str">
        <f t="shared" si="38"/>
        <v xml:space="preserve">    - 1.500</v>
      </c>
      <c r="L324" t="str">
        <f t="shared" si="39"/>
        <v xml:space="preserve">    - [1.832, 1.215, -0.044, 16.11, 0.0131]</v>
      </c>
      <c r="O324">
        <f>A324-'DLC Buildup Factors'!G333</f>
        <v>0</v>
      </c>
      <c r="P324">
        <f>B324-'DLC Buildup Factors'!H333</f>
        <v>0</v>
      </c>
      <c r="Q324">
        <f>C324-'DLC Buildup Factors'!I333</f>
        <v>0</v>
      </c>
      <c r="R324">
        <f>D324-'DLC Buildup Factors'!J333</f>
        <v>0</v>
      </c>
      <c r="S324">
        <f>E324-'DLC Buildup Factors'!K333</f>
        <v>0</v>
      </c>
      <c r="T324">
        <f>F324-'DLC Buildup Factors'!L333</f>
        <v>0</v>
      </c>
      <c r="U324">
        <f>G324-'DLC Buildup Factors'!M333</f>
        <v>0</v>
      </c>
      <c r="V324">
        <f>H324-'DLC Buildup Factors'!N333</f>
        <v>0</v>
      </c>
      <c r="W324">
        <f>I324-'DLC Buildup Factors'!O333</f>
        <v>0</v>
      </c>
    </row>
    <row r="325" spans="1:23">
      <c r="A325" s="10">
        <v>2</v>
      </c>
      <c r="B325">
        <v>1.7609999999999999</v>
      </c>
      <c r="C325">
        <v>1.149</v>
      </c>
      <c r="D325">
        <v>-3.1E-2</v>
      </c>
      <c r="E325">
        <v>15.18</v>
      </c>
      <c r="F325">
        <v>8.2000000000000007E-3</v>
      </c>
      <c r="G325" s="2">
        <v>3.8999999999999998E-3</v>
      </c>
      <c r="H325">
        <v>0.5</v>
      </c>
      <c r="I325" s="2">
        <v>1.67E-3</v>
      </c>
      <c r="K325" t="str">
        <f t="shared" si="38"/>
        <v xml:space="preserve">    - 2.000</v>
      </c>
      <c r="L325" t="str">
        <f t="shared" si="39"/>
        <v xml:space="preserve">    - [1.761, 1.149, -0.031, 15.18, 0.0082]</v>
      </c>
      <c r="O325">
        <f>A325-'DLC Buildup Factors'!G334</f>
        <v>0</v>
      </c>
      <c r="P325">
        <f>B325-'DLC Buildup Factors'!H334</f>
        <v>0</v>
      </c>
      <c r="Q325">
        <f>C325-'DLC Buildup Factors'!I334</f>
        <v>0</v>
      </c>
      <c r="R325">
        <f>D325-'DLC Buildup Factors'!J334</f>
        <v>0</v>
      </c>
      <c r="S325">
        <f>E325-'DLC Buildup Factors'!K334</f>
        <v>0</v>
      </c>
      <c r="T325">
        <f>F325-'DLC Buildup Factors'!L334</f>
        <v>0</v>
      </c>
      <c r="U325">
        <f>G325-'DLC Buildup Factors'!M334</f>
        <v>0</v>
      </c>
      <c r="V325">
        <f>H325-'DLC Buildup Factors'!N334</f>
        <v>0</v>
      </c>
      <c r="W325">
        <f>I325-'DLC Buildup Factors'!O334</f>
        <v>0</v>
      </c>
    </row>
    <row r="326" spans="1:23">
      <c r="A326" s="10">
        <v>3</v>
      </c>
      <c r="B326">
        <v>1.66</v>
      </c>
      <c r="C326">
        <v>1.0589999999999999</v>
      </c>
      <c r="D326">
        <v>-8.9999999999999993E-3</v>
      </c>
      <c r="E326">
        <v>10.210000000000001</v>
      </c>
      <c r="F326">
        <v>-5.4000000000000003E-3</v>
      </c>
      <c r="G326" s="2">
        <v>6.0000000000000001E-3</v>
      </c>
      <c r="H326">
        <v>1</v>
      </c>
      <c r="I326" s="2">
        <v>2.48E-3</v>
      </c>
      <c r="K326" t="str">
        <f t="shared" si="38"/>
        <v xml:space="preserve">    - 3.000</v>
      </c>
      <c r="L326" t="str">
        <f t="shared" si="39"/>
        <v xml:space="preserve">    - [1.660, 1.059, -0.009, 10.21, -0.0054]</v>
      </c>
      <c r="O326">
        <f>A326-'DLC Buildup Factors'!G335</f>
        <v>0</v>
      </c>
      <c r="P326">
        <f>B326-'DLC Buildup Factors'!H335</f>
        <v>0</v>
      </c>
      <c r="Q326">
        <f>C326-'DLC Buildup Factors'!I335</f>
        <v>0</v>
      </c>
      <c r="R326">
        <f>D326-'DLC Buildup Factors'!J335</f>
        <v>0</v>
      </c>
      <c r="S326">
        <f>E326-'DLC Buildup Factors'!K335</f>
        <v>0</v>
      </c>
      <c r="T326">
        <f>F326-'DLC Buildup Factors'!L335</f>
        <v>0</v>
      </c>
      <c r="U326">
        <f>G326-'DLC Buildup Factors'!M335</f>
        <v>0</v>
      </c>
      <c r="V326">
        <f>H326-'DLC Buildup Factors'!N335</f>
        <v>0</v>
      </c>
      <c r="W326">
        <f>I326-'DLC Buildup Factors'!O335</f>
        <v>0</v>
      </c>
    </row>
    <row r="327" spans="1:23">
      <c r="A327" s="10">
        <v>4</v>
      </c>
      <c r="B327">
        <v>1.587</v>
      </c>
      <c r="C327">
        <v>0.995</v>
      </c>
      <c r="D327">
        <v>0.01</v>
      </c>
      <c r="E327">
        <v>10.199999999999999</v>
      </c>
      <c r="F327">
        <v>-1.7100000000000001E-2</v>
      </c>
      <c r="G327" s="2">
        <v>5.4000000000000003E-3</v>
      </c>
      <c r="H327">
        <v>4</v>
      </c>
      <c r="I327" s="2">
        <v>3.0000000000000001E-3</v>
      </c>
      <c r="K327" t="str">
        <f t="shared" si="38"/>
        <v xml:space="preserve">    - 4.000</v>
      </c>
      <c r="L327" t="str">
        <f t="shared" si="39"/>
        <v xml:space="preserve">    - [1.587, 0.995, 0.010, 10.20, -0.0171]</v>
      </c>
      <c r="O327">
        <f>A327-'DLC Buildup Factors'!G336</f>
        <v>0</v>
      </c>
      <c r="P327">
        <f>B327-'DLC Buildup Factors'!H336</f>
        <v>0</v>
      </c>
      <c r="Q327">
        <f>C327-'DLC Buildup Factors'!I336</f>
        <v>0</v>
      </c>
      <c r="R327">
        <f>D327-'DLC Buildup Factors'!J336</f>
        <v>0</v>
      </c>
      <c r="S327">
        <f>E327-'DLC Buildup Factors'!K336</f>
        <v>0</v>
      </c>
      <c r="T327">
        <f>F327-'DLC Buildup Factors'!L336</f>
        <v>0</v>
      </c>
      <c r="U327">
        <f>G327-'DLC Buildup Factors'!M336</f>
        <v>0</v>
      </c>
      <c r="V327">
        <f>H327-'DLC Buildup Factors'!N336</f>
        <v>0</v>
      </c>
      <c r="W327">
        <f>I327-'DLC Buildup Factors'!O336</f>
        <v>0</v>
      </c>
    </row>
    <row r="328" spans="1:23">
      <c r="A328" s="10">
        <v>5</v>
      </c>
      <c r="B328">
        <v>1.5149999999999999</v>
      </c>
      <c r="C328">
        <v>0.97899999999999998</v>
      </c>
      <c r="D328">
        <v>1.2999999999999999E-2</v>
      </c>
      <c r="E328">
        <v>12.27</v>
      </c>
      <c r="F328">
        <v>-1.61E-2</v>
      </c>
      <c r="G328" s="2">
        <v>1.61E-2</v>
      </c>
      <c r="H328">
        <v>0.5</v>
      </c>
      <c r="I328" s="2">
        <v>6.0499999999999998E-3</v>
      </c>
      <c r="K328" t="str">
        <f t="shared" si="38"/>
        <v xml:space="preserve">    - 5.000</v>
      </c>
      <c r="L328" t="str">
        <f t="shared" si="39"/>
        <v xml:space="preserve">    - [1.515, 0.979, 0.013, 12.27, -0.0161]</v>
      </c>
      <c r="O328">
        <f>A328-'DLC Buildup Factors'!G337</f>
        <v>0</v>
      </c>
      <c r="P328">
        <f>B328-'DLC Buildup Factors'!H337</f>
        <v>0</v>
      </c>
      <c r="Q328">
        <f>C328-'DLC Buildup Factors'!I337</f>
        <v>0</v>
      </c>
      <c r="R328">
        <f>D328-'DLC Buildup Factors'!J337</f>
        <v>0</v>
      </c>
      <c r="S328">
        <f>E328-'DLC Buildup Factors'!K337</f>
        <v>0</v>
      </c>
      <c r="T328">
        <f>F328-'DLC Buildup Factors'!L337</f>
        <v>0</v>
      </c>
      <c r="U328">
        <f>G328-'DLC Buildup Factors'!M337</f>
        <v>0</v>
      </c>
      <c r="V328">
        <f>H328-'DLC Buildup Factors'!N337</f>
        <v>0</v>
      </c>
      <c r="W328">
        <f>I328-'DLC Buildup Factors'!O337</f>
        <v>0</v>
      </c>
    </row>
    <row r="329" spans="1:23">
      <c r="A329" s="10">
        <v>6</v>
      </c>
      <c r="B329">
        <v>1.468</v>
      </c>
      <c r="C329">
        <v>0.95699999999999996</v>
      </c>
      <c r="D329">
        <v>0.02</v>
      </c>
      <c r="E329">
        <v>13.46</v>
      </c>
      <c r="F329">
        <v>-2.24E-2</v>
      </c>
      <c r="G329" s="2">
        <v>1.7999999999999999E-2</v>
      </c>
      <c r="H329">
        <v>0.5</v>
      </c>
      <c r="I329" s="2">
        <v>7.4200000000000004E-3</v>
      </c>
      <c r="K329" t="str">
        <f t="shared" si="38"/>
        <v xml:space="preserve">    - 6.000</v>
      </c>
      <c r="L329" t="str">
        <f t="shared" si="39"/>
        <v xml:space="preserve">    - [1.468, 0.957, 0.020, 13.46, -0.0224]</v>
      </c>
      <c r="O329">
        <f>A329-'DLC Buildup Factors'!G338</f>
        <v>0</v>
      </c>
      <c r="P329">
        <f>B329-'DLC Buildup Factors'!H338</f>
        <v>0</v>
      </c>
      <c r="Q329">
        <f>C329-'DLC Buildup Factors'!I338</f>
        <v>0</v>
      </c>
      <c r="R329">
        <f>D329-'DLC Buildup Factors'!J338</f>
        <v>0</v>
      </c>
      <c r="S329">
        <f>E329-'DLC Buildup Factors'!K338</f>
        <v>0</v>
      </c>
      <c r="T329">
        <f>F329-'DLC Buildup Factors'!L338</f>
        <v>0</v>
      </c>
      <c r="U329">
        <f>G329-'DLC Buildup Factors'!M338</f>
        <v>0</v>
      </c>
      <c r="V329">
        <f>H329-'DLC Buildup Factors'!N338</f>
        <v>0</v>
      </c>
      <c r="W329">
        <f>I329-'DLC Buildup Factors'!O338</f>
        <v>0</v>
      </c>
    </row>
    <row r="330" spans="1:23">
      <c r="A330" s="10">
        <v>8</v>
      </c>
      <c r="B330">
        <v>1.3879999999999999</v>
      </c>
      <c r="C330">
        <v>0.92700000000000005</v>
      </c>
      <c r="D330">
        <v>3.1E-2</v>
      </c>
      <c r="E330">
        <v>13.43</v>
      </c>
      <c r="F330">
        <v>-3.1600000000000003E-2</v>
      </c>
      <c r="G330" s="2">
        <v>1.7399999999999999E-2</v>
      </c>
      <c r="H330">
        <v>0.5</v>
      </c>
      <c r="I330" s="2">
        <v>9.0100000000000006E-3</v>
      </c>
      <c r="K330" t="str">
        <f t="shared" si="38"/>
        <v xml:space="preserve">    - 8.000</v>
      </c>
      <c r="L330" t="str">
        <f t="shared" si="39"/>
        <v xml:space="preserve">    - [1.388, 0.927, 0.031, 13.43, -0.0316]</v>
      </c>
      <c r="O330">
        <f>A330-'DLC Buildup Factors'!G339</f>
        <v>0</v>
      </c>
      <c r="P330">
        <f>B330-'DLC Buildup Factors'!H339</f>
        <v>0</v>
      </c>
      <c r="Q330">
        <f>C330-'DLC Buildup Factors'!I339</f>
        <v>0</v>
      </c>
      <c r="R330">
        <f>D330-'DLC Buildup Factors'!J339</f>
        <v>0</v>
      </c>
      <c r="S330">
        <f>E330-'DLC Buildup Factors'!K339</f>
        <v>0</v>
      </c>
      <c r="T330">
        <f>F330-'DLC Buildup Factors'!L339</f>
        <v>0</v>
      </c>
      <c r="U330">
        <f>G330-'DLC Buildup Factors'!M339</f>
        <v>0</v>
      </c>
      <c r="V330">
        <f>H330-'DLC Buildup Factors'!N339</f>
        <v>0</v>
      </c>
      <c r="W330">
        <f>I330-'DLC Buildup Factors'!O339</f>
        <v>0</v>
      </c>
    </row>
    <row r="331" spans="1:23">
      <c r="A331" s="10">
        <v>10</v>
      </c>
      <c r="B331">
        <v>1.325</v>
      </c>
      <c r="C331">
        <v>0.91900000000000004</v>
      </c>
      <c r="D331">
        <v>3.5000000000000003E-2</v>
      </c>
      <c r="E331">
        <v>13.72</v>
      </c>
      <c r="F331">
        <v>-3.3500000000000002E-2</v>
      </c>
      <c r="G331" s="2">
        <v>1.9400000000000001E-2</v>
      </c>
      <c r="H331">
        <v>0.5</v>
      </c>
      <c r="I331" s="2">
        <v>9.75E-3</v>
      </c>
      <c r="K331" t="str">
        <f t="shared" si="38"/>
        <v xml:space="preserve">    - 10.000</v>
      </c>
      <c r="L331" t="str">
        <f t="shared" si="39"/>
        <v xml:space="preserve">    - [1.325, 0.919, 0.035, 13.72, -0.0335]</v>
      </c>
      <c r="O331">
        <f>A331-'DLC Buildup Factors'!G340</f>
        <v>0</v>
      </c>
      <c r="P331">
        <f>B331-'DLC Buildup Factors'!H340</f>
        <v>0</v>
      </c>
      <c r="Q331">
        <f>C331-'DLC Buildup Factors'!I340</f>
        <v>0</v>
      </c>
      <c r="R331">
        <f>D331-'DLC Buildup Factors'!J340</f>
        <v>0</v>
      </c>
      <c r="S331">
        <f>E331-'DLC Buildup Factors'!K340</f>
        <v>0</v>
      </c>
      <c r="T331">
        <f>F331-'DLC Buildup Factors'!L340</f>
        <v>0</v>
      </c>
      <c r="U331">
        <f>G331-'DLC Buildup Factors'!M340</f>
        <v>0</v>
      </c>
      <c r="V331">
        <f>H331-'DLC Buildup Factors'!N340</f>
        <v>0</v>
      </c>
      <c r="W331">
        <f>I331-'DLC Buildup Factors'!O340</f>
        <v>0</v>
      </c>
    </row>
    <row r="332" spans="1:23">
      <c r="A332" s="10">
        <v>15</v>
      </c>
      <c r="B332">
        <v>1.228</v>
      </c>
      <c r="C332">
        <v>0.89800000000000002</v>
      </c>
      <c r="D332">
        <v>4.8000000000000001E-2</v>
      </c>
      <c r="E332">
        <v>13.24</v>
      </c>
      <c r="F332">
        <v>-4.7100000000000003E-2</v>
      </c>
      <c r="G332" s="2">
        <v>2.7799999999999998E-2</v>
      </c>
      <c r="H332">
        <v>0.5</v>
      </c>
      <c r="I332" s="2">
        <v>1.0789999999999999E-2</v>
      </c>
      <c r="K332" t="str">
        <f t="shared" si="38"/>
        <v xml:space="preserve">    - 15.000</v>
      </c>
      <c r="L332" t="str">
        <f t="shared" si="39"/>
        <v xml:space="preserve">    - [1.228, 0.898, 0.048, 13.24, -0.0471]</v>
      </c>
      <c r="O332">
        <f>A332-'DLC Buildup Factors'!G341</f>
        <v>0</v>
      </c>
      <c r="P332">
        <f>B332-'DLC Buildup Factors'!H341</f>
        <v>0</v>
      </c>
      <c r="Q332">
        <f>C332-'DLC Buildup Factors'!I341</f>
        <v>0</v>
      </c>
      <c r="R332">
        <f>D332-'DLC Buildup Factors'!J341</f>
        <v>0</v>
      </c>
      <c r="S332">
        <f>E332-'DLC Buildup Factors'!K341</f>
        <v>0</v>
      </c>
      <c r="T332">
        <f>F332-'DLC Buildup Factors'!L341</f>
        <v>0</v>
      </c>
      <c r="U332">
        <f>G332-'DLC Buildup Factors'!M341</f>
        <v>0</v>
      </c>
      <c r="V332">
        <f>H332-'DLC Buildup Factors'!N341</f>
        <v>0</v>
      </c>
      <c r="W332">
        <f>I332-'DLC Buildup Factors'!O341</f>
        <v>0</v>
      </c>
    </row>
    <row r="333" spans="1:23">
      <c r="A333" s="10"/>
    </row>
    <row r="334" spans="1:23">
      <c r="A334" s="12" t="s">
        <v>1525</v>
      </c>
    </row>
    <row r="335" spans="1:23">
      <c r="A335" s="12" t="s">
        <v>1536</v>
      </c>
    </row>
    <row r="336" spans="1:23">
      <c r="A336" t="s">
        <v>0</v>
      </c>
      <c r="B336" t="s">
        <v>10</v>
      </c>
      <c r="C336" t="s">
        <v>11</v>
      </c>
      <c r="D336" t="s">
        <v>12</v>
      </c>
      <c r="E336" t="s">
        <v>15</v>
      </c>
      <c r="F336" t="s">
        <v>13</v>
      </c>
      <c r="G336" t="s">
        <v>16</v>
      </c>
      <c r="H336" t="s">
        <v>17</v>
      </c>
      <c r="I336" t="s">
        <v>14</v>
      </c>
    </row>
    <row r="337" spans="1:23">
      <c r="A337" s="12">
        <v>1.4999999999999999E-2</v>
      </c>
      <c r="B337">
        <v>1.0089999999999999</v>
      </c>
      <c r="C337">
        <v>0.495</v>
      </c>
      <c r="D337">
        <v>0.14099999999999999</v>
      </c>
      <c r="E337">
        <v>29.38</v>
      </c>
      <c r="F337">
        <v>-0.28510000000000002</v>
      </c>
      <c r="G337" s="2">
        <v>4.5999999999999999E-3</v>
      </c>
      <c r="H337">
        <v>0.5</v>
      </c>
      <c r="I337" s="2">
        <v>2.8500000000000001E-3</v>
      </c>
      <c r="K337" t="str">
        <f t="shared" ref="K337" si="40">CONCATENATE("    - ",TEXT(A337,"0.000"))</f>
        <v xml:space="preserve">    - 0.015</v>
      </c>
      <c r="L337" t="str">
        <f t="shared" ref="L337" si="41">CONCATENATE("    - [",TEXT(B337,"0.000"),", ",TEXT(C337,"0.000"),", ",TEXT(D337,"0.000"),", ",TEXT(E337,"0.00"),", ",TEXT(F337,"0.0000"),"]")</f>
        <v xml:space="preserve">    - [1.009, 0.495, 0.141, 29.38, -0.2851]</v>
      </c>
      <c r="O337">
        <f>A337-'DLC Buildup Factors'!G348</f>
        <v>0</v>
      </c>
      <c r="P337">
        <f>B337-'DLC Buildup Factors'!H348</f>
        <v>0</v>
      </c>
      <c r="Q337">
        <f>C337-'DLC Buildup Factors'!I348</f>
        <v>0</v>
      </c>
      <c r="R337">
        <f>D337-'DLC Buildup Factors'!J348</f>
        <v>0</v>
      </c>
      <c r="S337">
        <f>E337-'DLC Buildup Factors'!K348</f>
        <v>0</v>
      </c>
      <c r="T337">
        <f>F337-'DLC Buildup Factors'!L348</f>
        <v>0</v>
      </c>
      <c r="U337">
        <f>G337-'DLC Buildup Factors'!M348</f>
        <v>0</v>
      </c>
      <c r="V337">
        <f>H337-'DLC Buildup Factors'!N348</f>
        <v>0</v>
      </c>
      <c r="W337">
        <f>I337-'DLC Buildup Factors'!O348</f>
        <v>0</v>
      </c>
    </row>
    <row r="338" spans="1:23">
      <c r="A338" s="12">
        <v>0.02</v>
      </c>
      <c r="B338">
        <v>1.0269999999999999</v>
      </c>
      <c r="C338">
        <v>0.318</v>
      </c>
      <c r="D338">
        <v>0.252</v>
      </c>
      <c r="E338">
        <v>18.88</v>
      </c>
      <c r="F338">
        <v>-0.1913</v>
      </c>
      <c r="G338" s="2">
        <v>7.0000000000000001E-3</v>
      </c>
      <c r="H338">
        <v>2</v>
      </c>
      <c r="I338" s="2">
        <v>2.9099999999999998E-3</v>
      </c>
      <c r="K338" t="str">
        <f t="shared" ref="K338:K361" si="42">CONCATENATE("    - ",TEXT(A338,"0.000"))</f>
        <v xml:space="preserve">    - 0.020</v>
      </c>
      <c r="L338" t="str">
        <f t="shared" ref="L338:L361" si="43">CONCATENATE("    - [",TEXT(B338,"0.000"),", ",TEXT(C338,"0.000"),", ",TEXT(D338,"0.000"),", ",TEXT(E338,"0.00"),", ",TEXT(F338,"0.0000"),"]")</f>
        <v xml:space="preserve">    - [1.027, 0.318, 0.252, 18.88, -0.1913]</v>
      </c>
      <c r="O338">
        <f>A338-'DLC Buildup Factors'!G349</f>
        <v>0</v>
      </c>
      <c r="P338">
        <f>B338-'DLC Buildup Factors'!H349</f>
        <v>0</v>
      </c>
      <c r="Q338">
        <f>C338-'DLC Buildup Factors'!I349</f>
        <v>0</v>
      </c>
      <c r="R338">
        <f>D338-'DLC Buildup Factors'!J349</f>
        <v>0</v>
      </c>
      <c r="S338">
        <f>E338-'DLC Buildup Factors'!K349</f>
        <v>0</v>
      </c>
      <c r="T338">
        <f>F338-'DLC Buildup Factors'!L349</f>
        <v>0</v>
      </c>
      <c r="U338">
        <f>G338-'DLC Buildup Factors'!M349</f>
        <v>0</v>
      </c>
      <c r="V338">
        <f>H338-'DLC Buildup Factors'!N349</f>
        <v>0</v>
      </c>
      <c r="W338">
        <f>I338-'DLC Buildup Factors'!O349</f>
        <v>0</v>
      </c>
    </row>
    <row r="339" spans="1:23">
      <c r="A339" s="12">
        <v>0.03</v>
      </c>
      <c r="B339">
        <v>1.081</v>
      </c>
      <c r="C339">
        <v>0.34399999999999997</v>
      </c>
      <c r="D339">
        <v>0.252</v>
      </c>
      <c r="E339">
        <v>13.45</v>
      </c>
      <c r="F339">
        <v>-0.15079999999999999</v>
      </c>
      <c r="G339" s="2">
        <v>6.8999999999999999E-3</v>
      </c>
      <c r="H339">
        <v>0.5</v>
      </c>
      <c r="I339" s="2">
        <v>2.81E-3</v>
      </c>
      <c r="K339" t="str">
        <f t="shared" si="42"/>
        <v xml:space="preserve">    - 0.030</v>
      </c>
      <c r="L339" t="str">
        <f t="shared" si="43"/>
        <v xml:space="preserve">    - [1.081, 0.344, 0.252, 13.45, -0.1508]</v>
      </c>
      <c r="O339">
        <f>A339-'DLC Buildup Factors'!G350</f>
        <v>0</v>
      </c>
      <c r="P339">
        <f>B339-'DLC Buildup Factors'!H350</f>
        <v>0</v>
      </c>
      <c r="Q339">
        <f>C339-'DLC Buildup Factors'!I350</f>
        <v>0</v>
      </c>
      <c r="R339">
        <f>D339-'DLC Buildup Factors'!J350</f>
        <v>0</v>
      </c>
      <c r="S339">
        <f>E339-'DLC Buildup Factors'!K350</f>
        <v>0</v>
      </c>
      <c r="T339">
        <f>F339-'DLC Buildup Factors'!L350</f>
        <v>0</v>
      </c>
      <c r="U339">
        <f>G339-'DLC Buildup Factors'!M350</f>
        <v>0</v>
      </c>
      <c r="V339">
        <f>H339-'DLC Buildup Factors'!N350</f>
        <v>0</v>
      </c>
      <c r="W339">
        <f>I339-'DLC Buildup Factors'!O350</f>
        <v>0</v>
      </c>
    </row>
    <row r="340" spans="1:23">
      <c r="A340" s="12">
        <v>0.04</v>
      </c>
      <c r="B340">
        <v>1.179</v>
      </c>
      <c r="C340">
        <v>0.39200000000000002</v>
      </c>
      <c r="D340">
        <v>0.216</v>
      </c>
      <c r="E340">
        <v>14.54</v>
      </c>
      <c r="F340">
        <v>-0.1227</v>
      </c>
      <c r="G340" s="2">
        <v>1.4800000000000001E-2</v>
      </c>
      <c r="H340">
        <v>0.5</v>
      </c>
      <c r="I340" s="2">
        <v>6.6100000000000004E-3</v>
      </c>
      <c r="K340" t="str">
        <f t="shared" si="42"/>
        <v xml:space="preserve">    - 0.040</v>
      </c>
      <c r="L340" t="str">
        <f t="shared" si="43"/>
        <v xml:space="preserve">    - [1.179, 0.392, 0.216, 14.54, -0.1227]</v>
      </c>
      <c r="O340">
        <f>A340-'DLC Buildup Factors'!G351</f>
        <v>0</v>
      </c>
      <c r="P340">
        <f>B340-'DLC Buildup Factors'!H351</f>
        <v>0</v>
      </c>
      <c r="Q340">
        <f>C340-'DLC Buildup Factors'!I351</f>
        <v>0</v>
      </c>
      <c r="R340">
        <f>D340-'DLC Buildup Factors'!J351</f>
        <v>0</v>
      </c>
      <c r="S340">
        <f>E340-'DLC Buildup Factors'!K351</f>
        <v>0</v>
      </c>
      <c r="T340">
        <f>F340-'DLC Buildup Factors'!L351</f>
        <v>0</v>
      </c>
      <c r="U340">
        <f>G340-'DLC Buildup Factors'!M351</f>
        <v>0</v>
      </c>
      <c r="V340">
        <f>H340-'DLC Buildup Factors'!N351</f>
        <v>0</v>
      </c>
      <c r="W340">
        <f>I340-'DLC Buildup Factors'!O351</f>
        <v>0</v>
      </c>
    </row>
    <row r="341" spans="1:23">
      <c r="A341" s="12">
        <v>0.05</v>
      </c>
      <c r="B341">
        <v>1.3129999999999999</v>
      </c>
      <c r="C341">
        <v>0.433</v>
      </c>
      <c r="D341">
        <v>0.20200000000000001</v>
      </c>
      <c r="E341">
        <v>14.23</v>
      </c>
      <c r="F341">
        <v>-0.1149</v>
      </c>
      <c r="G341" s="2">
        <v>2.1299999999999999E-2</v>
      </c>
      <c r="H341">
        <v>0.5</v>
      </c>
      <c r="I341" s="2">
        <v>8.6599999999999993E-3</v>
      </c>
      <c r="K341" t="str">
        <f t="shared" si="42"/>
        <v xml:space="preserve">    - 0.050</v>
      </c>
      <c r="L341" t="str">
        <f t="shared" si="43"/>
        <v xml:space="preserve">    - [1.313, 0.433, 0.202, 14.23, -0.1149]</v>
      </c>
      <c r="O341">
        <f>A341-'DLC Buildup Factors'!G352</f>
        <v>0</v>
      </c>
      <c r="P341">
        <f>B341-'DLC Buildup Factors'!H352</f>
        <v>0</v>
      </c>
      <c r="Q341">
        <f>C341-'DLC Buildup Factors'!I352</f>
        <v>0</v>
      </c>
      <c r="R341">
        <f>D341-'DLC Buildup Factors'!J352</f>
        <v>0</v>
      </c>
      <c r="S341">
        <f>E341-'DLC Buildup Factors'!K352</f>
        <v>0</v>
      </c>
      <c r="T341">
        <f>F341-'DLC Buildup Factors'!L352</f>
        <v>0</v>
      </c>
      <c r="U341">
        <f>G341-'DLC Buildup Factors'!M352</f>
        <v>0</v>
      </c>
      <c r="V341">
        <f>H341-'DLC Buildup Factors'!N352</f>
        <v>0</v>
      </c>
      <c r="W341">
        <f>I341-'DLC Buildup Factors'!O352</f>
        <v>0</v>
      </c>
    </row>
    <row r="342" spans="1:23">
      <c r="A342" s="12">
        <v>0.06</v>
      </c>
      <c r="B342">
        <v>1.456</v>
      </c>
      <c r="C342">
        <v>0.50800000000000001</v>
      </c>
      <c r="D342">
        <v>0.16800000000000001</v>
      </c>
      <c r="E342">
        <v>14.35</v>
      </c>
      <c r="F342">
        <v>-9.4200000000000006E-2</v>
      </c>
      <c r="G342" s="2">
        <v>2.1000000000000001E-2</v>
      </c>
      <c r="H342">
        <v>0.5</v>
      </c>
      <c r="I342" s="2">
        <v>8.9800000000000001E-3</v>
      </c>
      <c r="K342" t="str">
        <f t="shared" si="42"/>
        <v xml:space="preserve">    - 0.060</v>
      </c>
      <c r="L342" t="str">
        <f t="shared" si="43"/>
        <v xml:space="preserve">    - [1.456, 0.508, 0.168, 14.35, -0.0942]</v>
      </c>
      <c r="O342">
        <f>A342-'DLC Buildup Factors'!G353</f>
        <v>0</v>
      </c>
      <c r="P342">
        <f>B342-'DLC Buildup Factors'!H353</f>
        <v>0</v>
      </c>
      <c r="Q342">
        <f>C342-'DLC Buildup Factors'!I353</f>
        <v>0</v>
      </c>
      <c r="R342">
        <f>D342-'DLC Buildup Factors'!J353</f>
        <v>0</v>
      </c>
      <c r="S342">
        <f>E342-'DLC Buildup Factors'!K353</f>
        <v>0</v>
      </c>
      <c r="T342">
        <f>F342-'DLC Buildup Factors'!L353</f>
        <v>0</v>
      </c>
      <c r="U342">
        <f>G342-'DLC Buildup Factors'!M353</f>
        <v>0</v>
      </c>
      <c r="V342">
        <f>H342-'DLC Buildup Factors'!N353</f>
        <v>0</v>
      </c>
      <c r="W342">
        <f>I342-'DLC Buildup Factors'!O353</f>
        <v>0</v>
      </c>
    </row>
    <row r="343" spans="1:23">
      <c r="A343" s="12">
        <v>0.08</v>
      </c>
      <c r="B343">
        <v>1.7370000000000001</v>
      </c>
      <c r="C343">
        <v>0.65500000000000003</v>
      </c>
      <c r="D343">
        <v>0.111</v>
      </c>
      <c r="E343">
        <v>14.39</v>
      </c>
      <c r="F343">
        <v>-6.25E-2</v>
      </c>
      <c r="G343" s="2">
        <v>1.78E-2</v>
      </c>
      <c r="H343">
        <v>0.5</v>
      </c>
      <c r="I343" s="2">
        <v>8.2100000000000003E-3</v>
      </c>
      <c r="K343" t="str">
        <f t="shared" si="42"/>
        <v xml:space="preserve">    - 0.080</v>
      </c>
      <c r="L343" t="str">
        <f t="shared" si="43"/>
        <v xml:space="preserve">    - [1.737, 0.655, 0.111, 14.39, -0.0625]</v>
      </c>
      <c r="O343">
        <f>A343-'DLC Buildup Factors'!G354</f>
        <v>0</v>
      </c>
      <c r="P343">
        <f>B343-'DLC Buildup Factors'!H354</f>
        <v>0</v>
      </c>
      <c r="Q343">
        <f>C343-'DLC Buildup Factors'!I354</f>
        <v>0</v>
      </c>
      <c r="R343">
        <f>D343-'DLC Buildup Factors'!J354</f>
        <v>0</v>
      </c>
      <c r="S343">
        <f>E343-'DLC Buildup Factors'!K354</f>
        <v>0</v>
      </c>
      <c r="T343">
        <f>F343-'DLC Buildup Factors'!L354</f>
        <v>0</v>
      </c>
      <c r="U343">
        <f>G343-'DLC Buildup Factors'!M354</f>
        <v>0</v>
      </c>
      <c r="V343">
        <f>H343-'DLC Buildup Factors'!N354</f>
        <v>0</v>
      </c>
      <c r="W343">
        <f>I343-'DLC Buildup Factors'!O354</f>
        <v>0</v>
      </c>
    </row>
    <row r="344" spans="1:23">
      <c r="A344" s="12">
        <v>0.1</v>
      </c>
      <c r="B344">
        <v>1.95</v>
      </c>
      <c r="C344">
        <v>0.81399999999999995</v>
      </c>
      <c r="D344">
        <v>5.8999999999999997E-2</v>
      </c>
      <c r="E344">
        <v>14.51</v>
      </c>
      <c r="F344">
        <v>-4.0800000000000003E-2</v>
      </c>
      <c r="G344" s="2">
        <v>1.04E-2</v>
      </c>
      <c r="H344">
        <v>0.5</v>
      </c>
      <c r="I344" s="2">
        <v>6.6299999999999996E-3</v>
      </c>
      <c r="K344" t="str">
        <f t="shared" si="42"/>
        <v xml:space="preserve">    - 0.100</v>
      </c>
      <c r="L344" t="str">
        <f t="shared" si="43"/>
        <v xml:space="preserve">    - [1.950, 0.814, 0.059, 14.51, -0.0408]</v>
      </c>
      <c r="O344">
        <f>A344-'DLC Buildup Factors'!G355</f>
        <v>0</v>
      </c>
      <c r="P344">
        <f>B344-'DLC Buildup Factors'!H355</f>
        <v>0</v>
      </c>
      <c r="Q344">
        <f>C344-'DLC Buildup Factors'!I355</f>
        <v>0</v>
      </c>
      <c r="R344">
        <f>D344-'DLC Buildup Factors'!J355</f>
        <v>0</v>
      </c>
      <c r="S344">
        <f>E344-'DLC Buildup Factors'!K355</f>
        <v>0</v>
      </c>
      <c r="T344">
        <f>F344-'DLC Buildup Factors'!L355</f>
        <v>0</v>
      </c>
      <c r="U344">
        <f>G344-'DLC Buildup Factors'!M355</f>
        <v>0</v>
      </c>
      <c r="V344">
        <f>H344-'DLC Buildup Factors'!N355</f>
        <v>0</v>
      </c>
      <c r="W344">
        <f>I344-'DLC Buildup Factors'!O355</f>
        <v>0</v>
      </c>
    </row>
    <row r="345" spans="1:23">
      <c r="A345" s="12">
        <v>0.15</v>
      </c>
      <c r="B345">
        <v>2.2549999999999999</v>
      </c>
      <c r="C345">
        <v>1.04</v>
      </c>
      <c r="D345">
        <v>4.0000000000000001E-3</v>
      </c>
      <c r="E345">
        <v>13.4</v>
      </c>
      <c r="F345">
        <v>-2.4400000000000002E-2</v>
      </c>
      <c r="G345" s="2">
        <v>3.8E-3</v>
      </c>
      <c r="H345">
        <v>2</v>
      </c>
      <c r="I345" s="2">
        <v>1.6999999999999999E-3</v>
      </c>
      <c r="K345" t="str">
        <f t="shared" si="42"/>
        <v xml:space="preserve">    - 0.150</v>
      </c>
      <c r="L345" t="str">
        <f t="shared" si="43"/>
        <v xml:space="preserve">    - [2.255, 1.040, 0.004, 13.40, -0.0244]</v>
      </c>
      <c r="O345">
        <f>A345-'DLC Buildup Factors'!G356</f>
        <v>0</v>
      </c>
      <c r="P345">
        <f>B345-'DLC Buildup Factors'!H356</f>
        <v>0</v>
      </c>
      <c r="Q345">
        <f>C345-'DLC Buildup Factors'!I356</f>
        <v>0</v>
      </c>
      <c r="R345">
        <f>D345-'DLC Buildup Factors'!J356</f>
        <v>0</v>
      </c>
      <c r="S345">
        <f>E345-'DLC Buildup Factors'!K356</f>
        <v>0</v>
      </c>
      <c r="T345">
        <f>F345-'DLC Buildup Factors'!L356</f>
        <v>0</v>
      </c>
      <c r="U345">
        <f>G345-'DLC Buildup Factors'!M356</f>
        <v>0</v>
      </c>
      <c r="V345">
        <f>H345-'DLC Buildup Factors'!N356</f>
        <v>0</v>
      </c>
      <c r="W345">
        <f>I345-'DLC Buildup Factors'!O356</f>
        <v>0</v>
      </c>
    </row>
    <row r="346" spans="1:23">
      <c r="A346" s="12">
        <v>0.2</v>
      </c>
      <c r="B346">
        <v>2.347</v>
      </c>
      <c r="C346">
        <v>1.175</v>
      </c>
      <c r="D346">
        <v>-2.1000000000000001E-2</v>
      </c>
      <c r="E346">
        <v>12.06</v>
      </c>
      <c r="F346">
        <v>-1.9300000000000001E-2</v>
      </c>
      <c r="G346" s="2">
        <v>1.5599999999999999E-2</v>
      </c>
      <c r="H346">
        <v>0.5</v>
      </c>
      <c r="I346" s="16">
        <v>8.5800000000000008E-3</v>
      </c>
      <c r="K346" t="str">
        <f t="shared" si="42"/>
        <v xml:space="preserve">    - 0.200</v>
      </c>
      <c r="L346" t="str">
        <f t="shared" si="43"/>
        <v xml:space="preserve">    - [2.347, 1.175, -0.021, 12.06, -0.0193]</v>
      </c>
      <c r="O346">
        <f>A346-'DLC Buildup Factors'!G357</f>
        <v>0</v>
      </c>
      <c r="P346">
        <f>B346-'DLC Buildup Factors'!H357</f>
        <v>0</v>
      </c>
      <c r="Q346">
        <f>C346-'DLC Buildup Factors'!I357</f>
        <v>0</v>
      </c>
      <c r="R346">
        <f>D346-'DLC Buildup Factors'!J357</f>
        <v>0</v>
      </c>
      <c r="S346">
        <f>E346-'DLC Buildup Factors'!K357</f>
        <v>0</v>
      </c>
      <c r="T346">
        <f>F346-'DLC Buildup Factors'!L357</f>
        <v>0</v>
      </c>
      <c r="U346">
        <f>G346-'DLC Buildup Factors'!M357</f>
        <v>0</v>
      </c>
      <c r="V346">
        <f>H346-'DLC Buildup Factors'!N357</f>
        <v>0</v>
      </c>
      <c r="W346">
        <f>I346-'DLC Buildup Factors'!O357</f>
        <v>0</v>
      </c>
    </row>
    <row r="347" spans="1:23">
      <c r="A347" s="12">
        <v>0.3</v>
      </c>
      <c r="B347">
        <v>2.2989999999999999</v>
      </c>
      <c r="C347">
        <v>1.3120000000000001</v>
      </c>
      <c r="D347">
        <v>-4.8000000000000001E-2</v>
      </c>
      <c r="E347">
        <v>9.01</v>
      </c>
      <c r="F347">
        <v>-1.0500000000000001E-2</v>
      </c>
      <c r="G347" s="2">
        <v>1.23E-2</v>
      </c>
      <c r="H347">
        <v>0.5</v>
      </c>
      <c r="I347" s="16">
        <v>4.3299999999999996E-3</v>
      </c>
      <c r="J347" s="15" t="s">
        <v>1549</v>
      </c>
      <c r="K347" t="str">
        <f t="shared" si="42"/>
        <v xml:space="preserve">    - 0.300</v>
      </c>
      <c r="L347" t="str">
        <f t="shared" si="43"/>
        <v xml:space="preserve">    - [2.299, 1.312, -0.048, 9.01, -0.0105]</v>
      </c>
      <c r="M347" s="25"/>
      <c r="N347" s="25"/>
      <c r="O347">
        <f>A347-'DLC Buildup Factors'!G358</f>
        <v>0</v>
      </c>
      <c r="P347">
        <f>B347-'DLC Buildup Factors'!H358</f>
        <v>-1.5000000000000124E-2</v>
      </c>
      <c r="Q347">
        <f>C347-'DLC Buildup Factors'!I358</f>
        <v>-1.0000000000000009E-2</v>
      </c>
      <c r="R347">
        <f>D347-'DLC Buildup Factors'!J358</f>
        <v>4.9999999999999975E-3</v>
      </c>
      <c r="S347">
        <f>E347-'DLC Buildup Factors'!K358</f>
        <v>-10.840000000000002</v>
      </c>
      <c r="T347">
        <f>F347-'DLC Buildup Factors'!L358</f>
        <v>-1.2100000000000001E-2</v>
      </c>
      <c r="U347">
        <f>G347-'DLC Buildup Factors'!M358</f>
        <v>-4.3E-3</v>
      </c>
      <c r="V347">
        <f>H347-'DLC Buildup Factors'!N358</f>
        <v>-3.5</v>
      </c>
      <c r="W347">
        <f>I347-'DLC Buildup Factors'!O358</f>
        <v>-5.0999999999999995E-3</v>
      </c>
    </row>
    <row r="348" spans="1:23">
      <c r="A348" s="12">
        <v>0.4</v>
      </c>
      <c r="B348">
        <v>2.234</v>
      </c>
      <c r="C348">
        <v>1.3420000000000001</v>
      </c>
      <c r="D348">
        <v>-5.3999999999999999E-2</v>
      </c>
      <c r="E348">
        <v>8.27</v>
      </c>
      <c r="F348">
        <v>-9.1999999999999998E-3</v>
      </c>
      <c r="G348" s="2">
        <v>8.8999999999999999E-3</v>
      </c>
      <c r="H348">
        <v>0.5</v>
      </c>
      <c r="I348" s="16">
        <v>4.6600000000000001E-3</v>
      </c>
      <c r="J348" s="15" t="s">
        <v>1549</v>
      </c>
      <c r="K348" t="str">
        <f t="shared" si="42"/>
        <v xml:space="preserve">    - 0.400</v>
      </c>
      <c r="L348" t="str">
        <f t="shared" si="43"/>
        <v xml:space="preserve">    - [2.234, 1.342, -0.054, 8.27, -0.0092]</v>
      </c>
      <c r="M348" s="25"/>
      <c r="N348" s="25"/>
      <c r="O348">
        <f>A348-'DLC Buildup Factors'!G359</f>
        <v>0</v>
      </c>
      <c r="P348">
        <f>B348-'DLC Buildup Factors'!H359</f>
        <v>2.0999999999999908E-2</v>
      </c>
      <c r="Q348">
        <f>C348-'DLC Buildup Factors'!I359</f>
        <v>-3.2999999999999918E-2</v>
      </c>
      <c r="R348">
        <f>D348-'DLC Buildup Factors'!J359</f>
        <v>1.0000000000000002E-2</v>
      </c>
      <c r="S348">
        <f>E348-'DLC Buildup Factors'!K359</f>
        <v>-15.2</v>
      </c>
      <c r="T348">
        <f>F348-'DLC Buildup Factors'!L359</f>
        <v>-2.46E-2</v>
      </c>
      <c r="U348">
        <f>G348-'DLC Buildup Factors'!M359</f>
        <v>-9.0999999999999987E-3</v>
      </c>
      <c r="V348">
        <f>H348-'DLC Buildup Factors'!N359</f>
        <v>0</v>
      </c>
      <c r="W348">
        <f>I348-'DLC Buildup Factors'!O359</f>
        <v>-1.8700000000000001E-3</v>
      </c>
    </row>
    <row r="349" spans="1:23">
      <c r="A349" s="12">
        <v>0.5</v>
      </c>
      <c r="B349">
        <v>2.145</v>
      </c>
      <c r="C349">
        <v>1.3779999999999999</v>
      </c>
      <c r="D349">
        <v>-6.6000000000000003E-2</v>
      </c>
      <c r="E349">
        <v>22.25</v>
      </c>
      <c r="F349">
        <v>1.7899999999999999E-2</v>
      </c>
      <c r="G349" s="2">
        <v>1.29E-2</v>
      </c>
      <c r="H349">
        <v>0.5</v>
      </c>
      <c r="I349" s="2">
        <v>4.2500000000000003E-3</v>
      </c>
      <c r="K349" t="str">
        <f t="shared" si="42"/>
        <v xml:space="preserve">    - 0.500</v>
      </c>
      <c r="L349" t="str">
        <f t="shared" si="43"/>
        <v xml:space="preserve">    - [2.145, 1.378, -0.066, 22.25, 0.0179]</v>
      </c>
      <c r="O349">
        <f>A349-'DLC Buildup Factors'!G360</f>
        <v>0</v>
      </c>
      <c r="P349">
        <f>B349-'DLC Buildup Factors'!H360</f>
        <v>0</v>
      </c>
      <c r="Q349">
        <f>C349-'DLC Buildup Factors'!I360</f>
        <v>0</v>
      </c>
      <c r="R349">
        <f>D349-'DLC Buildup Factors'!J360</f>
        <v>0</v>
      </c>
      <c r="S349">
        <f>E349-'DLC Buildup Factors'!K360</f>
        <v>0</v>
      </c>
      <c r="T349">
        <f>F349-'DLC Buildup Factors'!L360</f>
        <v>0</v>
      </c>
      <c r="U349">
        <f>G349-'DLC Buildup Factors'!M360</f>
        <v>0</v>
      </c>
      <c r="V349">
        <f>H349-'DLC Buildup Factors'!N360</f>
        <v>0</v>
      </c>
      <c r="W349">
        <f>I349-'DLC Buildup Factors'!O360</f>
        <v>0</v>
      </c>
    </row>
    <row r="350" spans="1:23">
      <c r="A350" s="12">
        <v>0.6</v>
      </c>
      <c r="B350">
        <v>2.0880000000000001</v>
      </c>
      <c r="C350">
        <v>1.369</v>
      </c>
      <c r="D350">
        <v>-6.6000000000000003E-2</v>
      </c>
      <c r="E350">
        <v>18.91</v>
      </c>
      <c r="F350">
        <v>1.52E-2</v>
      </c>
      <c r="G350" s="2">
        <v>9.7999999999999997E-3</v>
      </c>
      <c r="H350">
        <v>0.5</v>
      </c>
      <c r="I350" s="2">
        <v>3.8500000000000001E-3</v>
      </c>
      <c r="K350" t="str">
        <f t="shared" si="42"/>
        <v xml:space="preserve">    - 0.600</v>
      </c>
      <c r="L350" t="str">
        <f t="shared" si="43"/>
        <v xml:space="preserve">    - [2.088, 1.369, -0.066, 18.91, 0.0152]</v>
      </c>
      <c r="O350">
        <f>A350-'DLC Buildup Factors'!G361</f>
        <v>0</v>
      </c>
      <c r="P350">
        <f>B350-'DLC Buildup Factors'!H361</f>
        <v>0</v>
      </c>
      <c r="Q350">
        <f>C350-'DLC Buildup Factors'!I361</f>
        <v>0</v>
      </c>
      <c r="R350">
        <f>D350-'DLC Buildup Factors'!J361</f>
        <v>0</v>
      </c>
      <c r="S350">
        <f>E350-'DLC Buildup Factors'!K361</f>
        <v>0</v>
      </c>
      <c r="T350">
        <f>F350-'DLC Buildup Factors'!L361</f>
        <v>0</v>
      </c>
      <c r="U350">
        <f>G350-'DLC Buildup Factors'!M361</f>
        <v>0</v>
      </c>
      <c r="V350">
        <f>H350-'DLC Buildup Factors'!N361</f>
        <v>0</v>
      </c>
      <c r="W350">
        <f>I350-'DLC Buildup Factors'!O361</f>
        <v>0</v>
      </c>
    </row>
    <row r="351" spans="1:23">
      <c r="A351" s="12">
        <v>0.8</v>
      </c>
      <c r="B351">
        <v>1.994</v>
      </c>
      <c r="C351">
        <v>1.341</v>
      </c>
      <c r="D351">
        <v>-6.4000000000000001E-2</v>
      </c>
      <c r="E351">
        <v>16.54</v>
      </c>
      <c r="F351">
        <v>1.66E-2</v>
      </c>
      <c r="G351" s="2">
        <v>4.1999999999999997E-3</v>
      </c>
      <c r="H351">
        <v>3</v>
      </c>
      <c r="I351" s="2">
        <v>2.3E-3</v>
      </c>
      <c r="K351" t="str">
        <f t="shared" si="42"/>
        <v xml:space="preserve">    - 0.800</v>
      </c>
      <c r="L351" t="str">
        <f t="shared" si="43"/>
        <v xml:space="preserve">    - [1.994, 1.341, -0.064, 16.54, 0.0166]</v>
      </c>
      <c r="O351">
        <f>A351-'DLC Buildup Factors'!G362</f>
        <v>0</v>
      </c>
      <c r="P351">
        <f>B351-'DLC Buildup Factors'!H362</f>
        <v>0</v>
      </c>
      <c r="Q351">
        <f>C351-'DLC Buildup Factors'!I362</f>
        <v>0</v>
      </c>
      <c r="R351">
        <f>D351-'DLC Buildup Factors'!J362</f>
        <v>0</v>
      </c>
      <c r="S351">
        <f>E351-'DLC Buildup Factors'!K362</f>
        <v>0</v>
      </c>
      <c r="T351">
        <f>F351-'DLC Buildup Factors'!L362</f>
        <v>0</v>
      </c>
      <c r="U351">
        <f>G351-'DLC Buildup Factors'!M362</f>
        <v>0</v>
      </c>
      <c r="V351">
        <f>H351-'DLC Buildup Factors'!N362</f>
        <v>0</v>
      </c>
      <c r="W351">
        <f>I351-'DLC Buildup Factors'!O362</f>
        <v>0</v>
      </c>
    </row>
    <row r="352" spans="1:23">
      <c r="A352" s="12">
        <v>1</v>
      </c>
      <c r="B352">
        <v>1.925</v>
      </c>
      <c r="C352">
        <v>1.3029999999999999</v>
      </c>
      <c r="D352">
        <v>-5.8999999999999997E-2</v>
      </c>
      <c r="E352">
        <v>16.03</v>
      </c>
      <c r="F352">
        <v>1.66E-2</v>
      </c>
      <c r="G352" s="2">
        <v>4.5999999999999999E-3</v>
      </c>
      <c r="H352">
        <v>35</v>
      </c>
      <c r="I352" s="2">
        <v>2.3900000000000002E-3</v>
      </c>
      <c r="K352" t="str">
        <f t="shared" si="42"/>
        <v xml:space="preserve">    - 1.000</v>
      </c>
      <c r="L352" t="str">
        <f t="shared" si="43"/>
        <v xml:space="preserve">    - [1.925, 1.303, -0.059, 16.03, 0.0166]</v>
      </c>
      <c r="O352">
        <f>A352-'DLC Buildup Factors'!G363</f>
        <v>0</v>
      </c>
      <c r="P352">
        <f>B352-'DLC Buildup Factors'!H363</f>
        <v>0</v>
      </c>
      <c r="Q352">
        <f>C352-'DLC Buildup Factors'!I363</f>
        <v>0</v>
      </c>
      <c r="R352">
        <f>D352-'DLC Buildup Factors'!J363</f>
        <v>0</v>
      </c>
      <c r="S352">
        <f>E352-'DLC Buildup Factors'!K363</f>
        <v>0</v>
      </c>
      <c r="T352">
        <f>F352-'DLC Buildup Factors'!L363</f>
        <v>0</v>
      </c>
      <c r="U352">
        <f>G352-'DLC Buildup Factors'!M363</f>
        <v>0</v>
      </c>
      <c r="V352">
        <f>H352-'DLC Buildup Factors'!N363</f>
        <v>0</v>
      </c>
      <c r="W352">
        <f>I352-'DLC Buildup Factors'!O363</f>
        <v>0</v>
      </c>
    </row>
    <row r="353" spans="1:23">
      <c r="A353" s="12">
        <v>1.5</v>
      </c>
      <c r="B353">
        <v>1.8140000000000001</v>
      </c>
      <c r="C353">
        <v>1.2110000000000001</v>
      </c>
      <c r="D353">
        <v>-4.2999999999999997E-2</v>
      </c>
      <c r="E353">
        <v>16.27</v>
      </c>
      <c r="F353">
        <v>1.2500000000000001E-2</v>
      </c>
      <c r="G353" s="2">
        <v>3.3E-3</v>
      </c>
      <c r="H353">
        <v>0.5</v>
      </c>
      <c r="I353" s="2">
        <v>1.6199999999999999E-3</v>
      </c>
      <c r="K353" t="str">
        <f t="shared" si="42"/>
        <v xml:space="preserve">    - 1.500</v>
      </c>
      <c r="L353" t="str">
        <f t="shared" si="43"/>
        <v xml:space="preserve">    - [1.814, 1.211, -0.043, 16.27, 0.0125]</v>
      </c>
      <c r="O353">
        <f>A353-'DLC Buildup Factors'!G364</f>
        <v>0</v>
      </c>
      <c r="P353">
        <f>B353-'DLC Buildup Factors'!H364</f>
        <v>0</v>
      </c>
      <c r="Q353">
        <f>C353-'DLC Buildup Factors'!I364</f>
        <v>0</v>
      </c>
      <c r="R353">
        <f>D353-'DLC Buildup Factors'!J364</f>
        <v>0</v>
      </c>
      <c r="S353">
        <f>E353-'DLC Buildup Factors'!K364</f>
        <v>0</v>
      </c>
      <c r="T353">
        <f>F353-'DLC Buildup Factors'!L364</f>
        <v>0</v>
      </c>
      <c r="U353">
        <f>G353-'DLC Buildup Factors'!M364</f>
        <v>0</v>
      </c>
      <c r="V353">
        <f>H353-'DLC Buildup Factors'!N364</f>
        <v>0</v>
      </c>
      <c r="W353">
        <f>I353-'DLC Buildup Factors'!O364</f>
        <v>0</v>
      </c>
    </row>
    <row r="354" spans="1:23">
      <c r="A354" s="12">
        <v>2</v>
      </c>
      <c r="B354">
        <v>1.7490000000000001</v>
      </c>
      <c r="C354">
        <v>1.147</v>
      </c>
      <c r="D354">
        <v>-0.03</v>
      </c>
      <c r="E354">
        <v>15.16</v>
      </c>
      <c r="F354">
        <v>6.4999999999999997E-3</v>
      </c>
      <c r="G354" s="2">
        <v>4.0000000000000001E-3</v>
      </c>
      <c r="H354">
        <v>40</v>
      </c>
      <c r="I354" s="2">
        <v>1.34E-3</v>
      </c>
      <c r="K354" t="str">
        <f t="shared" si="42"/>
        <v xml:space="preserve">    - 2.000</v>
      </c>
      <c r="L354" t="str">
        <f t="shared" si="43"/>
        <v xml:space="preserve">    - [1.749, 1.147, -0.030, 15.16, 0.0065]</v>
      </c>
      <c r="O354">
        <f>A354-'DLC Buildup Factors'!G365</f>
        <v>0</v>
      </c>
      <c r="P354">
        <f>B354-'DLC Buildup Factors'!H365</f>
        <v>0</v>
      </c>
      <c r="Q354">
        <f>C354-'DLC Buildup Factors'!I365</f>
        <v>0</v>
      </c>
      <c r="R354">
        <f>D354-'DLC Buildup Factors'!J365</f>
        <v>0</v>
      </c>
      <c r="S354">
        <f>E354-'DLC Buildup Factors'!K365</f>
        <v>0</v>
      </c>
      <c r="T354">
        <f>F354-'DLC Buildup Factors'!L365</f>
        <v>0</v>
      </c>
      <c r="U354">
        <f>G354-'DLC Buildup Factors'!M365</f>
        <v>0</v>
      </c>
      <c r="V354">
        <f>H354-'DLC Buildup Factors'!N365</f>
        <v>0</v>
      </c>
      <c r="W354">
        <f>I354-'DLC Buildup Factors'!O365</f>
        <v>0</v>
      </c>
    </row>
    <row r="355" spans="1:23">
      <c r="A355" s="12">
        <v>3</v>
      </c>
      <c r="B355">
        <v>1.657</v>
      </c>
      <c r="C355">
        <v>1.052</v>
      </c>
      <c r="D355">
        <v>-6.0000000000000001E-3</v>
      </c>
      <c r="E355">
        <v>11.62</v>
      </c>
      <c r="F355">
        <v>-8.8999999999999999E-3</v>
      </c>
      <c r="G355" s="2">
        <v>7.7999999999999996E-3</v>
      </c>
      <c r="H355">
        <v>1</v>
      </c>
      <c r="I355" s="2">
        <v>3.5500000000000002E-3</v>
      </c>
      <c r="K355" t="str">
        <f t="shared" si="42"/>
        <v xml:space="preserve">    - 3.000</v>
      </c>
      <c r="L355" t="str">
        <f t="shared" si="43"/>
        <v xml:space="preserve">    - [1.657, 1.052, -0.006, 11.62, -0.0089]</v>
      </c>
      <c r="O355">
        <f>A355-'DLC Buildup Factors'!G366</f>
        <v>0</v>
      </c>
      <c r="P355">
        <f>B355-'DLC Buildup Factors'!H366</f>
        <v>0</v>
      </c>
      <c r="Q355">
        <f>C355-'DLC Buildup Factors'!I366</f>
        <v>0</v>
      </c>
      <c r="R355">
        <f>D355-'DLC Buildup Factors'!J366</f>
        <v>0</v>
      </c>
      <c r="S355">
        <f>E355-'DLC Buildup Factors'!K366</f>
        <v>0</v>
      </c>
      <c r="T355">
        <f>F355-'DLC Buildup Factors'!L366</f>
        <v>0</v>
      </c>
      <c r="U355">
        <f>G355-'DLC Buildup Factors'!M366</f>
        <v>0</v>
      </c>
      <c r="V355">
        <f>H355-'DLC Buildup Factors'!N366</f>
        <v>0</v>
      </c>
      <c r="W355">
        <f>I355-'DLC Buildup Factors'!O366</f>
        <v>0</v>
      </c>
    </row>
    <row r="356" spans="1:23">
      <c r="A356" s="12">
        <v>4</v>
      </c>
      <c r="B356">
        <v>1.579</v>
      </c>
      <c r="C356">
        <v>1.0049999999999999</v>
      </c>
      <c r="D356">
        <v>7.0000000000000001E-3</v>
      </c>
      <c r="E356">
        <v>10.97</v>
      </c>
      <c r="F356">
        <v>-1.44E-2</v>
      </c>
      <c r="G356" s="2">
        <v>6.8999999999999999E-3</v>
      </c>
      <c r="H356">
        <v>1</v>
      </c>
      <c r="I356" s="2">
        <v>4.0499999999999998E-3</v>
      </c>
      <c r="K356" t="str">
        <f t="shared" si="42"/>
        <v xml:space="preserve">    - 4.000</v>
      </c>
      <c r="L356" t="str">
        <f t="shared" si="43"/>
        <v xml:space="preserve">    - [1.579, 1.005, 0.007, 10.97, -0.0144]</v>
      </c>
      <c r="O356">
        <f>A356-'DLC Buildup Factors'!G367</f>
        <v>0</v>
      </c>
      <c r="P356">
        <f>B356-'DLC Buildup Factors'!H367</f>
        <v>0</v>
      </c>
      <c r="Q356">
        <f>C356-'DLC Buildup Factors'!I367</f>
        <v>0</v>
      </c>
      <c r="R356">
        <f>D356-'DLC Buildup Factors'!J367</f>
        <v>0</v>
      </c>
      <c r="S356">
        <f>E356-'DLC Buildup Factors'!K367</f>
        <v>0</v>
      </c>
      <c r="T356">
        <f>F356-'DLC Buildup Factors'!L367</f>
        <v>0</v>
      </c>
      <c r="U356">
        <f>G356-'DLC Buildup Factors'!M367</f>
        <v>0</v>
      </c>
      <c r="V356">
        <f>H356-'DLC Buildup Factors'!N367</f>
        <v>0</v>
      </c>
      <c r="W356">
        <f>I356-'DLC Buildup Factors'!O367</f>
        <v>0</v>
      </c>
    </row>
    <row r="357" spans="1:23">
      <c r="A357" s="12">
        <v>5</v>
      </c>
      <c r="B357">
        <v>1.5129999999999999</v>
      </c>
      <c r="C357">
        <v>0.97799999999999998</v>
      </c>
      <c r="D357">
        <v>1.4999999999999999E-2</v>
      </c>
      <c r="E357">
        <v>13.38</v>
      </c>
      <c r="F357">
        <v>-2.1299999999999999E-2</v>
      </c>
      <c r="G357" s="2">
        <v>1.67E-2</v>
      </c>
      <c r="H357">
        <v>0.5</v>
      </c>
      <c r="I357" s="2">
        <v>7.4200000000000004E-3</v>
      </c>
      <c r="K357" t="str">
        <f t="shared" si="42"/>
        <v xml:space="preserve">    - 5.000</v>
      </c>
      <c r="L357" t="str">
        <f t="shared" si="43"/>
        <v xml:space="preserve">    - [1.513, 0.978, 0.015, 13.38, -0.0213]</v>
      </c>
      <c r="O357">
        <f>A357-'DLC Buildup Factors'!G368</f>
        <v>0</v>
      </c>
      <c r="P357">
        <f>B357-'DLC Buildup Factors'!H368</f>
        <v>0</v>
      </c>
      <c r="Q357">
        <f>C357-'DLC Buildup Factors'!I368</f>
        <v>0</v>
      </c>
      <c r="R357">
        <f>D357-'DLC Buildup Factors'!J368</f>
        <v>0</v>
      </c>
      <c r="S357">
        <f>E357-'DLC Buildup Factors'!K368</f>
        <v>0</v>
      </c>
      <c r="T357">
        <f>F357-'DLC Buildup Factors'!L368</f>
        <v>0</v>
      </c>
      <c r="U357">
        <f>G357-'DLC Buildup Factors'!M368</f>
        <v>0</v>
      </c>
      <c r="V357">
        <f>H357-'DLC Buildup Factors'!N368</f>
        <v>0</v>
      </c>
      <c r="W357">
        <f>I357-'DLC Buildup Factors'!O368</f>
        <v>0</v>
      </c>
    </row>
    <row r="358" spans="1:23">
      <c r="A358" s="12">
        <v>6</v>
      </c>
      <c r="B358">
        <v>1.4610000000000001</v>
      </c>
      <c r="C358">
        <v>0.96599999999999997</v>
      </c>
      <c r="D358">
        <v>1.9E-2</v>
      </c>
      <c r="E358">
        <v>13.7</v>
      </c>
      <c r="F358">
        <v>-2.35E-2</v>
      </c>
      <c r="G358" s="2">
        <v>2.12E-2</v>
      </c>
      <c r="H358">
        <v>0.5</v>
      </c>
      <c r="I358" s="2">
        <v>8.1200000000000005E-3</v>
      </c>
      <c r="K358" t="str">
        <f t="shared" si="42"/>
        <v xml:space="preserve">    - 6.000</v>
      </c>
      <c r="L358" t="str">
        <f t="shared" si="43"/>
        <v xml:space="preserve">    - [1.461, 0.966, 0.019, 13.70, -0.0235]</v>
      </c>
      <c r="O358">
        <f>A358-'DLC Buildup Factors'!G369</f>
        <v>0</v>
      </c>
      <c r="P358">
        <f>B358-'DLC Buildup Factors'!H369</f>
        <v>0</v>
      </c>
      <c r="Q358">
        <f>C358-'DLC Buildup Factors'!I369</f>
        <v>0</v>
      </c>
      <c r="R358">
        <f>D358-'DLC Buildup Factors'!J369</f>
        <v>0</v>
      </c>
      <c r="S358">
        <f>E358-'DLC Buildup Factors'!K369</f>
        <v>0</v>
      </c>
      <c r="T358">
        <f>F358-'DLC Buildup Factors'!L369</f>
        <v>0</v>
      </c>
      <c r="U358">
        <f>G358-'DLC Buildup Factors'!M369</f>
        <v>0</v>
      </c>
      <c r="V358">
        <f>H358-'DLC Buildup Factors'!N369</f>
        <v>0</v>
      </c>
      <c r="W358">
        <f>I358-'DLC Buildup Factors'!O369</f>
        <v>0</v>
      </c>
    </row>
    <row r="359" spans="1:23">
      <c r="A359" s="12">
        <v>8</v>
      </c>
      <c r="B359">
        <v>1.38</v>
      </c>
      <c r="C359">
        <v>0.93799999999999994</v>
      </c>
      <c r="D359">
        <v>0.03</v>
      </c>
      <c r="E359">
        <v>13.39</v>
      </c>
      <c r="F359">
        <v>-3.3300000000000003E-2</v>
      </c>
      <c r="G359" s="2">
        <v>2.1299999999999999E-2</v>
      </c>
      <c r="H359">
        <v>0.5</v>
      </c>
      <c r="I359" s="2">
        <v>1.04E-2</v>
      </c>
      <c r="K359" t="str">
        <f t="shared" si="42"/>
        <v xml:space="preserve">    - 8.000</v>
      </c>
      <c r="L359" t="str">
        <f t="shared" si="43"/>
        <v xml:space="preserve">    - [1.380, 0.938, 0.030, 13.39, -0.0333]</v>
      </c>
      <c r="O359">
        <f>A359-'DLC Buildup Factors'!G370</f>
        <v>0</v>
      </c>
      <c r="P359">
        <f>B359-'DLC Buildup Factors'!H370</f>
        <v>0</v>
      </c>
      <c r="Q359">
        <f>C359-'DLC Buildup Factors'!I370</f>
        <v>0</v>
      </c>
      <c r="R359">
        <f>D359-'DLC Buildup Factors'!J370</f>
        <v>0</v>
      </c>
      <c r="S359">
        <f>E359-'DLC Buildup Factors'!K370</f>
        <v>0</v>
      </c>
      <c r="T359">
        <f>F359-'DLC Buildup Factors'!L370</f>
        <v>0</v>
      </c>
      <c r="U359">
        <f>G359-'DLC Buildup Factors'!M370</f>
        <v>0</v>
      </c>
      <c r="V359">
        <f>H359-'DLC Buildup Factors'!N370</f>
        <v>0</v>
      </c>
      <c r="W359">
        <f>I359-'DLC Buildup Factors'!O370</f>
        <v>0</v>
      </c>
    </row>
    <row r="360" spans="1:23">
      <c r="A360" s="12">
        <v>10</v>
      </c>
      <c r="B360">
        <v>1.321</v>
      </c>
      <c r="C360">
        <v>0.91900000000000004</v>
      </c>
      <c r="D360">
        <v>3.9E-2</v>
      </c>
      <c r="E360">
        <v>13.42</v>
      </c>
      <c r="F360">
        <v>-4.1399999999999999E-2</v>
      </c>
      <c r="G360" s="2">
        <v>2.1499999999999998E-2</v>
      </c>
      <c r="H360">
        <v>1</v>
      </c>
      <c r="I360" s="2">
        <v>1.04E-2</v>
      </c>
      <c r="K360" t="str">
        <f t="shared" si="42"/>
        <v xml:space="preserve">    - 10.000</v>
      </c>
      <c r="L360" t="str">
        <f t="shared" si="43"/>
        <v xml:space="preserve">    - [1.321, 0.919, 0.039, 13.42, -0.0414]</v>
      </c>
      <c r="O360">
        <f>A360-'DLC Buildup Factors'!G371</f>
        <v>0</v>
      </c>
      <c r="P360">
        <f>B360-'DLC Buildup Factors'!H371</f>
        <v>0</v>
      </c>
      <c r="Q360">
        <f>C360-'DLC Buildup Factors'!I371</f>
        <v>0</v>
      </c>
      <c r="R360">
        <f>D360-'DLC Buildup Factors'!J371</f>
        <v>0</v>
      </c>
      <c r="S360">
        <f>E360-'DLC Buildup Factors'!K371</f>
        <v>0</v>
      </c>
      <c r="T360">
        <f>F360-'DLC Buildup Factors'!L371</f>
        <v>0</v>
      </c>
      <c r="U360">
        <f>G360-'DLC Buildup Factors'!M371</f>
        <v>0</v>
      </c>
      <c r="V360">
        <f>H360-'DLC Buildup Factors'!N371</f>
        <v>0</v>
      </c>
      <c r="W360">
        <f>I360-'DLC Buildup Factors'!O371</f>
        <v>0</v>
      </c>
    </row>
    <row r="361" spans="1:23">
      <c r="A361" s="12">
        <v>15</v>
      </c>
      <c r="B361">
        <v>1.244</v>
      </c>
      <c r="C361">
        <v>0.84199999999999997</v>
      </c>
      <c r="D361">
        <v>7.1999999999999995E-2</v>
      </c>
      <c r="E361">
        <v>13.87</v>
      </c>
      <c r="F361">
        <v>-7.0999999999999994E-2</v>
      </c>
      <c r="G361" s="2">
        <v>0.03</v>
      </c>
      <c r="H361">
        <v>3</v>
      </c>
      <c r="I361" s="2">
        <v>1.737E-2</v>
      </c>
      <c r="K361" t="str">
        <f t="shared" si="42"/>
        <v xml:space="preserve">    - 15.000</v>
      </c>
      <c r="L361" t="str">
        <f t="shared" si="43"/>
        <v xml:space="preserve">    - [1.244, 0.842, 0.072, 13.87, -0.0710]</v>
      </c>
      <c r="O361">
        <f>A361-'DLC Buildup Factors'!G372</f>
        <v>0</v>
      </c>
      <c r="P361">
        <f>B361-'DLC Buildup Factors'!H372</f>
        <v>0</v>
      </c>
      <c r="Q361">
        <f>C361-'DLC Buildup Factors'!I372</f>
        <v>0</v>
      </c>
      <c r="R361">
        <f>D361-'DLC Buildup Factors'!J372</f>
        <v>0</v>
      </c>
      <c r="S361">
        <f>E361-'DLC Buildup Factors'!K372</f>
        <v>0</v>
      </c>
      <c r="T361">
        <f>F361-'DLC Buildup Factors'!L372</f>
        <v>0</v>
      </c>
      <c r="U361">
        <f>G361-'DLC Buildup Factors'!M372</f>
        <v>0</v>
      </c>
      <c r="V361">
        <f>H361-'DLC Buildup Factors'!N372</f>
        <v>0</v>
      </c>
      <c r="W361">
        <f>I361-'DLC Buildup Factors'!O372</f>
        <v>0</v>
      </c>
    </row>
    <row r="362" spans="1:23">
      <c r="A362" s="12"/>
    </row>
    <row r="363" spans="1:23">
      <c r="A363" s="10" t="s">
        <v>1525</v>
      </c>
    </row>
    <row r="364" spans="1:23">
      <c r="A364" s="10" t="s">
        <v>1537</v>
      </c>
    </row>
    <row r="365" spans="1:23">
      <c r="A365" t="s">
        <v>0</v>
      </c>
      <c r="B365" t="s">
        <v>10</v>
      </c>
      <c r="C365" t="s">
        <v>11</v>
      </c>
      <c r="D365" t="s">
        <v>12</v>
      </c>
      <c r="E365" t="s">
        <v>15</v>
      </c>
      <c r="F365" t="s">
        <v>13</v>
      </c>
      <c r="G365" t="s">
        <v>16</v>
      </c>
      <c r="H365" t="s">
        <v>17</v>
      </c>
      <c r="I365" t="s">
        <v>14</v>
      </c>
    </row>
    <row r="366" spans="1:23">
      <c r="A366" s="10">
        <v>1.4999999999999999E-2</v>
      </c>
      <c r="B366">
        <v>1.012</v>
      </c>
      <c r="C366">
        <v>0.13</v>
      </c>
      <c r="D366">
        <v>0.62</v>
      </c>
      <c r="E366">
        <v>11.39</v>
      </c>
      <c r="F366">
        <v>-0.61619999999999997</v>
      </c>
      <c r="G366" s="2">
        <v>4.3E-3</v>
      </c>
      <c r="H366">
        <v>2</v>
      </c>
      <c r="I366" s="2">
        <v>2.1900000000000001E-3</v>
      </c>
      <c r="K366" t="str">
        <f t="shared" ref="K366" si="44">CONCATENATE("    - ",TEXT(A366,"0.000"))</f>
        <v xml:space="preserve">    - 0.015</v>
      </c>
      <c r="L366" t="str">
        <f t="shared" ref="L366" si="45">CONCATENATE("    - [",TEXT(B366,"0.000"),", ",TEXT(C366,"0.000"),", ",TEXT(D366,"0.000"),", ",TEXT(E366,"0.00"),", ",TEXT(F366,"0.0000"),"]")</f>
        <v xml:space="preserve">    - [1.012, 0.130, 0.620, 11.39, -0.6162]</v>
      </c>
      <c r="O366">
        <f>A366-'DLC Buildup Factors'!G379</f>
        <v>0</v>
      </c>
      <c r="P366">
        <f>B366-'DLC Buildup Factors'!H379</f>
        <v>0</v>
      </c>
      <c r="Q366">
        <f>C366-'DLC Buildup Factors'!I379</f>
        <v>0</v>
      </c>
      <c r="R366">
        <f>D366-'DLC Buildup Factors'!J379</f>
        <v>0</v>
      </c>
      <c r="S366">
        <f>E366-'DLC Buildup Factors'!K379</f>
        <v>0</v>
      </c>
      <c r="T366">
        <f>F366-'DLC Buildup Factors'!L379</f>
        <v>0</v>
      </c>
      <c r="U366">
        <f>G366-'DLC Buildup Factors'!M379</f>
        <v>0</v>
      </c>
      <c r="V366">
        <f>H366-'DLC Buildup Factors'!N379</f>
        <v>0</v>
      </c>
      <c r="W366">
        <f>I366-'DLC Buildup Factors'!O379</f>
        <v>0</v>
      </c>
    </row>
    <row r="367" spans="1:23">
      <c r="A367" s="10">
        <v>0.02</v>
      </c>
      <c r="B367">
        <v>1.024</v>
      </c>
      <c r="C367">
        <v>0.28899999999999998</v>
      </c>
      <c r="D367">
        <v>0.28899999999999998</v>
      </c>
      <c r="E367">
        <v>12.38</v>
      </c>
      <c r="F367">
        <v>-0.14530000000000001</v>
      </c>
      <c r="G367" s="2">
        <v>4.1000000000000003E-3</v>
      </c>
      <c r="H367">
        <v>6</v>
      </c>
      <c r="I367" s="2">
        <v>2.6900000000000001E-3</v>
      </c>
      <c r="K367" t="str">
        <f t="shared" ref="K367:K390" si="46">CONCATENATE("    - ",TEXT(A367,"0.000"))</f>
        <v xml:space="preserve">    - 0.020</v>
      </c>
      <c r="L367" t="str">
        <f t="shared" ref="L367:L390" si="47">CONCATENATE("    - [",TEXT(B367,"0.000"),", ",TEXT(C367,"0.000"),", ",TEXT(D367,"0.000"),", ",TEXT(E367,"0.00"),", ",TEXT(F367,"0.0000"),"]")</f>
        <v xml:space="preserve">    - [1.024, 0.289, 0.289, 12.38, -0.1453]</v>
      </c>
      <c r="O367">
        <f>A367-'DLC Buildup Factors'!G380</f>
        <v>0</v>
      </c>
      <c r="P367">
        <f>B367-'DLC Buildup Factors'!H380</f>
        <v>0</v>
      </c>
      <c r="Q367">
        <f>C367-'DLC Buildup Factors'!I380</f>
        <v>0</v>
      </c>
      <c r="R367">
        <f>D367-'DLC Buildup Factors'!J380</f>
        <v>0</v>
      </c>
      <c r="S367">
        <f>E367-'DLC Buildup Factors'!K380</f>
        <v>0</v>
      </c>
      <c r="T367">
        <f>F367-'DLC Buildup Factors'!L380</f>
        <v>0</v>
      </c>
      <c r="U367">
        <f>G367-'DLC Buildup Factors'!M380</f>
        <v>0</v>
      </c>
      <c r="V367">
        <f>H367-'DLC Buildup Factors'!N380</f>
        <v>0</v>
      </c>
      <c r="W367">
        <f>I367-'DLC Buildup Factors'!O380</f>
        <v>0</v>
      </c>
    </row>
    <row r="368" spans="1:23">
      <c r="A368" s="10">
        <v>0.03</v>
      </c>
      <c r="B368">
        <v>1.0669999999999999</v>
      </c>
      <c r="C368">
        <v>0.38400000000000001</v>
      </c>
      <c r="D368">
        <v>0.215</v>
      </c>
      <c r="E368">
        <v>12.44</v>
      </c>
      <c r="F368">
        <v>-0.11409999999999999</v>
      </c>
      <c r="G368" s="2">
        <v>7.1000000000000004E-3</v>
      </c>
      <c r="H368">
        <v>0.5</v>
      </c>
      <c r="I368" s="2">
        <v>3.2599999999999999E-3</v>
      </c>
      <c r="K368" t="str">
        <f t="shared" si="46"/>
        <v xml:space="preserve">    - 0.030</v>
      </c>
      <c r="L368" t="str">
        <f t="shared" si="47"/>
        <v xml:space="preserve">    - [1.067, 0.384, 0.215, 12.44, -0.1141]</v>
      </c>
      <c r="O368">
        <f>A368-'DLC Buildup Factors'!G381</f>
        <v>0</v>
      </c>
      <c r="P368">
        <f>B368-'DLC Buildup Factors'!H381</f>
        <v>0</v>
      </c>
      <c r="Q368">
        <f>C368-'DLC Buildup Factors'!I381</f>
        <v>0</v>
      </c>
      <c r="R368">
        <f>D368-'DLC Buildup Factors'!J381</f>
        <v>0</v>
      </c>
      <c r="S368">
        <f>E368-'DLC Buildup Factors'!K381</f>
        <v>0</v>
      </c>
      <c r="T368">
        <f>F368-'DLC Buildup Factors'!L381</f>
        <v>0</v>
      </c>
      <c r="U368">
        <f>G368-'DLC Buildup Factors'!M381</f>
        <v>0</v>
      </c>
      <c r="V368">
        <f>H368-'DLC Buildup Factors'!N381</f>
        <v>0</v>
      </c>
      <c r="W368">
        <f>I368-'DLC Buildup Factors'!O381</f>
        <v>0</v>
      </c>
    </row>
    <row r="369" spans="1:23">
      <c r="A369" s="10">
        <v>0.04</v>
      </c>
      <c r="B369">
        <v>1.151</v>
      </c>
      <c r="C369">
        <v>0.38200000000000001</v>
      </c>
      <c r="D369">
        <v>0.222</v>
      </c>
      <c r="E369">
        <v>13.92</v>
      </c>
      <c r="F369">
        <v>-0.1229</v>
      </c>
      <c r="G369" s="2">
        <v>1.26E-2</v>
      </c>
      <c r="H369">
        <v>0.5</v>
      </c>
      <c r="I369" s="2">
        <v>5.5399999999999998E-3</v>
      </c>
      <c r="K369" t="str">
        <f t="shared" si="46"/>
        <v xml:space="preserve">    - 0.040</v>
      </c>
      <c r="L369" t="str">
        <f t="shared" si="47"/>
        <v xml:space="preserve">    - [1.151, 0.382, 0.222, 13.92, -0.1229]</v>
      </c>
      <c r="O369">
        <f>A369-'DLC Buildup Factors'!G382</f>
        <v>0</v>
      </c>
      <c r="P369">
        <f>B369-'DLC Buildup Factors'!H382</f>
        <v>0</v>
      </c>
      <c r="Q369">
        <f>C369-'DLC Buildup Factors'!I382</f>
        <v>0</v>
      </c>
      <c r="R369">
        <f>D369-'DLC Buildup Factors'!J382</f>
        <v>0</v>
      </c>
      <c r="S369">
        <f>E369-'DLC Buildup Factors'!K382</f>
        <v>0</v>
      </c>
      <c r="T369">
        <f>F369-'DLC Buildup Factors'!L382</f>
        <v>0</v>
      </c>
      <c r="U369">
        <f>G369-'DLC Buildup Factors'!M382</f>
        <v>0</v>
      </c>
      <c r="V369">
        <f>H369-'DLC Buildup Factors'!N382</f>
        <v>0</v>
      </c>
      <c r="W369">
        <f>I369-'DLC Buildup Factors'!O382</f>
        <v>0</v>
      </c>
    </row>
    <row r="370" spans="1:23">
      <c r="A370" s="10">
        <v>0.05</v>
      </c>
      <c r="B370">
        <v>1.2689999999999999</v>
      </c>
      <c r="C370">
        <v>0.40799999999999997</v>
      </c>
      <c r="D370">
        <v>0.217</v>
      </c>
      <c r="E370">
        <v>14.2</v>
      </c>
      <c r="F370">
        <v>-0.12740000000000001</v>
      </c>
      <c r="G370" s="2">
        <v>1.77E-2</v>
      </c>
      <c r="H370">
        <v>0.5</v>
      </c>
      <c r="I370" s="2">
        <v>7.7799999999999996E-3</v>
      </c>
      <c r="K370" t="str">
        <f t="shared" si="46"/>
        <v xml:space="preserve">    - 0.050</v>
      </c>
      <c r="L370" t="str">
        <f t="shared" si="47"/>
        <v xml:space="preserve">    - [1.269, 0.408, 0.217, 14.20, -0.1274]</v>
      </c>
      <c r="O370">
        <f>A370-'DLC Buildup Factors'!G383</f>
        <v>0</v>
      </c>
      <c r="P370">
        <f>B370-'DLC Buildup Factors'!H383</f>
        <v>0</v>
      </c>
      <c r="Q370">
        <f>C370-'DLC Buildup Factors'!I383</f>
        <v>0</v>
      </c>
      <c r="R370">
        <f>D370-'DLC Buildup Factors'!J383</f>
        <v>0</v>
      </c>
      <c r="S370">
        <f>E370-'DLC Buildup Factors'!K383</f>
        <v>0</v>
      </c>
      <c r="T370">
        <f>F370-'DLC Buildup Factors'!L383</f>
        <v>0</v>
      </c>
      <c r="U370">
        <f>G370-'DLC Buildup Factors'!M383</f>
        <v>0</v>
      </c>
      <c r="V370">
        <f>H370-'DLC Buildup Factors'!N383</f>
        <v>0</v>
      </c>
      <c r="W370">
        <f>I370-'DLC Buildup Factors'!O383</f>
        <v>0</v>
      </c>
    </row>
    <row r="371" spans="1:23">
      <c r="A371" s="10">
        <v>0.06</v>
      </c>
      <c r="B371">
        <v>1.3919999999999999</v>
      </c>
      <c r="C371">
        <v>0.48299999999999998</v>
      </c>
      <c r="D371">
        <v>0.17799999999999999</v>
      </c>
      <c r="E371">
        <v>14.36</v>
      </c>
      <c r="F371">
        <v>-9.8799999999999999E-2</v>
      </c>
      <c r="G371" s="2">
        <v>1.8200000000000001E-2</v>
      </c>
      <c r="H371">
        <v>0.5</v>
      </c>
      <c r="I371" s="2">
        <v>8.0300000000000007E-3</v>
      </c>
      <c r="K371" t="str">
        <f t="shared" si="46"/>
        <v xml:space="preserve">    - 0.060</v>
      </c>
      <c r="L371" t="str">
        <f t="shared" si="47"/>
        <v xml:space="preserve">    - [1.392, 0.483, 0.178, 14.36, -0.0988]</v>
      </c>
      <c r="O371">
        <f>A371-'DLC Buildup Factors'!G384</f>
        <v>0</v>
      </c>
      <c r="P371">
        <f>B371-'DLC Buildup Factors'!H384</f>
        <v>0</v>
      </c>
      <c r="Q371">
        <f>C371-'DLC Buildup Factors'!I384</f>
        <v>0</v>
      </c>
      <c r="R371">
        <f>D371-'DLC Buildup Factors'!J384</f>
        <v>0</v>
      </c>
      <c r="S371">
        <f>E371-'DLC Buildup Factors'!K384</f>
        <v>0</v>
      </c>
      <c r="T371">
        <f>F371-'DLC Buildup Factors'!L384</f>
        <v>0</v>
      </c>
      <c r="U371">
        <f>G371-'DLC Buildup Factors'!M384</f>
        <v>0</v>
      </c>
      <c r="V371">
        <f>H371-'DLC Buildup Factors'!N384</f>
        <v>0</v>
      </c>
      <c r="W371">
        <f>I371-'DLC Buildup Factors'!O384</f>
        <v>0</v>
      </c>
    </row>
    <row r="372" spans="1:23">
      <c r="A372" s="10">
        <v>0.08</v>
      </c>
      <c r="B372">
        <v>1.6439999999999999</v>
      </c>
      <c r="C372">
        <v>0.60899999999999999</v>
      </c>
      <c r="D372">
        <v>0.129</v>
      </c>
      <c r="E372">
        <v>14.32</v>
      </c>
      <c r="F372">
        <v>-7.4200000000000002E-2</v>
      </c>
      <c r="G372" s="2">
        <v>2.23E-2</v>
      </c>
      <c r="H372">
        <v>0.5</v>
      </c>
      <c r="I372" s="2">
        <v>1.0200000000000001E-2</v>
      </c>
      <c r="K372" t="str">
        <f t="shared" si="46"/>
        <v xml:space="preserve">    - 0.080</v>
      </c>
      <c r="L372" t="str">
        <f t="shared" si="47"/>
        <v xml:space="preserve">    - [1.644, 0.609, 0.129, 14.32, -0.0742]</v>
      </c>
      <c r="O372">
        <f>A372-'DLC Buildup Factors'!G385</f>
        <v>0</v>
      </c>
      <c r="P372">
        <f>B372-'DLC Buildup Factors'!H385</f>
        <v>0</v>
      </c>
      <c r="Q372">
        <f>C372-'DLC Buildup Factors'!I385</f>
        <v>0</v>
      </c>
      <c r="R372">
        <f>D372-'DLC Buildup Factors'!J385</f>
        <v>0</v>
      </c>
      <c r="S372">
        <f>E372-'DLC Buildup Factors'!K385</f>
        <v>0</v>
      </c>
      <c r="T372">
        <f>F372-'DLC Buildup Factors'!L385</f>
        <v>0</v>
      </c>
      <c r="U372">
        <f>G372-'DLC Buildup Factors'!M385</f>
        <v>0</v>
      </c>
      <c r="V372">
        <f>H372-'DLC Buildup Factors'!N385</f>
        <v>0</v>
      </c>
      <c r="W372">
        <f>I372-'DLC Buildup Factors'!O385</f>
        <v>0</v>
      </c>
    </row>
    <row r="373" spans="1:23">
      <c r="A373" s="10">
        <v>0.1</v>
      </c>
      <c r="B373">
        <v>1.853</v>
      </c>
      <c r="C373">
        <v>0.75700000000000001</v>
      </c>
      <c r="D373">
        <v>7.6999999999999999E-2</v>
      </c>
      <c r="E373">
        <v>14.33</v>
      </c>
      <c r="F373">
        <v>-5.0200000000000002E-2</v>
      </c>
      <c r="G373" s="2">
        <v>2.5499999999999998E-2</v>
      </c>
      <c r="H373">
        <v>0.5</v>
      </c>
      <c r="I373" s="2">
        <v>1.021E-2</v>
      </c>
      <c r="K373" t="str">
        <f t="shared" si="46"/>
        <v xml:space="preserve">    - 0.100</v>
      </c>
      <c r="L373" t="str">
        <f t="shared" si="47"/>
        <v xml:space="preserve">    - [1.853, 0.757, 0.077, 14.33, -0.0502]</v>
      </c>
      <c r="O373">
        <f>A373-'DLC Buildup Factors'!G386</f>
        <v>0</v>
      </c>
      <c r="P373">
        <f>B373-'DLC Buildup Factors'!H386</f>
        <v>0</v>
      </c>
      <c r="Q373">
        <f>C373-'DLC Buildup Factors'!I386</f>
        <v>0</v>
      </c>
      <c r="R373">
        <f>D373-'DLC Buildup Factors'!J386</f>
        <v>0</v>
      </c>
      <c r="S373">
        <f>E373-'DLC Buildup Factors'!K386</f>
        <v>0</v>
      </c>
      <c r="T373">
        <f>F373-'DLC Buildup Factors'!L386</f>
        <v>0</v>
      </c>
      <c r="U373">
        <f>G373-'DLC Buildup Factors'!M386</f>
        <v>0</v>
      </c>
      <c r="V373">
        <f>H373-'DLC Buildup Factors'!N386</f>
        <v>0</v>
      </c>
      <c r="W373">
        <f>I373-'DLC Buildup Factors'!O386</f>
        <v>0</v>
      </c>
    </row>
    <row r="374" spans="1:23">
      <c r="A374" s="10">
        <v>0.15</v>
      </c>
      <c r="B374">
        <v>2.1459999999999999</v>
      </c>
      <c r="C374">
        <v>1.0049999999999999</v>
      </c>
      <c r="D374">
        <v>0.01</v>
      </c>
      <c r="E374">
        <v>13.7</v>
      </c>
      <c r="F374">
        <v>-2.1600000000000001E-2</v>
      </c>
      <c r="G374" s="2">
        <v>9.5999999999999992E-3</v>
      </c>
      <c r="H374">
        <v>4</v>
      </c>
      <c r="I374" s="2">
        <v>6.1700000000000001E-3</v>
      </c>
      <c r="K374" t="str">
        <f t="shared" si="46"/>
        <v xml:space="preserve">    - 0.150</v>
      </c>
      <c r="L374" t="str">
        <f t="shared" si="47"/>
        <v xml:space="preserve">    - [2.146, 1.005, 0.010, 13.70, -0.0216]</v>
      </c>
      <c r="O374">
        <f>A374-'DLC Buildup Factors'!G387</f>
        <v>0</v>
      </c>
      <c r="P374">
        <f>B374-'DLC Buildup Factors'!H387</f>
        <v>0</v>
      </c>
      <c r="Q374">
        <f>C374-'DLC Buildup Factors'!I387</f>
        <v>0</v>
      </c>
      <c r="R374">
        <f>D374-'DLC Buildup Factors'!J387</f>
        <v>0</v>
      </c>
      <c r="S374">
        <f>E374-'DLC Buildup Factors'!K387</f>
        <v>0</v>
      </c>
      <c r="T374">
        <f>F374-'DLC Buildup Factors'!L387</f>
        <v>0</v>
      </c>
      <c r="U374">
        <f>G374-'DLC Buildup Factors'!M387</f>
        <v>0</v>
      </c>
      <c r="V374">
        <f>H374-'DLC Buildup Factors'!N387</f>
        <v>0</v>
      </c>
      <c r="W374">
        <f>I374-'DLC Buildup Factors'!O387</f>
        <v>0</v>
      </c>
    </row>
    <row r="375" spans="1:23">
      <c r="A375" s="10">
        <v>0.2</v>
      </c>
      <c r="B375">
        <v>2.2349999999999999</v>
      </c>
      <c r="C375">
        <v>1.1659999999999999</v>
      </c>
      <c r="D375">
        <v>-2.1999999999999999E-2</v>
      </c>
      <c r="E375">
        <v>11.91</v>
      </c>
      <c r="F375">
        <v>-1.43E-2</v>
      </c>
      <c r="G375" s="2">
        <v>6.7000000000000002E-3</v>
      </c>
      <c r="H375">
        <v>1</v>
      </c>
      <c r="I375" s="2">
        <v>4.3800000000000002E-3</v>
      </c>
      <c r="K375" t="str">
        <f t="shared" si="46"/>
        <v xml:space="preserve">    - 0.200</v>
      </c>
      <c r="L375" t="str">
        <f t="shared" si="47"/>
        <v xml:space="preserve">    - [2.235, 1.166, -0.022, 11.91, -0.0143]</v>
      </c>
      <c r="O375">
        <f>A375-'DLC Buildup Factors'!G388</f>
        <v>0</v>
      </c>
      <c r="P375">
        <f>B375-'DLC Buildup Factors'!H388</f>
        <v>0</v>
      </c>
      <c r="Q375">
        <f>C375-'DLC Buildup Factors'!I388</f>
        <v>0</v>
      </c>
      <c r="R375">
        <f>D375-'DLC Buildup Factors'!J388</f>
        <v>0</v>
      </c>
      <c r="S375">
        <f>E375-'DLC Buildup Factors'!K388</f>
        <v>0</v>
      </c>
      <c r="T375">
        <f>F375-'DLC Buildup Factors'!L388</f>
        <v>0</v>
      </c>
      <c r="U375">
        <f>G375-'DLC Buildup Factors'!M388</f>
        <v>0</v>
      </c>
      <c r="V375">
        <f>H375-'DLC Buildup Factors'!N388</f>
        <v>0</v>
      </c>
      <c r="W375">
        <f>I375-'DLC Buildup Factors'!O388</f>
        <v>0</v>
      </c>
    </row>
    <row r="376" spans="1:23">
      <c r="A376" s="10">
        <v>0.3</v>
      </c>
      <c r="B376">
        <v>2.2530000000000001</v>
      </c>
      <c r="C376">
        <v>1.282</v>
      </c>
      <c r="D376">
        <v>-4.2999999999999997E-2</v>
      </c>
      <c r="E376">
        <v>10.15</v>
      </c>
      <c r="F376">
        <v>-1.11E-2</v>
      </c>
      <c r="G376" s="2">
        <v>1.6799999999999999E-2</v>
      </c>
      <c r="H376">
        <v>0.5</v>
      </c>
      <c r="I376" s="2">
        <v>5.9100000000000003E-3</v>
      </c>
      <c r="K376" t="str">
        <f t="shared" si="46"/>
        <v xml:space="preserve">    - 0.300</v>
      </c>
      <c r="L376" t="str">
        <f t="shared" si="47"/>
        <v xml:space="preserve">    - [2.253, 1.282, -0.043, 10.15, -0.0111]</v>
      </c>
      <c r="O376">
        <f>A376-'DLC Buildup Factors'!G389</f>
        <v>0</v>
      </c>
      <c r="P376">
        <f>B376-'DLC Buildup Factors'!H389</f>
        <v>0</v>
      </c>
      <c r="Q376">
        <f>C376-'DLC Buildup Factors'!I389</f>
        <v>0</v>
      </c>
      <c r="R376">
        <f>D376-'DLC Buildup Factors'!J389</f>
        <v>0</v>
      </c>
      <c r="S376">
        <f>E376-'DLC Buildup Factors'!K389</f>
        <v>0</v>
      </c>
      <c r="T376">
        <f>F376-'DLC Buildup Factors'!L389</f>
        <v>0</v>
      </c>
      <c r="U376">
        <f>G376-'DLC Buildup Factors'!M389</f>
        <v>0</v>
      </c>
      <c r="V376">
        <f>H376-'DLC Buildup Factors'!N389</f>
        <v>0</v>
      </c>
      <c r="W376">
        <f>I376-'DLC Buildup Factors'!O389</f>
        <v>0</v>
      </c>
    </row>
    <row r="377" spans="1:23">
      <c r="A377" s="10">
        <v>0.4</v>
      </c>
      <c r="B377">
        <v>2.2109999999999999</v>
      </c>
      <c r="C377">
        <v>1.3149999999999999</v>
      </c>
      <c r="D377">
        <v>-4.9000000000000002E-2</v>
      </c>
      <c r="E377">
        <v>8.86</v>
      </c>
      <c r="F377">
        <v>-1.09E-2</v>
      </c>
      <c r="G377" s="2">
        <v>8.8999999999999999E-3</v>
      </c>
      <c r="H377">
        <v>3</v>
      </c>
      <c r="I377" s="2">
        <v>4.6100000000000004E-3</v>
      </c>
      <c r="J377" s="15" t="s">
        <v>1549</v>
      </c>
      <c r="K377" t="str">
        <f t="shared" si="46"/>
        <v xml:space="preserve">    - 0.400</v>
      </c>
      <c r="L377" t="str">
        <f t="shared" si="47"/>
        <v xml:space="preserve">    - [2.211, 1.315, -0.049, 8.86, -0.0109]</v>
      </c>
      <c r="M377" s="25"/>
      <c r="N377" s="25"/>
      <c r="O377">
        <f>A377-'DLC Buildup Factors'!G390</f>
        <v>0</v>
      </c>
      <c r="P377">
        <f>B377-'DLC Buildup Factors'!H390</f>
        <v>1.2000000000000011E-2</v>
      </c>
      <c r="Q377">
        <f>C377-'DLC Buildup Factors'!I390</f>
        <v>-2.8000000000000025E-2</v>
      </c>
      <c r="R377">
        <f>D377-'DLC Buildup Factors'!J390</f>
        <v>9.0000000000000011E-3</v>
      </c>
      <c r="S377">
        <f>E377-'DLC Buildup Factors'!K390</f>
        <v>-16.600000000000001</v>
      </c>
      <c r="T377">
        <f>F377-'DLC Buildup Factors'!L390</f>
        <v>-2.0299999999999999E-2</v>
      </c>
      <c r="U377">
        <f>G377-'DLC Buildup Factors'!M390</f>
        <v>-4.2000000000000006E-3</v>
      </c>
      <c r="V377">
        <f>H377-'DLC Buildup Factors'!N390</f>
        <v>2.5</v>
      </c>
      <c r="W377">
        <f>I377-'DLC Buildup Factors'!O390</f>
        <v>-1.9499999999999995E-3</v>
      </c>
    </row>
    <row r="378" spans="1:23">
      <c r="A378" s="10">
        <v>0.5</v>
      </c>
      <c r="B378">
        <v>2.1219999999999999</v>
      </c>
      <c r="C378">
        <v>1.361</v>
      </c>
      <c r="D378">
        <v>-6.3E-2</v>
      </c>
      <c r="E378">
        <v>20.95</v>
      </c>
      <c r="F378">
        <v>1.37E-2</v>
      </c>
      <c r="G378" s="2">
        <v>1.1900000000000001E-2</v>
      </c>
      <c r="H378">
        <v>0.5</v>
      </c>
      <c r="I378" s="2">
        <v>4.8500000000000001E-3</v>
      </c>
      <c r="K378" t="str">
        <f t="shared" si="46"/>
        <v xml:space="preserve">    - 0.500</v>
      </c>
      <c r="L378" t="str">
        <f t="shared" si="47"/>
        <v xml:space="preserve">    - [2.122, 1.361, -0.063, 20.95, 0.0137]</v>
      </c>
      <c r="O378">
        <f>A378-'DLC Buildup Factors'!G391</f>
        <v>0</v>
      </c>
      <c r="P378">
        <f>B378-'DLC Buildup Factors'!H391</f>
        <v>0</v>
      </c>
      <c r="Q378">
        <f>C378-'DLC Buildup Factors'!I391</f>
        <v>0</v>
      </c>
      <c r="R378">
        <f>D378-'DLC Buildup Factors'!J391</f>
        <v>0</v>
      </c>
      <c r="S378">
        <f>E378-'DLC Buildup Factors'!K391</f>
        <v>0</v>
      </c>
      <c r="T378">
        <f>F378-'DLC Buildup Factors'!L391</f>
        <v>0</v>
      </c>
      <c r="U378">
        <f>G378-'DLC Buildup Factors'!M391</f>
        <v>0</v>
      </c>
      <c r="V378">
        <f>H378-'DLC Buildup Factors'!N391</f>
        <v>0</v>
      </c>
      <c r="W378">
        <f>I378-'DLC Buildup Factors'!O391</f>
        <v>0</v>
      </c>
    </row>
    <row r="379" spans="1:23">
      <c r="A379" s="10">
        <v>0.6</v>
      </c>
      <c r="B379">
        <v>2.0699999999999998</v>
      </c>
      <c r="C379">
        <v>1.353</v>
      </c>
      <c r="D379">
        <v>-6.3E-2</v>
      </c>
      <c r="E379">
        <v>18.25</v>
      </c>
      <c r="F379">
        <v>1.23E-2</v>
      </c>
      <c r="G379" s="2">
        <v>7.4000000000000003E-3</v>
      </c>
      <c r="H379">
        <v>0.5</v>
      </c>
      <c r="I379" s="2">
        <v>4.0200000000000001E-3</v>
      </c>
      <c r="K379" t="str">
        <f t="shared" si="46"/>
        <v xml:space="preserve">    - 0.600</v>
      </c>
      <c r="L379" t="str">
        <f t="shared" si="47"/>
        <v xml:space="preserve">    - [2.070, 1.353, -0.063, 18.25, 0.0123]</v>
      </c>
      <c r="O379">
        <f>A379-'DLC Buildup Factors'!G392</f>
        <v>0</v>
      </c>
      <c r="P379">
        <f>B379-'DLC Buildup Factors'!H392</f>
        <v>0</v>
      </c>
      <c r="Q379">
        <f>C379-'DLC Buildup Factors'!I392</f>
        <v>0</v>
      </c>
      <c r="R379">
        <f>D379-'DLC Buildup Factors'!J392</f>
        <v>0</v>
      </c>
      <c r="S379">
        <f>E379-'DLC Buildup Factors'!K392</f>
        <v>0</v>
      </c>
      <c r="T379">
        <f>F379-'DLC Buildup Factors'!L392</f>
        <v>0</v>
      </c>
      <c r="U379">
        <f>G379-'DLC Buildup Factors'!M392</f>
        <v>0</v>
      </c>
      <c r="V379">
        <f>H379-'DLC Buildup Factors'!N392</f>
        <v>0</v>
      </c>
      <c r="W379">
        <f>I379-'DLC Buildup Factors'!O392</f>
        <v>0</v>
      </c>
    </row>
    <row r="380" spans="1:23">
      <c r="A380" s="10">
        <v>0.8</v>
      </c>
      <c r="B380">
        <v>1.9790000000000001</v>
      </c>
      <c r="C380">
        <v>1.3280000000000001</v>
      </c>
      <c r="D380">
        <v>-6.0999999999999999E-2</v>
      </c>
      <c r="E380">
        <v>16.89</v>
      </c>
      <c r="F380">
        <v>1.37E-2</v>
      </c>
      <c r="G380" s="2">
        <v>7.1000000000000004E-3</v>
      </c>
      <c r="H380">
        <v>0.5</v>
      </c>
      <c r="I380" s="2">
        <v>3.13E-3</v>
      </c>
      <c r="K380" t="str">
        <f t="shared" si="46"/>
        <v xml:space="preserve">    - 0.800</v>
      </c>
      <c r="L380" t="str">
        <f t="shared" si="47"/>
        <v xml:space="preserve">    - [1.979, 1.328, -0.061, 16.89, 0.0137]</v>
      </c>
      <c r="O380">
        <f>A380-'DLC Buildup Factors'!G393</f>
        <v>0</v>
      </c>
      <c r="P380">
        <f>B380-'DLC Buildup Factors'!H393</f>
        <v>0</v>
      </c>
      <c r="Q380">
        <f>C380-'DLC Buildup Factors'!I393</f>
        <v>0</v>
      </c>
      <c r="R380">
        <f>D380-'DLC Buildup Factors'!J393</f>
        <v>0</v>
      </c>
      <c r="S380">
        <f>E380-'DLC Buildup Factors'!K393</f>
        <v>0</v>
      </c>
      <c r="T380">
        <f>F380-'DLC Buildup Factors'!L393</f>
        <v>0</v>
      </c>
      <c r="U380">
        <f>G380-'DLC Buildup Factors'!M393</f>
        <v>0</v>
      </c>
      <c r="V380">
        <f>H380-'DLC Buildup Factors'!N393</f>
        <v>0</v>
      </c>
      <c r="W380">
        <f>I380-'DLC Buildup Factors'!O393</f>
        <v>0</v>
      </c>
    </row>
    <row r="381" spans="1:23">
      <c r="A381" s="10">
        <v>1</v>
      </c>
      <c r="B381">
        <v>1.9139999999999999</v>
      </c>
      <c r="C381">
        <v>1.294</v>
      </c>
      <c r="D381">
        <v>-5.7000000000000002E-2</v>
      </c>
      <c r="E381">
        <v>15.83</v>
      </c>
      <c r="F381">
        <v>1.46E-2</v>
      </c>
      <c r="G381" s="2">
        <v>5.4000000000000003E-3</v>
      </c>
      <c r="H381">
        <v>40</v>
      </c>
      <c r="I381" s="2">
        <v>2.4499999999999999E-3</v>
      </c>
      <c r="K381" t="str">
        <f t="shared" si="46"/>
        <v xml:space="preserve">    - 1.000</v>
      </c>
      <c r="L381" t="str">
        <f t="shared" si="47"/>
        <v xml:space="preserve">    - [1.914, 1.294, -0.057, 15.83, 0.0146]</v>
      </c>
      <c r="O381">
        <f>A381-'DLC Buildup Factors'!G394</f>
        <v>0</v>
      </c>
      <c r="P381">
        <f>B381-'DLC Buildup Factors'!H394</f>
        <v>0</v>
      </c>
      <c r="Q381">
        <f>C381-'DLC Buildup Factors'!I394</f>
        <v>0</v>
      </c>
      <c r="R381">
        <f>D381-'DLC Buildup Factors'!J394</f>
        <v>0</v>
      </c>
      <c r="S381">
        <f>E381-'DLC Buildup Factors'!K394</f>
        <v>0</v>
      </c>
      <c r="T381">
        <f>F381-'DLC Buildup Factors'!L394</f>
        <v>0</v>
      </c>
      <c r="U381">
        <f>G381-'DLC Buildup Factors'!M394</f>
        <v>0</v>
      </c>
      <c r="V381">
        <f>H381-'DLC Buildup Factors'!N394</f>
        <v>0</v>
      </c>
      <c r="W381">
        <f>I381-'DLC Buildup Factors'!O394</f>
        <v>0</v>
      </c>
    </row>
    <row r="382" spans="1:23">
      <c r="A382" s="10">
        <v>1.5</v>
      </c>
      <c r="B382">
        <v>1.804</v>
      </c>
      <c r="C382">
        <v>1.214</v>
      </c>
      <c r="D382">
        <v>-4.3999999999999997E-2</v>
      </c>
      <c r="E382">
        <v>15.26</v>
      </c>
      <c r="F382">
        <v>1.3100000000000001E-2</v>
      </c>
      <c r="G382" s="2">
        <v>4.4999999999999997E-3</v>
      </c>
      <c r="H382">
        <v>35</v>
      </c>
      <c r="I382" s="2">
        <v>2.0300000000000001E-3</v>
      </c>
      <c r="K382" t="str">
        <f t="shared" si="46"/>
        <v xml:space="preserve">    - 1.500</v>
      </c>
      <c r="L382" t="str">
        <f t="shared" si="47"/>
        <v xml:space="preserve">    - [1.804, 1.214, -0.044, 15.26, 0.0131]</v>
      </c>
      <c r="O382">
        <f>A382-'DLC Buildup Factors'!G395</f>
        <v>0</v>
      </c>
      <c r="P382">
        <f>B382-'DLC Buildup Factors'!H395</f>
        <v>0</v>
      </c>
      <c r="Q382">
        <f>C382-'DLC Buildup Factors'!I395</f>
        <v>0</v>
      </c>
      <c r="R382">
        <f>D382-'DLC Buildup Factors'!J395</f>
        <v>0</v>
      </c>
      <c r="S382">
        <f>E382-'DLC Buildup Factors'!K395</f>
        <v>0</v>
      </c>
      <c r="T382">
        <f>F382-'DLC Buildup Factors'!L395</f>
        <v>0</v>
      </c>
      <c r="U382">
        <f>G382-'DLC Buildup Factors'!M395</f>
        <v>0</v>
      </c>
      <c r="V382">
        <f>H382-'DLC Buildup Factors'!N395</f>
        <v>0</v>
      </c>
      <c r="W382">
        <f>I382-'DLC Buildup Factors'!O395</f>
        <v>0</v>
      </c>
    </row>
    <row r="383" spans="1:23">
      <c r="A383" s="10">
        <v>2</v>
      </c>
      <c r="B383">
        <v>1.744</v>
      </c>
      <c r="C383">
        <v>1.1439999999999999</v>
      </c>
      <c r="D383">
        <v>-2.9000000000000001E-2</v>
      </c>
      <c r="E383">
        <v>16.510000000000002</v>
      </c>
      <c r="F383">
        <v>6.1000000000000004E-3</v>
      </c>
      <c r="G383" s="2">
        <v>3.3999999999999998E-3</v>
      </c>
      <c r="H383">
        <v>1</v>
      </c>
      <c r="I383" s="2">
        <v>1.57E-3</v>
      </c>
      <c r="K383" t="str">
        <f t="shared" si="46"/>
        <v xml:space="preserve">    - 2.000</v>
      </c>
      <c r="L383" t="str">
        <f t="shared" si="47"/>
        <v xml:space="preserve">    - [1.744, 1.144, -0.029, 16.51, 0.0061]</v>
      </c>
      <c r="O383">
        <f>A383-'DLC Buildup Factors'!G396</f>
        <v>0</v>
      </c>
      <c r="P383">
        <f>B383-'DLC Buildup Factors'!H396</f>
        <v>0</v>
      </c>
      <c r="Q383">
        <f>C383-'DLC Buildup Factors'!I396</f>
        <v>0</v>
      </c>
      <c r="R383">
        <f>D383-'DLC Buildup Factors'!J396</f>
        <v>0</v>
      </c>
      <c r="S383">
        <f>E383-'DLC Buildup Factors'!K396</f>
        <v>0</v>
      </c>
      <c r="T383">
        <f>F383-'DLC Buildup Factors'!L396</f>
        <v>0</v>
      </c>
      <c r="U383">
        <f>G383-'DLC Buildup Factors'!M396</f>
        <v>0</v>
      </c>
      <c r="V383">
        <f>H383-'DLC Buildup Factors'!N396</f>
        <v>0</v>
      </c>
      <c r="W383">
        <f>I383-'DLC Buildup Factors'!O396</f>
        <v>0</v>
      </c>
    </row>
    <row r="384" spans="1:23">
      <c r="A384" s="10">
        <v>3</v>
      </c>
      <c r="B384">
        <v>1.6579999999999999</v>
      </c>
      <c r="C384">
        <v>1.0469999999999999</v>
      </c>
      <c r="D384">
        <v>-4.0000000000000001E-3</v>
      </c>
      <c r="E384">
        <v>11.27</v>
      </c>
      <c r="F384">
        <v>-1.0800000000000001E-2</v>
      </c>
      <c r="G384" s="2">
        <v>1.3100000000000001E-2</v>
      </c>
      <c r="H384">
        <v>1</v>
      </c>
      <c r="I384" s="2">
        <v>4.8799999999999998E-3</v>
      </c>
      <c r="K384" t="str">
        <f t="shared" si="46"/>
        <v xml:space="preserve">    - 3.000</v>
      </c>
      <c r="L384" t="str">
        <f t="shared" si="47"/>
        <v xml:space="preserve">    - [1.658, 1.047, -0.004, 11.27, -0.0108]</v>
      </c>
      <c r="O384">
        <f>A384-'DLC Buildup Factors'!G397</f>
        <v>0</v>
      </c>
      <c r="P384">
        <f>B384-'DLC Buildup Factors'!H397</f>
        <v>0</v>
      </c>
      <c r="Q384">
        <f>C384-'DLC Buildup Factors'!I397</f>
        <v>0</v>
      </c>
      <c r="R384">
        <f>D384-'DLC Buildup Factors'!J397</f>
        <v>0</v>
      </c>
      <c r="S384">
        <f>E384-'DLC Buildup Factors'!K397</f>
        <v>0</v>
      </c>
      <c r="T384">
        <f>F384-'DLC Buildup Factors'!L397</f>
        <v>0</v>
      </c>
      <c r="U384">
        <f>G384-'DLC Buildup Factors'!M397</f>
        <v>0</v>
      </c>
      <c r="V384">
        <f>H384-'DLC Buildup Factors'!N397</f>
        <v>0</v>
      </c>
      <c r="W384">
        <f>I384-'DLC Buildup Factors'!O397</f>
        <v>0</v>
      </c>
    </row>
    <row r="385" spans="1:23">
      <c r="A385" s="10">
        <v>4</v>
      </c>
      <c r="B385">
        <v>1.579</v>
      </c>
      <c r="C385">
        <v>1.002</v>
      </c>
      <c r="D385">
        <v>8.9999999999999993E-3</v>
      </c>
      <c r="E385">
        <v>11.56</v>
      </c>
      <c r="F385">
        <v>-1.83E-2</v>
      </c>
      <c r="G385" s="2">
        <v>7.7999999999999996E-3</v>
      </c>
      <c r="H385">
        <v>0.5</v>
      </c>
      <c r="I385" s="2">
        <v>4.9199999999999999E-3</v>
      </c>
      <c r="K385" t="str">
        <f t="shared" si="46"/>
        <v xml:space="preserve">    - 4.000</v>
      </c>
      <c r="L385" t="str">
        <f t="shared" si="47"/>
        <v xml:space="preserve">    - [1.579, 1.002, 0.009, 11.56, -0.0183]</v>
      </c>
      <c r="O385">
        <f>A385-'DLC Buildup Factors'!G398</f>
        <v>0</v>
      </c>
      <c r="P385">
        <f>B385-'DLC Buildup Factors'!H398</f>
        <v>0</v>
      </c>
      <c r="Q385">
        <f>C385-'DLC Buildup Factors'!I398</f>
        <v>0</v>
      </c>
      <c r="R385">
        <f>D385-'DLC Buildup Factors'!J398</f>
        <v>0</v>
      </c>
      <c r="S385">
        <f>E385-'DLC Buildup Factors'!K398</f>
        <v>0</v>
      </c>
      <c r="T385">
        <f>F385-'DLC Buildup Factors'!L398</f>
        <v>0</v>
      </c>
      <c r="U385">
        <f>G385-'DLC Buildup Factors'!M398</f>
        <v>0</v>
      </c>
      <c r="V385">
        <f>H385-'DLC Buildup Factors'!N398</f>
        <v>0</v>
      </c>
      <c r="W385">
        <f>I385-'DLC Buildup Factors'!O398</f>
        <v>0</v>
      </c>
    </row>
    <row r="386" spans="1:23">
      <c r="A386" s="10">
        <v>5</v>
      </c>
      <c r="B386">
        <v>1.508</v>
      </c>
      <c r="C386">
        <v>0.98599999999999999</v>
      </c>
      <c r="D386">
        <v>1.2999999999999999E-2</v>
      </c>
      <c r="E386">
        <v>13.41</v>
      </c>
      <c r="F386">
        <v>-0.02</v>
      </c>
      <c r="G386" s="2">
        <v>1.44E-2</v>
      </c>
      <c r="H386">
        <v>1</v>
      </c>
      <c r="I386" s="2">
        <v>6.8300000000000001E-3</v>
      </c>
      <c r="K386" t="str">
        <f t="shared" si="46"/>
        <v xml:space="preserve">    - 5.000</v>
      </c>
      <c r="L386" t="str">
        <f t="shared" si="47"/>
        <v xml:space="preserve">    - [1.508, 0.986, 0.013, 13.41, -0.0200]</v>
      </c>
      <c r="O386">
        <f>A386-'DLC Buildup Factors'!G399</f>
        <v>0</v>
      </c>
      <c r="P386">
        <f>B386-'DLC Buildup Factors'!H399</f>
        <v>0</v>
      </c>
      <c r="Q386">
        <f>C386-'DLC Buildup Factors'!I399</f>
        <v>0</v>
      </c>
      <c r="R386">
        <f>D386-'DLC Buildup Factors'!J399</f>
        <v>0</v>
      </c>
      <c r="S386">
        <f>E386-'DLC Buildup Factors'!K399</f>
        <v>0</v>
      </c>
      <c r="T386">
        <f>F386-'DLC Buildup Factors'!L399</f>
        <v>0</v>
      </c>
      <c r="U386">
        <f>G386-'DLC Buildup Factors'!M399</f>
        <v>0</v>
      </c>
      <c r="V386">
        <f>H386-'DLC Buildup Factors'!N399</f>
        <v>0</v>
      </c>
      <c r="W386">
        <f>I386-'DLC Buildup Factors'!O399</f>
        <v>0</v>
      </c>
    </row>
    <row r="387" spans="1:23">
      <c r="A387" s="10">
        <v>6</v>
      </c>
      <c r="B387">
        <v>1.4630000000000001</v>
      </c>
      <c r="C387">
        <v>0.95799999999999996</v>
      </c>
      <c r="D387">
        <v>2.3E-2</v>
      </c>
      <c r="E387">
        <v>13.42</v>
      </c>
      <c r="F387">
        <v>-2.8799999999999999E-2</v>
      </c>
      <c r="G387" s="2">
        <v>1.9900000000000001E-2</v>
      </c>
      <c r="H387">
        <v>0.5</v>
      </c>
      <c r="I387" s="2">
        <v>8.6499999999999997E-3</v>
      </c>
      <c r="K387" t="str">
        <f t="shared" si="46"/>
        <v xml:space="preserve">    - 6.000</v>
      </c>
      <c r="L387" t="str">
        <f t="shared" si="47"/>
        <v xml:space="preserve">    - [1.463, 0.958, 0.023, 13.42, -0.0288]</v>
      </c>
      <c r="O387">
        <f>A387-'DLC Buildup Factors'!G400</f>
        <v>0</v>
      </c>
      <c r="P387">
        <f>B387-'DLC Buildup Factors'!H400</f>
        <v>0</v>
      </c>
      <c r="Q387">
        <f>C387-'DLC Buildup Factors'!I400</f>
        <v>0</v>
      </c>
      <c r="R387">
        <f>D387-'DLC Buildup Factors'!J400</f>
        <v>0</v>
      </c>
      <c r="S387">
        <f>E387-'DLC Buildup Factors'!K400</f>
        <v>0</v>
      </c>
      <c r="T387">
        <f>F387-'DLC Buildup Factors'!L400</f>
        <v>0</v>
      </c>
      <c r="U387">
        <f>G387-'DLC Buildup Factors'!M400</f>
        <v>0</v>
      </c>
      <c r="V387">
        <f>H387-'DLC Buildup Factors'!N400</f>
        <v>0</v>
      </c>
      <c r="W387">
        <f>I387-'DLC Buildup Factors'!O400</f>
        <v>0</v>
      </c>
    </row>
    <row r="388" spans="1:23">
      <c r="A388" s="10">
        <v>8</v>
      </c>
      <c r="B388">
        <v>1.3819999999999999</v>
      </c>
      <c r="C388">
        <v>0.93100000000000005</v>
      </c>
      <c r="D388">
        <v>3.4000000000000002E-2</v>
      </c>
      <c r="E388">
        <v>13.47</v>
      </c>
      <c r="F388">
        <v>-3.8899999999999997E-2</v>
      </c>
      <c r="G388" s="2">
        <v>0.02</v>
      </c>
      <c r="H388">
        <v>0.5</v>
      </c>
      <c r="I388" s="2">
        <v>9.7800000000000005E-3</v>
      </c>
      <c r="K388" t="str">
        <f t="shared" si="46"/>
        <v xml:space="preserve">    - 8.000</v>
      </c>
      <c r="L388" t="str">
        <f t="shared" si="47"/>
        <v xml:space="preserve">    - [1.382, 0.931, 0.034, 13.47, -0.0389]</v>
      </c>
      <c r="O388">
        <f>A388-'DLC Buildup Factors'!G401</f>
        <v>0</v>
      </c>
      <c r="P388">
        <f>B388-'DLC Buildup Factors'!H401</f>
        <v>0</v>
      </c>
      <c r="Q388">
        <f>C388-'DLC Buildup Factors'!I401</f>
        <v>0</v>
      </c>
      <c r="R388">
        <f>D388-'DLC Buildup Factors'!J401</f>
        <v>0</v>
      </c>
      <c r="S388">
        <f>E388-'DLC Buildup Factors'!K401</f>
        <v>0</v>
      </c>
      <c r="T388">
        <f>F388-'DLC Buildup Factors'!L401</f>
        <v>0</v>
      </c>
      <c r="U388">
        <f>G388-'DLC Buildup Factors'!M401</f>
        <v>0</v>
      </c>
      <c r="V388">
        <f>H388-'DLC Buildup Factors'!N401</f>
        <v>0</v>
      </c>
      <c r="W388">
        <f>I388-'DLC Buildup Factors'!O401</f>
        <v>0</v>
      </c>
    </row>
    <row r="389" spans="1:23">
      <c r="A389" s="10">
        <v>10</v>
      </c>
      <c r="B389">
        <v>1.3160000000000001</v>
      </c>
      <c r="C389">
        <v>0.92700000000000005</v>
      </c>
      <c r="D389">
        <v>3.7999999999999999E-2</v>
      </c>
      <c r="E389">
        <v>13.53</v>
      </c>
      <c r="F389">
        <v>-4.2700000000000002E-2</v>
      </c>
      <c r="G389" s="2">
        <v>2.35E-2</v>
      </c>
      <c r="H389">
        <v>0.5</v>
      </c>
      <c r="I389" s="2">
        <v>1.085E-2</v>
      </c>
      <c r="K389" t="str">
        <f t="shared" si="46"/>
        <v xml:space="preserve">    - 10.000</v>
      </c>
      <c r="L389" t="str">
        <f t="shared" si="47"/>
        <v xml:space="preserve">    - [1.316, 0.927, 0.038, 13.53, -0.0427]</v>
      </c>
      <c r="O389">
        <f>A389-'DLC Buildup Factors'!G402</f>
        <v>0</v>
      </c>
      <c r="P389">
        <f>B389-'DLC Buildup Factors'!H402</f>
        <v>0</v>
      </c>
      <c r="Q389">
        <f>C389-'DLC Buildup Factors'!I402</f>
        <v>0</v>
      </c>
      <c r="R389">
        <f>D389-'DLC Buildup Factors'!J402</f>
        <v>0</v>
      </c>
      <c r="S389">
        <f>E389-'DLC Buildup Factors'!K402</f>
        <v>0</v>
      </c>
      <c r="T389">
        <f>F389-'DLC Buildup Factors'!L402</f>
        <v>0</v>
      </c>
      <c r="U389">
        <f>G389-'DLC Buildup Factors'!M402</f>
        <v>0</v>
      </c>
      <c r="V389">
        <f>H389-'DLC Buildup Factors'!N402</f>
        <v>0</v>
      </c>
      <c r="W389">
        <f>I389-'DLC Buildup Factors'!O402</f>
        <v>0</v>
      </c>
    </row>
    <row r="390" spans="1:23">
      <c r="A390" s="10">
        <v>15</v>
      </c>
      <c r="B390">
        <v>1.218</v>
      </c>
      <c r="C390">
        <v>0.92</v>
      </c>
      <c r="D390">
        <v>4.7E-2</v>
      </c>
      <c r="E390">
        <v>13.48</v>
      </c>
      <c r="F390">
        <v>-5.1799999999999999E-2</v>
      </c>
      <c r="G390" s="2">
        <v>2.5600000000000001E-2</v>
      </c>
      <c r="H390">
        <v>1</v>
      </c>
      <c r="I390" s="2">
        <v>1.163E-2</v>
      </c>
      <c r="K390" t="str">
        <f t="shared" si="46"/>
        <v xml:space="preserve">    - 15.000</v>
      </c>
      <c r="L390" t="str">
        <f t="shared" si="47"/>
        <v xml:space="preserve">    - [1.218, 0.920, 0.047, 13.48, -0.0518]</v>
      </c>
      <c r="O390">
        <f>A390-'DLC Buildup Factors'!G403</f>
        <v>0</v>
      </c>
      <c r="P390">
        <f>B390-'DLC Buildup Factors'!H403</f>
        <v>0</v>
      </c>
      <c r="Q390">
        <f>C390-'DLC Buildup Factors'!I403</f>
        <v>0</v>
      </c>
      <c r="R390">
        <f>D390-'DLC Buildup Factors'!J403</f>
        <v>0</v>
      </c>
      <c r="S390">
        <f>E390-'DLC Buildup Factors'!K403</f>
        <v>0</v>
      </c>
      <c r="T390">
        <f>F390-'DLC Buildup Factors'!L403</f>
        <v>0</v>
      </c>
      <c r="U390">
        <f>G390-'DLC Buildup Factors'!M403</f>
        <v>0</v>
      </c>
      <c r="V390">
        <f>H390-'DLC Buildup Factors'!N403</f>
        <v>0</v>
      </c>
      <c r="W390">
        <f>I390-'DLC Buildup Factors'!O403</f>
        <v>0</v>
      </c>
    </row>
    <row r="391" spans="1:23">
      <c r="A391" s="10"/>
    </row>
    <row r="392" spans="1:23">
      <c r="A392" s="10" t="s">
        <v>1525</v>
      </c>
    </row>
    <row r="393" spans="1:23">
      <c r="A393" s="10" t="s">
        <v>1538</v>
      </c>
    </row>
    <row r="394" spans="1:23">
      <c r="A394" t="s">
        <v>0</v>
      </c>
      <c r="B394" t="s">
        <v>10</v>
      </c>
      <c r="C394" t="s">
        <v>11</v>
      </c>
      <c r="D394" t="s">
        <v>12</v>
      </c>
      <c r="E394" t="s">
        <v>15</v>
      </c>
      <c r="F394" t="s">
        <v>13</v>
      </c>
      <c r="G394" t="s">
        <v>16</v>
      </c>
      <c r="H394" t="s">
        <v>17</v>
      </c>
      <c r="I394" t="s">
        <v>14</v>
      </c>
    </row>
    <row r="395" spans="1:23">
      <c r="A395" s="10">
        <v>1.4999999999999999E-2</v>
      </c>
      <c r="B395">
        <v>1.0069999999999999</v>
      </c>
      <c r="C395">
        <v>0.59599999999999997</v>
      </c>
      <c r="D395">
        <v>2.1000000000000001E-2</v>
      </c>
      <c r="E395">
        <v>7.03</v>
      </c>
      <c r="F395">
        <v>0.129</v>
      </c>
      <c r="G395" s="2">
        <v>6.0000000000000001E-3</v>
      </c>
      <c r="H395">
        <v>0.5</v>
      </c>
      <c r="I395" s="2">
        <v>2.8700000000000002E-3</v>
      </c>
      <c r="J395" s="15" t="s">
        <v>1549</v>
      </c>
      <c r="K395" t="str">
        <f t="shared" ref="K395" si="48">CONCATENATE("    - ",TEXT(A395,"0.000"))</f>
        <v xml:space="preserve">    - 0.015</v>
      </c>
      <c r="L395" t="str">
        <f t="shared" ref="L395" si="49">CONCATENATE("    - [",TEXT(B395,"0.000"),", ",TEXT(C395,"0.000"),", ",TEXT(D395,"0.000"),", ",TEXT(E395,"0.00"),", ",TEXT(F395,"0.0000"),"]")</f>
        <v xml:space="preserve">    - [1.007, 0.596, 0.021, 7.03, 0.1290]</v>
      </c>
      <c r="M395" s="25"/>
      <c r="N395" s="25"/>
      <c r="O395">
        <f>A395-'DLC Buildup Factors'!G410</f>
        <v>0</v>
      </c>
      <c r="P395">
        <f>B395-'DLC Buildup Factors'!H410</f>
        <v>-3.0000000000001137E-3</v>
      </c>
      <c r="Q395">
        <f>C395-'DLC Buildup Factors'!I410</f>
        <v>0.41899999999999998</v>
      </c>
      <c r="R395">
        <f>D395-'DLC Buildup Factors'!J410</f>
        <v>-0.44899999999999995</v>
      </c>
      <c r="S395">
        <f>E395-'DLC Buildup Factors'!K410</f>
        <v>-8.259999999999998</v>
      </c>
      <c r="T395">
        <f>F395-'DLC Buildup Factors'!L410</f>
        <v>0.56630000000000003</v>
      </c>
      <c r="U395">
        <f>G395-'DLC Buildup Factors'!M410</f>
        <v>1.2000000000000005E-3</v>
      </c>
      <c r="V395">
        <f>H395-'DLC Buildup Factors'!N410</f>
        <v>-3.5</v>
      </c>
      <c r="W395">
        <f>I395-'DLC Buildup Factors'!O410</f>
        <v>2.7000000000000027E-4</v>
      </c>
    </row>
    <row r="396" spans="1:23">
      <c r="A396" s="10">
        <v>0.02</v>
      </c>
      <c r="B396">
        <v>1.016</v>
      </c>
      <c r="C396">
        <v>0.441</v>
      </c>
      <c r="D396">
        <v>0.18</v>
      </c>
      <c r="E396">
        <v>10.89</v>
      </c>
      <c r="F396">
        <v>-8.4500000000000006E-2</v>
      </c>
      <c r="G396" s="2">
        <v>3.8999999999999998E-3</v>
      </c>
      <c r="H396">
        <v>1</v>
      </c>
      <c r="I396" s="2">
        <v>2.6199999999999999E-3</v>
      </c>
      <c r="K396" t="str">
        <f t="shared" ref="K396:K419" si="50">CONCATENATE("    - ",TEXT(A396,"0.000"))</f>
        <v xml:space="preserve">    - 0.020</v>
      </c>
      <c r="L396" t="str">
        <f t="shared" ref="L396:L419" si="51">CONCATENATE("    - [",TEXT(B396,"0.000"),", ",TEXT(C396,"0.000"),", ",TEXT(D396,"0.000"),", ",TEXT(E396,"0.00"),", ",TEXT(F396,"0.0000"),"]")</f>
        <v xml:space="preserve">    - [1.016, 0.441, 0.180, 10.89, -0.0845]</v>
      </c>
      <c r="O396">
        <f>A396-'DLC Buildup Factors'!G411</f>
        <v>0</v>
      </c>
      <c r="P396">
        <f>B396-'DLC Buildup Factors'!H411</f>
        <v>0</v>
      </c>
      <c r="Q396">
        <f>C396-'DLC Buildup Factors'!I411</f>
        <v>0</v>
      </c>
      <c r="R396">
        <f>D396-'DLC Buildup Factors'!J411</f>
        <v>0</v>
      </c>
      <c r="S396">
        <f>E396-'DLC Buildup Factors'!K411</f>
        <v>0</v>
      </c>
      <c r="T396">
        <f>F396-'DLC Buildup Factors'!L411</f>
        <v>0</v>
      </c>
      <c r="U396">
        <f>G396-'DLC Buildup Factors'!M411</f>
        <v>0</v>
      </c>
      <c r="V396">
        <f>H396-'DLC Buildup Factors'!N411</f>
        <v>0</v>
      </c>
      <c r="W396">
        <f>I396-'DLC Buildup Factors'!O411</f>
        <v>0</v>
      </c>
    </row>
    <row r="397" spans="1:23">
      <c r="A397" s="10">
        <v>0.03</v>
      </c>
      <c r="B397">
        <v>1.0569999999999999</v>
      </c>
      <c r="C397">
        <v>0.372</v>
      </c>
      <c r="D397">
        <v>0.22600000000000001</v>
      </c>
      <c r="E397">
        <v>11.52</v>
      </c>
      <c r="F397">
        <v>-0.1182</v>
      </c>
      <c r="G397" s="2">
        <v>6.4000000000000003E-3</v>
      </c>
      <c r="H397">
        <v>3</v>
      </c>
      <c r="I397" s="2">
        <v>2.7699999999999999E-3</v>
      </c>
      <c r="K397" t="str">
        <f t="shared" si="50"/>
        <v xml:space="preserve">    - 0.030</v>
      </c>
      <c r="L397" t="str">
        <f t="shared" si="51"/>
        <v xml:space="preserve">    - [1.057, 0.372, 0.226, 11.52, -0.1182]</v>
      </c>
      <c r="O397">
        <f>A397-'DLC Buildup Factors'!G412</f>
        <v>0</v>
      </c>
      <c r="P397">
        <f>B397-'DLC Buildup Factors'!H412</f>
        <v>0</v>
      </c>
      <c r="Q397">
        <f>C397-'DLC Buildup Factors'!I412</f>
        <v>0</v>
      </c>
      <c r="R397">
        <f>D397-'DLC Buildup Factors'!J412</f>
        <v>0</v>
      </c>
      <c r="S397">
        <f>E397-'DLC Buildup Factors'!K412</f>
        <v>0</v>
      </c>
      <c r="T397">
        <f>F397-'DLC Buildup Factors'!L412</f>
        <v>0</v>
      </c>
      <c r="U397">
        <f>G397-'DLC Buildup Factors'!M412</f>
        <v>0</v>
      </c>
      <c r="V397">
        <f>H397-'DLC Buildup Factors'!N412</f>
        <v>0</v>
      </c>
      <c r="W397">
        <f>I397-'DLC Buildup Factors'!O412</f>
        <v>0</v>
      </c>
    </row>
    <row r="398" spans="1:23">
      <c r="A398" s="10">
        <v>0.04</v>
      </c>
      <c r="B398">
        <v>1.129</v>
      </c>
      <c r="C398">
        <v>0.36399999999999999</v>
      </c>
      <c r="D398">
        <v>0.23400000000000001</v>
      </c>
      <c r="E398">
        <v>14.07</v>
      </c>
      <c r="F398">
        <v>-0.13569999999999999</v>
      </c>
      <c r="G398" s="2">
        <v>6.6E-3</v>
      </c>
      <c r="H398">
        <v>3</v>
      </c>
      <c r="I398" s="2">
        <v>3.4399999999999999E-3</v>
      </c>
      <c r="K398" t="str">
        <f t="shared" si="50"/>
        <v xml:space="preserve">    - 0.040</v>
      </c>
      <c r="L398" t="str">
        <f t="shared" si="51"/>
        <v xml:space="preserve">    - [1.129, 0.364, 0.234, 14.07, -0.1357]</v>
      </c>
      <c r="O398">
        <f>A398-'DLC Buildup Factors'!G413</f>
        <v>0</v>
      </c>
      <c r="P398">
        <f>B398-'DLC Buildup Factors'!H413</f>
        <v>0</v>
      </c>
      <c r="Q398">
        <f>C398-'DLC Buildup Factors'!I413</f>
        <v>0</v>
      </c>
      <c r="R398">
        <f>D398-'DLC Buildup Factors'!J413</f>
        <v>0</v>
      </c>
      <c r="S398">
        <f>E398-'DLC Buildup Factors'!K413</f>
        <v>0</v>
      </c>
      <c r="T398">
        <f>F398-'DLC Buildup Factors'!L413</f>
        <v>0</v>
      </c>
      <c r="U398">
        <f>G398-'DLC Buildup Factors'!M413</f>
        <v>0</v>
      </c>
      <c r="V398">
        <f>H398-'DLC Buildup Factors'!N413</f>
        <v>0</v>
      </c>
      <c r="W398">
        <f>I398-'DLC Buildup Factors'!O413</f>
        <v>0</v>
      </c>
    </row>
    <row r="399" spans="1:23">
      <c r="A399" s="10">
        <v>0.05</v>
      </c>
      <c r="B399">
        <v>1.226</v>
      </c>
      <c r="C399">
        <v>0.40500000000000003</v>
      </c>
      <c r="D399">
        <v>0.21299999999999999</v>
      </c>
      <c r="E399">
        <v>14.14</v>
      </c>
      <c r="F399">
        <v>-0.1172</v>
      </c>
      <c r="G399" s="2">
        <v>1.55E-2</v>
      </c>
      <c r="H399">
        <v>0.5</v>
      </c>
      <c r="I399" s="2">
        <v>6.6899999999999998E-3</v>
      </c>
      <c r="K399" t="str">
        <f t="shared" si="50"/>
        <v xml:space="preserve">    - 0.050</v>
      </c>
      <c r="L399" t="str">
        <f t="shared" si="51"/>
        <v xml:space="preserve">    - [1.226, 0.405, 0.213, 14.14, -0.1172]</v>
      </c>
      <c r="O399">
        <f>A399-'DLC Buildup Factors'!G414</f>
        <v>0</v>
      </c>
      <c r="P399">
        <f>B399-'DLC Buildup Factors'!H414</f>
        <v>0</v>
      </c>
      <c r="Q399">
        <f>C399-'DLC Buildup Factors'!I414</f>
        <v>0</v>
      </c>
      <c r="R399">
        <f>D399-'DLC Buildup Factors'!J414</f>
        <v>0</v>
      </c>
      <c r="S399">
        <f>E399-'DLC Buildup Factors'!K414</f>
        <v>0</v>
      </c>
      <c r="T399">
        <f>F399-'DLC Buildup Factors'!L414</f>
        <v>0</v>
      </c>
      <c r="U399">
        <f>G399-'DLC Buildup Factors'!M414</f>
        <v>0</v>
      </c>
      <c r="V399">
        <f>H399-'DLC Buildup Factors'!N414</f>
        <v>0</v>
      </c>
      <c r="W399">
        <f>I399-'DLC Buildup Factors'!O414</f>
        <v>0</v>
      </c>
    </row>
    <row r="400" spans="1:23">
      <c r="A400" s="10">
        <v>0.06</v>
      </c>
      <c r="B400">
        <v>1.335</v>
      </c>
      <c r="C400">
        <v>0.45600000000000002</v>
      </c>
      <c r="D400">
        <v>0.192</v>
      </c>
      <c r="E400">
        <v>14.25</v>
      </c>
      <c r="F400">
        <v>-0.11070000000000001</v>
      </c>
      <c r="G400" s="2">
        <v>2.01E-2</v>
      </c>
      <c r="H400">
        <v>0.5</v>
      </c>
      <c r="I400" s="2">
        <v>8.7100000000000007E-3</v>
      </c>
      <c r="K400" t="str">
        <f t="shared" si="50"/>
        <v xml:space="preserve">    - 0.060</v>
      </c>
      <c r="L400" t="str">
        <f t="shared" si="51"/>
        <v xml:space="preserve">    - [1.335, 0.456, 0.192, 14.25, -0.1107]</v>
      </c>
      <c r="O400">
        <f>A400-'DLC Buildup Factors'!G415</f>
        <v>0</v>
      </c>
      <c r="P400">
        <f>B400-'DLC Buildup Factors'!H415</f>
        <v>0</v>
      </c>
      <c r="Q400">
        <f>C400-'DLC Buildup Factors'!I415</f>
        <v>0</v>
      </c>
      <c r="R400">
        <f>D400-'DLC Buildup Factors'!J415</f>
        <v>0</v>
      </c>
      <c r="S400">
        <f>E400-'DLC Buildup Factors'!K415</f>
        <v>0</v>
      </c>
      <c r="T400">
        <f>F400-'DLC Buildup Factors'!L415</f>
        <v>0</v>
      </c>
      <c r="U400">
        <f>G400-'DLC Buildup Factors'!M415</f>
        <v>0</v>
      </c>
      <c r="V400">
        <f>H400-'DLC Buildup Factors'!N415</f>
        <v>0</v>
      </c>
      <c r="W400">
        <f>I400-'DLC Buildup Factors'!O415</f>
        <v>0</v>
      </c>
    </row>
    <row r="401" spans="1:23">
      <c r="A401" s="10">
        <v>0.08</v>
      </c>
      <c r="B401">
        <v>1.5640000000000001</v>
      </c>
      <c r="C401">
        <v>0.57399999999999995</v>
      </c>
      <c r="D401">
        <v>0.14199999999999999</v>
      </c>
      <c r="E401">
        <v>14.35</v>
      </c>
      <c r="F401">
        <v>-8.0100000000000005E-2</v>
      </c>
      <c r="G401" s="2">
        <v>2.3800000000000002E-2</v>
      </c>
      <c r="H401">
        <v>0.5</v>
      </c>
      <c r="I401" s="2">
        <v>1.0699999999999999E-2</v>
      </c>
      <c r="K401" t="str">
        <f t="shared" si="50"/>
        <v xml:space="preserve">    - 0.080</v>
      </c>
      <c r="L401" t="str">
        <f t="shared" si="51"/>
        <v xml:space="preserve">    - [1.564, 0.574, 0.142, 14.35, -0.0801]</v>
      </c>
      <c r="O401">
        <f>A401-'DLC Buildup Factors'!G416</f>
        <v>0</v>
      </c>
      <c r="P401">
        <f>B401-'DLC Buildup Factors'!H416</f>
        <v>0</v>
      </c>
      <c r="Q401">
        <f>C401-'DLC Buildup Factors'!I416</f>
        <v>0</v>
      </c>
      <c r="R401">
        <f>D401-'DLC Buildup Factors'!J416</f>
        <v>0</v>
      </c>
      <c r="S401">
        <f>E401-'DLC Buildup Factors'!K416</f>
        <v>0</v>
      </c>
      <c r="T401">
        <f>F401-'DLC Buildup Factors'!L416</f>
        <v>0</v>
      </c>
      <c r="U401">
        <f>G401-'DLC Buildup Factors'!M416</f>
        <v>0</v>
      </c>
      <c r="V401">
        <f>H401-'DLC Buildup Factors'!N416</f>
        <v>0</v>
      </c>
      <c r="W401">
        <f>I401-'DLC Buildup Factors'!O416</f>
        <v>0</v>
      </c>
    </row>
    <row r="402" spans="1:23">
      <c r="A402" s="10">
        <v>0.1</v>
      </c>
      <c r="B402">
        <v>1.76</v>
      </c>
      <c r="C402">
        <v>0.70799999999999996</v>
      </c>
      <c r="D402">
        <v>9.2999999999999999E-2</v>
      </c>
      <c r="E402">
        <v>14.3</v>
      </c>
      <c r="F402">
        <v>-5.8000000000000003E-2</v>
      </c>
      <c r="G402" s="2">
        <v>2.8199999999999999E-2</v>
      </c>
      <c r="H402">
        <v>0.5</v>
      </c>
      <c r="I402" s="2">
        <v>1.112E-2</v>
      </c>
      <c r="K402" t="str">
        <f t="shared" si="50"/>
        <v xml:space="preserve">    - 0.100</v>
      </c>
      <c r="L402" t="str">
        <f t="shared" si="51"/>
        <v xml:space="preserve">    - [1.760, 0.708, 0.093, 14.30, -0.0580]</v>
      </c>
      <c r="O402">
        <f>A402-'DLC Buildup Factors'!G417</f>
        <v>0</v>
      </c>
      <c r="P402">
        <f>B402-'DLC Buildup Factors'!H417</f>
        <v>0</v>
      </c>
      <c r="Q402">
        <f>C402-'DLC Buildup Factors'!I417</f>
        <v>0</v>
      </c>
      <c r="R402">
        <f>D402-'DLC Buildup Factors'!J417</f>
        <v>0</v>
      </c>
      <c r="S402">
        <f>E402-'DLC Buildup Factors'!K417</f>
        <v>0</v>
      </c>
      <c r="T402">
        <f>F402-'DLC Buildup Factors'!L417</f>
        <v>0</v>
      </c>
      <c r="U402">
        <f>G402-'DLC Buildup Factors'!M417</f>
        <v>0</v>
      </c>
      <c r="V402">
        <f>H402-'DLC Buildup Factors'!N417</f>
        <v>0</v>
      </c>
      <c r="W402">
        <f>I402-'DLC Buildup Factors'!O417</f>
        <v>0</v>
      </c>
    </row>
    <row r="403" spans="1:23">
      <c r="A403" s="10">
        <v>0.15</v>
      </c>
      <c r="B403">
        <v>2.0619999999999998</v>
      </c>
      <c r="C403">
        <v>0.94899999999999995</v>
      </c>
      <c r="D403">
        <v>2.4E-2</v>
      </c>
      <c r="E403">
        <v>13.69</v>
      </c>
      <c r="F403">
        <v>-2.8000000000000001E-2</v>
      </c>
      <c r="G403" s="2">
        <v>1.9E-2</v>
      </c>
      <c r="H403">
        <v>0.5</v>
      </c>
      <c r="I403" s="2">
        <v>7.9500000000000005E-3</v>
      </c>
      <c r="K403" t="str">
        <f t="shared" si="50"/>
        <v xml:space="preserve">    - 0.150</v>
      </c>
      <c r="L403" t="str">
        <f t="shared" si="51"/>
        <v xml:space="preserve">    - [2.062, 0.949, 0.024, 13.69, -0.0280]</v>
      </c>
      <c r="O403">
        <f>A403-'DLC Buildup Factors'!G418</f>
        <v>0</v>
      </c>
      <c r="P403">
        <f>B403-'DLC Buildup Factors'!H418</f>
        <v>0</v>
      </c>
      <c r="Q403">
        <f>C403-'DLC Buildup Factors'!I418</f>
        <v>0</v>
      </c>
      <c r="R403">
        <f>D403-'DLC Buildup Factors'!J418</f>
        <v>0</v>
      </c>
      <c r="S403">
        <f>E403-'DLC Buildup Factors'!K418</f>
        <v>0</v>
      </c>
      <c r="T403">
        <f>F403-'DLC Buildup Factors'!L418</f>
        <v>0</v>
      </c>
      <c r="U403">
        <f>G403-'DLC Buildup Factors'!M418</f>
        <v>0</v>
      </c>
      <c r="V403">
        <f>H403-'DLC Buildup Factors'!N418</f>
        <v>0</v>
      </c>
      <c r="W403">
        <f>I403-'DLC Buildup Factors'!O418</f>
        <v>0</v>
      </c>
    </row>
    <row r="404" spans="1:23">
      <c r="A404" s="10">
        <v>0.2</v>
      </c>
      <c r="B404">
        <v>2.1749999999999998</v>
      </c>
      <c r="C404">
        <v>1.1180000000000001</v>
      </c>
      <c r="D404">
        <v>-1.2E-2</v>
      </c>
      <c r="E404">
        <v>12.58</v>
      </c>
      <c r="F404">
        <v>-1.8800000000000001E-2</v>
      </c>
      <c r="G404" s="2">
        <v>1.8800000000000001E-2</v>
      </c>
      <c r="H404">
        <v>0.5</v>
      </c>
      <c r="I404" s="2">
        <v>7.9900000000000006E-3</v>
      </c>
      <c r="K404" t="str">
        <f t="shared" si="50"/>
        <v xml:space="preserve">    - 0.200</v>
      </c>
      <c r="L404" t="str">
        <f t="shared" si="51"/>
        <v xml:space="preserve">    - [2.175, 1.118, -0.012, 12.58, -0.0188]</v>
      </c>
      <c r="O404">
        <f>A404-'DLC Buildup Factors'!G419</f>
        <v>0</v>
      </c>
      <c r="P404">
        <f>B404-'DLC Buildup Factors'!H419</f>
        <v>0</v>
      </c>
      <c r="Q404">
        <f>C404-'DLC Buildup Factors'!I419</f>
        <v>0</v>
      </c>
      <c r="R404">
        <f>D404-'DLC Buildup Factors'!J419</f>
        <v>0</v>
      </c>
      <c r="S404">
        <f>E404-'DLC Buildup Factors'!K419</f>
        <v>0</v>
      </c>
      <c r="T404">
        <f>F404-'DLC Buildup Factors'!L419</f>
        <v>0</v>
      </c>
      <c r="U404">
        <f>G404-'DLC Buildup Factors'!M419</f>
        <v>0</v>
      </c>
      <c r="V404">
        <f>H404-'DLC Buildup Factors'!N419</f>
        <v>0</v>
      </c>
      <c r="W404">
        <f>I404-'DLC Buildup Factors'!O419</f>
        <v>0</v>
      </c>
    </row>
    <row r="405" spans="1:23">
      <c r="A405" s="10">
        <v>0.3</v>
      </c>
      <c r="B405">
        <v>2.2040000000000002</v>
      </c>
      <c r="C405">
        <v>1.2569999999999999</v>
      </c>
      <c r="D405">
        <v>-3.9E-2</v>
      </c>
      <c r="E405">
        <v>10.26</v>
      </c>
      <c r="F405">
        <v>-1.1299999999999999E-2</v>
      </c>
      <c r="G405" s="2">
        <v>1.04E-2</v>
      </c>
      <c r="H405">
        <v>0.5</v>
      </c>
      <c r="I405" s="2">
        <v>5.2100000000000002E-3</v>
      </c>
      <c r="K405" t="str">
        <f t="shared" si="50"/>
        <v xml:space="preserve">    - 0.300</v>
      </c>
      <c r="L405" t="str">
        <f t="shared" si="51"/>
        <v xml:space="preserve">    - [2.204, 1.257, -0.039, 10.26, -0.0113]</v>
      </c>
      <c r="O405">
        <f>A405-'DLC Buildup Factors'!G420</f>
        <v>0</v>
      </c>
      <c r="P405">
        <f>B405-'DLC Buildup Factors'!H420</f>
        <v>0</v>
      </c>
      <c r="Q405">
        <f>C405-'DLC Buildup Factors'!I420</f>
        <v>0</v>
      </c>
      <c r="R405">
        <f>D405-'DLC Buildup Factors'!J420</f>
        <v>0</v>
      </c>
      <c r="S405">
        <f>E405-'DLC Buildup Factors'!K420</f>
        <v>0</v>
      </c>
      <c r="T405">
        <f>F405-'DLC Buildup Factors'!L420</f>
        <v>0</v>
      </c>
      <c r="U405">
        <f>G405-'DLC Buildup Factors'!M420</f>
        <v>0</v>
      </c>
      <c r="V405">
        <f>H405-'DLC Buildup Factors'!N420</f>
        <v>0</v>
      </c>
      <c r="W405">
        <f>I405-'DLC Buildup Factors'!O420</f>
        <v>0</v>
      </c>
    </row>
    <row r="406" spans="1:23">
      <c r="A406" s="10">
        <v>0.4</v>
      </c>
      <c r="B406">
        <v>2.1720000000000002</v>
      </c>
      <c r="C406">
        <v>1.2989999999999999</v>
      </c>
      <c r="D406">
        <v>-4.7E-2</v>
      </c>
      <c r="E406">
        <v>9.76</v>
      </c>
      <c r="F406">
        <v>-8.9999999999999993E-3</v>
      </c>
      <c r="G406" s="2">
        <v>1.09E-2</v>
      </c>
      <c r="H406">
        <v>0.5</v>
      </c>
      <c r="I406" s="16">
        <v>5.5799999999999999E-3</v>
      </c>
      <c r="J406" s="15" t="s">
        <v>1549</v>
      </c>
      <c r="K406" t="str">
        <f t="shared" si="50"/>
        <v xml:space="preserve">    - 0.400</v>
      </c>
      <c r="L406" t="str">
        <f t="shared" si="51"/>
        <v xml:space="preserve">    - [2.172, 1.299, -0.047, 9.76, -0.0090]</v>
      </c>
      <c r="M406" s="25"/>
      <c r="N406" s="25"/>
      <c r="O406">
        <f>A406-'DLC Buildup Factors'!G421</f>
        <v>0</v>
      </c>
      <c r="P406">
        <f>B406-'DLC Buildup Factors'!H421</f>
        <v>5.0000000000003375E-3</v>
      </c>
      <c r="Q406">
        <f>C406-'DLC Buildup Factors'!I421</f>
        <v>-6.0000000000000053E-3</v>
      </c>
      <c r="R406">
        <f>D406-'DLC Buildup Factors'!J421</f>
        <v>2.0000000000000018E-3</v>
      </c>
      <c r="S406">
        <f>E406-'DLC Buildup Factors'!K421</f>
        <v>-4.0000000000000924E-2</v>
      </c>
      <c r="T406">
        <f>F406-'DLC Buildup Factors'!L421</f>
        <v>-3.0999999999999995E-3</v>
      </c>
      <c r="U406">
        <f>G406-'DLC Buildup Factors'!M421</f>
        <v>-2.0999999999999994E-3</v>
      </c>
      <c r="V406">
        <f>H406-'DLC Buildup Factors'!N421</f>
        <v>0</v>
      </c>
      <c r="W406">
        <f>I406-'DLC Buildup Factors'!O421</f>
        <v>-5.3999999999999968E-4</v>
      </c>
    </row>
    <row r="407" spans="1:23">
      <c r="A407" s="10">
        <v>0.5</v>
      </c>
      <c r="B407">
        <v>2.1280000000000001</v>
      </c>
      <c r="C407">
        <v>1.304</v>
      </c>
      <c r="D407">
        <v>-4.8000000000000001E-2</v>
      </c>
      <c r="E407">
        <v>8.7100000000000009</v>
      </c>
      <c r="F407">
        <v>-1.0800000000000001E-2</v>
      </c>
      <c r="G407" s="2">
        <v>1.1599999999999999E-2</v>
      </c>
      <c r="H407">
        <v>2</v>
      </c>
      <c r="I407" s="16">
        <v>5.62E-3</v>
      </c>
      <c r="J407" s="15" t="s">
        <v>1549</v>
      </c>
      <c r="K407" t="str">
        <f t="shared" si="50"/>
        <v xml:space="preserve">    - 0.500</v>
      </c>
      <c r="L407" t="str">
        <f t="shared" si="51"/>
        <v xml:space="preserve">    - [2.128, 1.304, -0.048, 8.71, -0.0108]</v>
      </c>
      <c r="M407" s="25"/>
      <c r="N407" s="25"/>
      <c r="O407">
        <f>A407-'DLC Buildup Factors'!G422</f>
        <v>0</v>
      </c>
      <c r="P407">
        <f>B407-'DLC Buildup Factors'!H422</f>
        <v>2.7000000000000135E-2</v>
      </c>
      <c r="Q407">
        <f>C407-'DLC Buildup Factors'!I422</f>
        <v>-4.0000000000000036E-2</v>
      </c>
      <c r="R407">
        <f>D407-'DLC Buildup Factors'!J422</f>
        <v>1.1999999999999997E-2</v>
      </c>
      <c r="S407">
        <f>E407-'DLC Buildup Factors'!K422</f>
        <v>-15.829999999999998</v>
      </c>
      <c r="T407">
        <f>F407-'DLC Buildup Factors'!L422</f>
        <v>-2.8000000000000001E-2</v>
      </c>
      <c r="U407">
        <f>G407-'DLC Buildup Factors'!M422</f>
        <v>1.1999999999999997E-3</v>
      </c>
      <c r="V407">
        <f>H407-'DLC Buildup Factors'!N422</f>
        <v>1.5</v>
      </c>
      <c r="W407">
        <f>I407-'DLC Buildup Factors'!O422</f>
        <v>1.9999999999999966E-4</v>
      </c>
    </row>
    <row r="408" spans="1:23">
      <c r="A408" s="10">
        <v>0.6</v>
      </c>
      <c r="B408">
        <v>2.0579999999999998</v>
      </c>
      <c r="C408">
        <v>1.333</v>
      </c>
      <c r="D408">
        <v>-5.8999999999999997E-2</v>
      </c>
      <c r="E408">
        <v>23.64</v>
      </c>
      <c r="F408">
        <v>1.4999999999999999E-2</v>
      </c>
      <c r="G408" s="2">
        <v>1.03E-2</v>
      </c>
      <c r="H408">
        <v>3</v>
      </c>
      <c r="I408" s="2">
        <v>5.2300000000000003E-3</v>
      </c>
      <c r="K408" t="str">
        <f t="shared" si="50"/>
        <v xml:space="preserve">    - 0.600</v>
      </c>
      <c r="L408" t="str">
        <f t="shared" si="51"/>
        <v xml:space="preserve">    - [2.058, 1.333, -0.059, 23.64, 0.0150]</v>
      </c>
      <c r="O408">
        <f>A408-'DLC Buildup Factors'!G423</f>
        <v>0</v>
      </c>
      <c r="P408">
        <f>B408-'DLC Buildup Factors'!H423</f>
        <v>0</v>
      </c>
      <c r="Q408">
        <f>C408-'DLC Buildup Factors'!I423</f>
        <v>0</v>
      </c>
      <c r="R408">
        <f>D408-'DLC Buildup Factors'!J423</f>
        <v>0</v>
      </c>
      <c r="S408">
        <f>E408-'DLC Buildup Factors'!K423</f>
        <v>0</v>
      </c>
      <c r="T408">
        <f>F408-'DLC Buildup Factors'!L423</f>
        <v>0</v>
      </c>
      <c r="U408">
        <f>G408-'DLC Buildup Factors'!M423</f>
        <v>0</v>
      </c>
      <c r="V408">
        <f>H408-'DLC Buildup Factors'!N423</f>
        <v>0</v>
      </c>
      <c r="W408">
        <f>I408-'DLC Buildup Factors'!O423</f>
        <v>0</v>
      </c>
    </row>
    <row r="409" spans="1:23">
      <c r="A409" s="10">
        <v>0.8</v>
      </c>
      <c r="B409">
        <v>1.9630000000000001</v>
      </c>
      <c r="C409">
        <v>1.3220000000000001</v>
      </c>
      <c r="D409">
        <v>-0.06</v>
      </c>
      <c r="E409">
        <v>18.989999999999998</v>
      </c>
      <c r="F409">
        <v>1.66E-2</v>
      </c>
      <c r="G409" s="2">
        <v>1.17E-2</v>
      </c>
      <c r="H409">
        <v>0.5</v>
      </c>
      <c r="I409" s="2">
        <v>3.6900000000000001E-3</v>
      </c>
      <c r="K409" t="str">
        <f t="shared" si="50"/>
        <v xml:space="preserve">    - 0.800</v>
      </c>
      <c r="L409" t="str">
        <f t="shared" si="51"/>
        <v xml:space="preserve">    - [1.963, 1.322, -0.060, 18.99, 0.0166]</v>
      </c>
      <c r="O409">
        <f>A409-'DLC Buildup Factors'!G424</f>
        <v>0</v>
      </c>
      <c r="P409">
        <f>B409-'DLC Buildup Factors'!H424</f>
        <v>0</v>
      </c>
      <c r="Q409">
        <f>C409-'DLC Buildup Factors'!I424</f>
        <v>0</v>
      </c>
      <c r="R409">
        <f>D409-'DLC Buildup Factors'!J424</f>
        <v>0</v>
      </c>
      <c r="S409">
        <f>E409-'DLC Buildup Factors'!K424</f>
        <v>0</v>
      </c>
      <c r="T409">
        <f>F409-'DLC Buildup Factors'!L424</f>
        <v>0</v>
      </c>
      <c r="U409">
        <f>G409-'DLC Buildup Factors'!M424</f>
        <v>0</v>
      </c>
      <c r="V409">
        <f>H409-'DLC Buildup Factors'!N424</f>
        <v>0</v>
      </c>
      <c r="W409">
        <f>I409-'DLC Buildup Factors'!O424</f>
        <v>0</v>
      </c>
    </row>
    <row r="410" spans="1:23">
      <c r="A410" s="10">
        <v>1</v>
      </c>
      <c r="B410">
        <v>1.9039999999999999</v>
      </c>
      <c r="C410">
        <v>1.2889999999999999</v>
      </c>
      <c r="D410">
        <v>-5.6000000000000001E-2</v>
      </c>
      <c r="E410">
        <v>17.12</v>
      </c>
      <c r="F410">
        <v>1.5900000000000001E-2</v>
      </c>
      <c r="G410" s="2">
        <v>7.7000000000000002E-3</v>
      </c>
      <c r="H410">
        <v>0.5</v>
      </c>
      <c r="I410" s="2">
        <v>3.0699999999999998E-3</v>
      </c>
      <c r="K410" t="str">
        <f t="shared" si="50"/>
        <v xml:space="preserve">    - 1.000</v>
      </c>
      <c r="L410" t="str">
        <f t="shared" si="51"/>
        <v xml:space="preserve">    - [1.904, 1.289, -0.056, 17.12, 0.0159]</v>
      </c>
      <c r="O410">
        <f>A410-'DLC Buildup Factors'!G425</f>
        <v>0</v>
      </c>
      <c r="P410">
        <f>B410-'DLC Buildup Factors'!H425</f>
        <v>0</v>
      </c>
      <c r="Q410">
        <f>C410-'DLC Buildup Factors'!I425</f>
        <v>0</v>
      </c>
      <c r="R410">
        <f>D410-'DLC Buildup Factors'!J425</f>
        <v>0</v>
      </c>
      <c r="S410">
        <f>E410-'DLC Buildup Factors'!K425</f>
        <v>0</v>
      </c>
      <c r="T410">
        <f>F410-'DLC Buildup Factors'!L425</f>
        <v>0</v>
      </c>
      <c r="U410">
        <f>G410-'DLC Buildup Factors'!M425</f>
        <v>0</v>
      </c>
      <c r="V410">
        <f>H410-'DLC Buildup Factors'!N425</f>
        <v>0</v>
      </c>
      <c r="W410">
        <f>I410-'DLC Buildup Factors'!O425</f>
        <v>0</v>
      </c>
    </row>
    <row r="411" spans="1:23">
      <c r="A411" s="10">
        <v>1.5</v>
      </c>
      <c r="B411">
        <v>1.796</v>
      </c>
      <c r="C411">
        <v>1.21</v>
      </c>
      <c r="D411">
        <v>-4.2999999999999997E-2</v>
      </c>
      <c r="E411">
        <v>15.77</v>
      </c>
      <c r="F411">
        <v>1.2800000000000001E-2</v>
      </c>
      <c r="G411" s="2">
        <v>3.3E-3</v>
      </c>
      <c r="H411">
        <v>8</v>
      </c>
      <c r="I411" s="2">
        <v>1.67E-3</v>
      </c>
      <c r="K411" t="str">
        <f t="shared" si="50"/>
        <v xml:space="preserve">    - 1.500</v>
      </c>
      <c r="L411" t="str">
        <f t="shared" si="51"/>
        <v xml:space="preserve">    - [1.796, 1.210, -0.043, 15.77, 0.0128]</v>
      </c>
      <c r="O411">
        <f>A411-'DLC Buildup Factors'!G426</f>
        <v>0</v>
      </c>
      <c r="P411">
        <f>B411-'DLC Buildup Factors'!H426</f>
        <v>0</v>
      </c>
      <c r="Q411">
        <f>C411-'DLC Buildup Factors'!I426</f>
        <v>0</v>
      </c>
      <c r="R411">
        <f>D411-'DLC Buildup Factors'!J426</f>
        <v>0</v>
      </c>
      <c r="S411">
        <f>E411-'DLC Buildup Factors'!K426</f>
        <v>0</v>
      </c>
      <c r="T411">
        <f>F411-'DLC Buildup Factors'!L426</f>
        <v>0</v>
      </c>
      <c r="U411">
        <f>G411-'DLC Buildup Factors'!M426</f>
        <v>0</v>
      </c>
      <c r="V411">
        <f>H411-'DLC Buildup Factors'!N426</f>
        <v>0</v>
      </c>
      <c r="W411">
        <f>I411-'DLC Buildup Factors'!O426</f>
        <v>0</v>
      </c>
    </row>
    <row r="412" spans="1:23">
      <c r="A412" s="10">
        <v>2</v>
      </c>
      <c r="B412">
        <v>1.7370000000000001</v>
      </c>
      <c r="C412">
        <v>1.1479999999999999</v>
      </c>
      <c r="D412">
        <v>-0.03</v>
      </c>
      <c r="E412">
        <v>17.57</v>
      </c>
      <c r="F412">
        <v>7.9000000000000008E-3</v>
      </c>
      <c r="G412" s="2">
        <v>4.4999999999999997E-3</v>
      </c>
      <c r="H412">
        <v>0.5</v>
      </c>
      <c r="I412" s="2">
        <v>2.2399999999999998E-3</v>
      </c>
      <c r="K412" t="str">
        <f t="shared" si="50"/>
        <v xml:space="preserve">    - 2.000</v>
      </c>
      <c r="L412" t="str">
        <f t="shared" si="51"/>
        <v xml:space="preserve">    - [1.737, 1.148, -0.030, 17.57, 0.0079]</v>
      </c>
      <c r="O412">
        <f>A412-'DLC Buildup Factors'!G427</f>
        <v>0</v>
      </c>
      <c r="P412">
        <f>B412-'DLC Buildup Factors'!H427</f>
        <v>0</v>
      </c>
      <c r="Q412">
        <f>C412-'DLC Buildup Factors'!I427</f>
        <v>0</v>
      </c>
      <c r="R412">
        <f>D412-'DLC Buildup Factors'!J427</f>
        <v>0</v>
      </c>
      <c r="S412">
        <f>E412-'DLC Buildup Factors'!K427</f>
        <v>0</v>
      </c>
      <c r="T412">
        <f>F412-'DLC Buildup Factors'!L427</f>
        <v>0</v>
      </c>
      <c r="U412">
        <f>G412-'DLC Buildup Factors'!M427</f>
        <v>0</v>
      </c>
      <c r="V412">
        <f>H412-'DLC Buildup Factors'!N427</f>
        <v>0</v>
      </c>
      <c r="W412">
        <f>I412-'DLC Buildup Factors'!O427</f>
        <v>0</v>
      </c>
    </row>
    <row r="413" spans="1:23">
      <c r="A413" s="10">
        <v>3</v>
      </c>
      <c r="B413">
        <v>1.64</v>
      </c>
      <c r="C413">
        <v>1.07</v>
      </c>
      <c r="D413">
        <v>-1.0999999999999999E-2</v>
      </c>
      <c r="E413">
        <v>13.24</v>
      </c>
      <c r="F413">
        <v>-6.7000000000000002E-3</v>
      </c>
      <c r="G413" s="2">
        <v>6.6E-3</v>
      </c>
      <c r="H413">
        <v>40</v>
      </c>
      <c r="I413" s="2">
        <v>3.1700000000000001E-3</v>
      </c>
      <c r="K413" t="str">
        <f t="shared" si="50"/>
        <v xml:space="preserve">    - 3.000</v>
      </c>
      <c r="L413" t="str">
        <f t="shared" si="51"/>
        <v xml:space="preserve">    - [1.640, 1.070, -0.011, 13.24, -0.0067]</v>
      </c>
      <c r="O413">
        <f>A413-'DLC Buildup Factors'!G428</f>
        <v>0</v>
      </c>
      <c r="P413">
        <f>B413-'DLC Buildup Factors'!H428</f>
        <v>0</v>
      </c>
      <c r="Q413">
        <f>C413-'DLC Buildup Factors'!I428</f>
        <v>0</v>
      </c>
      <c r="R413">
        <f>D413-'DLC Buildup Factors'!J428</f>
        <v>0</v>
      </c>
      <c r="S413">
        <f>E413-'DLC Buildup Factors'!K428</f>
        <v>0</v>
      </c>
      <c r="T413">
        <f>F413-'DLC Buildup Factors'!L428</f>
        <v>0</v>
      </c>
      <c r="U413">
        <f>G413-'DLC Buildup Factors'!M428</f>
        <v>0</v>
      </c>
      <c r="V413">
        <f>H413-'DLC Buildup Factors'!N428</f>
        <v>0</v>
      </c>
      <c r="W413">
        <f>I413-'DLC Buildup Factors'!O428</f>
        <v>0</v>
      </c>
    </row>
    <row r="414" spans="1:23">
      <c r="A414" s="10">
        <v>4</v>
      </c>
      <c r="B414">
        <v>1.5740000000000001</v>
      </c>
      <c r="C414">
        <v>1.0089999999999999</v>
      </c>
      <c r="D414">
        <v>7.0000000000000001E-3</v>
      </c>
      <c r="E414">
        <v>12.05</v>
      </c>
      <c r="F414">
        <v>-1.67E-2</v>
      </c>
      <c r="G414" s="2">
        <v>1.03E-2</v>
      </c>
      <c r="H414">
        <v>0.5</v>
      </c>
      <c r="I414" s="2">
        <v>5.79E-3</v>
      </c>
      <c r="K414" t="str">
        <f t="shared" si="50"/>
        <v xml:space="preserve">    - 4.000</v>
      </c>
      <c r="L414" t="str">
        <f t="shared" si="51"/>
        <v xml:space="preserve">    - [1.574, 1.009, 0.007, 12.05, -0.0167]</v>
      </c>
      <c r="O414">
        <f>A414-'DLC Buildup Factors'!G429</f>
        <v>0</v>
      </c>
      <c r="P414">
        <f>B414-'DLC Buildup Factors'!H429</f>
        <v>0</v>
      </c>
      <c r="Q414">
        <f>C414-'DLC Buildup Factors'!I429</f>
        <v>0</v>
      </c>
      <c r="R414">
        <f>D414-'DLC Buildup Factors'!J429</f>
        <v>0</v>
      </c>
      <c r="S414">
        <f>E414-'DLC Buildup Factors'!K429</f>
        <v>0</v>
      </c>
      <c r="T414">
        <f>F414-'DLC Buildup Factors'!L429</f>
        <v>0</v>
      </c>
      <c r="U414">
        <f>G414-'DLC Buildup Factors'!M429</f>
        <v>0</v>
      </c>
      <c r="V414">
        <f>H414-'DLC Buildup Factors'!N429</f>
        <v>0</v>
      </c>
      <c r="W414">
        <f>I414-'DLC Buildup Factors'!O429</f>
        <v>0</v>
      </c>
    </row>
    <row r="415" spans="1:23">
      <c r="A415" s="10">
        <v>5</v>
      </c>
      <c r="B415">
        <v>1.508</v>
      </c>
      <c r="C415">
        <v>0.98299999999999998</v>
      </c>
      <c r="D415">
        <v>1.4999999999999999E-2</v>
      </c>
      <c r="E415">
        <v>13.21</v>
      </c>
      <c r="F415">
        <v>-2.3099999999999999E-2</v>
      </c>
      <c r="G415" s="2">
        <v>1.12E-2</v>
      </c>
      <c r="H415">
        <v>0.5</v>
      </c>
      <c r="I415" s="2">
        <v>6.6499999999999997E-3</v>
      </c>
      <c r="K415" t="str">
        <f t="shared" si="50"/>
        <v xml:space="preserve">    - 5.000</v>
      </c>
      <c r="L415" t="str">
        <f t="shared" si="51"/>
        <v xml:space="preserve">    - [1.508, 0.983, 0.015, 13.21, -0.0231]</v>
      </c>
      <c r="O415">
        <f>A415-'DLC Buildup Factors'!G430</f>
        <v>0</v>
      </c>
      <c r="P415">
        <f>B415-'DLC Buildup Factors'!H430</f>
        <v>0</v>
      </c>
      <c r="Q415">
        <f>C415-'DLC Buildup Factors'!I430</f>
        <v>0</v>
      </c>
      <c r="R415">
        <f>D415-'DLC Buildup Factors'!J430</f>
        <v>0</v>
      </c>
      <c r="S415">
        <f>E415-'DLC Buildup Factors'!K430</f>
        <v>0</v>
      </c>
      <c r="T415">
        <f>F415-'DLC Buildup Factors'!L430</f>
        <v>0</v>
      </c>
      <c r="U415">
        <f>G415-'DLC Buildup Factors'!M430</f>
        <v>0</v>
      </c>
      <c r="V415">
        <f>H415-'DLC Buildup Factors'!N430</f>
        <v>0</v>
      </c>
      <c r="W415">
        <f>I415-'DLC Buildup Factors'!O430</f>
        <v>0</v>
      </c>
    </row>
    <row r="416" spans="1:23">
      <c r="A416" s="10">
        <v>6</v>
      </c>
      <c r="B416">
        <v>1.4590000000000001</v>
      </c>
      <c r="C416">
        <v>0.96199999999999997</v>
      </c>
      <c r="D416">
        <v>2.3E-2</v>
      </c>
      <c r="E416">
        <v>13.19</v>
      </c>
      <c r="F416">
        <v>-3.0300000000000001E-2</v>
      </c>
      <c r="G416" s="2">
        <v>2.1700000000000001E-2</v>
      </c>
      <c r="H416">
        <v>0.5</v>
      </c>
      <c r="I416" s="2">
        <v>9.1800000000000007E-3</v>
      </c>
      <c r="K416" t="str">
        <f t="shared" si="50"/>
        <v xml:space="preserve">    - 6.000</v>
      </c>
      <c r="L416" t="str">
        <f t="shared" si="51"/>
        <v xml:space="preserve">    - [1.459, 0.962, 0.023, 13.19, -0.0303]</v>
      </c>
      <c r="O416">
        <f>A416-'DLC Buildup Factors'!G431</f>
        <v>0</v>
      </c>
      <c r="P416">
        <f>B416-'DLC Buildup Factors'!H431</f>
        <v>0</v>
      </c>
      <c r="Q416">
        <f>C416-'DLC Buildup Factors'!I431</f>
        <v>0</v>
      </c>
      <c r="R416">
        <f>D416-'DLC Buildup Factors'!J431</f>
        <v>0</v>
      </c>
      <c r="S416">
        <f>E416-'DLC Buildup Factors'!K431</f>
        <v>0</v>
      </c>
      <c r="T416">
        <f>F416-'DLC Buildup Factors'!L431</f>
        <v>0</v>
      </c>
      <c r="U416">
        <f>G416-'DLC Buildup Factors'!M431</f>
        <v>0</v>
      </c>
      <c r="V416">
        <f>H416-'DLC Buildup Factors'!N431</f>
        <v>0</v>
      </c>
      <c r="W416">
        <f>I416-'DLC Buildup Factors'!O431</f>
        <v>0</v>
      </c>
    </row>
    <row r="417" spans="1:23">
      <c r="A417" s="10">
        <v>8</v>
      </c>
      <c r="B417">
        <v>1.3759999999999999</v>
      </c>
      <c r="C417">
        <v>0.94299999999999995</v>
      </c>
      <c r="D417">
        <v>3.1E-2</v>
      </c>
      <c r="E417">
        <v>13.52</v>
      </c>
      <c r="F417">
        <v>-3.6299999999999999E-2</v>
      </c>
      <c r="G417" s="2">
        <v>2.3099999999999999E-2</v>
      </c>
      <c r="H417">
        <v>0.5</v>
      </c>
      <c r="I417" s="2">
        <v>1.091E-2</v>
      </c>
      <c r="K417" t="str">
        <f t="shared" si="50"/>
        <v xml:space="preserve">    - 8.000</v>
      </c>
      <c r="L417" t="str">
        <f t="shared" si="51"/>
        <v xml:space="preserve">    - [1.376, 0.943, 0.031, 13.52, -0.0363]</v>
      </c>
      <c r="O417">
        <f>A417-'DLC Buildup Factors'!G432</f>
        <v>0</v>
      </c>
      <c r="P417">
        <f>B417-'DLC Buildup Factors'!H432</f>
        <v>0</v>
      </c>
      <c r="Q417">
        <f>C417-'DLC Buildup Factors'!I432</f>
        <v>0</v>
      </c>
      <c r="R417">
        <f>D417-'DLC Buildup Factors'!J432</f>
        <v>0</v>
      </c>
      <c r="S417">
        <f>E417-'DLC Buildup Factors'!K432</f>
        <v>0</v>
      </c>
      <c r="T417">
        <f>F417-'DLC Buildup Factors'!L432</f>
        <v>0</v>
      </c>
      <c r="U417">
        <f>G417-'DLC Buildup Factors'!M432</f>
        <v>0</v>
      </c>
      <c r="V417">
        <f>H417-'DLC Buildup Factors'!N432</f>
        <v>0</v>
      </c>
      <c r="W417">
        <f>I417-'DLC Buildup Factors'!O432</f>
        <v>0</v>
      </c>
    </row>
    <row r="418" spans="1:23">
      <c r="A418" s="10">
        <v>10</v>
      </c>
      <c r="B418">
        <v>1.3129999999999999</v>
      </c>
      <c r="C418">
        <v>0.93400000000000005</v>
      </c>
      <c r="D418">
        <v>3.6999999999999998E-2</v>
      </c>
      <c r="E418">
        <v>13.6</v>
      </c>
      <c r="F418">
        <v>-4.24E-2</v>
      </c>
      <c r="G418" s="2">
        <v>2.5100000000000001E-2</v>
      </c>
      <c r="H418">
        <v>0.5</v>
      </c>
      <c r="I418" s="2">
        <v>1.1469999999999999E-2</v>
      </c>
      <c r="K418" t="str">
        <f t="shared" si="50"/>
        <v xml:space="preserve">    - 10.000</v>
      </c>
      <c r="L418" t="str">
        <f t="shared" si="51"/>
        <v xml:space="preserve">    - [1.313, 0.934, 0.037, 13.60, -0.0424]</v>
      </c>
      <c r="O418">
        <f>A418-'DLC Buildup Factors'!G433</f>
        <v>0</v>
      </c>
      <c r="P418">
        <f>B418-'DLC Buildup Factors'!H433</f>
        <v>0</v>
      </c>
      <c r="Q418">
        <f>C418-'DLC Buildup Factors'!I433</f>
        <v>0</v>
      </c>
      <c r="R418">
        <f>D418-'DLC Buildup Factors'!J433</f>
        <v>0</v>
      </c>
      <c r="S418">
        <f>E418-'DLC Buildup Factors'!K433</f>
        <v>0</v>
      </c>
      <c r="T418">
        <f>F418-'DLC Buildup Factors'!L433</f>
        <v>0</v>
      </c>
      <c r="U418">
        <f>G418-'DLC Buildup Factors'!M433</f>
        <v>0</v>
      </c>
      <c r="V418">
        <f>H418-'DLC Buildup Factors'!N433</f>
        <v>0</v>
      </c>
      <c r="W418">
        <f>I418-'DLC Buildup Factors'!O433</f>
        <v>0</v>
      </c>
    </row>
    <row r="419" spans="1:23">
      <c r="A419" s="10">
        <v>15</v>
      </c>
      <c r="B419">
        <v>1.2190000000000001</v>
      </c>
      <c r="C419">
        <v>0.91600000000000004</v>
      </c>
      <c r="D419">
        <v>0.05</v>
      </c>
      <c r="E419">
        <v>13.91</v>
      </c>
      <c r="F419">
        <v>-5.5100000000000003E-2</v>
      </c>
      <c r="G419" s="2">
        <v>2.4799999999999999E-2</v>
      </c>
      <c r="H419">
        <v>1</v>
      </c>
      <c r="I419" s="2">
        <v>1.277E-2</v>
      </c>
      <c r="K419" t="str">
        <f t="shared" si="50"/>
        <v xml:space="preserve">    - 15.000</v>
      </c>
      <c r="L419" t="str">
        <f t="shared" si="51"/>
        <v xml:space="preserve">    - [1.219, 0.916, 0.050, 13.91, -0.0551]</v>
      </c>
      <c r="O419">
        <f>A419-'DLC Buildup Factors'!G434</f>
        <v>0</v>
      </c>
      <c r="P419">
        <f>B419-'DLC Buildup Factors'!H434</f>
        <v>0</v>
      </c>
      <c r="Q419">
        <f>C419-'DLC Buildup Factors'!I434</f>
        <v>0</v>
      </c>
      <c r="R419">
        <f>D419-'DLC Buildup Factors'!J434</f>
        <v>0</v>
      </c>
      <c r="S419">
        <f>E419-'DLC Buildup Factors'!K434</f>
        <v>0</v>
      </c>
      <c r="T419">
        <f>F419-'DLC Buildup Factors'!L434</f>
        <v>0</v>
      </c>
      <c r="U419">
        <f>G419-'DLC Buildup Factors'!M434</f>
        <v>0</v>
      </c>
      <c r="V419">
        <f>H419-'DLC Buildup Factors'!N434</f>
        <v>0</v>
      </c>
      <c r="W419">
        <f>I419-'DLC Buildup Factors'!O434</f>
        <v>0</v>
      </c>
    </row>
    <row r="420" spans="1:23">
      <c r="A420" s="10"/>
    </row>
    <row r="421" spans="1:23">
      <c r="A421" s="12" t="s">
        <v>1539</v>
      </c>
    </row>
    <row r="422" spans="1:23">
      <c r="A422" s="12" t="s">
        <v>48</v>
      </c>
    </row>
    <row r="423" spans="1:23">
      <c r="A423" t="s">
        <v>0</v>
      </c>
      <c r="B423" t="s">
        <v>10</v>
      </c>
      <c r="C423" t="s">
        <v>11</v>
      </c>
      <c r="D423" t="s">
        <v>12</v>
      </c>
      <c r="E423" t="s">
        <v>15</v>
      </c>
      <c r="F423" t="s">
        <v>13</v>
      </c>
      <c r="G423" t="s">
        <v>16</v>
      </c>
      <c r="H423" t="s">
        <v>17</v>
      </c>
      <c r="I423" t="s">
        <v>14</v>
      </c>
    </row>
    <row r="424" spans="1:23">
      <c r="A424" s="12">
        <v>1.4999999999999999E-2</v>
      </c>
      <c r="B424">
        <v>1.004</v>
      </c>
      <c r="C424">
        <v>1.5609999999999999</v>
      </c>
      <c r="D424">
        <v>-0.55400000000000005</v>
      </c>
      <c r="E424">
        <v>5.6</v>
      </c>
      <c r="F424">
        <v>0.35239999999999999</v>
      </c>
      <c r="G424" s="2">
        <v>4.0000000000000001E-3</v>
      </c>
      <c r="H424">
        <v>1</v>
      </c>
      <c r="I424" s="2">
        <v>1.2899999999999999E-3</v>
      </c>
      <c r="K424" t="str">
        <f t="shared" ref="K424" si="52">CONCATENATE("    - ",TEXT(A424,"0.000"))</f>
        <v xml:space="preserve">    - 0.015</v>
      </c>
      <c r="L424" t="str">
        <f t="shared" ref="L424" si="53">CONCATENATE("    - [",TEXT(B424,"0.000"),", ",TEXT(C424,"0.000"),", ",TEXT(D424,"0.000"),", ",TEXT(E424,"0.00"),", ",TEXT(F424,"0.0000"),"]")</f>
        <v xml:space="preserve">    - [1.004, 1.561, -0.554, 5.60, 0.3524]</v>
      </c>
      <c r="O424">
        <f>A424-'DLC Buildup Factors'!G441</f>
        <v>0</v>
      </c>
      <c r="P424">
        <f>B424-'DLC Buildup Factors'!H441</f>
        <v>0</v>
      </c>
      <c r="Q424">
        <f>C424-'DLC Buildup Factors'!I441</f>
        <v>0</v>
      </c>
      <c r="R424">
        <f>D424-'DLC Buildup Factors'!J441</f>
        <v>0</v>
      </c>
      <c r="S424">
        <f>E424-'DLC Buildup Factors'!K441</f>
        <v>0</v>
      </c>
      <c r="T424">
        <f>F424-'DLC Buildup Factors'!L441</f>
        <v>0</v>
      </c>
      <c r="U424">
        <f>G424-'DLC Buildup Factors'!M441</f>
        <v>0</v>
      </c>
      <c r="V424">
        <f>H424-'DLC Buildup Factors'!N441</f>
        <v>0</v>
      </c>
      <c r="W424">
        <f>I424-'DLC Buildup Factors'!O441</f>
        <v>0</v>
      </c>
    </row>
    <row r="425" spans="1:23">
      <c r="A425" s="12">
        <v>0.02</v>
      </c>
      <c r="B425">
        <v>1.012</v>
      </c>
      <c r="C425">
        <v>0.13</v>
      </c>
      <c r="D425">
        <v>0.62</v>
      </c>
      <c r="E425">
        <v>11.39</v>
      </c>
      <c r="F425">
        <v>-0.61619999999999997</v>
      </c>
      <c r="G425" s="2">
        <v>4.3E-3</v>
      </c>
      <c r="H425">
        <v>2</v>
      </c>
      <c r="I425" s="2">
        <v>2.1900000000000001E-3</v>
      </c>
      <c r="K425" t="str">
        <f t="shared" ref="K425:K448" si="54">CONCATENATE("    - ",TEXT(A425,"0.000"))</f>
        <v xml:space="preserve">    - 0.020</v>
      </c>
      <c r="L425" t="str">
        <f t="shared" ref="L425:L448" si="55">CONCATENATE("    - [",TEXT(B425,"0.000"),", ",TEXT(C425,"0.000"),", ",TEXT(D425,"0.000"),", ",TEXT(E425,"0.00"),", ",TEXT(F425,"0.0000"),"]")</f>
        <v xml:space="preserve">    - [1.012, 0.130, 0.620, 11.39, -0.6162]</v>
      </c>
      <c r="O425">
        <f>A425-'DLC Buildup Factors'!G442</f>
        <v>0</v>
      </c>
      <c r="P425">
        <f>B425-'DLC Buildup Factors'!H442</f>
        <v>0</v>
      </c>
      <c r="Q425">
        <f>C425-'DLC Buildup Factors'!I442</f>
        <v>0</v>
      </c>
      <c r="R425">
        <f>D425-'DLC Buildup Factors'!J442</f>
        <v>0</v>
      </c>
      <c r="S425">
        <f>E425-'DLC Buildup Factors'!K442</f>
        <v>0</v>
      </c>
      <c r="T425">
        <f>F425-'DLC Buildup Factors'!L442</f>
        <v>0</v>
      </c>
      <c r="U425">
        <f>G425-'DLC Buildup Factors'!M442</f>
        <v>0</v>
      </c>
      <c r="V425">
        <f>H425-'DLC Buildup Factors'!N442</f>
        <v>0</v>
      </c>
      <c r="W425">
        <f>I425-'DLC Buildup Factors'!O442</f>
        <v>0</v>
      </c>
    </row>
    <row r="426" spans="1:23">
      <c r="A426" s="12">
        <v>0.03</v>
      </c>
      <c r="B426">
        <v>1.028</v>
      </c>
      <c r="C426">
        <v>0.374</v>
      </c>
      <c r="D426">
        <v>0.19</v>
      </c>
      <c r="E426">
        <v>29.34</v>
      </c>
      <c r="F426">
        <v>-0.317</v>
      </c>
      <c r="G426" s="2">
        <v>6.4999999999999997E-3</v>
      </c>
      <c r="H426">
        <v>3</v>
      </c>
      <c r="I426" s="2">
        <v>2.81E-3</v>
      </c>
      <c r="K426" t="str">
        <f t="shared" si="54"/>
        <v xml:space="preserve">    - 0.030</v>
      </c>
      <c r="L426" t="str">
        <f t="shared" si="55"/>
        <v xml:space="preserve">    - [1.028, 0.374, 0.190, 29.34, -0.3170]</v>
      </c>
      <c r="O426">
        <f>A426-'DLC Buildup Factors'!G443</f>
        <v>0</v>
      </c>
      <c r="P426">
        <f>B426-'DLC Buildup Factors'!H443</f>
        <v>0</v>
      </c>
      <c r="Q426">
        <f>C426-'DLC Buildup Factors'!I443</f>
        <v>0</v>
      </c>
      <c r="R426">
        <f>D426-'DLC Buildup Factors'!J443</f>
        <v>0</v>
      </c>
      <c r="S426">
        <f>E426-'DLC Buildup Factors'!K443</f>
        <v>0</v>
      </c>
      <c r="T426">
        <f>F426-'DLC Buildup Factors'!L443</f>
        <v>0</v>
      </c>
      <c r="U426">
        <f>G426-'DLC Buildup Factors'!M443</f>
        <v>0</v>
      </c>
      <c r="V426">
        <f>H426-'DLC Buildup Factors'!N443</f>
        <v>0</v>
      </c>
      <c r="W426">
        <f>I426-'DLC Buildup Factors'!O443</f>
        <v>0</v>
      </c>
    </row>
    <row r="427" spans="1:23">
      <c r="A427" s="12">
        <v>0.04</v>
      </c>
      <c r="B427">
        <v>1.0580000000000001</v>
      </c>
      <c r="C427">
        <v>0.33600000000000002</v>
      </c>
      <c r="D427">
        <v>0.248</v>
      </c>
      <c r="E427">
        <v>11.65</v>
      </c>
      <c r="F427">
        <v>-0.1188</v>
      </c>
      <c r="G427" s="2">
        <v>5.0000000000000001E-3</v>
      </c>
      <c r="H427">
        <v>7</v>
      </c>
      <c r="I427" s="2">
        <v>2.3800000000000002E-3</v>
      </c>
      <c r="K427" t="str">
        <f t="shared" si="54"/>
        <v xml:space="preserve">    - 0.040</v>
      </c>
      <c r="L427" t="str">
        <f t="shared" si="55"/>
        <v xml:space="preserve">    - [1.058, 0.336, 0.248, 11.65, -0.1188]</v>
      </c>
      <c r="O427">
        <f>A427-'DLC Buildup Factors'!G444</f>
        <v>0</v>
      </c>
      <c r="P427">
        <f>B427-'DLC Buildup Factors'!H444</f>
        <v>0</v>
      </c>
      <c r="Q427">
        <f>C427-'DLC Buildup Factors'!I444</f>
        <v>0</v>
      </c>
      <c r="R427">
        <f>D427-'DLC Buildup Factors'!J444</f>
        <v>0</v>
      </c>
      <c r="S427">
        <f>E427-'DLC Buildup Factors'!K444</f>
        <v>0</v>
      </c>
      <c r="T427">
        <f>F427-'DLC Buildup Factors'!L444</f>
        <v>0</v>
      </c>
      <c r="U427">
        <f>G427-'DLC Buildup Factors'!M444</f>
        <v>0</v>
      </c>
      <c r="V427">
        <f>H427-'DLC Buildup Factors'!N444</f>
        <v>0</v>
      </c>
      <c r="W427">
        <f>I427-'DLC Buildup Factors'!O444</f>
        <v>0</v>
      </c>
    </row>
    <row r="428" spans="1:23">
      <c r="A428" s="12">
        <v>0.05</v>
      </c>
      <c r="B428">
        <v>1.099</v>
      </c>
      <c r="C428">
        <v>0.36599999999999999</v>
      </c>
      <c r="D428">
        <v>0.23200000000000001</v>
      </c>
      <c r="E428">
        <v>14.01</v>
      </c>
      <c r="F428">
        <v>-0.13539999999999999</v>
      </c>
      <c r="G428" s="2">
        <v>6.4999999999999997E-3</v>
      </c>
      <c r="H428">
        <v>3</v>
      </c>
      <c r="I428" s="2">
        <v>3.4299999999999999E-3</v>
      </c>
      <c r="K428" t="str">
        <f t="shared" si="54"/>
        <v xml:space="preserve">    - 0.050</v>
      </c>
      <c r="L428" t="str">
        <f t="shared" si="55"/>
        <v xml:space="preserve">    - [1.099, 0.366, 0.232, 14.01, -0.1354]</v>
      </c>
      <c r="O428">
        <f>A428-'DLC Buildup Factors'!G445</f>
        <v>0</v>
      </c>
      <c r="P428">
        <f>B428-'DLC Buildup Factors'!H445</f>
        <v>0</v>
      </c>
      <c r="Q428">
        <f>C428-'DLC Buildup Factors'!I445</f>
        <v>0</v>
      </c>
      <c r="R428">
        <f>D428-'DLC Buildup Factors'!J445</f>
        <v>0</v>
      </c>
      <c r="S428">
        <f>E428-'DLC Buildup Factors'!K445</f>
        <v>0</v>
      </c>
      <c r="T428">
        <f>F428-'DLC Buildup Factors'!L445</f>
        <v>0</v>
      </c>
      <c r="U428">
        <f>G428-'DLC Buildup Factors'!M445</f>
        <v>0</v>
      </c>
      <c r="V428">
        <f>H428-'DLC Buildup Factors'!N445</f>
        <v>0</v>
      </c>
      <c r="W428">
        <f>I428-'DLC Buildup Factors'!O445</f>
        <v>0</v>
      </c>
    </row>
    <row r="429" spans="1:23">
      <c r="A429" s="12">
        <v>0.06</v>
      </c>
      <c r="B429">
        <v>1.1479999999999999</v>
      </c>
      <c r="C429">
        <v>0.40500000000000003</v>
      </c>
      <c r="D429">
        <v>0.20799999999999999</v>
      </c>
      <c r="E429">
        <v>14.17</v>
      </c>
      <c r="F429">
        <v>-0.1142</v>
      </c>
      <c r="G429" s="2">
        <v>1.5299999999999999E-2</v>
      </c>
      <c r="H429">
        <v>0.5</v>
      </c>
      <c r="I429" s="2">
        <v>5.77E-3</v>
      </c>
      <c r="K429" t="str">
        <f t="shared" si="54"/>
        <v xml:space="preserve">    - 0.060</v>
      </c>
      <c r="L429" t="str">
        <f t="shared" si="55"/>
        <v xml:space="preserve">    - [1.148, 0.405, 0.208, 14.17, -0.1142]</v>
      </c>
      <c r="O429">
        <f>A429-'DLC Buildup Factors'!G446</f>
        <v>0</v>
      </c>
      <c r="P429">
        <f>B429-'DLC Buildup Factors'!H446</f>
        <v>0</v>
      </c>
      <c r="Q429">
        <f>C429-'DLC Buildup Factors'!I446</f>
        <v>0</v>
      </c>
      <c r="R429">
        <f>D429-'DLC Buildup Factors'!J446</f>
        <v>0</v>
      </c>
      <c r="S429">
        <f>E429-'DLC Buildup Factors'!K446</f>
        <v>0</v>
      </c>
      <c r="T429">
        <f>F429-'DLC Buildup Factors'!L446</f>
        <v>0</v>
      </c>
      <c r="U429">
        <f>G429-'DLC Buildup Factors'!M446</f>
        <v>0</v>
      </c>
      <c r="V429">
        <f>H429-'DLC Buildup Factors'!N446</f>
        <v>0</v>
      </c>
      <c r="W429">
        <f>I429-'DLC Buildup Factors'!O446</f>
        <v>0</v>
      </c>
    </row>
    <row r="430" spans="1:23">
      <c r="A430" s="12">
        <v>0.08</v>
      </c>
      <c r="B430">
        <v>1.2669999999999999</v>
      </c>
      <c r="C430">
        <v>0.47</v>
      </c>
      <c r="D430">
        <v>0.18</v>
      </c>
      <c r="E430">
        <v>14.48</v>
      </c>
      <c r="F430">
        <v>-9.74E-2</v>
      </c>
      <c r="G430" s="2">
        <v>2.3199999999999998E-2</v>
      </c>
      <c r="H430">
        <v>0.5</v>
      </c>
      <c r="I430" s="2">
        <v>8.9200000000000008E-3</v>
      </c>
      <c r="K430" t="str">
        <f t="shared" si="54"/>
        <v xml:space="preserve">    - 0.080</v>
      </c>
      <c r="L430" t="str">
        <f t="shared" si="55"/>
        <v xml:space="preserve">    - [1.267, 0.470, 0.180, 14.48, -0.0974]</v>
      </c>
      <c r="O430">
        <f>A430-'DLC Buildup Factors'!G447</f>
        <v>0</v>
      </c>
      <c r="P430">
        <f>B430-'DLC Buildup Factors'!H447</f>
        <v>0</v>
      </c>
      <c r="Q430">
        <f>C430-'DLC Buildup Factors'!I447</f>
        <v>0</v>
      </c>
      <c r="R430">
        <f>D430-'DLC Buildup Factors'!J447</f>
        <v>0</v>
      </c>
      <c r="S430">
        <f>E430-'DLC Buildup Factors'!K447</f>
        <v>0</v>
      </c>
      <c r="T430">
        <f>F430-'DLC Buildup Factors'!L447</f>
        <v>0</v>
      </c>
      <c r="U430">
        <f>G430-'DLC Buildup Factors'!M447</f>
        <v>0</v>
      </c>
      <c r="V430">
        <f>H430-'DLC Buildup Factors'!N447</f>
        <v>0</v>
      </c>
      <c r="W430">
        <f>I430-'DLC Buildup Factors'!O447</f>
        <v>0</v>
      </c>
    </row>
    <row r="431" spans="1:23">
      <c r="A431" s="12">
        <v>0.1</v>
      </c>
      <c r="B431">
        <v>1.389</v>
      </c>
      <c r="C431">
        <v>0.55700000000000005</v>
      </c>
      <c r="D431">
        <v>0.14399999999999999</v>
      </c>
      <c r="E431">
        <v>14.11</v>
      </c>
      <c r="F431">
        <v>-7.9100000000000004E-2</v>
      </c>
      <c r="G431" s="2">
        <v>2.58E-2</v>
      </c>
      <c r="H431">
        <v>0.5</v>
      </c>
      <c r="I431" s="2">
        <v>1.04E-2</v>
      </c>
      <c r="K431" t="str">
        <f t="shared" si="54"/>
        <v xml:space="preserve">    - 0.100</v>
      </c>
      <c r="L431" t="str">
        <f t="shared" si="55"/>
        <v xml:space="preserve">    - [1.389, 0.557, 0.144, 14.11, -0.0791]</v>
      </c>
      <c r="O431">
        <f>A431-'DLC Buildup Factors'!G448</f>
        <v>0</v>
      </c>
      <c r="P431">
        <f>B431-'DLC Buildup Factors'!H448</f>
        <v>0</v>
      </c>
      <c r="Q431">
        <f>C431-'DLC Buildup Factors'!I448</f>
        <v>0</v>
      </c>
      <c r="R431">
        <f>D431-'DLC Buildup Factors'!J448</f>
        <v>0</v>
      </c>
      <c r="S431">
        <f>E431-'DLC Buildup Factors'!K448</f>
        <v>0</v>
      </c>
      <c r="T431">
        <f>F431-'DLC Buildup Factors'!L448</f>
        <v>0</v>
      </c>
      <c r="U431">
        <f>G431-'DLC Buildup Factors'!M448</f>
        <v>0</v>
      </c>
      <c r="V431">
        <f>H431-'DLC Buildup Factors'!N448</f>
        <v>0</v>
      </c>
      <c r="W431">
        <f>I431-'DLC Buildup Factors'!O448</f>
        <v>0</v>
      </c>
    </row>
    <row r="432" spans="1:23">
      <c r="A432" s="12">
        <v>0.15</v>
      </c>
      <c r="B432">
        <v>1.66</v>
      </c>
      <c r="C432">
        <v>0.74299999999999999</v>
      </c>
      <c r="D432">
        <v>7.9000000000000001E-2</v>
      </c>
      <c r="E432">
        <v>14.12</v>
      </c>
      <c r="F432">
        <v>-4.7600000000000003E-2</v>
      </c>
      <c r="G432" s="2">
        <v>2.93E-2</v>
      </c>
      <c r="H432">
        <v>0.5</v>
      </c>
      <c r="I432" s="2">
        <v>1.1429999999999999E-2</v>
      </c>
      <c r="K432" t="str">
        <f t="shared" si="54"/>
        <v xml:space="preserve">    - 0.150</v>
      </c>
      <c r="L432" t="str">
        <f t="shared" si="55"/>
        <v xml:space="preserve">    - [1.660, 0.743, 0.079, 14.12, -0.0476]</v>
      </c>
      <c r="O432">
        <f>A432-'DLC Buildup Factors'!G449</f>
        <v>0</v>
      </c>
      <c r="P432">
        <f>B432-'DLC Buildup Factors'!H449</f>
        <v>0</v>
      </c>
      <c r="Q432">
        <f>C432-'DLC Buildup Factors'!I449</f>
        <v>0</v>
      </c>
      <c r="R432">
        <f>D432-'DLC Buildup Factors'!J449</f>
        <v>0</v>
      </c>
      <c r="S432">
        <f>E432-'DLC Buildup Factors'!K449</f>
        <v>0</v>
      </c>
      <c r="T432">
        <f>F432-'DLC Buildup Factors'!L449</f>
        <v>0</v>
      </c>
      <c r="U432">
        <f>G432-'DLC Buildup Factors'!M449</f>
        <v>0</v>
      </c>
      <c r="V432">
        <f>H432-'DLC Buildup Factors'!N449</f>
        <v>0</v>
      </c>
      <c r="W432">
        <f>I432-'DLC Buildup Factors'!O449</f>
        <v>0</v>
      </c>
    </row>
    <row r="433" spans="1:23">
      <c r="A433" s="12">
        <v>0.2</v>
      </c>
      <c r="B433">
        <v>1.839</v>
      </c>
      <c r="C433">
        <v>0.91100000000000003</v>
      </c>
      <c r="D433">
        <v>3.4000000000000002E-2</v>
      </c>
      <c r="E433">
        <v>13.23</v>
      </c>
      <c r="F433">
        <v>-3.3399999999999999E-2</v>
      </c>
      <c r="G433" s="2">
        <v>2.5999999999999999E-2</v>
      </c>
      <c r="H433">
        <v>0.5</v>
      </c>
      <c r="I433" s="2">
        <v>1.1690000000000001E-2</v>
      </c>
      <c r="J433" s="2"/>
      <c r="K433" t="str">
        <f t="shared" si="54"/>
        <v xml:space="preserve">    - 0.200</v>
      </c>
      <c r="L433" t="str">
        <f t="shared" si="55"/>
        <v xml:space="preserve">    - [1.839, 0.911, 0.034, 13.23, -0.0334]</v>
      </c>
      <c r="M433" s="2"/>
      <c r="N433" s="2"/>
      <c r="O433">
        <f>A433-'DLC Buildup Factors'!G450</f>
        <v>0</v>
      </c>
      <c r="P433">
        <f>B433-'DLC Buildup Factors'!H450</f>
        <v>0</v>
      </c>
      <c r="Q433">
        <f>C433-'DLC Buildup Factors'!I450</f>
        <v>0</v>
      </c>
      <c r="R433">
        <f>D433-'DLC Buildup Factors'!J450</f>
        <v>0</v>
      </c>
      <c r="S433">
        <f>E433-'DLC Buildup Factors'!K450</f>
        <v>0</v>
      </c>
      <c r="T433">
        <f>F433-'DLC Buildup Factors'!L450</f>
        <v>0</v>
      </c>
      <c r="U433">
        <f>G433-'DLC Buildup Factors'!M450</f>
        <v>0</v>
      </c>
      <c r="V433">
        <f>H433-'DLC Buildup Factors'!N450</f>
        <v>0</v>
      </c>
      <c r="W433">
        <f>I433-'DLC Buildup Factors'!O450</f>
        <v>0</v>
      </c>
    </row>
    <row r="434" spans="1:23">
      <c r="A434" s="12">
        <v>0.3</v>
      </c>
      <c r="B434">
        <v>1.9730000000000001</v>
      </c>
      <c r="C434">
        <v>1.095</v>
      </c>
      <c r="D434">
        <v>-8.9999999999999993E-3</v>
      </c>
      <c r="E434">
        <v>11.86</v>
      </c>
      <c r="F434">
        <v>-1.83E-2</v>
      </c>
      <c r="G434" s="2">
        <v>2.3400000000000001E-2</v>
      </c>
      <c r="H434">
        <v>0.5</v>
      </c>
      <c r="I434" s="2">
        <v>9.5499999999999995E-3</v>
      </c>
      <c r="K434" t="str">
        <f t="shared" si="54"/>
        <v xml:space="preserve">    - 0.300</v>
      </c>
      <c r="L434" t="str">
        <f t="shared" si="55"/>
        <v xml:space="preserve">    - [1.973, 1.095, -0.009, 11.86, -0.0183]</v>
      </c>
      <c r="O434">
        <f>A434-'DLC Buildup Factors'!G451</f>
        <v>0</v>
      </c>
      <c r="P434">
        <f>B434-'DLC Buildup Factors'!H451</f>
        <v>0</v>
      </c>
      <c r="Q434">
        <f>C434-'DLC Buildup Factors'!I451</f>
        <v>0</v>
      </c>
      <c r="R434">
        <f>D434-'DLC Buildup Factors'!J451</f>
        <v>0</v>
      </c>
      <c r="S434">
        <f>E434-'DLC Buildup Factors'!K451</f>
        <v>0</v>
      </c>
      <c r="T434">
        <f>F434-'DLC Buildup Factors'!L451</f>
        <v>0</v>
      </c>
      <c r="U434">
        <f>G434-'DLC Buildup Factors'!M451</f>
        <v>0</v>
      </c>
      <c r="V434">
        <f>H434-'DLC Buildup Factors'!N451</f>
        <v>0</v>
      </c>
      <c r="W434">
        <f>I434-'DLC Buildup Factors'!O451</f>
        <v>0</v>
      </c>
    </row>
    <row r="435" spans="1:23">
      <c r="A435" s="12">
        <v>0.4</v>
      </c>
      <c r="B435">
        <v>1.992</v>
      </c>
      <c r="C435">
        <v>1.1870000000000001</v>
      </c>
      <c r="D435">
        <v>-2.7E-2</v>
      </c>
      <c r="E435">
        <v>10.72</v>
      </c>
      <c r="F435">
        <v>-1.4E-2</v>
      </c>
      <c r="G435" s="2">
        <v>1.84E-2</v>
      </c>
      <c r="H435">
        <v>0.5</v>
      </c>
      <c r="I435" s="2">
        <v>7.77E-3</v>
      </c>
      <c r="K435" t="str">
        <f t="shared" si="54"/>
        <v xml:space="preserve">    - 0.400</v>
      </c>
      <c r="L435" t="str">
        <f t="shared" si="55"/>
        <v xml:space="preserve">    - [1.992, 1.187, -0.027, 10.72, -0.0140]</v>
      </c>
      <c r="O435">
        <f>A435-'DLC Buildup Factors'!G452</f>
        <v>0</v>
      </c>
      <c r="P435">
        <f>B435-'DLC Buildup Factors'!H452</f>
        <v>0</v>
      </c>
      <c r="Q435">
        <f>C435-'DLC Buildup Factors'!I452</f>
        <v>0</v>
      </c>
      <c r="R435">
        <f>D435-'DLC Buildup Factors'!J452</f>
        <v>0</v>
      </c>
      <c r="S435">
        <f>E435-'DLC Buildup Factors'!K452</f>
        <v>0</v>
      </c>
      <c r="T435">
        <f>F435-'DLC Buildup Factors'!L452</f>
        <v>0</v>
      </c>
      <c r="U435">
        <f>G435-'DLC Buildup Factors'!M452</f>
        <v>0</v>
      </c>
      <c r="V435">
        <f>H435-'DLC Buildup Factors'!N452</f>
        <v>0</v>
      </c>
      <c r="W435">
        <f>I435-'DLC Buildup Factors'!O452</f>
        <v>0</v>
      </c>
    </row>
    <row r="436" spans="1:23">
      <c r="A436" s="12">
        <v>0.5</v>
      </c>
      <c r="B436">
        <v>1.9670000000000001</v>
      </c>
      <c r="C436">
        <v>1.24</v>
      </c>
      <c r="D436">
        <v>-3.9E-2</v>
      </c>
      <c r="E436">
        <v>8.34</v>
      </c>
      <c r="F436">
        <v>-7.4000000000000003E-3</v>
      </c>
      <c r="G436" s="2">
        <v>1.7399999999999999E-2</v>
      </c>
      <c r="H436">
        <v>0.5</v>
      </c>
      <c r="I436" s="16">
        <v>6.6E-3</v>
      </c>
      <c r="J436" s="15" t="s">
        <v>1549</v>
      </c>
      <c r="K436" t="str">
        <f t="shared" si="54"/>
        <v xml:space="preserve">    - 0.500</v>
      </c>
      <c r="L436" t="str">
        <f t="shared" si="55"/>
        <v xml:space="preserve">    - [1.967, 1.240, -0.039, 8.34, -0.0074]</v>
      </c>
      <c r="M436" s="25"/>
      <c r="N436" s="25"/>
      <c r="O436">
        <f>A436-'DLC Buildup Factors'!G453</f>
        <v>0</v>
      </c>
      <c r="P436">
        <f>B436-'DLC Buildup Factors'!H453</f>
        <v>1.0000000000000009E-2</v>
      </c>
      <c r="Q436">
        <f>C436-'DLC Buildup Factors'!I453</f>
        <v>-2.0999999999999908E-2</v>
      </c>
      <c r="R436">
        <f>D436-'DLC Buildup Factors'!J453</f>
        <v>6.9999999999999993E-3</v>
      </c>
      <c r="S436">
        <f>E436-'DLC Buildup Factors'!K453</f>
        <v>-16.43</v>
      </c>
      <c r="T436">
        <f>F436-'DLC Buildup Factors'!L453</f>
        <v>-1.5800000000000002E-2</v>
      </c>
      <c r="U436">
        <f>G436-'DLC Buildup Factors'!M453</f>
        <v>-4.9000000000000016E-3</v>
      </c>
      <c r="V436">
        <f>H436-'DLC Buildup Factors'!N453</f>
        <v>0</v>
      </c>
      <c r="W436">
        <f>I436-'DLC Buildup Factors'!O453</f>
        <v>-1.7700000000000007E-3</v>
      </c>
    </row>
    <row r="437" spans="1:23">
      <c r="A437" s="12">
        <v>0.6</v>
      </c>
      <c r="B437">
        <v>1.9470000000000001</v>
      </c>
      <c r="C437">
        <v>1.2470000000000001</v>
      </c>
      <c r="D437">
        <v>-0.04</v>
      </c>
      <c r="E437">
        <v>8.1999999999999993</v>
      </c>
      <c r="F437">
        <v>-9.5999999999999992E-3</v>
      </c>
      <c r="G437" s="2">
        <v>1.09E-2</v>
      </c>
      <c r="H437">
        <v>0.5</v>
      </c>
      <c r="I437" s="16">
        <v>5.1200000000000004E-3</v>
      </c>
      <c r="J437" s="15" t="s">
        <v>1549</v>
      </c>
      <c r="K437" t="str">
        <f t="shared" si="54"/>
        <v xml:space="preserve">    - 0.600</v>
      </c>
      <c r="L437" t="str">
        <f t="shared" si="55"/>
        <v xml:space="preserve">    - [1.947, 1.247, -0.040, 8.20, -0.0096]</v>
      </c>
      <c r="M437" s="25"/>
      <c r="N437" s="25"/>
      <c r="O437">
        <f>A437-'DLC Buildup Factors'!G454</f>
        <v>0</v>
      </c>
      <c r="P437">
        <f>B437-'DLC Buildup Factors'!H454</f>
        <v>1.5000000000000124E-2</v>
      </c>
      <c r="Q437">
        <f>C437-'DLC Buildup Factors'!I454</f>
        <v>-2.6999999999999913E-2</v>
      </c>
      <c r="R437">
        <f>D437-'DLC Buildup Factors'!J454</f>
        <v>9.0000000000000011E-3</v>
      </c>
      <c r="S437">
        <f>E437-'DLC Buildup Factors'!K454</f>
        <v>-14.620000000000001</v>
      </c>
      <c r="T437">
        <f>F437-'DLC Buildup Factors'!L454</f>
        <v>-1.9299999999999998E-2</v>
      </c>
      <c r="U437">
        <f>G437-'DLC Buildup Factors'!M454</f>
        <v>-6.9999999999999993E-3</v>
      </c>
      <c r="V437">
        <f>H437-'DLC Buildup Factors'!N454</f>
        <v>0</v>
      </c>
      <c r="W437">
        <f>I437-'DLC Buildup Factors'!O454</f>
        <v>-1.6199999999999999E-3</v>
      </c>
    </row>
    <row r="438" spans="1:23">
      <c r="A438" s="12">
        <v>0.8</v>
      </c>
      <c r="B438">
        <v>1.9059999999999999</v>
      </c>
      <c r="C438">
        <v>1.2330000000000001</v>
      </c>
      <c r="D438">
        <v>-3.7999999999999999E-2</v>
      </c>
      <c r="E438">
        <v>7.93</v>
      </c>
      <c r="F438">
        <v>-1.0999999999999999E-2</v>
      </c>
      <c r="G438" s="2">
        <v>1.15E-2</v>
      </c>
      <c r="H438">
        <v>2</v>
      </c>
      <c r="I438" s="16">
        <v>5.1599999999999997E-3</v>
      </c>
      <c r="J438" s="15" t="s">
        <v>1549</v>
      </c>
      <c r="K438" t="str">
        <f t="shared" si="54"/>
        <v xml:space="preserve">    - 0.800</v>
      </c>
      <c r="L438" t="str">
        <f t="shared" si="55"/>
        <v xml:space="preserve">    - [1.906, 1.233, -0.038, 7.93, -0.0110]</v>
      </c>
      <c r="M438" s="25"/>
      <c r="N438" s="25"/>
      <c r="O438">
        <f>A438-'DLC Buildup Factors'!G455</f>
        <v>0</v>
      </c>
      <c r="P438">
        <f>B438-'DLC Buildup Factors'!H455</f>
        <v>2.200000000000002E-2</v>
      </c>
      <c r="Q438">
        <f>C438-'DLC Buildup Factors'!I455</f>
        <v>-3.6999999999999922E-2</v>
      </c>
      <c r="R438">
        <f>D438-'DLC Buildup Factors'!J455</f>
        <v>1.2000000000000004E-2</v>
      </c>
      <c r="S438">
        <f>E438-'DLC Buildup Factors'!K455</f>
        <v>-12.370000000000001</v>
      </c>
      <c r="T438">
        <f>F438-'DLC Buildup Factors'!L455</f>
        <v>-2.3E-2</v>
      </c>
      <c r="U438">
        <f>G438-'DLC Buildup Factors'!M455</f>
        <v>-1.1999999999999997E-3</v>
      </c>
      <c r="V438">
        <f>H438-'DLC Buildup Factors'!N455</f>
        <v>1.5</v>
      </c>
      <c r="W438">
        <f>I438-'DLC Buildup Factors'!O455</f>
        <v>2.9999999999999645E-5</v>
      </c>
    </row>
    <row r="439" spans="1:23">
      <c r="A439" s="12">
        <v>1</v>
      </c>
      <c r="B439">
        <v>1.841</v>
      </c>
      <c r="C439">
        <v>1.25</v>
      </c>
      <c r="D439">
        <v>-4.8000000000000001E-2</v>
      </c>
      <c r="E439">
        <v>19.489999999999998</v>
      </c>
      <c r="F439">
        <v>1.4E-2</v>
      </c>
      <c r="G439" s="2">
        <v>1.1599999999999999E-2</v>
      </c>
      <c r="H439">
        <v>0.5</v>
      </c>
      <c r="I439" s="2">
        <v>4.0000000000000001E-3</v>
      </c>
      <c r="K439" t="str">
        <f t="shared" si="54"/>
        <v xml:space="preserve">    - 1.000</v>
      </c>
      <c r="L439" t="str">
        <f t="shared" si="55"/>
        <v xml:space="preserve">    - [1.841, 1.250, -0.048, 19.49, 0.0140]</v>
      </c>
      <c r="O439">
        <f>A439-'DLC Buildup Factors'!G456</f>
        <v>0</v>
      </c>
      <c r="P439">
        <f>B439-'DLC Buildup Factors'!H456</f>
        <v>0</v>
      </c>
      <c r="Q439">
        <f>C439-'DLC Buildup Factors'!I456</f>
        <v>0</v>
      </c>
      <c r="R439">
        <f>D439-'DLC Buildup Factors'!J456</f>
        <v>0</v>
      </c>
      <c r="S439">
        <f>E439-'DLC Buildup Factors'!K456</f>
        <v>0</v>
      </c>
      <c r="T439">
        <f>F439-'DLC Buildup Factors'!L456</f>
        <v>0</v>
      </c>
      <c r="U439">
        <f>G439-'DLC Buildup Factors'!M456</f>
        <v>0</v>
      </c>
      <c r="V439">
        <f>H439-'DLC Buildup Factors'!N456</f>
        <v>0</v>
      </c>
      <c r="W439">
        <f>I439-'DLC Buildup Factors'!O456</f>
        <v>0</v>
      </c>
    </row>
    <row r="440" spans="1:23">
      <c r="A440" s="12">
        <v>1.5</v>
      </c>
      <c r="B440">
        <v>1.75</v>
      </c>
      <c r="C440">
        <v>1.1970000000000001</v>
      </c>
      <c r="D440">
        <v>-0.04</v>
      </c>
      <c r="E440">
        <v>15.9</v>
      </c>
      <c r="F440">
        <v>1.0999999999999999E-2</v>
      </c>
      <c r="G440" s="2">
        <v>1.0500000000000001E-2</v>
      </c>
      <c r="H440">
        <v>0.5</v>
      </c>
      <c r="I440" s="2">
        <v>3.1800000000000001E-3</v>
      </c>
      <c r="K440" t="str">
        <f t="shared" si="54"/>
        <v xml:space="preserve">    - 1.500</v>
      </c>
      <c r="L440" t="str">
        <f t="shared" si="55"/>
        <v xml:space="preserve">    - [1.750, 1.197, -0.040, 15.90, 0.0110]</v>
      </c>
      <c r="O440">
        <f>A440-'DLC Buildup Factors'!G457</f>
        <v>0</v>
      </c>
      <c r="P440">
        <f>B440-'DLC Buildup Factors'!H457</f>
        <v>0</v>
      </c>
      <c r="Q440">
        <f>C440-'DLC Buildup Factors'!I457</f>
        <v>0</v>
      </c>
      <c r="R440">
        <f>D440-'DLC Buildup Factors'!J457</f>
        <v>0</v>
      </c>
      <c r="S440">
        <f>E440-'DLC Buildup Factors'!K457</f>
        <v>0</v>
      </c>
      <c r="T440">
        <f>F440-'DLC Buildup Factors'!L457</f>
        <v>0</v>
      </c>
      <c r="U440">
        <f>G440-'DLC Buildup Factors'!M457</f>
        <v>0</v>
      </c>
      <c r="V440">
        <f>H440-'DLC Buildup Factors'!N457</f>
        <v>0</v>
      </c>
      <c r="W440">
        <f>I440-'DLC Buildup Factors'!O457</f>
        <v>0</v>
      </c>
    </row>
    <row r="441" spans="1:23">
      <c r="A441" s="12">
        <v>2</v>
      </c>
      <c r="B441">
        <v>1.712</v>
      </c>
      <c r="C441">
        <v>1.123</v>
      </c>
      <c r="D441">
        <v>-2.1000000000000001E-2</v>
      </c>
      <c r="E441">
        <v>7.97</v>
      </c>
      <c r="F441">
        <v>-5.7000000000000002E-3</v>
      </c>
      <c r="G441" s="2">
        <v>4.1999999999999997E-3</v>
      </c>
      <c r="H441">
        <v>0.5</v>
      </c>
      <c r="I441" s="2">
        <v>2.5000000000000001E-3</v>
      </c>
      <c r="J441" s="15" t="s">
        <v>1549</v>
      </c>
      <c r="K441" t="str">
        <f t="shared" si="54"/>
        <v xml:space="preserve">    - 2.000</v>
      </c>
      <c r="L441" t="str">
        <f t="shared" si="55"/>
        <v xml:space="preserve">    - [1.712, 1.123, -0.021, 7.97, -0.0057]</v>
      </c>
      <c r="M441" s="25"/>
      <c r="N441" s="25"/>
      <c r="O441">
        <f>A441-'DLC Buildup Factors'!G458</f>
        <v>0</v>
      </c>
      <c r="P441">
        <f>B441-'DLC Buildup Factors'!H458</f>
        <v>8.999999999999897E-3</v>
      </c>
      <c r="Q441">
        <f>C441-'DLC Buildup Factors'!I458</f>
        <v>-2.0000000000000018E-2</v>
      </c>
      <c r="R441">
        <f>D441-'DLC Buildup Factors'!J458</f>
        <v>6.9999999999999993E-3</v>
      </c>
      <c r="S441">
        <f>E441-'DLC Buildup Factors'!K458</f>
        <v>-12.450000000000003</v>
      </c>
      <c r="T441">
        <f>F441-'DLC Buildup Factors'!L458</f>
        <v>-1.2699999999999999E-2</v>
      </c>
      <c r="U441">
        <f>G441-'DLC Buildup Factors'!M458</f>
        <v>-4.6000000000000008E-3</v>
      </c>
      <c r="V441">
        <f>H441-'DLC Buildup Factors'!N458</f>
        <v>0</v>
      </c>
      <c r="W441">
        <f>I441-'DLC Buildup Factors'!O458</f>
        <v>-5.8999999999999981E-4</v>
      </c>
    </row>
    <row r="442" spans="1:23">
      <c r="A442" s="12">
        <v>3</v>
      </c>
      <c r="B442">
        <v>1.627</v>
      </c>
      <c r="C442">
        <v>1.0589999999999999</v>
      </c>
      <c r="D442">
        <v>-5.0000000000000001E-3</v>
      </c>
      <c r="E442">
        <v>11.99</v>
      </c>
      <c r="F442">
        <v>-1.32E-2</v>
      </c>
      <c r="G442" s="2">
        <v>8.5000000000000006E-3</v>
      </c>
      <c r="H442">
        <v>0.5</v>
      </c>
      <c r="I442" s="2">
        <v>5.0699999999999999E-3</v>
      </c>
      <c r="K442" t="str">
        <f t="shared" si="54"/>
        <v xml:space="preserve">    - 3.000</v>
      </c>
      <c r="L442" t="str">
        <f t="shared" si="55"/>
        <v xml:space="preserve">    - [1.627, 1.059, -0.005, 11.99, -0.0132]</v>
      </c>
      <c r="O442">
        <f>A442-'DLC Buildup Factors'!G459</f>
        <v>0</v>
      </c>
      <c r="P442">
        <f>B442-'DLC Buildup Factors'!H459</f>
        <v>0</v>
      </c>
      <c r="Q442">
        <f>C442-'DLC Buildup Factors'!I459</f>
        <v>0</v>
      </c>
      <c r="R442">
        <f>D442-'DLC Buildup Factors'!J459</f>
        <v>0</v>
      </c>
      <c r="S442">
        <f>E442-'DLC Buildup Factors'!K459</f>
        <v>0</v>
      </c>
      <c r="T442">
        <f>F442-'DLC Buildup Factors'!L459</f>
        <v>0</v>
      </c>
      <c r="U442">
        <f>G442-'DLC Buildup Factors'!M459</f>
        <v>0</v>
      </c>
      <c r="V442">
        <f>H442-'DLC Buildup Factors'!N459</f>
        <v>0</v>
      </c>
      <c r="W442">
        <f>I442-'DLC Buildup Factors'!O459</f>
        <v>0</v>
      </c>
    </row>
    <row r="443" spans="1:23">
      <c r="A443" s="12">
        <v>4</v>
      </c>
      <c r="B443">
        <v>1.5529999999999999</v>
      </c>
      <c r="C443">
        <v>1.026</v>
      </c>
      <c r="D443">
        <v>5.0000000000000001E-3</v>
      </c>
      <c r="E443">
        <v>12.93</v>
      </c>
      <c r="F443">
        <v>-1.9099999999999999E-2</v>
      </c>
      <c r="G443" s="2">
        <v>1.9300000000000001E-2</v>
      </c>
      <c r="H443">
        <v>0.5</v>
      </c>
      <c r="I443" s="2">
        <v>7.9100000000000004E-3</v>
      </c>
      <c r="K443" t="str">
        <f t="shared" si="54"/>
        <v xml:space="preserve">    - 4.000</v>
      </c>
      <c r="L443" t="str">
        <f t="shared" si="55"/>
        <v xml:space="preserve">    - [1.553, 1.026, 0.005, 12.93, -0.0191]</v>
      </c>
      <c r="O443">
        <f>A443-'DLC Buildup Factors'!G460</f>
        <v>0</v>
      </c>
      <c r="P443">
        <f>B443-'DLC Buildup Factors'!H460</f>
        <v>0</v>
      </c>
      <c r="Q443">
        <f>C443-'DLC Buildup Factors'!I460</f>
        <v>0</v>
      </c>
      <c r="R443">
        <f>D443-'DLC Buildup Factors'!J460</f>
        <v>0</v>
      </c>
      <c r="S443">
        <f>E443-'DLC Buildup Factors'!K460</f>
        <v>0</v>
      </c>
      <c r="T443">
        <f>F443-'DLC Buildup Factors'!L460</f>
        <v>0</v>
      </c>
      <c r="U443">
        <f>G443-'DLC Buildup Factors'!M460</f>
        <v>0</v>
      </c>
      <c r="V443">
        <f>H443-'DLC Buildup Factors'!N460</f>
        <v>0</v>
      </c>
      <c r="W443">
        <f>I443-'DLC Buildup Factors'!O460</f>
        <v>0</v>
      </c>
    </row>
    <row r="444" spans="1:23">
      <c r="A444" s="12">
        <v>5</v>
      </c>
      <c r="B444">
        <v>1.4830000000000001</v>
      </c>
      <c r="C444">
        <v>1.0089999999999999</v>
      </c>
      <c r="D444">
        <v>1.2E-2</v>
      </c>
      <c r="E444">
        <v>13.12</v>
      </c>
      <c r="F444">
        <v>-2.58E-2</v>
      </c>
      <c r="G444" s="2">
        <v>2.24E-2</v>
      </c>
      <c r="H444">
        <v>0.5</v>
      </c>
      <c r="I444" s="2">
        <v>9.3900000000000008E-3</v>
      </c>
      <c r="K444" t="str">
        <f t="shared" si="54"/>
        <v xml:space="preserve">    - 5.000</v>
      </c>
      <c r="L444" t="str">
        <f t="shared" si="55"/>
        <v xml:space="preserve">    - [1.483, 1.009, 0.012, 13.12, -0.0258]</v>
      </c>
      <c r="O444">
        <f>A444-'DLC Buildup Factors'!G461</f>
        <v>0</v>
      </c>
      <c r="P444">
        <f>B444-'DLC Buildup Factors'!H461</f>
        <v>0</v>
      </c>
      <c r="Q444">
        <f>C444-'DLC Buildup Factors'!I461</f>
        <v>0</v>
      </c>
      <c r="R444">
        <f>D444-'DLC Buildup Factors'!J461</f>
        <v>0</v>
      </c>
      <c r="S444">
        <f>E444-'DLC Buildup Factors'!K461</f>
        <v>0</v>
      </c>
      <c r="T444">
        <f>F444-'DLC Buildup Factors'!L461</f>
        <v>0</v>
      </c>
      <c r="U444">
        <f>G444-'DLC Buildup Factors'!M461</f>
        <v>0</v>
      </c>
      <c r="V444">
        <f>H444-'DLC Buildup Factors'!N461</f>
        <v>0</v>
      </c>
      <c r="W444">
        <f>I444-'DLC Buildup Factors'!O461</f>
        <v>0</v>
      </c>
    </row>
    <row r="445" spans="1:23">
      <c r="A445" s="12">
        <v>6</v>
      </c>
      <c r="B445">
        <v>1.4419999999999999</v>
      </c>
      <c r="C445">
        <v>0.98</v>
      </c>
      <c r="D445">
        <v>2.3E-2</v>
      </c>
      <c r="E445">
        <v>13.37</v>
      </c>
      <c r="F445">
        <v>-3.5499999999999997E-2</v>
      </c>
      <c r="G445" s="2">
        <v>2.1600000000000001E-2</v>
      </c>
      <c r="H445">
        <v>0.5</v>
      </c>
      <c r="I445" s="2">
        <v>1.12E-2</v>
      </c>
      <c r="K445" t="str">
        <f t="shared" si="54"/>
        <v xml:space="preserve">    - 6.000</v>
      </c>
      <c r="L445" t="str">
        <f t="shared" si="55"/>
        <v xml:space="preserve">    - [1.442, 0.980, 0.023, 13.37, -0.0355]</v>
      </c>
      <c r="O445">
        <f>A445-'DLC Buildup Factors'!G462</f>
        <v>0</v>
      </c>
      <c r="P445">
        <f>B445-'DLC Buildup Factors'!H462</f>
        <v>0</v>
      </c>
      <c r="Q445">
        <f>C445-'DLC Buildup Factors'!I462</f>
        <v>0</v>
      </c>
      <c r="R445">
        <f>D445-'DLC Buildup Factors'!J462</f>
        <v>0</v>
      </c>
      <c r="S445">
        <f>E445-'DLC Buildup Factors'!K462</f>
        <v>0</v>
      </c>
      <c r="T445">
        <f>F445-'DLC Buildup Factors'!L462</f>
        <v>0</v>
      </c>
      <c r="U445">
        <f>G445-'DLC Buildup Factors'!M462</f>
        <v>0</v>
      </c>
      <c r="V445">
        <f>H445-'DLC Buildup Factors'!N462</f>
        <v>0</v>
      </c>
      <c r="W445">
        <f>I445-'DLC Buildup Factors'!O462</f>
        <v>0</v>
      </c>
    </row>
    <row r="446" spans="1:23">
      <c r="A446" s="12">
        <v>8</v>
      </c>
      <c r="B446">
        <v>1.3540000000000001</v>
      </c>
      <c r="C446">
        <v>0.97399999999999998</v>
      </c>
      <c r="D446">
        <v>2.9000000000000001E-2</v>
      </c>
      <c r="E446">
        <v>13.65</v>
      </c>
      <c r="F446">
        <v>-4.24E-2</v>
      </c>
      <c r="G446" s="2">
        <v>3.3599999999999998E-2</v>
      </c>
      <c r="H446">
        <v>0.5</v>
      </c>
      <c r="I446" s="2">
        <v>1.37E-2</v>
      </c>
      <c r="K446" t="str">
        <f t="shared" si="54"/>
        <v xml:space="preserve">    - 8.000</v>
      </c>
      <c r="L446" t="str">
        <f t="shared" si="55"/>
        <v xml:space="preserve">    - [1.354, 0.974, 0.029, 13.65, -0.0424]</v>
      </c>
      <c r="O446">
        <f>A446-'DLC Buildup Factors'!G463</f>
        <v>0</v>
      </c>
      <c r="P446">
        <f>B446-'DLC Buildup Factors'!H463</f>
        <v>0</v>
      </c>
      <c r="Q446">
        <f>C446-'DLC Buildup Factors'!I463</f>
        <v>0</v>
      </c>
      <c r="R446">
        <f>D446-'DLC Buildup Factors'!J463</f>
        <v>0</v>
      </c>
      <c r="S446">
        <f>E446-'DLC Buildup Factors'!K463</f>
        <v>0</v>
      </c>
      <c r="T446">
        <f>F446-'DLC Buildup Factors'!L463</f>
        <v>0</v>
      </c>
      <c r="U446">
        <f>G446-'DLC Buildup Factors'!M463</f>
        <v>0</v>
      </c>
      <c r="V446">
        <f>H446-'DLC Buildup Factors'!N463</f>
        <v>0</v>
      </c>
      <c r="W446">
        <f>I446-'DLC Buildup Factors'!O463</f>
        <v>0</v>
      </c>
    </row>
    <row r="447" spans="1:23">
      <c r="A447" s="12">
        <v>10</v>
      </c>
      <c r="B447">
        <v>1.2969999999999999</v>
      </c>
      <c r="C447">
        <v>0.94899999999999995</v>
      </c>
      <c r="D447">
        <v>4.2000000000000003E-2</v>
      </c>
      <c r="E447">
        <v>13.97</v>
      </c>
      <c r="F447">
        <v>-5.6099999999999997E-2</v>
      </c>
      <c r="G447" s="2">
        <v>3.2300000000000002E-2</v>
      </c>
      <c r="H447">
        <v>0.5</v>
      </c>
      <c r="I447" s="2">
        <v>1.4999999999999999E-2</v>
      </c>
      <c r="K447" t="str">
        <f t="shared" si="54"/>
        <v xml:space="preserve">    - 10.000</v>
      </c>
      <c r="L447" t="str">
        <f t="shared" si="55"/>
        <v xml:space="preserve">    - [1.297, 0.949, 0.042, 13.97, -0.0561]</v>
      </c>
      <c r="O447">
        <f>A447-'DLC Buildup Factors'!G464</f>
        <v>0</v>
      </c>
      <c r="P447">
        <f>B447-'DLC Buildup Factors'!H464</f>
        <v>0</v>
      </c>
      <c r="Q447">
        <f>C447-'DLC Buildup Factors'!I464</f>
        <v>0</v>
      </c>
      <c r="R447">
        <f>D447-'DLC Buildup Factors'!J464</f>
        <v>0</v>
      </c>
      <c r="S447">
        <f>E447-'DLC Buildup Factors'!K464</f>
        <v>0</v>
      </c>
      <c r="T447">
        <f>F447-'DLC Buildup Factors'!L464</f>
        <v>0</v>
      </c>
      <c r="U447">
        <f>G447-'DLC Buildup Factors'!M464</f>
        <v>0</v>
      </c>
      <c r="V447">
        <f>H447-'DLC Buildup Factors'!N464</f>
        <v>0</v>
      </c>
      <c r="W447">
        <f>I447-'DLC Buildup Factors'!O464</f>
        <v>0</v>
      </c>
    </row>
    <row r="448" spans="1:23">
      <c r="A448" s="12">
        <v>15</v>
      </c>
      <c r="B448">
        <v>1.1990000000000001</v>
      </c>
      <c r="C448">
        <v>0.95699999999999996</v>
      </c>
      <c r="D448">
        <v>4.9000000000000002E-2</v>
      </c>
      <c r="E448">
        <v>14.37</v>
      </c>
      <c r="F448">
        <v>-5.9400000000000001E-2</v>
      </c>
      <c r="G448" s="2">
        <v>3.3799999999999997E-2</v>
      </c>
      <c r="H448">
        <v>0.5</v>
      </c>
      <c r="I448" s="2">
        <v>1.553E-2</v>
      </c>
      <c r="K448" t="str">
        <f t="shared" si="54"/>
        <v xml:space="preserve">    - 15.000</v>
      </c>
      <c r="L448" t="str">
        <f t="shared" si="55"/>
        <v xml:space="preserve">    - [1.199, 0.957, 0.049, 14.37, -0.0594]</v>
      </c>
      <c r="O448">
        <f>A448-'DLC Buildup Factors'!G465</f>
        <v>0</v>
      </c>
      <c r="P448">
        <f>B448-'DLC Buildup Factors'!H465</f>
        <v>0</v>
      </c>
      <c r="Q448">
        <f>C448-'DLC Buildup Factors'!I465</f>
        <v>0</v>
      </c>
      <c r="R448">
        <f>D448-'DLC Buildup Factors'!J465</f>
        <v>0</v>
      </c>
      <c r="S448">
        <f>E448-'DLC Buildup Factors'!K465</f>
        <v>0</v>
      </c>
      <c r="T448">
        <f>F448-'DLC Buildup Factors'!L465</f>
        <v>0</v>
      </c>
      <c r="U448">
        <f>G448-'DLC Buildup Factors'!M465</f>
        <v>0</v>
      </c>
      <c r="V448">
        <f>H448-'DLC Buildup Factors'!N465</f>
        <v>0</v>
      </c>
      <c r="W448">
        <f>I448-'DLC Buildup Factors'!O465</f>
        <v>0</v>
      </c>
    </row>
    <row r="449" spans="1:23">
      <c r="A449" s="12"/>
    </row>
    <row r="450" spans="1:23">
      <c r="A450" s="10" t="s">
        <v>1525</v>
      </c>
    </row>
    <row r="451" spans="1:23">
      <c r="A451" s="10" t="s">
        <v>50</v>
      </c>
    </row>
    <row r="452" spans="1:23">
      <c r="A452" t="s">
        <v>0</v>
      </c>
      <c r="B452" t="s">
        <v>10</v>
      </c>
      <c r="C452" t="s">
        <v>11</v>
      </c>
      <c r="D452" t="s">
        <v>12</v>
      </c>
      <c r="E452" t="s">
        <v>15</v>
      </c>
      <c r="F452" t="s">
        <v>13</v>
      </c>
      <c r="G452" t="s">
        <v>16</v>
      </c>
      <c r="H452" t="s">
        <v>17</v>
      </c>
      <c r="I452" t="s">
        <v>14</v>
      </c>
    </row>
    <row r="453" spans="1:23">
      <c r="A453" s="10">
        <v>1.4999999999999999E-2</v>
      </c>
      <c r="B453">
        <v>1.0009999999999999</v>
      </c>
      <c r="C453">
        <v>2.044</v>
      </c>
      <c r="D453">
        <v>-0.31</v>
      </c>
      <c r="E453">
        <v>11.15</v>
      </c>
      <c r="F453">
        <v>0.25190000000000001</v>
      </c>
      <c r="G453" s="2">
        <v>4.5999999999999999E-3</v>
      </c>
      <c r="H453">
        <v>3</v>
      </c>
      <c r="I453" s="2">
        <v>1.75E-3</v>
      </c>
      <c r="K453" t="str">
        <f t="shared" ref="K453" si="56">CONCATENATE("    - ",TEXT(A453,"0.000"))</f>
        <v xml:space="preserve">    - 0.015</v>
      </c>
      <c r="L453" t="str">
        <f t="shared" ref="L453" si="57">CONCATENATE("    - [",TEXT(B453,"0.000"),", ",TEXT(C453,"0.000"),", ",TEXT(D453,"0.000"),", ",TEXT(E453,"0.00"),", ",TEXT(F453,"0.0000"),"]")</f>
        <v xml:space="preserve">    - [1.001, 2.044, -0.310, 11.15, 0.2519]</v>
      </c>
      <c r="O453">
        <f>A453-'DLC Buildup Factors'!G472</f>
        <v>0</v>
      </c>
      <c r="P453">
        <f>B453-'DLC Buildup Factors'!H472</f>
        <v>0</v>
      </c>
      <c r="Q453">
        <f>C453-'DLC Buildup Factors'!I472</f>
        <v>0</v>
      </c>
      <c r="R453">
        <f>D453-'DLC Buildup Factors'!J472</f>
        <v>0</v>
      </c>
      <c r="S453">
        <f>E453-'DLC Buildup Factors'!K472</f>
        <v>0</v>
      </c>
      <c r="T453">
        <f>F453-'DLC Buildup Factors'!L472</f>
        <v>0</v>
      </c>
      <c r="U453">
        <f>G453-'DLC Buildup Factors'!M472</f>
        <v>0</v>
      </c>
      <c r="V453">
        <f>H453-'DLC Buildup Factors'!N472</f>
        <v>0</v>
      </c>
      <c r="W453">
        <f>I453-'DLC Buildup Factors'!O472</f>
        <v>0</v>
      </c>
    </row>
    <row r="454" spans="1:23">
      <c r="A454" s="10">
        <v>0.02</v>
      </c>
      <c r="B454">
        <v>1.0089999999999999</v>
      </c>
      <c r="C454">
        <v>0.10299999999999999</v>
      </c>
      <c r="D454">
        <v>0.76400000000000001</v>
      </c>
      <c r="E454">
        <v>10.78</v>
      </c>
      <c r="F454">
        <v>-1.0612999999999999</v>
      </c>
      <c r="G454" s="2">
        <v>4.7999999999999996E-3</v>
      </c>
      <c r="H454">
        <v>7</v>
      </c>
      <c r="I454" s="2">
        <v>2.4299999999999999E-3</v>
      </c>
      <c r="K454" t="str">
        <f t="shared" ref="K454:K477" si="58">CONCATENATE("    - ",TEXT(A454,"0.000"))</f>
        <v xml:space="preserve">    - 0.020</v>
      </c>
      <c r="L454" t="str">
        <f t="shared" ref="L454:L477" si="59">CONCATENATE("    - [",TEXT(B454,"0.000"),", ",TEXT(C454,"0.000"),", ",TEXT(D454,"0.000"),", ",TEXT(E454,"0.00"),", ",TEXT(F454,"0.0000"),"]")</f>
        <v xml:space="preserve">    - [1.009, 0.103, 0.764, 10.78, -1.0613]</v>
      </c>
      <c r="O454">
        <f>A454-'DLC Buildup Factors'!G473</f>
        <v>0</v>
      </c>
      <c r="P454">
        <f>B454-'DLC Buildup Factors'!H473</f>
        <v>0</v>
      </c>
      <c r="Q454">
        <f>C454-'DLC Buildup Factors'!I473</f>
        <v>0</v>
      </c>
      <c r="R454">
        <f>D454-'DLC Buildup Factors'!J473</f>
        <v>0</v>
      </c>
      <c r="S454">
        <f>E454-'DLC Buildup Factors'!K473</f>
        <v>0</v>
      </c>
      <c r="T454">
        <f>F454-'DLC Buildup Factors'!L473</f>
        <v>0</v>
      </c>
      <c r="U454">
        <f>G454-'DLC Buildup Factors'!M473</f>
        <v>0</v>
      </c>
      <c r="V454">
        <f>H454-'DLC Buildup Factors'!N473</f>
        <v>0</v>
      </c>
      <c r="W454">
        <f>I454-'DLC Buildup Factors'!O473</f>
        <v>0</v>
      </c>
    </row>
    <row r="455" spans="1:23">
      <c r="A455" s="10">
        <v>0.03</v>
      </c>
      <c r="B455">
        <v>1.02</v>
      </c>
      <c r="C455">
        <v>0.35899999999999999</v>
      </c>
      <c r="D455">
        <v>0.20499999999999999</v>
      </c>
      <c r="E455">
        <v>12</v>
      </c>
      <c r="F455">
        <v>-5.0999999999999997E-2</v>
      </c>
      <c r="G455" s="2">
        <v>3.7000000000000002E-3</v>
      </c>
      <c r="H455">
        <v>8</v>
      </c>
      <c r="I455" s="2">
        <v>2.47E-3</v>
      </c>
      <c r="K455" t="str">
        <f t="shared" si="58"/>
        <v xml:space="preserve">    - 0.030</v>
      </c>
      <c r="L455" t="str">
        <f t="shared" si="59"/>
        <v xml:space="preserve">    - [1.020, 0.359, 0.205, 12.00, -0.0510]</v>
      </c>
      <c r="O455">
        <f>A455-'DLC Buildup Factors'!G474</f>
        <v>0</v>
      </c>
      <c r="P455">
        <f>B455-'DLC Buildup Factors'!H474</f>
        <v>0</v>
      </c>
      <c r="Q455">
        <f>C455-'DLC Buildup Factors'!I474</f>
        <v>0</v>
      </c>
      <c r="R455">
        <f>D455-'DLC Buildup Factors'!J474</f>
        <v>0</v>
      </c>
      <c r="S455">
        <f>E455-'DLC Buildup Factors'!K474</f>
        <v>0</v>
      </c>
      <c r="T455">
        <f>F455-'DLC Buildup Factors'!L474</f>
        <v>0</v>
      </c>
      <c r="U455">
        <f>G455-'DLC Buildup Factors'!M474</f>
        <v>0</v>
      </c>
      <c r="V455">
        <f>H455-'DLC Buildup Factors'!N474</f>
        <v>0</v>
      </c>
      <c r="W455">
        <f>I455-'DLC Buildup Factors'!O474</f>
        <v>0</v>
      </c>
    </row>
    <row r="456" spans="1:23">
      <c r="A456" s="10">
        <v>0.04</v>
      </c>
      <c r="B456">
        <v>1.042</v>
      </c>
      <c r="C456">
        <v>0.33</v>
      </c>
      <c r="D456">
        <v>0.23899999999999999</v>
      </c>
      <c r="E456">
        <v>14.45</v>
      </c>
      <c r="F456">
        <v>-9.6199999999999994E-2</v>
      </c>
      <c r="G456" s="2">
        <v>3.8E-3</v>
      </c>
      <c r="H456">
        <v>4</v>
      </c>
      <c r="I456" s="2">
        <v>2.15E-3</v>
      </c>
      <c r="K456" t="str">
        <f t="shared" si="58"/>
        <v xml:space="preserve">    - 0.040</v>
      </c>
      <c r="L456" t="str">
        <f t="shared" si="59"/>
        <v xml:space="preserve">    - [1.042, 0.330, 0.239, 14.45, -0.0962]</v>
      </c>
      <c r="O456">
        <f>A456-'DLC Buildup Factors'!G475</f>
        <v>0</v>
      </c>
      <c r="P456">
        <f>B456-'DLC Buildup Factors'!H475</f>
        <v>0</v>
      </c>
      <c r="Q456">
        <f>C456-'DLC Buildup Factors'!I475</f>
        <v>0</v>
      </c>
      <c r="R456">
        <f>D456-'DLC Buildup Factors'!J475</f>
        <v>0</v>
      </c>
      <c r="S456">
        <f>E456-'DLC Buildup Factors'!K475</f>
        <v>0</v>
      </c>
      <c r="T456">
        <f>F456-'DLC Buildup Factors'!L475</f>
        <v>0</v>
      </c>
      <c r="U456">
        <f>G456-'DLC Buildup Factors'!M475</f>
        <v>0</v>
      </c>
      <c r="V456">
        <f>H456-'DLC Buildup Factors'!N475</f>
        <v>0</v>
      </c>
      <c r="W456">
        <f>I456-'DLC Buildup Factors'!O475</f>
        <v>0</v>
      </c>
    </row>
    <row r="457" spans="1:23">
      <c r="A457" s="10">
        <v>0.05</v>
      </c>
      <c r="B457">
        <v>1.071</v>
      </c>
      <c r="C457">
        <v>0.35299999999999998</v>
      </c>
      <c r="D457">
        <v>0.24299999999999999</v>
      </c>
      <c r="E457">
        <v>12.89</v>
      </c>
      <c r="F457">
        <v>-0.14069999999999999</v>
      </c>
      <c r="G457" s="2">
        <v>3.8999999999999998E-3</v>
      </c>
      <c r="H457">
        <v>0.5</v>
      </c>
      <c r="I457" s="2">
        <v>1.6299999999999999E-3</v>
      </c>
      <c r="K457" t="str">
        <f t="shared" si="58"/>
        <v xml:space="preserve">    - 0.050</v>
      </c>
      <c r="L457" t="str">
        <f t="shared" si="59"/>
        <v xml:space="preserve">    - [1.071, 0.353, 0.243, 12.89, -0.1407]</v>
      </c>
      <c r="O457">
        <f>A457-'DLC Buildup Factors'!G476</f>
        <v>0</v>
      </c>
      <c r="P457">
        <f>B457-'DLC Buildup Factors'!H476</f>
        <v>0</v>
      </c>
      <c r="Q457">
        <f>C457-'DLC Buildup Factors'!I476</f>
        <v>0</v>
      </c>
      <c r="R457">
        <f>D457-'DLC Buildup Factors'!J476</f>
        <v>0</v>
      </c>
      <c r="S457">
        <f>E457-'DLC Buildup Factors'!K476</f>
        <v>0</v>
      </c>
      <c r="T457">
        <f>F457-'DLC Buildup Factors'!L476</f>
        <v>0</v>
      </c>
      <c r="U457">
        <f>G457-'DLC Buildup Factors'!M476</f>
        <v>0</v>
      </c>
      <c r="V457">
        <f>H457-'DLC Buildup Factors'!N476</f>
        <v>0</v>
      </c>
      <c r="W457">
        <f>I457-'DLC Buildup Factors'!O476</f>
        <v>0</v>
      </c>
    </row>
    <row r="458" spans="1:23">
      <c r="A458" s="10">
        <v>0.06</v>
      </c>
      <c r="B458">
        <v>1.109</v>
      </c>
      <c r="C458">
        <v>0.36399999999999999</v>
      </c>
      <c r="D458">
        <v>0.23699999999999999</v>
      </c>
      <c r="E458">
        <v>13.54</v>
      </c>
      <c r="F458">
        <v>-0.13489999999999999</v>
      </c>
      <c r="G458" s="2">
        <v>9.1999999999999998E-3</v>
      </c>
      <c r="H458">
        <v>0.5</v>
      </c>
      <c r="I458" s="2">
        <v>4.1000000000000003E-3</v>
      </c>
      <c r="K458" t="str">
        <f t="shared" si="58"/>
        <v xml:space="preserve">    - 0.060</v>
      </c>
      <c r="L458" t="str">
        <f t="shared" si="59"/>
        <v xml:space="preserve">    - [1.109, 0.364, 0.237, 13.54, -0.1349]</v>
      </c>
      <c r="O458">
        <f>A458-'DLC Buildup Factors'!G477</f>
        <v>0</v>
      </c>
      <c r="P458">
        <f>B458-'DLC Buildup Factors'!H477</f>
        <v>0</v>
      </c>
      <c r="Q458">
        <f>C458-'DLC Buildup Factors'!I477</f>
        <v>0</v>
      </c>
      <c r="R458">
        <f>D458-'DLC Buildup Factors'!J477</f>
        <v>0</v>
      </c>
      <c r="S458">
        <f>E458-'DLC Buildup Factors'!K477</f>
        <v>0</v>
      </c>
      <c r="T458">
        <f>F458-'DLC Buildup Factors'!L477</f>
        <v>0</v>
      </c>
      <c r="U458">
        <f>G458-'DLC Buildup Factors'!M477</f>
        <v>0</v>
      </c>
      <c r="V458">
        <f>H458-'DLC Buildup Factors'!N477</f>
        <v>0</v>
      </c>
      <c r="W458">
        <f>I458-'DLC Buildup Factors'!O477</f>
        <v>0</v>
      </c>
    </row>
    <row r="459" spans="1:23">
      <c r="A459" s="10">
        <v>0.08</v>
      </c>
      <c r="B459">
        <v>1.1890000000000001</v>
      </c>
      <c r="C459">
        <v>0.44600000000000001</v>
      </c>
      <c r="D459">
        <v>0.192</v>
      </c>
      <c r="E459">
        <v>13.97</v>
      </c>
      <c r="F459">
        <v>-0.1094</v>
      </c>
      <c r="G459" s="2">
        <v>2.0799999999999999E-2</v>
      </c>
      <c r="H459">
        <v>0.5</v>
      </c>
      <c r="I459" s="2">
        <v>7.4799999999999997E-3</v>
      </c>
      <c r="K459" t="str">
        <f t="shared" si="58"/>
        <v xml:space="preserve">    - 0.080</v>
      </c>
      <c r="L459" t="str">
        <f t="shared" si="59"/>
        <v xml:space="preserve">    - [1.189, 0.446, 0.192, 13.97, -0.1094]</v>
      </c>
      <c r="O459">
        <f>A459-'DLC Buildup Factors'!G478</f>
        <v>0</v>
      </c>
      <c r="P459">
        <f>B459-'DLC Buildup Factors'!H478</f>
        <v>0</v>
      </c>
      <c r="Q459">
        <f>C459-'DLC Buildup Factors'!I478</f>
        <v>0</v>
      </c>
      <c r="R459">
        <f>D459-'DLC Buildup Factors'!J478</f>
        <v>0</v>
      </c>
      <c r="S459">
        <f>E459-'DLC Buildup Factors'!K478</f>
        <v>0</v>
      </c>
      <c r="T459">
        <f>F459-'DLC Buildup Factors'!L478</f>
        <v>0</v>
      </c>
      <c r="U459">
        <f>G459-'DLC Buildup Factors'!M478</f>
        <v>0</v>
      </c>
      <c r="V459">
        <f>H459-'DLC Buildup Factors'!N478</f>
        <v>0</v>
      </c>
      <c r="W459">
        <f>I459-'DLC Buildup Factors'!O478</f>
        <v>0</v>
      </c>
    </row>
    <row r="460" spans="1:23">
      <c r="A460" s="10">
        <v>0.1</v>
      </c>
      <c r="B460">
        <v>1.2869999999999999</v>
      </c>
      <c r="C460">
        <v>0.50700000000000001</v>
      </c>
      <c r="D460">
        <v>0.16500000000000001</v>
      </c>
      <c r="E460">
        <v>13.89</v>
      </c>
      <c r="F460">
        <v>-9.2399999999999996E-2</v>
      </c>
      <c r="G460" s="2">
        <v>2.3699999999999999E-2</v>
      </c>
      <c r="H460">
        <v>0.5</v>
      </c>
      <c r="I460" s="2">
        <v>9.2099999999999994E-3</v>
      </c>
      <c r="K460" t="str">
        <f t="shared" si="58"/>
        <v xml:space="preserve">    - 0.100</v>
      </c>
      <c r="L460" t="str">
        <f t="shared" si="59"/>
        <v xml:space="preserve">    - [1.287, 0.507, 0.165, 13.89, -0.0924]</v>
      </c>
      <c r="O460">
        <f>A460-'DLC Buildup Factors'!G479</f>
        <v>0</v>
      </c>
      <c r="P460">
        <f>B460-'DLC Buildup Factors'!H479</f>
        <v>0</v>
      </c>
      <c r="Q460">
        <f>C460-'DLC Buildup Factors'!I479</f>
        <v>0</v>
      </c>
      <c r="R460">
        <f>D460-'DLC Buildup Factors'!J479</f>
        <v>0</v>
      </c>
      <c r="S460">
        <f>E460-'DLC Buildup Factors'!K479</f>
        <v>0</v>
      </c>
      <c r="T460">
        <f>F460-'DLC Buildup Factors'!L479</f>
        <v>0</v>
      </c>
      <c r="U460">
        <f>G460-'DLC Buildup Factors'!M479</f>
        <v>0</v>
      </c>
      <c r="V460">
        <f>H460-'DLC Buildup Factors'!N479</f>
        <v>0</v>
      </c>
      <c r="W460">
        <f>I460-'DLC Buildup Factors'!O479</f>
        <v>0</v>
      </c>
    </row>
    <row r="461" spans="1:23">
      <c r="A461" s="10">
        <v>0.15</v>
      </c>
      <c r="B461">
        <v>1.518</v>
      </c>
      <c r="C461">
        <v>0.67500000000000004</v>
      </c>
      <c r="D461">
        <v>0.1</v>
      </c>
      <c r="E461">
        <v>13.99</v>
      </c>
      <c r="F461">
        <v>-5.5500000000000001E-2</v>
      </c>
      <c r="G461" s="2">
        <v>3.1E-2</v>
      </c>
      <c r="H461">
        <v>0.5</v>
      </c>
      <c r="I461" s="2">
        <v>1.1089999999999999E-2</v>
      </c>
      <c r="K461" t="str">
        <f t="shared" si="58"/>
        <v xml:space="preserve">    - 0.150</v>
      </c>
      <c r="L461" t="str">
        <f t="shared" si="59"/>
        <v xml:space="preserve">    - [1.518, 0.675, 0.100, 13.99, -0.0555]</v>
      </c>
      <c r="O461">
        <f>A461-'DLC Buildup Factors'!G480</f>
        <v>0</v>
      </c>
      <c r="P461">
        <f>B461-'DLC Buildup Factors'!H480</f>
        <v>0</v>
      </c>
      <c r="Q461">
        <f>C461-'DLC Buildup Factors'!I480</f>
        <v>0</v>
      </c>
      <c r="R461">
        <f>D461-'DLC Buildup Factors'!J480</f>
        <v>0</v>
      </c>
      <c r="S461">
        <f>E461-'DLC Buildup Factors'!K480</f>
        <v>0</v>
      </c>
      <c r="T461">
        <f>F461-'DLC Buildup Factors'!L480</f>
        <v>0</v>
      </c>
      <c r="U461">
        <f>G461-'DLC Buildup Factors'!M480</f>
        <v>0</v>
      </c>
      <c r="V461">
        <f>H461-'DLC Buildup Factors'!N480</f>
        <v>0</v>
      </c>
      <c r="W461">
        <f>I461-'DLC Buildup Factors'!O480</f>
        <v>0</v>
      </c>
    </row>
    <row r="462" spans="1:23">
      <c r="A462" s="10">
        <v>0.2</v>
      </c>
      <c r="B462">
        <v>1.6950000000000001</v>
      </c>
      <c r="C462">
        <v>0.83499999999999996</v>
      </c>
      <c r="D462">
        <v>5.1999999999999998E-2</v>
      </c>
      <c r="E462">
        <v>13.62</v>
      </c>
      <c r="F462">
        <v>-3.6400000000000002E-2</v>
      </c>
      <c r="G462" s="2">
        <v>3.1E-2</v>
      </c>
      <c r="H462">
        <v>0.5</v>
      </c>
      <c r="I462" s="2">
        <v>1.163E-2</v>
      </c>
      <c r="K462" t="str">
        <f t="shared" si="58"/>
        <v xml:space="preserve">    - 0.200</v>
      </c>
      <c r="L462" t="str">
        <f t="shared" si="59"/>
        <v xml:space="preserve">    - [1.695, 0.835, 0.052, 13.62, -0.0364]</v>
      </c>
      <c r="O462">
        <f>A462-'DLC Buildup Factors'!G481</f>
        <v>0</v>
      </c>
      <c r="P462">
        <f>B462-'DLC Buildup Factors'!H481</f>
        <v>0</v>
      </c>
      <c r="Q462">
        <f>C462-'DLC Buildup Factors'!I481</f>
        <v>0</v>
      </c>
      <c r="R462">
        <f>D462-'DLC Buildup Factors'!J481</f>
        <v>0</v>
      </c>
      <c r="S462">
        <f>E462-'DLC Buildup Factors'!K481</f>
        <v>0</v>
      </c>
      <c r="T462">
        <f>F462-'DLC Buildup Factors'!L481</f>
        <v>0</v>
      </c>
      <c r="U462">
        <f>G462-'DLC Buildup Factors'!M481</f>
        <v>0</v>
      </c>
      <c r="V462">
        <f>H462-'DLC Buildup Factors'!N481</f>
        <v>0</v>
      </c>
      <c r="W462">
        <f>I462-'DLC Buildup Factors'!O481</f>
        <v>0</v>
      </c>
    </row>
    <row r="463" spans="1:23">
      <c r="A463" s="10">
        <v>0.3</v>
      </c>
      <c r="B463">
        <v>1.865</v>
      </c>
      <c r="C463">
        <v>1.0229999999999999</v>
      </c>
      <c r="D463">
        <v>5.0000000000000001E-3</v>
      </c>
      <c r="E463">
        <v>12.51</v>
      </c>
      <c r="F463">
        <v>-1.9699999999999999E-2</v>
      </c>
      <c r="G463" s="2">
        <v>2.69E-2</v>
      </c>
      <c r="H463">
        <v>0.5</v>
      </c>
      <c r="I463" s="2">
        <v>1.004E-2</v>
      </c>
      <c r="K463" t="str">
        <f t="shared" si="58"/>
        <v xml:space="preserve">    - 0.300</v>
      </c>
      <c r="L463" t="str">
        <f t="shared" si="59"/>
        <v xml:space="preserve">    - [1.865, 1.023, 0.005, 12.51, -0.0197]</v>
      </c>
      <c r="O463">
        <f>A463-'DLC Buildup Factors'!G482</f>
        <v>0</v>
      </c>
      <c r="P463">
        <f>B463-'DLC Buildup Factors'!H482</f>
        <v>0</v>
      </c>
      <c r="Q463">
        <f>C463-'DLC Buildup Factors'!I482</f>
        <v>0</v>
      </c>
      <c r="R463">
        <f>D463-'DLC Buildup Factors'!J482</f>
        <v>0</v>
      </c>
      <c r="S463">
        <f>E463-'DLC Buildup Factors'!K482</f>
        <v>0</v>
      </c>
      <c r="T463">
        <f>F463-'DLC Buildup Factors'!L482</f>
        <v>0</v>
      </c>
      <c r="U463">
        <f>G463-'DLC Buildup Factors'!M482</f>
        <v>0</v>
      </c>
      <c r="V463">
        <f>H463-'DLC Buildup Factors'!N482</f>
        <v>0</v>
      </c>
      <c r="W463">
        <f>I463-'DLC Buildup Factors'!O482</f>
        <v>0</v>
      </c>
    </row>
    <row r="464" spans="1:23">
      <c r="A464" s="10">
        <v>0.4</v>
      </c>
      <c r="B464">
        <v>1.9079999999999999</v>
      </c>
      <c r="C464">
        <v>1.135</v>
      </c>
      <c r="D464">
        <v>-1.7999999999999999E-2</v>
      </c>
      <c r="E464">
        <v>11.46</v>
      </c>
      <c r="F464">
        <v>-1.37E-2</v>
      </c>
      <c r="G464" s="2">
        <v>2.1600000000000001E-2</v>
      </c>
      <c r="H464">
        <v>0.5</v>
      </c>
      <c r="I464" s="2">
        <v>8.6199999999999992E-3</v>
      </c>
      <c r="K464" t="str">
        <f t="shared" si="58"/>
        <v xml:space="preserve">    - 0.400</v>
      </c>
      <c r="L464" t="str">
        <f t="shared" si="59"/>
        <v xml:space="preserve">    - [1.908, 1.135, -0.018, 11.46, -0.0137]</v>
      </c>
      <c r="O464">
        <f>A464-'DLC Buildup Factors'!G483</f>
        <v>0</v>
      </c>
      <c r="P464">
        <f>B464-'DLC Buildup Factors'!H483</f>
        <v>0</v>
      </c>
      <c r="Q464">
        <f>C464-'DLC Buildup Factors'!I483</f>
        <v>0</v>
      </c>
      <c r="R464">
        <f>D464-'DLC Buildup Factors'!J483</f>
        <v>0</v>
      </c>
      <c r="S464">
        <f>E464-'DLC Buildup Factors'!K483</f>
        <v>0</v>
      </c>
      <c r="T464">
        <f>F464-'DLC Buildup Factors'!L483</f>
        <v>0</v>
      </c>
      <c r="U464">
        <f>G464-'DLC Buildup Factors'!M483</f>
        <v>0</v>
      </c>
      <c r="V464">
        <f>H464-'DLC Buildup Factors'!N483</f>
        <v>0</v>
      </c>
      <c r="W464">
        <f>I464-'DLC Buildup Factors'!O483</f>
        <v>0</v>
      </c>
    </row>
    <row r="465" spans="1:23">
      <c r="A465" s="10">
        <v>0.5</v>
      </c>
      <c r="B465">
        <v>1.909</v>
      </c>
      <c r="C465">
        <v>1.1890000000000001</v>
      </c>
      <c r="D465">
        <v>-2.9000000000000001E-2</v>
      </c>
      <c r="E465">
        <v>9.92</v>
      </c>
      <c r="F465">
        <v>-1.06E-2</v>
      </c>
      <c r="G465" s="2">
        <v>1.8800000000000001E-2</v>
      </c>
      <c r="H465">
        <v>0.5</v>
      </c>
      <c r="I465" s="16">
        <v>7.7299999999999999E-3</v>
      </c>
      <c r="J465" s="15" t="s">
        <v>1549</v>
      </c>
      <c r="K465" t="str">
        <f t="shared" si="58"/>
        <v xml:space="preserve">    - 0.500</v>
      </c>
      <c r="L465" t="str">
        <f t="shared" si="59"/>
        <v xml:space="preserve">    - [1.909, 1.189, -0.029, 9.92, -0.0106]</v>
      </c>
      <c r="M465" s="25"/>
      <c r="N465" s="25"/>
      <c r="O465">
        <f>A465-'DLC Buildup Factors'!G484</f>
        <v>0</v>
      </c>
      <c r="P465">
        <f>B465-'DLC Buildup Factors'!H484</f>
        <v>1.0000000000000009E-2</v>
      </c>
      <c r="Q465">
        <f>C465-'DLC Buildup Factors'!I484</f>
        <v>-2.6000000000000023E-2</v>
      </c>
      <c r="R465">
        <f>D465-'DLC Buildup Factors'!J484</f>
        <v>8.9999999999999976E-3</v>
      </c>
      <c r="S465">
        <f>E465-'DLC Buildup Factors'!K484</f>
        <v>-6.2999999999999989</v>
      </c>
      <c r="T465">
        <f>F465-'DLC Buildup Factors'!L484</f>
        <v>-1.32E-2</v>
      </c>
      <c r="U465">
        <f>G465-'DLC Buildup Factors'!M484</f>
        <v>-5.3999999999999986E-3</v>
      </c>
      <c r="V465">
        <f>H465-'DLC Buildup Factors'!N484</f>
        <v>0</v>
      </c>
      <c r="W465">
        <f>I465-'DLC Buildup Factors'!O484</f>
        <v>-2.1300000000000008E-3</v>
      </c>
    </row>
    <row r="466" spans="1:23">
      <c r="A466" s="10">
        <v>0.6</v>
      </c>
      <c r="B466">
        <v>1.889</v>
      </c>
      <c r="C466">
        <v>1.216</v>
      </c>
      <c r="D466">
        <v>-3.5000000000000003E-2</v>
      </c>
      <c r="E466">
        <v>8.5299999999999994</v>
      </c>
      <c r="F466">
        <v>-9.1000000000000004E-3</v>
      </c>
      <c r="G466" s="2">
        <v>2.06E-2</v>
      </c>
      <c r="H466">
        <v>0.5</v>
      </c>
      <c r="I466" s="16">
        <v>6.6100000000000004E-3</v>
      </c>
      <c r="J466" s="15" t="s">
        <v>1549</v>
      </c>
      <c r="K466" t="str">
        <f t="shared" si="58"/>
        <v xml:space="preserve">    - 0.600</v>
      </c>
      <c r="L466" t="str">
        <f t="shared" si="59"/>
        <v xml:space="preserve">    - [1.889, 1.216, -0.035, 8.53, -0.0091]</v>
      </c>
      <c r="M466" s="25"/>
      <c r="N466" s="25"/>
      <c r="O466">
        <f>A466-'DLC Buildup Factors'!G485</f>
        <v>0</v>
      </c>
      <c r="P466">
        <f>B466-'DLC Buildup Factors'!H485</f>
        <v>7.0000000000001172E-3</v>
      </c>
      <c r="Q466">
        <f>C466-'DLC Buildup Factors'!I485</f>
        <v>-1.9000000000000128E-2</v>
      </c>
      <c r="R466">
        <f>D466-'DLC Buildup Factors'!J485</f>
        <v>6.9999999999999993E-3</v>
      </c>
      <c r="S466">
        <f>E466-'DLC Buildup Factors'!K485</f>
        <v>-15.24</v>
      </c>
      <c r="T466">
        <f>F466-'DLC Buildup Factors'!L485</f>
        <v>-1.5300000000000001E-2</v>
      </c>
      <c r="U466">
        <f>G466-'DLC Buildup Factors'!M485</f>
        <v>-3.8000000000000013E-3</v>
      </c>
      <c r="V466">
        <f>H466-'DLC Buildup Factors'!N485</f>
        <v>0</v>
      </c>
      <c r="W466">
        <f>I466-'DLC Buildup Factors'!O485</f>
        <v>-1.7299999999999998E-3</v>
      </c>
    </row>
    <row r="467" spans="1:23">
      <c r="A467" s="10">
        <v>0.8</v>
      </c>
      <c r="B467">
        <v>1.847</v>
      </c>
      <c r="C467">
        <v>1.226</v>
      </c>
      <c r="D467">
        <v>-3.6999999999999998E-2</v>
      </c>
      <c r="E467">
        <v>7.03</v>
      </c>
      <c r="F467">
        <v>-1.18E-2</v>
      </c>
      <c r="G467" s="2">
        <v>1.46E-2</v>
      </c>
      <c r="H467">
        <v>0.5</v>
      </c>
      <c r="I467" s="16">
        <v>5.1700000000000001E-3</v>
      </c>
      <c r="J467" s="15" t="s">
        <v>1549</v>
      </c>
      <c r="K467" t="str">
        <f t="shared" si="58"/>
        <v xml:space="preserve">    - 0.800</v>
      </c>
      <c r="L467" t="str">
        <f t="shared" si="59"/>
        <v xml:space="preserve">    - [1.847, 1.226, -0.037, 7.03, -0.0118]</v>
      </c>
      <c r="M467" s="25"/>
      <c r="N467" s="25"/>
      <c r="O467">
        <f>A467-'DLC Buildup Factors'!G486</f>
        <v>0</v>
      </c>
      <c r="P467">
        <f>B467-'DLC Buildup Factors'!H486</f>
        <v>-7.0000000000001172E-3</v>
      </c>
      <c r="Q467">
        <f>C467-'DLC Buildup Factors'!I486</f>
        <v>-1.3000000000000123E-2</v>
      </c>
      <c r="R467">
        <f>D467-'DLC Buildup Factors'!J486</f>
        <v>6.9999999999999993E-3</v>
      </c>
      <c r="S467">
        <f>E467-'DLC Buildup Factors'!K486</f>
        <v>-10.219999999999999</v>
      </c>
      <c r="T467">
        <f>F467-'DLC Buildup Factors'!L486</f>
        <v>-1.7500000000000002E-2</v>
      </c>
      <c r="U467">
        <f>G467-'DLC Buildup Factors'!M486</f>
        <v>1.1000000000000003E-3</v>
      </c>
      <c r="V467">
        <f>H467-'DLC Buildup Factors'!N486</f>
        <v>0</v>
      </c>
      <c r="W467">
        <f>I467-'DLC Buildup Factors'!O486</f>
        <v>-1.83E-3</v>
      </c>
    </row>
    <row r="468" spans="1:23">
      <c r="A468" s="10">
        <v>1</v>
      </c>
      <c r="B468">
        <v>1.8160000000000001</v>
      </c>
      <c r="C468">
        <v>1.204</v>
      </c>
      <c r="D468">
        <v>-3.4000000000000002E-2</v>
      </c>
      <c r="E468">
        <v>7.47</v>
      </c>
      <c r="F468">
        <v>-1.14E-2</v>
      </c>
      <c r="G468" s="2">
        <v>9.4999999999999998E-3</v>
      </c>
      <c r="H468">
        <v>0.5</v>
      </c>
      <c r="I468" s="16">
        <v>4.3400000000000001E-3</v>
      </c>
      <c r="J468" s="15" t="s">
        <v>1549</v>
      </c>
      <c r="K468" t="str">
        <f t="shared" si="58"/>
        <v xml:space="preserve">    - 1.000</v>
      </c>
      <c r="L468" t="str">
        <f t="shared" si="59"/>
        <v xml:space="preserve">    - [1.816, 1.204, -0.034, 7.47, -0.0114]</v>
      </c>
      <c r="M468" s="25"/>
      <c r="N468" s="25"/>
      <c r="O468">
        <f>A468-'DLC Buildup Factors'!G487</f>
        <v>0</v>
      </c>
      <c r="P468">
        <f>B468-'DLC Buildup Factors'!H487</f>
        <v>3.0000000000001137E-3</v>
      </c>
      <c r="Q468">
        <f>C468-'DLC Buildup Factors'!I487</f>
        <v>-2.200000000000002E-2</v>
      </c>
      <c r="R468">
        <f>D468-'DLC Buildup Factors'!J487</f>
        <v>8.9999999999999941E-3</v>
      </c>
      <c r="S468">
        <f>E468-'DLC Buildup Factors'!K487</f>
        <v>-14.27</v>
      </c>
      <c r="T468">
        <f>F468-'DLC Buildup Factors'!L487</f>
        <v>-2.3400000000000001E-2</v>
      </c>
      <c r="U468">
        <f>G468-'DLC Buildup Factors'!M487</f>
        <v>-2.8000000000000004E-3</v>
      </c>
      <c r="V468">
        <f>H468-'DLC Buildup Factors'!N487</f>
        <v>0</v>
      </c>
      <c r="W468">
        <f>I468-'DLC Buildup Factors'!O487</f>
        <v>-3.4999999999999962E-4</v>
      </c>
    </row>
    <row r="469" spans="1:23">
      <c r="A469" s="10">
        <v>1.5</v>
      </c>
      <c r="B469">
        <v>1.7330000000000001</v>
      </c>
      <c r="C469">
        <v>1.1850000000000001</v>
      </c>
      <c r="D469">
        <v>-3.6999999999999998E-2</v>
      </c>
      <c r="E469">
        <v>18.36</v>
      </c>
      <c r="F469">
        <v>1.06E-2</v>
      </c>
      <c r="G469" s="2">
        <v>8.3999999999999995E-3</v>
      </c>
      <c r="H469">
        <v>0.5</v>
      </c>
      <c r="I469" s="2">
        <v>3.0200000000000001E-3</v>
      </c>
      <c r="J469" s="2"/>
      <c r="K469" t="str">
        <f t="shared" si="58"/>
        <v xml:space="preserve">    - 1.500</v>
      </c>
      <c r="L469" t="str">
        <f t="shared" si="59"/>
        <v xml:space="preserve">    - [1.733, 1.185, -0.037, 18.36, 0.0106]</v>
      </c>
      <c r="M469" s="2"/>
      <c r="N469" s="2"/>
      <c r="O469">
        <f>A469-'DLC Buildup Factors'!G488</f>
        <v>0</v>
      </c>
      <c r="P469">
        <f>B469-'DLC Buildup Factors'!H488</f>
        <v>0</v>
      </c>
      <c r="Q469">
        <f>C469-'DLC Buildup Factors'!I488</f>
        <v>0</v>
      </c>
      <c r="R469">
        <f>D469-'DLC Buildup Factors'!J488</f>
        <v>0</v>
      </c>
      <c r="S469">
        <f>E469-'DLC Buildup Factors'!K488</f>
        <v>0</v>
      </c>
      <c r="T469">
        <f>F469-'DLC Buildup Factors'!L488</f>
        <v>0</v>
      </c>
      <c r="U469">
        <f>G469-'DLC Buildup Factors'!M488</f>
        <v>0</v>
      </c>
      <c r="V469">
        <f>H469-'DLC Buildup Factors'!N488</f>
        <v>0</v>
      </c>
      <c r="W469">
        <f>I469-'DLC Buildup Factors'!O488</f>
        <v>0</v>
      </c>
    </row>
    <row r="470" spans="1:23">
      <c r="A470" s="10">
        <v>2</v>
      </c>
      <c r="B470">
        <v>1.6950000000000001</v>
      </c>
      <c r="C470">
        <v>1.121</v>
      </c>
      <c r="D470">
        <v>-2.1000000000000001E-2</v>
      </c>
      <c r="E470">
        <v>8.9</v>
      </c>
      <c r="F470">
        <v>-4.1999999999999997E-3</v>
      </c>
      <c r="G470" s="2">
        <v>1.01E-2</v>
      </c>
      <c r="H470">
        <v>0.5</v>
      </c>
      <c r="I470" s="2">
        <v>3.49E-3</v>
      </c>
      <c r="J470" s="15" t="s">
        <v>1549</v>
      </c>
      <c r="K470" t="str">
        <f t="shared" si="58"/>
        <v xml:space="preserve">    - 2.000</v>
      </c>
      <c r="L470" t="str">
        <f t="shared" si="59"/>
        <v xml:space="preserve">    - [1.695, 1.121, -0.021, 8.90, -0.0042]</v>
      </c>
      <c r="M470" s="25"/>
      <c r="N470" s="25"/>
      <c r="O470">
        <f>A470-'DLC Buildup Factors'!G489</f>
        <v>0</v>
      </c>
      <c r="P470">
        <f>B470-'DLC Buildup Factors'!H489</f>
        <v>1.0000000000001119E-3</v>
      </c>
      <c r="Q470">
        <f>C470-'DLC Buildup Factors'!I489</f>
        <v>-6.9999999999998952E-3</v>
      </c>
      <c r="R470">
        <f>D470-'DLC Buildup Factors'!J489</f>
        <v>2.9999999999999992E-3</v>
      </c>
      <c r="S470">
        <f>E470-'DLC Buildup Factors'!K489</f>
        <v>-15.58</v>
      </c>
      <c r="T470">
        <f>F470-'DLC Buildup Factors'!L489</f>
        <v>-6.7999999999999996E-3</v>
      </c>
      <c r="U470">
        <f>G470-'DLC Buildup Factors'!M489</f>
        <v>-8.9999999999999976E-4</v>
      </c>
      <c r="V470">
        <f>H470-'DLC Buildup Factors'!N489</f>
        <v>0</v>
      </c>
      <c r="W470">
        <f>I470-'DLC Buildup Factors'!O489</f>
        <v>-5.9000000000000025E-4</v>
      </c>
    </row>
    <row r="471" spans="1:23">
      <c r="A471" s="10">
        <v>3</v>
      </c>
      <c r="B471">
        <v>1.617</v>
      </c>
      <c r="C471">
        <v>1.0589999999999999</v>
      </c>
      <c r="D471">
        <v>-4.0000000000000001E-3</v>
      </c>
      <c r="E471">
        <v>12.21</v>
      </c>
      <c r="F471">
        <v>-1.46E-2</v>
      </c>
      <c r="G471" s="2">
        <v>1.2200000000000001E-2</v>
      </c>
      <c r="H471">
        <v>0.5</v>
      </c>
      <c r="I471" s="2">
        <v>6.0800000000000003E-3</v>
      </c>
      <c r="K471" t="str">
        <f t="shared" si="58"/>
        <v xml:space="preserve">    - 3.000</v>
      </c>
      <c r="L471" t="str">
        <f t="shared" si="59"/>
        <v xml:space="preserve">    - [1.617, 1.059, -0.004, 12.21, -0.0146]</v>
      </c>
      <c r="O471">
        <f>A471-'DLC Buildup Factors'!G490</f>
        <v>0</v>
      </c>
      <c r="P471">
        <f>B471-'DLC Buildup Factors'!H490</f>
        <v>0</v>
      </c>
      <c r="Q471">
        <f>C471-'DLC Buildup Factors'!I490</f>
        <v>0</v>
      </c>
      <c r="R471">
        <f>D471-'DLC Buildup Factors'!J490</f>
        <v>0</v>
      </c>
      <c r="S471">
        <f>E471-'DLC Buildup Factors'!K490</f>
        <v>0</v>
      </c>
      <c r="T471">
        <f>F471-'DLC Buildup Factors'!L490</f>
        <v>0</v>
      </c>
      <c r="U471">
        <f>G471-'DLC Buildup Factors'!M490</f>
        <v>0</v>
      </c>
      <c r="V471">
        <f>H471-'DLC Buildup Factors'!N490</f>
        <v>0</v>
      </c>
      <c r="W471">
        <f>I471-'DLC Buildup Factors'!O490</f>
        <v>0</v>
      </c>
    </row>
    <row r="472" spans="1:23">
      <c r="A472" s="10">
        <v>4</v>
      </c>
      <c r="B472">
        <v>1.546</v>
      </c>
      <c r="C472">
        <v>1.022</v>
      </c>
      <c r="D472">
        <v>8.9999999999999993E-3</v>
      </c>
      <c r="E472">
        <v>12.92</v>
      </c>
      <c r="F472">
        <v>-2.58E-2</v>
      </c>
      <c r="G472" s="2">
        <v>2.1600000000000001E-2</v>
      </c>
      <c r="H472">
        <v>0.5</v>
      </c>
      <c r="I472" s="2">
        <v>9.7599999999999996E-3</v>
      </c>
      <c r="K472" t="str">
        <f t="shared" si="58"/>
        <v xml:space="preserve">    - 4.000</v>
      </c>
      <c r="L472" t="str">
        <f t="shared" si="59"/>
        <v xml:space="preserve">    - [1.546, 1.022, 0.009, 12.92, -0.0258]</v>
      </c>
      <c r="O472">
        <f>A472-'DLC Buildup Factors'!G491</f>
        <v>0</v>
      </c>
      <c r="P472">
        <f>B472-'DLC Buildup Factors'!H491</f>
        <v>0</v>
      </c>
      <c r="Q472">
        <f>C472-'DLC Buildup Factors'!I491</f>
        <v>0</v>
      </c>
      <c r="R472">
        <f>D472-'DLC Buildup Factors'!J491</f>
        <v>0</v>
      </c>
      <c r="S472">
        <f>E472-'DLC Buildup Factors'!K491</f>
        <v>0</v>
      </c>
      <c r="T472">
        <f>F472-'DLC Buildup Factors'!L491</f>
        <v>0</v>
      </c>
      <c r="U472">
        <f>G472-'DLC Buildup Factors'!M491</f>
        <v>0</v>
      </c>
      <c r="V472">
        <f>H472-'DLC Buildup Factors'!N491</f>
        <v>0</v>
      </c>
      <c r="W472">
        <f>I472-'DLC Buildup Factors'!O491</f>
        <v>0</v>
      </c>
    </row>
    <row r="473" spans="1:23">
      <c r="A473" s="10">
        <v>5</v>
      </c>
      <c r="B473">
        <v>1.4790000000000001</v>
      </c>
      <c r="C473">
        <v>1.008</v>
      </c>
      <c r="D473">
        <v>1.4999999999999999E-2</v>
      </c>
      <c r="E473">
        <v>13.26</v>
      </c>
      <c r="F473">
        <v>-3.1E-2</v>
      </c>
      <c r="G473" s="2">
        <v>2.3900000000000001E-2</v>
      </c>
      <c r="H473">
        <v>0.5</v>
      </c>
      <c r="I473" s="2">
        <v>1.1050000000000001E-2</v>
      </c>
      <c r="K473" t="str">
        <f t="shared" si="58"/>
        <v xml:space="preserve">    - 5.000</v>
      </c>
      <c r="L473" t="str">
        <f t="shared" si="59"/>
        <v xml:space="preserve">    - [1.479, 1.008, 0.015, 13.26, -0.0310]</v>
      </c>
      <c r="O473">
        <f>A473-'DLC Buildup Factors'!G492</f>
        <v>0</v>
      </c>
      <c r="P473">
        <f>B473-'DLC Buildup Factors'!H492</f>
        <v>0</v>
      </c>
      <c r="Q473">
        <f>C473-'DLC Buildup Factors'!I492</f>
        <v>0</v>
      </c>
      <c r="R473">
        <f>D473-'DLC Buildup Factors'!J492</f>
        <v>0</v>
      </c>
      <c r="S473">
        <f>E473-'DLC Buildup Factors'!K492</f>
        <v>0</v>
      </c>
      <c r="T473">
        <f>F473-'DLC Buildup Factors'!L492</f>
        <v>0</v>
      </c>
      <c r="U473">
        <f>G473-'DLC Buildup Factors'!M492</f>
        <v>0</v>
      </c>
      <c r="V473">
        <f>H473-'DLC Buildup Factors'!N492</f>
        <v>0</v>
      </c>
      <c r="W473">
        <f>I473-'DLC Buildup Factors'!O492</f>
        <v>0</v>
      </c>
    </row>
    <row r="474" spans="1:23">
      <c r="A474" s="10">
        <v>6</v>
      </c>
      <c r="B474">
        <v>1.4279999999999999</v>
      </c>
      <c r="C474">
        <v>0.995</v>
      </c>
      <c r="D474">
        <v>2.1000000000000001E-2</v>
      </c>
      <c r="E474">
        <v>13.23</v>
      </c>
      <c r="F474">
        <v>-3.7100000000000001E-2</v>
      </c>
      <c r="G474" s="2">
        <v>2.8000000000000001E-2</v>
      </c>
      <c r="H474">
        <v>0.5</v>
      </c>
      <c r="I474" s="2">
        <v>1.201E-2</v>
      </c>
      <c r="K474" t="str">
        <f t="shared" si="58"/>
        <v xml:space="preserve">    - 6.000</v>
      </c>
      <c r="L474" t="str">
        <f t="shared" si="59"/>
        <v xml:space="preserve">    - [1.428, 0.995, 0.021, 13.23, -0.0371]</v>
      </c>
      <c r="O474">
        <f>A474-'DLC Buildup Factors'!G493</f>
        <v>0</v>
      </c>
      <c r="P474">
        <f>B474-'DLC Buildup Factors'!H493</f>
        <v>0</v>
      </c>
      <c r="Q474">
        <f>C474-'DLC Buildup Factors'!I493</f>
        <v>0</v>
      </c>
      <c r="R474">
        <f>D474-'DLC Buildup Factors'!J493</f>
        <v>0</v>
      </c>
      <c r="S474">
        <f>E474-'DLC Buildup Factors'!K493</f>
        <v>0</v>
      </c>
      <c r="T474">
        <f>F474-'DLC Buildup Factors'!L493</f>
        <v>0</v>
      </c>
      <c r="U474">
        <f>G474-'DLC Buildup Factors'!M493</f>
        <v>0</v>
      </c>
      <c r="V474">
        <f>H474-'DLC Buildup Factors'!N493</f>
        <v>0</v>
      </c>
      <c r="W474">
        <f>I474-'DLC Buildup Factors'!O493</f>
        <v>0</v>
      </c>
    </row>
    <row r="475" spans="1:23">
      <c r="A475" s="10">
        <v>8</v>
      </c>
      <c r="B475">
        <v>1.353</v>
      </c>
      <c r="C475">
        <v>0.96</v>
      </c>
      <c r="D475">
        <v>3.7999999999999999E-2</v>
      </c>
      <c r="E475">
        <v>13.5</v>
      </c>
      <c r="F475">
        <v>-5.4699999999999999E-2</v>
      </c>
      <c r="G475" s="2">
        <v>3.32E-2</v>
      </c>
      <c r="H475">
        <v>0.5</v>
      </c>
      <c r="I475" s="2">
        <v>1.576E-2</v>
      </c>
      <c r="K475" t="str">
        <f t="shared" si="58"/>
        <v xml:space="preserve">    - 8.000</v>
      </c>
      <c r="L475" t="str">
        <f t="shared" si="59"/>
        <v xml:space="preserve">    - [1.353, 0.960, 0.038, 13.50, -0.0547]</v>
      </c>
      <c r="O475">
        <f>A475-'DLC Buildup Factors'!G494</f>
        <v>0</v>
      </c>
      <c r="P475">
        <f>B475-'DLC Buildup Factors'!H494</f>
        <v>0</v>
      </c>
      <c r="Q475">
        <f>C475-'DLC Buildup Factors'!I494</f>
        <v>0</v>
      </c>
      <c r="R475">
        <f>D475-'DLC Buildup Factors'!J494</f>
        <v>0</v>
      </c>
      <c r="S475">
        <f>E475-'DLC Buildup Factors'!K494</f>
        <v>0</v>
      </c>
      <c r="T475">
        <f>F475-'DLC Buildup Factors'!L494</f>
        <v>0</v>
      </c>
      <c r="U475">
        <f>G475-'DLC Buildup Factors'!M494</f>
        <v>0</v>
      </c>
      <c r="V475">
        <f>H475-'DLC Buildup Factors'!N494</f>
        <v>0</v>
      </c>
      <c r="W475">
        <f>I475-'DLC Buildup Factors'!O494</f>
        <v>0</v>
      </c>
    </row>
    <row r="476" spans="1:23">
      <c r="A476" s="10">
        <v>10</v>
      </c>
      <c r="B476">
        <v>1.2889999999999999</v>
      </c>
      <c r="C476">
        <v>0.96199999999999997</v>
      </c>
      <c r="D476">
        <v>4.2000000000000003E-2</v>
      </c>
      <c r="E476">
        <v>13.91</v>
      </c>
      <c r="F476">
        <v>-5.7700000000000001E-2</v>
      </c>
      <c r="G476" s="2">
        <v>3.6200000000000003E-2</v>
      </c>
      <c r="H476">
        <v>0.5</v>
      </c>
      <c r="I476" s="2">
        <v>1.627E-2</v>
      </c>
      <c r="K476" t="str">
        <f t="shared" si="58"/>
        <v xml:space="preserve">    - 10.000</v>
      </c>
      <c r="L476" t="str">
        <f t="shared" si="59"/>
        <v xml:space="preserve">    - [1.289, 0.962, 0.042, 13.91, -0.0577]</v>
      </c>
      <c r="O476">
        <f>A476-'DLC Buildup Factors'!G495</f>
        <v>0</v>
      </c>
      <c r="P476">
        <f>B476-'DLC Buildup Factors'!H495</f>
        <v>0</v>
      </c>
      <c r="Q476">
        <f>C476-'DLC Buildup Factors'!I495</f>
        <v>0</v>
      </c>
      <c r="R476">
        <f>D476-'DLC Buildup Factors'!J495</f>
        <v>0</v>
      </c>
      <c r="S476">
        <f>E476-'DLC Buildup Factors'!K495</f>
        <v>0</v>
      </c>
      <c r="T476">
        <f>F476-'DLC Buildup Factors'!L495</f>
        <v>0</v>
      </c>
      <c r="U476">
        <f>G476-'DLC Buildup Factors'!M495</f>
        <v>0</v>
      </c>
      <c r="V476">
        <f>H476-'DLC Buildup Factors'!N495</f>
        <v>0</v>
      </c>
      <c r="W476">
        <f>I476-'DLC Buildup Factors'!O495</f>
        <v>0</v>
      </c>
    </row>
    <row r="477" spans="1:23">
      <c r="A477" s="10">
        <v>15</v>
      </c>
      <c r="B477">
        <v>1.1910000000000001</v>
      </c>
      <c r="C477">
        <v>0.96899999999999997</v>
      </c>
      <c r="D477">
        <v>5.1999999999999998E-2</v>
      </c>
      <c r="E477">
        <v>14.48</v>
      </c>
      <c r="F477">
        <v>-6.4000000000000001E-2</v>
      </c>
      <c r="G477" s="2">
        <v>3.95E-2</v>
      </c>
      <c r="H477">
        <v>1</v>
      </c>
      <c r="I477" s="2">
        <v>1.7569999999999999E-2</v>
      </c>
      <c r="K477" t="str">
        <f t="shared" si="58"/>
        <v xml:space="preserve">    - 15.000</v>
      </c>
      <c r="L477" t="str">
        <f t="shared" si="59"/>
        <v xml:space="preserve">    - [1.191, 0.969, 0.052, 14.48, -0.0640]</v>
      </c>
      <c r="O477">
        <f>A477-'DLC Buildup Factors'!G496</f>
        <v>0</v>
      </c>
      <c r="P477">
        <f>B477-'DLC Buildup Factors'!H496</f>
        <v>0</v>
      </c>
      <c r="Q477">
        <f>C477-'DLC Buildup Factors'!I496</f>
        <v>0</v>
      </c>
      <c r="R477">
        <f>D477-'DLC Buildup Factors'!J496</f>
        <v>0</v>
      </c>
      <c r="S477">
        <f>E477-'DLC Buildup Factors'!K496</f>
        <v>0</v>
      </c>
      <c r="T477">
        <f>F477-'DLC Buildup Factors'!L496</f>
        <v>0</v>
      </c>
      <c r="U477">
        <f>G477-'DLC Buildup Factors'!M496</f>
        <v>0</v>
      </c>
      <c r="V477">
        <f>H477-'DLC Buildup Factors'!N496</f>
        <v>0</v>
      </c>
      <c r="W477">
        <f>I477-'DLC Buildup Factors'!O496</f>
        <v>0</v>
      </c>
    </row>
    <row r="478" spans="1:23">
      <c r="A478" s="10"/>
    </row>
    <row r="479" spans="1:23">
      <c r="A479" s="10" t="s">
        <v>1541</v>
      </c>
    </row>
    <row r="480" spans="1:23">
      <c r="A480" s="10" t="s">
        <v>1540</v>
      </c>
    </row>
    <row r="481" spans="1:23">
      <c r="A481" t="s">
        <v>0</v>
      </c>
      <c r="B481" t="s">
        <v>10</v>
      </c>
      <c r="C481" t="s">
        <v>11</v>
      </c>
      <c r="D481" t="s">
        <v>12</v>
      </c>
      <c r="E481" t="s">
        <v>15</v>
      </c>
      <c r="F481" t="s">
        <v>13</v>
      </c>
      <c r="G481" t="s">
        <v>16</v>
      </c>
      <c r="H481" t="s">
        <v>17</v>
      </c>
      <c r="I481" t="s">
        <v>14</v>
      </c>
    </row>
    <row r="482" spans="1:23">
      <c r="A482" s="10">
        <v>1.4999999999999999E-2</v>
      </c>
      <c r="B482">
        <v>1.0089999999999999</v>
      </c>
      <c r="C482">
        <v>0.36599999999999999</v>
      </c>
      <c r="D482">
        <v>0.223</v>
      </c>
      <c r="E482">
        <v>12.62</v>
      </c>
      <c r="F482">
        <v>-0.1086</v>
      </c>
      <c r="G482">
        <v>0</v>
      </c>
      <c r="H482">
        <v>10</v>
      </c>
      <c r="I482">
        <v>0.02</v>
      </c>
      <c r="K482" t="str">
        <f t="shared" ref="K482" si="60">CONCATENATE("    - ",TEXT(A482,"0.000"))</f>
        <v xml:space="preserve">    - 0.015</v>
      </c>
      <c r="L482" t="str">
        <f t="shared" ref="L482" si="61">CONCATENATE("    - [",TEXT(B482,"0.000"),", ",TEXT(C482,"0.000"),", ",TEXT(D482,"0.000"),", ",TEXT(E482,"0.00"),", ",TEXT(F482,"0.0000"),"]")</f>
        <v xml:space="preserve">    - [1.009, 0.366, 0.223, 12.62, -0.1086]</v>
      </c>
      <c r="O482">
        <f>A482-'DLC Buildup Factors'!G814</f>
        <v>0</v>
      </c>
      <c r="P482">
        <f>B482-'DLC Buildup Factors'!H814</f>
        <v>0</v>
      </c>
      <c r="Q482">
        <f>C482-'DLC Buildup Factors'!I814</f>
        <v>0</v>
      </c>
      <c r="R482">
        <f>D482-'DLC Buildup Factors'!J814</f>
        <v>0</v>
      </c>
      <c r="S482">
        <f>E482-'DLC Buildup Factors'!K814</f>
        <v>0</v>
      </c>
      <c r="T482">
        <f>F482-'DLC Buildup Factors'!L814</f>
        <v>0</v>
      </c>
      <c r="U482">
        <f>G482-'DLC Buildup Factors'!M814</f>
        <v>0</v>
      </c>
      <c r="V482">
        <f>H482-'DLC Buildup Factors'!N814</f>
        <v>0</v>
      </c>
      <c r="W482">
        <f>I482-'DLC Buildup Factors'!O814</f>
        <v>0</v>
      </c>
    </row>
    <row r="483" spans="1:23">
      <c r="A483" s="10">
        <v>1.9E-2</v>
      </c>
      <c r="B483">
        <v>1.0169999999999999</v>
      </c>
      <c r="C483">
        <v>0.38300000000000001</v>
      </c>
      <c r="D483">
        <v>0.193</v>
      </c>
      <c r="E483">
        <v>15.61</v>
      </c>
      <c r="F483">
        <v>-6.7199999999999996E-2</v>
      </c>
      <c r="G483">
        <v>0</v>
      </c>
      <c r="H483">
        <v>2</v>
      </c>
      <c r="I483">
        <v>0.02</v>
      </c>
      <c r="K483" t="str">
        <f t="shared" ref="K483:K513" si="62">CONCATENATE("    - ",TEXT(A483,"0.000"))</f>
        <v xml:space="preserve">    - 0.019</v>
      </c>
      <c r="L483" t="str">
        <f t="shared" ref="L483:L513" si="63">CONCATENATE("    - [",TEXT(B483,"0.000"),", ",TEXT(C483,"0.000"),", ",TEXT(D483,"0.000"),", ",TEXT(E483,"0.00"),", ",TEXT(F483,"0.0000"),"]")</f>
        <v xml:space="preserve">    - [1.017, 0.383, 0.193, 15.61, -0.0672]</v>
      </c>
      <c r="O483">
        <f>A483-'DLC Buildup Factors'!G815</f>
        <v>0</v>
      </c>
      <c r="P483">
        <f>B483-'DLC Buildup Factors'!H815</f>
        <v>0</v>
      </c>
      <c r="Q483">
        <f>C483-'DLC Buildup Factors'!I815</f>
        <v>0</v>
      </c>
      <c r="R483">
        <f>D483-'DLC Buildup Factors'!J815</f>
        <v>0</v>
      </c>
      <c r="S483">
        <f>E483-'DLC Buildup Factors'!K815</f>
        <v>0</v>
      </c>
      <c r="T483">
        <f>F483-'DLC Buildup Factors'!L815</f>
        <v>0</v>
      </c>
      <c r="U483">
        <f>G483-'DLC Buildup Factors'!M815</f>
        <v>0</v>
      </c>
      <c r="V483">
        <f>H483-'DLC Buildup Factors'!N815</f>
        <v>0</v>
      </c>
      <c r="W483">
        <f>I483-'DLC Buildup Factors'!O815</f>
        <v>0</v>
      </c>
    </row>
    <row r="484" spans="1:23">
      <c r="A484" s="10">
        <v>0.02</v>
      </c>
      <c r="B484">
        <v>2.556</v>
      </c>
      <c r="C484">
        <v>2.0270000000000001</v>
      </c>
      <c r="D484">
        <v>2.3E-2</v>
      </c>
      <c r="E484">
        <v>13.3</v>
      </c>
      <c r="F484">
        <v>-1.23E-2</v>
      </c>
      <c r="G484">
        <v>9.6999999999999993</v>
      </c>
      <c r="H484">
        <v>3</v>
      </c>
      <c r="I484">
        <v>4.62</v>
      </c>
      <c r="K484" t="str">
        <f t="shared" si="62"/>
        <v xml:space="preserve">    - 0.020</v>
      </c>
      <c r="L484" t="str">
        <f t="shared" si="63"/>
        <v xml:space="preserve">    - [2.556, 2.027, 0.023, 13.30, -0.0123]</v>
      </c>
      <c r="O484">
        <f>A484-'DLC Buildup Factors'!G816</f>
        <v>0</v>
      </c>
      <c r="P484">
        <f>B484-'DLC Buildup Factors'!H816</f>
        <v>0</v>
      </c>
      <c r="Q484">
        <f>C484-'DLC Buildup Factors'!I816</f>
        <v>0</v>
      </c>
      <c r="R484">
        <f>D484-'DLC Buildup Factors'!J816</f>
        <v>0</v>
      </c>
      <c r="S484">
        <f>E484-'DLC Buildup Factors'!K816</f>
        <v>0</v>
      </c>
      <c r="T484">
        <f>F484-'DLC Buildup Factors'!L816</f>
        <v>0</v>
      </c>
      <c r="U484">
        <f>G484-'DLC Buildup Factors'!M816</f>
        <v>0</v>
      </c>
      <c r="V484">
        <f>H484-'DLC Buildup Factors'!N816</f>
        <v>0</v>
      </c>
      <c r="W484">
        <f>I484-'DLC Buildup Factors'!O816</f>
        <v>0</v>
      </c>
    </row>
    <row r="485" spans="1:23">
      <c r="A485" s="10">
        <v>2.1000000000000001E-2</v>
      </c>
      <c r="B485">
        <v>2.758</v>
      </c>
      <c r="C485">
        <v>1.901</v>
      </c>
      <c r="D485">
        <v>3.5999999999999997E-2</v>
      </c>
      <c r="E485">
        <v>10.61</v>
      </c>
      <c r="F485">
        <v>-2.86E-2</v>
      </c>
      <c r="G485">
        <v>10.7</v>
      </c>
      <c r="H485">
        <v>3</v>
      </c>
      <c r="I485">
        <v>4.71</v>
      </c>
      <c r="K485" t="str">
        <f t="shared" si="62"/>
        <v xml:space="preserve">    - 0.021</v>
      </c>
      <c r="L485" t="str">
        <f t="shared" si="63"/>
        <v xml:space="preserve">    - [2.758, 1.901, 0.036, 10.61, -0.0286]</v>
      </c>
      <c r="O485">
        <f>A485-'DLC Buildup Factors'!G817</f>
        <v>0</v>
      </c>
      <c r="P485">
        <f>B485-'DLC Buildup Factors'!H817</f>
        <v>0</v>
      </c>
      <c r="Q485">
        <f>C485-'DLC Buildup Factors'!I817</f>
        <v>0</v>
      </c>
      <c r="R485">
        <f>D485-'DLC Buildup Factors'!J817</f>
        <v>0</v>
      </c>
      <c r="S485">
        <f>E485-'DLC Buildup Factors'!K817</f>
        <v>0</v>
      </c>
      <c r="T485">
        <f>F485-'DLC Buildup Factors'!L817</f>
        <v>0</v>
      </c>
      <c r="U485">
        <f>G485-'DLC Buildup Factors'!M817</f>
        <v>0</v>
      </c>
      <c r="V485">
        <f>H485-'DLC Buildup Factors'!N817</f>
        <v>0</v>
      </c>
      <c r="W485">
        <f>I485-'DLC Buildup Factors'!O817</f>
        <v>0</v>
      </c>
    </row>
    <row r="486" spans="1:23">
      <c r="A486" s="10">
        <v>2.1999999999999999E-2</v>
      </c>
      <c r="B486">
        <v>2.9769999999999999</v>
      </c>
      <c r="C486">
        <v>1.762</v>
      </c>
      <c r="D486">
        <v>5.0999999999999997E-2</v>
      </c>
      <c r="E486">
        <v>10.41</v>
      </c>
      <c r="F486">
        <v>-4.2700000000000002E-2</v>
      </c>
      <c r="G486">
        <v>12.4</v>
      </c>
      <c r="H486">
        <v>3</v>
      </c>
      <c r="I486">
        <v>5.32</v>
      </c>
      <c r="K486" t="str">
        <f t="shared" si="62"/>
        <v xml:space="preserve">    - 0.022</v>
      </c>
      <c r="L486" t="str">
        <f t="shared" si="63"/>
        <v xml:space="preserve">    - [2.977, 1.762, 0.051, 10.41, -0.0427]</v>
      </c>
      <c r="O486">
        <f>A486-'DLC Buildup Factors'!G818</f>
        <v>0</v>
      </c>
      <c r="P486">
        <f>B486-'DLC Buildup Factors'!H818</f>
        <v>0</v>
      </c>
      <c r="Q486">
        <f>C486-'DLC Buildup Factors'!I818</f>
        <v>0</v>
      </c>
      <c r="R486">
        <f>D486-'DLC Buildup Factors'!J818</f>
        <v>0</v>
      </c>
      <c r="S486">
        <f>E486-'DLC Buildup Factors'!K818</f>
        <v>0</v>
      </c>
      <c r="T486">
        <f>F486-'DLC Buildup Factors'!L818</f>
        <v>0</v>
      </c>
      <c r="U486">
        <f>G486-'DLC Buildup Factors'!M818</f>
        <v>0</v>
      </c>
      <c r="V486">
        <f>H486-'DLC Buildup Factors'!N818</f>
        <v>0</v>
      </c>
      <c r="W486">
        <f>I486-'DLC Buildup Factors'!O818</f>
        <v>0</v>
      </c>
    </row>
    <row r="487" spans="1:23">
      <c r="A487" s="10">
        <v>2.4E-2</v>
      </c>
      <c r="B487">
        <v>3.266</v>
      </c>
      <c r="C487">
        <v>1.5840000000000001</v>
      </c>
      <c r="D487">
        <v>6.5000000000000002E-2</v>
      </c>
      <c r="E487">
        <v>10.029999999999999</v>
      </c>
      <c r="F487">
        <v>-4.3999999999999997E-2</v>
      </c>
      <c r="G487">
        <v>12.5</v>
      </c>
      <c r="H487">
        <v>3</v>
      </c>
      <c r="I487">
        <v>5.5</v>
      </c>
      <c r="K487" t="str">
        <f t="shared" si="62"/>
        <v xml:space="preserve">    - 0.024</v>
      </c>
      <c r="L487" t="str">
        <f t="shared" si="63"/>
        <v xml:space="preserve">    - [3.266, 1.584, 0.065, 10.03, -0.0440]</v>
      </c>
      <c r="O487">
        <f>A487-'DLC Buildup Factors'!G819</f>
        <v>0</v>
      </c>
      <c r="P487">
        <f>B487-'DLC Buildup Factors'!H819</f>
        <v>0</v>
      </c>
      <c r="Q487">
        <f>C487-'DLC Buildup Factors'!I819</f>
        <v>0</v>
      </c>
      <c r="R487">
        <f>D487-'DLC Buildup Factors'!J819</f>
        <v>0</v>
      </c>
      <c r="S487">
        <f>E487-'DLC Buildup Factors'!K819</f>
        <v>0</v>
      </c>
      <c r="T487">
        <f>F487-'DLC Buildup Factors'!L819</f>
        <v>0</v>
      </c>
      <c r="U487">
        <f>G487-'DLC Buildup Factors'!M819</f>
        <v>0</v>
      </c>
      <c r="V487">
        <f>H487-'DLC Buildup Factors'!N819</f>
        <v>0</v>
      </c>
      <c r="W487">
        <f>I487-'DLC Buildup Factors'!O819</f>
        <v>0</v>
      </c>
    </row>
    <row r="488" spans="1:23">
      <c r="A488" s="10">
        <v>2.5999999999999999E-2</v>
      </c>
      <c r="B488">
        <v>3.29</v>
      </c>
      <c r="C488">
        <v>1.4990000000000001</v>
      </c>
      <c r="D488">
        <v>5.8999999999999997E-2</v>
      </c>
      <c r="E488">
        <v>34.29</v>
      </c>
      <c r="F488">
        <v>-0.10150000000000001</v>
      </c>
      <c r="G488">
        <v>10.5</v>
      </c>
      <c r="H488">
        <v>40</v>
      </c>
      <c r="I488">
        <v>5.65</v>
      </c>
      <c r="K488" t="str">
        <f t="shared" si="62"/>
        <v xml:space="preserve">    - 0.026</v>
      </c>
      <c r="L488" t="str">
        <f t="shared" si="63"/>
        <v xml:space="preserve">    - [3.290, 1.499, 0.059, 34.29, -0.1015]</v>
      </c>
      <c r="O488">
        <f>A488-'DLC Buildup Factors'!G820</f>
        <v>0</v>
      </c>
      <c r="P488">
        <f>B488-'DLC Buildup Factors'!H820</f>
        <v>0</v>
      </c>
      <c r="Q488">
        <f>C488-'DLC Buildup Factors'!I820</f>
        <v>0</v>
      </c>
      <c r="R488">
        <f>D488-'DLC Buildup Factors'!J820</f>
        <v>0</v>
      </c>
      <c r="S488">
        <f>E488-'DLC Buildup Factors'!K820</f>
        <v>0</v>
      </c>
      <c r="T488">
        <f>F488-'DLC Buildup Factors'!L820</f>
        <v>0</v>
      </c>
      <c r="U488">
        <f>G488-'DLC Buildup Factors'!M820</f>
        <v>0</v>
      </c>
      <c r="V488">
        <f>H488-'DLC Buildup Factors'!N820</f>
        <v>0</v>
      </c>
      <c r="W488">
        <f>I488-'DLC Buildup Factors'!O820</f>
        <v>0</v>
      </c>
    </row>
    <row r="489" spans="1:23">
      <c r="A489" s="10">
        <v>2.8000000000000001E-2</v>
      </c>
      <c r="B489">
        <v>3.6379999999999999</v>
      </c>
      <c r="C489">
        <v>1.258</v>
      </c>
      <c r="D489">
        <v>8.8999999999999996E-2</v>
      </c>
      <c r="E489">
        <v>28.63</v>
      </c>
      <c r="F489">
        <v>-0.1109</v>
      </c>
      <c r="G489">
        <v>9.5</v>
      </c>
      <c r="H489">
        <v>3</v>
      </c>
      <c r="I489">
        <v>4.5199999999999996</v>
      </c>
      <c r="K489" t="str">
        <f t="shared" si="62"/>
        <v xml:space="preserve">    - 0.028</v>
      </c>
      <c r="L489" t="str">
        <f t="shared" si="63"/>
        <v xml:space="preserve">    - [3.638, 1.258, 0.089, 28.63, -0.1109]</v>
      </c>
      <c r="O489">
        <f>A489-'DLC Buildup Factors'!G821</f>
        <v>0</v>
      </c>
      <c r="P489">
        <f>B489-'DLC Buildup Factors'!H821</f>
        <v>0</v>
      </c>
      <c r="Q489">
        <f>C489-'DLC Buildup Factors'!I821</f>
        <v>0</v>
      </c>
      <c r="R489">
        <f>D489-'DLC Buildup Factors'!J821</f>
        <v>0</v>
      </c>
      <c r="S489">
        <f>E489-'DLC Buildup Factors'!K821</f>
        <v>0</v>
      </c>
      <c r="T489">
        <f>F489-'DLC Buildup Factors'!L821</f>
        <v>0</v>
      </c>
      <c r="U489">
        <f>G489-'DLC Buildup Factors'!M821</f>
        <v>0</v>
      </c>
      <c r="V489">
        <f>H489-'DLC Buildup Factors'!N821</f>
        <v>0</v>
      </c>
      <c r="W489">
        <f>I489-'DLC Buildup Factors'!O821</f>
        <v>0</v>
      </c>
    </row>
    <row r="490" spans="1:23">
      <c r="A490" s="10">
        <v>0.03</v>
      </c>
      <c r="B490">
        <v>3.6419999999999999</v>
      </c>
      <c r="C490">
        <v>1.0920000000000001</v>
      </c>
      <c r="D490">
        <v>0.109</v>
      </c>
      <c r="E490">
        <v>32.14</v>
      </c>
      <c r="F490">
        <v>-0.2177</v>
      </c>
      <c r="G490">
        <v>6.6</v>
      </c>
      <c r="H490">
        <v>0.5</v>
      </c>
      <c r="I490">
        <v>3.4</v>
      </c>
      <c r="K490" t="str">
        <f t="shared" si="62"/>
        <v xml:space="preserve">    - 0.030</v>
      </c>
      <c r="L490" t="str">
        <f t="shared" si="63"/>
        <v xml:space="preserve">    - [3.642, 1.092, 0.109, 32.14, -0.2177]</v>
      </c>
      <c r="O490">
        <f>A490-'DLC Buildup Factors'!G822</f>
        <v>0</v>
      </c>
      <c r="P490">
        <f>B490-'DLC Buildup Factors'!H822</f>
        <v>0</v>
      </c>
      <c r="Q490">
        <f>C490-'DLC Buildup Factors'!I822</f>
        <v>0</v>
      </c>
      <c r="R490">
        <f>D490-'DLC Buildup Factors'!J822</f>
        <v>0</v>
      </c>
      <c r="S490">
        <f>E490-'DLC Buildup Factors'!K822</f>
        <v>0</v>
      </c>
      <c r="T490">
        <f>F490-'DLC Buildup Factors'!L822</f>
        <v>0</v>
      </c>
      <c r="U490">
        <f>G490-'DLC Buildup Factors'!M822</f>
        <v>0</v>
      </c>
      <c r="V490">
        <f>H490-'DLC Buildup Factors'!N822</f>
        <v>0</v>
      </c>
      <c r="W490">
        <f>I490-'DLC Buildup Factors'!O822</f>
        <v>0</v>
      </c>
    </row>
    <row r="491" spans="1:23">
      <c r="A491" s="10">
        <v>3.5000000000000003E-2</v>
      </c>
      <c r="B491">
        <v>3.9580000000000002</v>
      </c>
      <c r="C491">
        <v>0.52900000000000003</v>
      </c>
      <c r="D491">
        <v>0.25900000000000001</v>
      </c>
      <c r="E491">
        <v>17.14</v>
      </c>
      <c r="F491">
        <v>-0.2127</v>
      </c>
      <c r="G491">
        <v>2</v>
      </c>
      <c r="H491">
        <v>0.5</v>
      </c>
      <c r="I491">
        <v>0.94</v>
      </c>
      <c r="K491" t="str">
        <f t="shared" si="62"/>
        <v xml:space="preserve">    - 0.035</v>
      </c>
      <c r="L491" t="str">
        <f t="shared" si="63"/>
        <v xml:space="preserve">    - [3.958, 0.529, 0.259, 17.14, -0.2127]</v>
      </c>
      <c r="O491">
        <f>A491-'DLC Buildup Factors'!G823</f>
        <v>0</v>
      </c>
      <c r="P491">
        <f>B491-'DLC Buildup Factors'!H823</f>
        <v>0</v>
      </c>
      <c r="Q491">
        <f>C491-'DLC Buildup Factors'!I823</f>
        <v>0</v>
      </c>
      <c r="R491">
        <f>D491-'DLC Buildup Factors'!J823</f>
        <v>0</v>
      </c>
      <c r="S491">
        <f>E491-'DLC Buildup Factors'!K823</f>
        <v>0</v>
      </c>
      <c r="T491">
        <f>F491-'DLC Buildup Factors'!L823</f>
        <v>0</v>
      </c>
      <c r="U491">
        <f>G491-'DLC Buildup Factors'!M823</f>
        <v>0</v>
      </c>
      <c r="V491">
        <f>H491-'DLC Buildup Factors'!N823</f>
        <v>0</v>
      </c>
      <c r="W491">
        <f>I491-'DLC Buildup Factors'!O823</f>
        <v>0</v>
      </c>
    </row>
    <row r="492" spans="1:23">
      <c r="A492" s="10">
        <v>0.04</v>
      </c>
      <c r="B492">
        <v>3.9409999999999998</v>
      </c>
      <c r="C492">
        <v>0.32200000000000001</v>
      </c>
      <c r="D492">
        <v>8.7999999999999995E-2</v>
      </c>
      <c r="E492">
        <v>23.37</v>
      </c>
      <c r="F492">
        <v>-3.2099999999999997E-2</v>
      </c>
      <c r="G492">
        <v>0.9</v>
      </c>
      <c r="H492">
        <v>10</v>
      </c>
      <c r="I492">
        <v>0.45</v>
      </c>
      <c r="K492" t="str">
        <f t="shared" si="62"/>
        <v xml:space="preserve">    - 0.040</v>
      </c>
      <c r="L492" t="str">
        <f t="shared" si="63"/>
        <v xml:space="preserve">    - [3.941, 0.322, 0.088, 23.37, -0.0321]</v>
      </c>
      <c r="O492">
        <f>A492-'DLC Buildup Factors'!G824</f>
        <v>0</v>
      </c>
      <c r="P492">
        <f>B492-'DLC Buildup Factors'!H824</f>
        <v>0</v>
      </c>
      <c r="Q492">
        <f>C492-'DLC Buildup Factors'!I824</f>
        <v>0</v>
      </c>
      <c r="R492">
        <f>D492-'DLC Buildup Factors'!J824</f>
        <v>0</v>
      </c>
      <c r="S492">
        <f>E492-'DLC Buildup Factors'!K824</f>
        <v>0</v>
      </c>
      <c r="T492">
        <f>F492-'DLC Buildup Factors'!L824</f>
        <v>0</v>
      </c>
      <c r="U492">
        <f>G492-'DLC Buildup Factors'!M824</f>
        <v>0</v>
      </c>
      <c r="V492">
        <f>H492-'DLC Buildup Factors'!N824</f>
        <v>0</v>
      </c>
      <c r="W492">
        <f>I492-'DLC Buildup Factors'!O824</f>
        <v>0</v>
      </c>
    </row>
    <row r="493" spans="1:23">
      <c r="A493" s="10">
        <v>0.05</v>
      </c>
      <c r="B493">
        <v>3.109</v>
      </c>
      <c r="C493">
        <v>3.7999999999999999E-2</v>
      </c>
      <c r="D493">
        <v>-0.317</v>
      </c>
      <c r="E493">
        <v>11.96</v>
      </c>
      <c r="F493">
        <v>5.5800000000000002E-2</v>
      </c>
      <c r="G493">
        <v>2.2000000000000002</v>
      </c>
      <c r="H493">
        <v>1</v>
      </c>
      <c r="I493">
        <v>0.95</v>
      </c>
      <c r="K493" t="str">
        <f t="shared" si="62"/>
        <v xml:space="preserve">    - 0.050</v>
      </c>
      <c r="L493" t="str">
        <f t="shared" si="63"/>
        <v xml:space="preserve">    - [3.109, 0.038, -0.317, 11.96, 0.0558]</v>
      </c>
      <c r="O493">
        <f>A493-'DLC Buildup Factors'!G825</f>
        <v>0</v>
      </c>
      <c r="P493">
        <f>B493-'DLC Buildup Factors'!H825</f>
        <v>0</v>
      </c>
      <c r="Q493">
        <f>C493-'DLC Buildup Factors'!I825</f>
        <v>0</v>
      </c>
      <c r="R493">
        <f>D493-'DLC Buildup Factors'!J825</f>
        <v>0</v>
      </c>
      <c r="S493">
        <f>E493-'DLC Buildup Factors'!K825</f>
        <v>0</v>
      </c>
      <c r="T493">
        <f>F493-'DLC Buildup Factors'!L825</f>
        <v>0</v>
      </c>
      <c r="U493">
        <f>G493-'DLC Buildup Factors'!M825</f>
        <v>0</v>
      </c>
      <c r="V493">
        <f>H493-'DLC Buildup Factors'!N825</f>
        <v>0</v>
      </c>
      <c r="W493">
        <f>I493-'DLC Buildup Factors'!O825</f>
        <v>0</v>
      </c>
    </row>
    <row r="494" spans="1:23">
      <c r="A494" s="10">
        <v>0.06</v>
      </c>
      <c r="B494">
        <v>2.4079999999999999</v>
      </c>
      <c r="C494">
        <v>4.0000000000000001E-3</v>
      </c>
      <c r="D494">
        <v>1.103</v>
      </c>
      <c r="E494">
        <v>17.52</v>
      </c>
      <c r="F494">
        <v>-0.1479</v>
      </c>
      <c r="G494">
        <v>1.3</v>
      </c>
      <c r="H494">
        <v>1</v>
      </c>
      <c r="I494">
        <v>0.42</v>
      </c>
      <c r="K494" t="str">
        <f t="shared" si="62"/>
        <v xml:space="preserve">    - 0.060</v>
      </c>
      <c r="L494" t="str">
        <f t="shared" si="63"/>
        <v xml:space="preserve">    - [2.408, 0.004, 1.103, 17.52, -0.1479]</v>
      </c>
      <c r="O494">
        <f>A494-'DLC Buildup Factors'!G826</f>
        <v>0</v>
      </c>
      <c r="P494">
        <f>B494-'DLC Buildup Factors'!H826</f>
        <v>0</v>
      </c>
      <c r="Q494">
        <f>C494-'DLC Buildup Factors'!I826</f>
        <v>0</v>
      </c>
      <c r="R494">
        <f>D494-'DLC Buildup Factors'!J826</f>
        <v>0</v>
      </c>
      <c r="S494">
        <f>E494-'DLC Buildup Factors'!K826</f>
        <v>0</v>
      </c>
      <c r="T494">
        <f>F494-'DLC Buildup Factors'!L826</f>
        <v>0</v>
      </c>
      <c r="U494">
        <f>G494-'DLC Buildup Factors'!M826</f>
        <v>0</v>
      </c>
      <c r="V494">
        <f>H494-'DLC Buildup Factors'!N826</f>
        <v>0</v>
      </c>
      <c r="W494">
        <f>I494-'DLC Buildup Factors'!O826</f>
        <v>0</v>
      </c>
    </row>
    <row r="495" spans="1:23">
      <c r="A495" s="10">
        <v>0.08</v>
      </c>
      <c r="B495">
        <v>1.661</v>
      </c>
      <c r="C495">
        <v>3.3000000000000002E-2</v>
      </c>
      <c r="D495">
        <v>0.76700000000000002</v>
      </c>
      <c r="E495">
        <v>14.4</v>
      </c>
      <c r="F495">
        <v>-0.25600000000000001</v>
      </c>
      <c r="G495">
        <v>1.8</v>
      </c>
      <c r="H495">
        <v>0.5</v>
      </c>
      <c r="I495">
        <v>0.76</v>
      </c>
      <c r="K495" t="str">
        <f t="shared" si="62"/>
        <v xml:space="preserve">    - 0.080</v>
      </c>
      <c r="L495" t="str">
        <f t="shared" si="63"/>
        <v xml:space="preserve">    - [1.661, 0.033, 0.767, 14.40, -0.2560]</v>
      </c>
      <c r="O495">
        <f>A495-'DLC Buildup Factors'!G827</f>
        <v>0</v>
      </c>
      <c r="P495">
        <f>B495-'DLC Buildup Factors'!H827</f>
        <v>0</v>
      </c>
      <c r="Q495">
        <f>C495-'DLC Buildup Factors'!I827</f>
        <v>0</v>
      </c>
      <c r="R495">
        <f>D495-'DLC Buildup Factors'!J827</f>
        <v>0</v>
      </c>
      <c r="S495">
        <f>E495-'DLC Buildup Factors'!K827</f>
        <v>0</v>
      </c>
      <c r="T495">
        <f>F495-'DLC Buildup Factors'!L827</f>
        <v>0</v>
      </c>
      <c r="U495">
        <f>G495-'DLC Buildup Factors'!M827</f>
        <v>0</v>
      </c>
      <c r="V495">
        <f>H495-'DLC Buildup Factors'!N827</f>
        <v>0</v>
      </c>
      <c r="W495">
        <f>I495-'DLC Buildup Factors'!O827</f>
        <v>0</v>
      </c>
    </row>
    <row r="496" spans="1:23">
      <c r="A496" s="10">
        <v>0.1</v>
      </c>
      <c r="B496">
        <v>1.1579999999999999</v>
      </c>
      <c r="C496">
        <v>0.3</v>
      </c>
      <c r="D496">
        <v>0.28999999999999998</v>
      </c>
      <c r="E496">
        <v>13.75</v>
      </c>
      <c r="F496">
        <v>-0.15540000000000001</v>
      </c>
      <c r="G496">
        <v>1.1000000000000001</v>
      </c>
      <c r="H496">
        <v>0.5</v>
      </c>
      <c r="I496">
        <v>0.44</v>
      </c>
      <c r="K496" t="str">
        <f t="shared" si="62"/>
        <v xml:space="preserve">    - 0.100</v>
      </c>
      <c r="L496" t="str">
        <f t="shared" si="63"/>
        <v xml:space="preserve">    - [1.158, 0.300, 0.290, 13.75, -0.1554]</v>
      </c>
      <c r="O496">
        <f>A496-'DLC Buildup Factors'!G828</f>
        <v>0</v>
      </c>
      <c r="P496">
        <f>B496-'DLC Buildup Factors'!H828</f>
        <v>0</v>
      </c>
      <c r="Q496">
        <f>C496-'DLC Buildup Factors'!I828</f>
        <v>0</v>
      </c>
      <c r="R496">
        <f>D496-'DLC Buildup Factors'!J828</f>
        <v>0</v>
      </c>
      <c r="S496">
        <f>E496-'DLC Buildup Factors'!K828</f>
        <v>0</v>
      </c>
      <c r="T496">
        <f>F496-'DLC Buildup Factors'!L828</f>
        <v>0</v>
      </c>
      <c r="U496">
        <f>G496-'DLC Buildup Factors'!M828</f>
        <v>0</v>
      </c>
      <c r="V496">
        <f>H496-'DLC Buildup Factors'!N828</f>
        <v>0</v>
      </c>
      <c r="W496">
        <f>I496-'DLC Buildup Factors'!O828</f>
        <v>0</v>
      </c>
    </row>
    <row r="497" spans="1:23">
      <c r="A497" s="10">
        <v>0.15</v>
      </c>
      <c r="B497">
        <v>1.2410000000000001</v>
      </c>
      <c r="C497">
        <v>0.49</v>
      </c>
      <c r="D497">
        <v>0.17399999999999999</v>
      </c>
      <c r="E497">
        <v>14.42</v>
      </c>
      <c r="F497">
        <v>-9.01E-2</v>
      </c>
      <c r="G497">
        <v>0.8</v>
      </c>
      <c r="H497">
        <v>0.5</v>
      </c>
      <c r="I497">
        <v>0.41</v>
      </c>
      <c r="K497" t="str">
        <f t="shared" si="62"/>
        <v xml:space="preserve">    - 0.150</v>
      </c>
      <c r="L497" t="str">
        <f t="shared" si="63"/>
        <v xml:space="preserve">    - [1.241, 0.490, 0.174, 14.42, -0.0901]</v>
      </c>
      <c r="O497">
        <f>A497-'DLC Buildup Factors'!G829</f>
        <v>0</v>
      </c>
      <c r="P497">
        <f>B497-'DLC Buildup Factors'!H829</f>
        <v>0</v>
      </c>
      <c r="Q497">
        <f>C497-'DLC Buildup Factors'!I829</f>
        <v>0</v>
      </c>
      <c r="R497">
        <f>D497-'DLC Buildup Factors'!J829</f>
        <v>0</v>
      </c>
      <c r="S497">
        <f>E497-'DLC Buildup Factors'!K829</f>
        <v>0</v>
      </c>
      <c r="T497">
        <f>F497-'DLC Buildup Factors'!L829</f>
        <v>0</v>
      </c>
      <c r="U497">
        <f>G497-'DLC Buildup Factors'!M829</f>
        <v>0</v>
      </c>
      <c r="V497">
        <f>H497-'DLC Buildup Factors'!N829</f>
        <v>0</v>
      </c>
      <c r="W497">
        <f>I497-'DLC Buildup Factors'!O829</f>
        <v>0</v>
      </c>
    </row>
    <row r="498" spans="1:23">
      <c r="A498" s="10">
        <v>0.2</v>
      </c>
      <c r="B498">
        <v>1.474</v>
      </c>
      <c r="C498">
        <v>0.51400000000000001</v>
      </c>
      <c r="D498">
        <v>0.17299999999999999</v>
      </c>
      <c r="E498">
        <v>14.29</v>
      </c>
      <c r="F498">
        <v>-9.9299999999999999E-2</v>
      </c>
      <c r="G498">
        <v>2.1</v>
      </c>
      <c r="H498">
        <v>0.5</v>
      </c>
      <c r="I498">
        <v>0.84</v>
      </c>
      <c r="K498" t="str">
        <f t="shared" si="62"/>
        <v xml:space="preserve">    - 0.200</v>
      </c>
      <c r="L498" t="str">
        <f t="shared" si="63"/>
        <v xml:space="preserve">    - [1.474, 0.514, 0.173, 14.29, -0.0993]</v>
      </c>
      <c r="O498">
        <f>A498-'DLC Buildup Factors'!G830</f>
        <v>0</v>
      </c>
      <c r="P498">
        <f>B498-'DLC Buildup Factors'!H830</f>
        <v>0</v>
      </c>
      <c r="Q498">
        <f>C498-'DLC Buildup Factors'!I830</f>
        <v>0</v>
      </c>
      <c r="R498">
        <f>D498-'DLC Buildup Factors'!J830</f>
        <v>0</v>
      </c>
      <c r="S498">
        <f>E498-'DLC Buildup Factors'!K830</f>
        <v>0</v>
      </c>
      <c r="T498">
        <f>F498-'DLC Buildup Factors'!L830</f>
        <v>0</v>
      </c>
      <c r="U498">
        <f>G498-'DLC Buildup Factors'!M830</f>
        <v>0</v>
      </c>
      <c r="V498">
        <f>H498-'DLC Buildup Factors'!N830</f>
        <v>0</v>
      </c>
      <c r="W498">
        <f>I498-'DLC Buildup Factors'!O830</f>
        <v>0</v>
      </c>
    </row>
    <row r="499" spans="1:23">
      <c r="A499" s="10">
        <v>0.3</v>
      </c>
      <c r="B499">
        <v>1.589</v>
      </c>
      <c r="C499">
        <v>0.73299999999999998</v>
      </c>
      <c r="D499">
        <v>0.08</v>
      </c>
      <c r="E499">
        <v>14.49</v>
      </c>
      <c r="F499">
        <v>-4.2799999999999998E-2</v>
      </c>
      <c r="G499">
        <v>0.9</v>
      </c>
      <c r="H499">
        <v>5</v>
      </c>
      <c r="I499">
        <v>0.39</v>
      </c>
      <c r="K499" t="str">
        <f t="shared" si="62"/>
        <v xml:space="preserve">    - 0.300</v>
      </c>
      <c r="L499" t="str">
        <f t="shared" si="63"/>
        <v xml:space="preserve">    - [1.589, 0.733, 0.080, 14.49, -0.0428]</v>
      </c>
      <c r="O499">
        <f>A499-'DLC Buildup Factors'!G831</f>
        <v>0</v>
      </c>
      <c r="P499">
        <f>B499-'DLC Buildup Factors'!H831</f>
        <v>0</v>
      </c>
      <c r="Q499">
        <f>C499-'DLC Buildup Factors'!I831</f>
        <v>0</v>
      </c>
      <c r="R499">
        <f>D499-'DLC Buildup Factors'!J831</f>
        <v>0</v>
      </c>
      <c r="S499">
        <f>E499-'DLC Buildup Factors'!K831</f>
        <v>0</v>
      </c>
      <c r="T499">
        <f>F499-'DLC Buildup Factors'!L831</f>
        <v>0</v>
      </c>
      <c r="U499">
        <f>G499-'DLC Buildup Factors'!M831</f>
        <v>0</v>
      </c>
      <c r="V499">
        <f>H499-'DLC Buildup Factors'!N831</f>
        <v>0</v>
      </c>
      <c r="W499">
        <f>I499-'DLC Buildup Factors'!O831</f>
        <v>0</v>
      </c>
    </row>
    <row r="500" spans="1:23">
      <c r="A500" s="10">
        <v>0.4</v>
      </c>
      <c r="B500">
        <v>1.7110000000000001</v>
      </c>
      <c r="C500">
        <v>0.89100000000000001</v>
      </c>
      <c r="D500">
        <v>3.7999999999999999E-2</v>
      </c>
      <c r="E500">
        <v>14.18</v>
      </c>
      <c r="F500">
        <v>-3.3300000000000003E-2</v>
      </c>
      <c r="G500">
        <v>1</v>
      </c>
      <c r="H500">
        <v>5</v>
      </c>
      <c r="I500">
        <v>0.48</v>
      </c>
      <c r="K500" t="str">
        <f t="shared" si="62"/>
        <v xml:space="preserve">    - 0.400</v>
      </c>
      <c r="L500" t="str">
        <f t="shared" si="63"/>
        <v xml:space="preserve">    - [1.711, 0.891, 0.038, 14.18, -0.0333]</v>
      </c>
      <c r="O500">
        <f>A500-'DLC Buildup Factors'!G832</f>
        <v>0</v>
      </c>
      <c r="P500">
        <f>B500-'DLC Buildup Factors'!H832</f>
        <v>0</v>
      </c>
      <c r="Q500">
        <f>C500-'DLC Buildup Factors'!I832</f>
        <v>0</v>
      </c>
      <c r="R500">
        <f>D500-'DLC Buildup Factors'!J832</f>
        <v>0</v>
      </c>
      <c r="S500">
        <f>E500-'DLC Buildup Factors'!K832</f>
        <v>0</v>
      </c>
      <c r="T500">
        <f>F500-'DLC Buildup Factors'!L832</f>
        <v>0</v>
      </c>
      <c r="U500">
        <f>G500-'DLC Buildup Factors'!M832</f>
        <v>0</v>
      </c>
      <c r="V500">
        <f>H500-'DLC Buildup Factors'!N832</f>
        <v>0</v>
      </c>
      <c r="W500">
        <f>I500-'DLC Buildup Factors'!O832</f>
        <v>0</v>
      </c>
    </row>
    <row r="501" spans="1:23">
      <c r="A501" s="10">
        <v>0.5</v>
      </c>
      <c r="B501">
        <v>1.7729999999999999</v>
      </c>
      <c r="C501">
        <v>0.97799999999999998</v>
      </c>
      <c r="D501">
        <v>1.6E-2</v>
      </c>
      <c r="E501">
        <v>14.33</v>
      </c>
      <c r="F501">
        <v>-2.3800000000000002E-2</v>
      </c>
      <c r="G501">
        <v>1.2</v>
      </c>
      <c r="H501">
        <v>5</v>
      </c>
      <c r="I501">
        <v>0.43</v>
      </c>
      <c r="K501" t="str">
        <f t="shared" si="62"/>
        <v xml:space="preserve">    - 0.500</v>
      </c>
      <c r="L501" t="str">
        <f t="shared" si="63"/>
        <v xml:space="preserve">    - [1.773, 0.978, 0.016, 14.33, -0.0238]</v>
      </c>
      <c r="O501">
        <f>A501-'DLC Buildup Factors'!G833</f>
        <v>0</v>
      </c>
      <c r="P501">
        <f>B501-'DLC Buildup Factors'!H833</f>
        <v>0</v>
      </c>
      <c r="Q501">
        <f>C501-'DLC Buildup Factors'!I833</f>
        <v>0</v>
      </c>
      <c r="R501">
        <f>D501-'DLC Buildup Factors'!J833</f>
        <v>0</v>
      </c>
      <c r="S501">
        <f>E501-'DLC Buildup Factors'!K833</f>
        <v>0</v>
      </c>
      <c r="T501">
        <f>F501-'DLC Buildup Factors'!L833</f>
        <v>0</v>
      </c>
      <c r="U501">
        <f>G501-'DLC Buildup Factors'!M833</f>
        <v>0</v>
      </c>
      <c r="V501">
        <f>H501-'DLC Buildup Factors'!N833</f>
        <v>0</v>
      </c>
      <c r="W501">
        <f>I501-'DLC Buildup Factors'!O833</f>
        <v>0</v>
      </c>
    </row>
    <row r="502" spans="1:23">
      <c r="A502" s="10">
        <v>0.6</v>
      </c>
      <c r="B502">
        <v>1.796</v>
      </c>
      <c r="C502">
        <v>1.024</v>
      </c>
      <c r="D502">
        <v>4.0000000000000001E-3</v>
      </c>
      <c r="E502">
        <v>13.94</v>
      </c>
      <c r="F502">
        <v>-1.83E-2</v>
      </c>
      <c r="G502">
        <v>0.9</v>
      </c>
      <c r="H502">
        <v>5</v>
      </c>
      <c r="I502">
        <v>0.38</v>
      </c>
      <c r="K502" t="str">
        <f t="shared" si="62"/>
        <v xml:space="preserve">    - 0.600</v>
      </c>
      <c r="L502" t="str">
        <f t="shared" si="63"/>
        <v xml:space="preserve">    - [1.796, 1.024, 0.004, 13.94, -0.0183]</v>
      </c>
      <c r="O502">
        <f>A502-'DLC Buildup Factors'!G834</f>
        <v>0</v>
      </c>
      <c r="P502">
        <f>B502-'DLC Buildup Factors'!H834</f>
        <v>0</v>
      </c>
      <c r="Q502">
        <f>C502-'DLC Buildup Factors'!I834</f>
        <v>0</v>
      </c>
      <c r="R502">
        <f>D502-'DLC Buildup Factors'!J834</f>
        <v>0</v>
      </c>
      <c r="S502">
        <f>E502-'DLC Buildup Factors'!K834</f>
        <v>0</v>
      </c>
      <c r="T502">
        <f>F502-'DLC Buildup Factors'!L834</f>
        <v>0</v>
      </c>
      <c r="U502">
        <f>G502-'DLC Buildup Factors'!M834</f>
        <v>0</v>
      </c>
      <c r="V502">
        <f>H502-'DLC Buildup Factors'!N834</f>
        <v>0</v>
      </c>
      <c r="W502">
        <f>I502-'DLC Buildup Factors'!O834</f>
        <v>0</v>
      </c>
    </row>
    <row r="503" spans="1:23">
      <c r="A503" s="10">
        <v>0.8</v>
      </c>
      <c r="B503">
        <v>1.804</v>
      </c>
      <c r="C503">
        <v>1.073</v>
      </c>
      <c r="D503">
        <v>-8.0000000000000002E-3</v>
      </c>
      <c r="E503">
        <v>14.02</v>
      </c>
      <c r="F503">
        <v>-1.29E-2</v>
      </c>
      <c r="G503">
        <v>0.9</v>
      </c>
      <c r="H503">
        <v>5</v>
      </c>
      <c r="I503">
        <v>0.38</v>
      </c>
      <c r="K503" t="str">
        <f t="shared" si="62"/>
        <v xml:space="preserve">    - 0.800</v>
      </c>
      <c r="L503" t="str">
        <f t="shared" si="63"/>
        <v xml:space="preserve">    - [1.804, 1.073, -0.008, 14.02, -0.0129]</v>
      </c>
      <c r="O503">
        <f>A503-'DLC Buildup Factors'!G835</f>
        <v>0</v>
      </c>
      <c r="P503">
        <f>B503-'DLC Buildup Factors'!H835</f>
        <v>0</v>
      </c>
      <c r="Q503">
        <f>C503-'DLC Buildup Factors'!I835</f>
        <v>0</v>
      </c>
      <c r="R503">
        <f>D503-'DLC Buildup Factors'!J835</f>
        <v>0</v>
      </c>
      <c r="S503">
        <f>E503-'DLC Buildup Factors'!K835</f>
        <v>0</v>
      </c>
      <c r="T503">
        <f>F503-'DLC Buildup Factors'!L835</f>
        <v>0</v>
      </c>
      <c r="U503">
        <f>G503-'DLC Buildup Factors'!M835</f>
        <v>0</v>
      </c>
      <c r="V503">
        <f>H503-'DLC Buildup Factors'!N835</f>
        <v>0</v>
      </c>
      <c r="W503">
        <f>I503-'DLC Buildup Factors'!O835</f>
        <v>0</v>
      </c>
    </row>
    <row r="504" spans="1:23">
      <c r="A504" s="10">
        <v>1</v>
      </c>
      <c r="B504">
        <v>1.784</v>
      </c>
      <c r="C504">
        <v>1.0920000000000001</v>
      </c>
      <c r="D504">
        <v>-1.2999999999999999E-2</v>
      </c>
      <c r="E504">
        <v>13.43</v>
      </c>
      <c r="F504">
        <v>-1.03E-2</v>
      </c>
      <c r="G504">
        <v>0.9</v>
      </c>
      <c r="H504">
        <v>3</v>
      </c>
      <c r="I504">
        <v>0.39</v>
      </c>
      <c r="K504" t="str">
        <f t="shared" si="62"/>
        <v xml:space="preserve">    - 1.000</v>
      </c>
      <c r="L504" t="str">
        <f t="shared" si="63"/>
        <v xml:space="preserve">    - [1.784, 1.092, -0.013, 13.43, -0.0103]</v>
      </c>
      <c r="O504">
        <f>A504-'DLC Buildup Factors'!G836</f>
        <v>0</v>
      </c>
      <c r="P504">
        <f>B504-'DLC Buildup Factors'!H836</f>
        <v>0</v>
      </c>
      <c r="Q504">
        <f>C504-'DLC Buildup Factors'!I836</f>
        <v>0</v>
      </c>
      <c r="R504">
        <f>D504-'DLC Buildup Factors'!J836</f>
        <v>0</v>
      </c>
      <c r="S504">
        <f>E504-'DLC Buildup Factors'!K836</f>
        <v>0</v>
      </c>
      <c r="T504">
        <f>F504-'DLC Buildup Factors'!L836</f>
        <v>0</v>
      </c>
      <c r="U504">
        <f>G504-'DLC Buildup Factors'!M836</f>
        <v>0</v>
      </c>
      <c r="V504">
        <f>H504-'DLC Buildup Factors'!N836</f>
        <v>0</v>
      </c>
      <c r="W504">
        <f>I504-'DLC Buildup Factors'!O836</f>
        <v>0</v>
      </c>
    </row>
    <row r="505" spans="1:23">
      <c r="A505" s="10">
        <v>1.5</v>
      </c>
      <c r="B505">
        <v>1.6240000000000001</v>
      </c>
      <c r="C505">
        <v>1.161</v>
      </c>
      <c r="D505">
        <v>-0.03</v>
      </c>
      <c r="E505">
        <v>7.13</v>
      </c>
      <c r="F505">
        <v>8.9999999999999998E-4</v>
      </c>
      <c r="G505">
        <v>1.3</v>
      </c>
      <c r="H505">
        <v>0.5</v>
      </c>
      <c r="I505">
        <v>0.46</v>
      </c>
      <c r="K505" t="str">
        <f t="shared" si="62"/>
        <v xml:space="preserve">    - 1.500</v>
      </c>
      <c r="L505" t="str">
        <f t="shared" si="63"/>
        <v xml:space="preserve">    - [1.624, 1.161, -0.030, 7.13, 0.0009]</v>
      </c>
      <c r="O505">
        <f>A505-'DLC Buildup Factors'!G837</f>
        <v>0</v>
      </c>
      <c r="P505">
        <f>B505-'DLC Buildup Factors'!H837</f>
        <v>0</v>
      </c>
      <c r="Q505">
        <f>C505-'DLC Buildup Factors'!I837</f>
        <v>0</v>
      </c>
      <c r="R505">
        <f>D505-'DLC Buildup Factors'!J837</f>
        <v>0</v>
      </c>
      <c r="S505">
        <f>E505-'DLC Buildup Factors'!K837</f>
        <v>0</v>
      </c>
      <c r="T505">
        <f>F505-'DLC Buildup Factors'!L837</f>
        <v>0</v>
      </c>
      <c r="U505">
        <f>G505-'DLC Buildup Factors'!M837</f>
        <v>0</v>
      </c>
      <c r="V505">
        <f>H505-'DLC Buildup Factors'!N837</f>
        <v>0</v>
      </c>
      <c r="W505">
        <f>I505-'DLC Buildup Factors'!O837</f>
        <v>0</v>
      </c>
    </row>
    <row r="506" spans="1:23">
      <c r="A506" s="10">
        <v>2</v>
      </c>
      <c r="B506">
        <v>1.601</v>
      </c>
      <c r="C506">
        <v>1.127</v>
      </c>
      <c r="D506">
        <v>-2.1000000000000001E-2</v>
      </c>
      <c r="E506">
        <v>12.62</v>
      </c>
      <c r="F506">
        <v>-5.4000000000000003E-3</v>
      </c>
      <c r="G506">
        <v>0.7</v>
      </c>
      <c r="H506">
        <v>5</v>
      </c>
      <c r="I506">
        <v>0.28999999999999998</v>
      </c>
      <c r="K506" t="str">
        <f t="shared" si="62"/>
        <v xml:space="preserve">    - 2.000</v>
      </c>
      <c r="L506" t="str">
        <f t="shared" si="63"/>
        <v xml:space="preserve">    - [1.601, 1.127, -0.021, 12.62, -0.0054]</v>
      </c>
      <c r="O506">
        <f>A506-'DLC Buildup Factors'!G838</f>
        <v>0</v>
      </c>
      <c r="P506">
        <f>B506-'DLC Buildup Factors'!H838</f>
        <v>0</v>
      </c>
      <c r="Q506">
        <f>C506-'DLC Buildup Factors'!I838</f>
        <v>0</v>
      </c>
      <c r="R506">
        <f>D506-'DLC Buildup Factors'!J838</f>
        <v>0</v>
      </c>
      <c r="S506">
        <f>E506-'DLC Buildup Factors'!K838</f>
        <v>0</v>
      </c>
      <c r="T506">
        <f>F506-'DLC Buildup Factors'!L838</f>
        <v>0</v>
      </c>
      <c r="U506">
        <f>G506-'DLC Buildup Factors'!M838</f>
        <v>0</v>
      </c>
      <c r="V506">
        <f>H506-'DLC Buildup Factors'!N838</f>
        <v>0</v>
      </c>
      <c r="W506">
        <f>I506-'DLC Buildup Factors'!O838</f>
        <v>0</v>
      </c>
    </row>
    <row r="507" spans="1:23">
      <c r="A507" s="10">
        <v>3</v>
      </c>
      <c r="B507">
        <v>1.5569999999999999</v>
      </c>
      <c r="C507">
        <v>1.0649999999999999</v>
      </c>
      <c r="D507">
        <v>0</v>
      </c>
      <c r="E507">
        <v>12.84</v>
      </c>
      <c r="F507">
        <v>-2.8299999999999999E-2</v>
      </c>
      <c r="G507">
        <v>1.9</v>
      </c>
      <c r="H507">
        <v>1</v>
      </c>
      <c r="I507">
        <v>0.95</v>
      </c>
      <c r="K507" t="str">
        <f t="shared" si="62"/>
        <v xml:space="preserve">    - 3.000</v>
      </c>
      <c r="L507" t="str">
        <f t="shared" si="63"/>
        <v xml:space="preserve">    - [1.557, 1.065, 0.000, 12.84, -0.0283]</v>
      </c>
      <c r="O507">
        <f>A507-'DLC Buildup Factors'!G839</f>
        <v>0</v>
      </c>
      <c r="P507">
        <f>B507-'DLC Buildup Factors'!H839</f>
        <v>0</v>
      </c>
      <c r="Q507">
        <f>C507-'DLC Buildup Factors'!I839</f>
        <v>0</v>
      </c>
      <c r="R507">
        <f>D507-'DLC Buildup Factors'!J839</f>
        <v>0</v>
      </c>
      <c r="S507">
        <f>E507-'DLC Buildup Factors'!K839</f>
        <v>0</v>
      </c>
      <c r="T507">
        <f>F507-'DLC Buildup Factors'!L839</f>
        <v>0</v>
      </c>
      <c r="U507">
        <f>G507-'DLC Buildup Factors'!M839</f>
        <v>0</v>
      </c>
      <c r="V507">
        <f>H507-'DLC Buildup Factors'!N839</f>
        <v>0</v>
      </c>
      <c r="W507">
        <f>I507-'DLC Buildup Factors'!O839</f>
        <v>0</v>
      </c>
    </row>
    <row r="508" spans="1:23">
      <c r="A508" s="10">
        <v>4</v>
      </c>
      <c r="B508">
        <v>1.5049999999999999</v>
      </c>
      <c r="C508">
        <v>1.0229999999999999</v>
      </c>
      <c r="D508">
        <v>1.6E-2</v>
      </c>
      <c r="E508">
        <v>13.36</v>
      </c>
      <c r="F508">
        <v>-4.2799999999999998E-2</v>
      </c>
      <c r="G508">
        <v>2.7</v>
      </c>
      <c r="H508">
        <v>0.5</v>
      </c>
      <c r="I508">
        <v>1.34</v>
      </c>
      <c r="K508" t="str">
        <f t="shared" si="62"/>
        <v xml:space="preserve">    - 4.000</v>
      </c>
      <c r="L508" t="str">
        <f t="shared" si="63"/>
        <v xml:space="preserve">    - [1.505, 1.023, 0.016, 13.36, -0.0428]</v>
      </c>
      <c r="O508">
        <f>A508-'DLC Buildup Factors'!G840</f>
        <v>0</v>
      </c>
      <c r="P508">
        <f>B508-'DLC Buildup Factors'!H840</f>
        <v>0</v>
      </c>
      <c r="Q508">
        <f>C508-'DLC Buildup Factors'!I840</f>
        <v>0</v>
      </c>
      <c r="R508">
        <f>D508-'DLC Buildup Factors'!J840</f>
        <v>0</v>
      </c>
      <c r="S508">
        <f>E508-'DLC Buildup Factors'!K840</f>
        <v>0</v>
      </c>
      <c r="T508">
        <f>F508-'DLC Buildup Factors'!L840</f>
        <v>0</v>
      </c>
      <c r="U508">
        <f>G508-'DLC Buildup Factors'!M840</f>
        <v>0</v>
      </c>
      <c r="V508">
        <f>H508-'DLC Buildup Factors'!N840</f>
        <v>0</v>
      </c>
      <c r="W508">
        <f>I508-'DLC Buildup Factors'!O840</f>
        <v>0</v>
      </c>
    </row>
    <row r="509" spans="1:23">
      <c r="A509" s="10">
        <v>5</v>
      </c>
      <c r="B509">
        <v>1.5189999999999999</v>
      </c>
      <c r="C509">
        <v>0.94199999999999995</v>
      </c>
      <c r="D509">
        <v>4.5999999999999999E-2</v>
      </c>
      <c r="E509">
        <v>13.59</v>
      </c>
      <c r="F509">
        <v>-7.0199999999999999E-2</v>
      </c>
      <c r="G509">
        <v>3.4</v>
      </c>
      <c r="H509">
        <v>0.5</v>
      </c>
      <c r="I509">
        <v>1.96</v>
      </c>
      <c r="K509" t="str">
        <f t="shared" si="62"/>
        <v xml:space="preserve">    - 5.000</v>
      </c>
      <c r="L509" t="str">
        <f t="shared" si="63"/>
        <v xml:space="preserve">    - [1.519, 0.942, 0.046, 13.59, -0.0702]</v>
      </c>
      <c r="O509">
        <f>A509-'DLC Buildup Factors'!G841</f>
        <v>0</v>
      </c>
      <c r="P509">
        <f>B509-'DLC Buildup Factors'!H841</f>
        <v>0</v>
      </c>
      <c r="Q509">
        <f>C509-'DLC Buildup Factors'!I841</f>
        <v>0</v>
      </c>
      <c r="R509">
        <f>D509-'DLC Buildup Factors'!J841</f>
        <v>0</v>
      </c>
      <c r="S509">
        <f>E509-'DLC Buildup Factors'!K841</f>
        <v>0</v>
      </c>
      <c r="T509">
        <f>F509-'DLC Buildup Factors'!L841</f>
        <v>0</v>
      </c>
      <c r="U509">
        <f>G509-'DLC Buildup Factors'!M841</f>
        <v>0</v>
      </c>
      <c r="V509">
        <f>H509-'DLC Buildup Factors'!N841</f>
        <v>0</v>
      </c>
      <c r="W509">
        <f>I509-'DLC Buildup Factors'!O841</f>
        <v>0</v>
      </c>
    </row>
    <row r="510" spans="1:23">
      <c r="A510" s="10">
        <v>6</v>
      </c>
      <c r="B510">
        <v>1.4970000000000001</v>
      </c>
      <c r="C510">
        <v>0.92100000000000004</v>
      </c>
      <c r="D510">
        <v>5.7000000000000002E-2</v>
      </c>
      <c r="E510">
        <v>13.82</v>
      </c>
      <c r="F510">
        <v>-7.9600000000000004E-2</v>
      </c>
      <c r="G510">
        <v>4</v>
      </c>
      <c r="H510">
        <v>1</v>
      </c>
      <c r="I510">
        <v>2.15</v>
      </c>
      <c r="K510" t="str">
        <f t="shared" si="62"/>
        <v xml:space="preserve">    - 6.000</v>
      </c>
      <c r="L510" t="str">
        <f t="shared" si="63"/>
        <v xml:space="preserve">    - [1.497, 0.921, 0.057, 13.82, -0.0796]</v>
      </c>
      <c r="O510">
        <f>A510-'DLC Buildup Factors'!G842</f>
        <v>0</v>
      </c>
      <c r="P510">
        <f>B510-'DLC Buildup Factors'!H842</f>
        <v>0</v>
      </c>
      <c r="Q510">
        <f>C510-'DLC Buildup Factors'!I842</f>
        <v>0</v>
      </c>
      <c r="R510">
        <f>D510-'DLC Buildup Factors'!J842</f>
        <v>0</v>
      </c>
      <c r="S510">
        <f>E510-'DLC Buildup Factors'!K842</f>
        <v>0</v>
      </c>
      <c r="T510">
        <f>F510-'DLC Buildup Factors'!L842</f>
        <v>0</v>
      </c>
      <c r="U510">
        <f>G510-'DLC Buildup Factors'!M842</f>
        <v>0</v>
      </c>
      <c r="V510">
        <f>H510-'DLC Buildup Factors'!N842</f>
        <v>0</v>
      </c>
      <c r="W510">
        <f>I510-'DLC Buildup Factors'!O842</f>
        <v>0</v>
      </c>
    </row>
    <row r="511" spans="1:23">
      <c r="A511" s="10">
        <v>8</v>
      </c>
      <c r="B511">
        <v>1.5309999999999999</v>
      </c>
      <c r="C511">
        <v>0.878</v>
      </c>
      <c r="D511">
        <v>0.08</v>
      </c>
      <c r="E511">
        <v>14.15</v>
      </c>
      <c r="F511">
        <v>-9.8500000000000004E-2</v>
      </c>
      <c r="G511">
        <v>4.4000000000000004</v>
      </c>
      <c r="H511">
        <v>1</v>
      </c>
      <c r="I511">
        <v>2.38</v>
      </c>
      <c r="K511" t="str">
        <f t="shared" si="62"/>
        <v xml:space="preserve">    - 8.000</v>
      </c>
      <c r="L511" t="str">
        <f t="shared" si="63"/>
        <v xml:space="preserve">    - [1.531, 0.878, 0.080, 14.15, -0.0985]</v>
      </c>
      <c r="O511">
        <f>A511-'DLC Buildup Factors'!G843</f>
        <v>0</v>
      </c>
      <c r="P511">
        <f>B511-'DLC Buildup Factors'!H843</f>
        <v>0</v>
      </c>
      <c r="Q511">
        <f>C511-'DLC Buildup Factors'!I843</f>
        <v>0</v>
      </c>
      <c r="R511">
        <f>D511-'DLC Buildup Factors'!J843</f>
        <v>0</v>
      </c>
      <c r="S511">
        <f>E511-'DLC Buildup Factors'!K843</f>
        <v>0</v>
      </c>
      <c r="T511">
        <f>F511-'DLC Buildup Factors'!L843</f>
        <v>0</v>
      </c>
      <c r="U511">
        <f>G511-'DLC Buildup Factors'!M843</f>
        <v>0</v>
      </c>
      <c r="V511">
        <f>H511-'DLC Buildup Factors'!N843</f>
        <v>0</v>
      </c>
      <c r="W511">
        <f>I511-'DLC Buildup Factors'!O843</f>
        <v>0</v>
      </c>
    </row>
    <row r="512" spans="1:23">
      <c r="A512" s="10">
        <v>10</v>
      </c>
      <c r="B512">
        <v>1.502</v>
      </c>
      <c r="C512">
        <v>0.96499999999999997</v>
      </c>
      <c r="D512">
        <v>5.8999999999999997E-2</v>
      </c>
      <c r="E512">
        <v>14.21</v>
      </c>
      <c r="F512">
        <v>-7.8399999999999997E-2</v>
      </c>
      <c r="G512">
        <v>3.9</v>
      </c>
      <c r="H512">
        <v>1</v>
      </c>
      <c r="I512">
        <v>2.02</v>
      </c>
      <c r="K512" t="str">
        <f t="shared" si="62"/>
        <v xml:space="preserve">    - 10.000</v>
      </c>
      <c r="L512" t="str">
        <f t="shared" si="63"/>
        <v xml:space="preserve">    - [1.502, 0.965, 0.059, 14.21, -0.0784]</v>
      </c>
      <c r="O512">
        <f>A512-'DLC Buildup Factors'!G844</f>
        <v>0</v>
      </c>
      <c r="P512">
        <f>B512-'DLC Buildup Factors'!H844</f>
        <v>0</v>
      </c>
      <c r="Q512">
        <f>C512-'DLC Buildup Factors'!I844</f>
        <v>0</v>
      </c>
      <c r="R512">
        <f>D512-'DLC Buildup Factors'!J844</f>
        <v>0</v>
      </c>
      <c r="S512">
        <f>E512-'DLC Buildup Factors'!K844</f>
        <v>0</v>
      </c>
      <c r="T512">
        <f>F512-'DLC Buildup Factors'!L844</f>
        <v>0</v>
      </c>
      <c r="U512">
        <f>G512-'DLC Buildup Factors'!M844</f>
        <v>0</v>
      </c>
      <c r="V512">
        <f>H512-'DLC Buildup Factors'!N844</f>
        <v>0</v>
      </c>
      <c r="W512">
        <f>I512-'DLC Buildup Factors'!O844</f>
        <v>0</v>
      </c>
    </row>
    <row r="513" spans="1:23">
      <c r="A513">
        <v>15</v>
      </c>
      <c r="B513">
        <v>1.573</v>
      </c>
      <c r="C513">
        <v>1.1180000000000001</v>
      </c>
      <c r="D513">
        <v>3.5000000000000003E-2</v>
      </c>
      <c r="E513">
        <v>14.16</v>
      </c>
      <c r="F513">
        <v>-5.9900000000000002E-2</v>
      </c>
      <c r="G513">
        <v>3.3</v>
      </c>
      <c r="H513">
        <v>1</v>
      </c>
      <c r="I513">
        <v>1.6</v>
      </c>
      <c r="K513" t="str">
        <f t="shared" si="62"/>
        <v xml:space="preserve">    - 15.000</v>
      </c>
      <c r="L513" t="str">
        <f t="shared" si="63"/>
        <v xml:space="preserve">    - [1.573, 1.118, 0.035, 14.16, -0.0599]</v>
      </c>
      <c r="O513">
        <f>A513-'DLC Buildup Factors'!G845</f>
        <v>0</v>
      </c>
      <c r="P513">
        <f>B513-'DLC Buildup Factors'!H845</f>
        <v>0</v>
      </c>
      <c r="Q513">
        <f>C513-'DLC Buildup Factors'!I845</f>
        <v>0</v>
      </c>
      <c r="R513">
        <f>D513-'DLC Buildup Factors'!J845</f>
        <v>0</v>
      </c>
      <c r="S513">
        <f>E513-'DLC Buildup Factors'!K845</f>
        <v>0</v>
      </c>
      <c r="T513">
        <f>F513-'DLC Buildup Factors'!L845</f>
        <v>0</v>
      </c>
      <c r="U513">
        <f>G513-'DLC Buildup Factors'!M845</f>
        <v>0</v>
      </c>
      <c r="V513">
        <f>H513-'DLC Buildup Factors'!N845</f>
        <v>0</v>
      </c>
      <c r="W513">
        <f>I513-'DLC Buildup Factors'!O845</f>
        <v>0</v>
      </c>
    </row>
    <row r="514" spans="1:23">
      <c r="A514" s="10"/>
    </row>
    <row r="515" spans="1:23">
      <c r="A515" s="10" t="s">
        <v>1543</v>
      </c>
    </row>
    <row r="516" spans="1:23">
      <c r="A516" s="10" t="s">
        <v>1542</v>
      </c>
    </row>
    <row r="517" spans="1:23">
      <c r="A517" t="s">
        <v>0</v>
      </c>
      <c r="B517" t="s">
        <v>10</v>
      </c>
      <c r="C517" t="s">
        <v>11</v>
      </c>
      <c r="D517" t="s">
        <v>12</v>
      </c>
      <c r="E517" t="s">
        <v>15</v>
      </c>
      <c r="F517" t="s">
        <v>13</v>
      </c>
      <c r="G517" t="s">
        <v>16</v>
      </c>
      <c r="H517" t="s">
        <v>17</v>
      </c>
      <c r="I517" t="s">
        <v>14</v>
      </c>
    </row>
    <row r="518" spans="1:23">
      <c r="A518" s="10">
        <v>1.4999999999999999E-2</v>
      </c>
      <c r="B518">
        <v>1.0049999999999999</v>
      </c>
      <c r="C518">
        <v>0.432</v>
      </c>
      <c r="D518">
        <v>0.16</v>
      </c>
      <c r="E518">
        <v>26.1</v>
      </c>
      <c r="F518">
        <f>-0.1522</f>
        <v>-0.1522</v>
      </c>
      <c r="G518">
        <v>0</v>
      </c>
      <c r="H518">
        <v>2</v>
      </c>
      <c r="I518">
        <v>0.02</v>
      </c>
      <c r="K518" t="str">
        <f t="shared" ref="K518" si="64">CONCATENATE("    - ",TEXT(A518,"0.000"))</f>
        <v xml:space="preserve">    - 0.015</v>
      </c>
      <c r="L518" t="str">
        <f t="shared" ref="L518" si="65">CONCATENATE("    - [",TEXT(B518,"0.000"),", ",TEXT(C518,"0.000"),", ",TEXT(D518,"0.000"),", ",TEXT(E518,"0.00"),", ",TEXT(F518,"0.0000"),"]")</f>
        <v xml:space="preserve">    - [1.005, 0.432, 0.160, 26.10, -0.1522]</v>
      </c>
      <c r="O518">
        <f>A518-'DLC Buildup Factors'!G852</f>
        <v>0</v>
      </c>
      <c r="P518">
        <f>B518-'DLC Buildup Factors'!H852</f>
        <v>0</v>
      </c>
      <c r="Q518">
        <f>C518-'DLC Buildup Factors'!I852</f>
        <v>0</v>
      </c>
      <c r="R518">
        <f>D518-'DLC Buildup Factors'!J852</f>
        <v>0</v>
      </c>
      <c r="S518">
        <f>E518-'DLC Buildup Factors'!K852</f>
        <v>0</v>
      </c>
      <c r="T518">
        <f>F518-'DLC Buildup Factors'!L852</f>
        <v>0</v>
      </c>
      <c r="U518">
        <f>G518-'DLC Buildup Factors'!M852</f>
        <v>0</v>
      </c>
      <c r="V518">
        <f>H518-'DLC Buildup Factors'!N852</f>
        <v>0</v>
      </c>
      <c r="W518">
        <f>I518-'DLC Buildup Factors'!O852</f>
        <v>0</v>
      </c>
    </row>
    <row r="519" spans="1:23">
      <c r="A519" s="10">
        <v>0.02</v>
      </c>
      <c r="B519">
        <v>1.0109999999999999</v>
      </c>
      <c r="C519">
        <v>0.38900000000000001</v>
      </c>
      <c r="D519">
        <v>0.192</v>
      </c>
      <c r="E519">
        <v>14.26</v>
      </c>
      <c r="F519">
        <v>-6.9500000000000006E-2</v>
      </c>
      <c r="G519">
        <v>0.1</v>
      </c>
      <c r="H519">
        <v>6</v>
      </c>
      <c r="I519">
        <v>0.03</v>
      </c>
      <c r="K519" t="str">
        <f t="shared" ref="K519:K548" si="66">CONCATENATE("    - ",TEXT(A519,"0.000"))</f>
        <v xml:space="preserve">    - 0.020</v>
      </c>
      <c r="L519" t="str">
        <f t="shared" ref="L519:L548" si="67">CONCATENATE("    - [",TEXT(B519,"0.000"),", ",TEXT(C519,"0.000"),", ",TEXT(D519,"0.000"),", ",TEXT(E519,"0.00"),", ",TEXT(F519,"0.0000"),"]")</f>
        <v xml:space="preserve">    - [1.011, 0.389, 0.192, 14.26, -0.0695]</v>
      </c>
      <c r="O519">
        <f>A519-'DLC Buildup Factors'!G853</f>
        <v>0</v>
      </c>
      <c r="P519">
        <f>B519-'DLC Buildup Factors'!H853</f>
        <v>0</v>
      </c>
      <c r="Q519">
        <f>C519-'DLC Buildup Factors'!I853</f>
        <v>0</v>
      </c>
      <c r="R519">
        <f>D519-'DLC Buildup Factors'!J853</f>
        <v>0</v>
      </c>
      <c r="S519">
        <f>E519-'DLC Buildup Factors'!K853</f>
        <v>0</v>
      </c>
      <c r="T519">
        <f>F519-'DLC Buildup Factors'!L853</f>
        <v>0</v>
      </c>
      <c r="U519">
        <f>G519-'DLC Buildup Factors'!M853</f>
        <v>0</v>
      </c>
      <c r="V519">
        <f>H519-'DLC Buildup Factors'!N853</f>
        <v>0</v>
      </c>
      <c r="W519">
        <f>I519-'DLC Buildup Factors'!O853</f>
        <v>0</v>
      </c>
    </row>
    <row r="520" spans="1:23">
      <c r="A520" s="10">
        <v>2.9000000000000001E-2</v>
      </c>
      <c r="B520">
        <v>1.03</v>
      </c>
      <c r="C520">
        <v>0.33300000000000002</v>
      </c>
      <c r="D520">
        <v>0.23899999999999999</v>
      </c>
      <c r="E520">
        <v>14.11</v>
      </c>
      <c r="F520">
        <v>-9.6500000000000002E-2</v>
      </c>
      <c r="G520">
        <v>0.1</v>
      </c>
      <c r="H520">
        <v>2</v>
      </c>
      <c r="I520">
        <v>0.04</v>
      </c>
      <c r="K520" t="str">
        <f t="shared" si="66"/>
        <v xml:space="preserve">    - 0.029</v>
      </c>
      <c r="L520" t="str">
        <f t="shared" si="67"/>
        <v xml:space="preserve">    - [1.030, 0.333, 0.239, 14.11, -0.0965]</v>
      </c>
      <c r="O520">
        <f>A520-'DLC Buildup Factors'!G854</f>
        <v>0</v>
      </c>
      <c r="P520">
        <f>B520-'DLC Buildup Factors'!H854</f>
        <v>0</v>
      </c>
      <c r="Q520">
        <f>C520-'DLC Buildup Factors'!I854</f>
        <v>0</v>
      </c>
      <c r="R520">
        <f>D520-'DLC Buildup Factors'!J854</f>
        <v>0</v>
      </c>
      <c r="S520">
        <f>E520-'DLC Buildup Factors'!K854</f>
        <v>0</v>
      </c>
      <c r="T520">
        <f>F520-'DLC Buildup Factors'!L854</f>
        <v>0</v>
      </c>
      <c r="U520">
        <f>G520-'DLC Buildup Factors'!M854</f>
        <v>0</v>
      </c>
      <c r="V520">
        <f>H520-'DLC Buildup Factors'!N854</f>
        <v>0</v>
      </c>
      <c r="W520">
        <f>I520-'DLC Buildup Factors'!O854</f>
        <v>0</v>
      </c>
    </row>
    <row r="521" spans="1:23">
      <c r="A521" s="10">
        <v>0.03</v>
      </c>
      <c r="B521">
        <v>2.8969999999999998</v>
      </c>
      <c r="C521">
        <v>1.873</v>
      </c>
      <c r="D521">
        <v>0.04</v>
      </c>
      <c r="E521">
        <v>10.77</v>
      </c>
      <c r="F521">
        <v>-3.1099999999999999E-2</v>
      </c>
      <c r="G521">
        <v>11.3</v>
      </c>
      <c r="H521">
        <v>3</v>
      </c>
      <c r="I521">
        <v>5</v>
      </c>
      <c r="K521" t="str">
        <f t="shared" si="66"/>
        <v xml:space="preserve">    - 0.030</v>
      </c>
      <c r="L521" t="str">
        <f t="shared" si="67"/>
        <v xml:space="preserve">    - [2.897, 1.873, 0.040, 10.77, -0.0311]</v>
      </c>
      <c r="O521">
        <f>A521-'DLC Buildup Factors'!G855</f>
        <v>0</v>
      </c>
      <c r="P521">
        <f>B521-'DLC Buildup Factors'!H855</f>
        <v>0</v>
      </c>
      <c r="Q521">
        <f>C521-'DLC Buildup Factors'!I855</f>
        <v>0</v>
      </c>
      <c r="R521">
        <f>D521-'DLC Buildup Factors'!J855</f>
        <v>0</v>
      </c>
      <c r="S521">
        <f>E521-'DLC Buildup Factors'!K855</f>
        <v>0</v>
      </c>
      <c r="T521">
        <f>F521-'DLC Buildup Factors'!L855</f>
        <v>0</v>
      </c>
      <c r="U521">
        <f>G521-'DLC Buildup Factors'!M855</f>
        <v>0</v>
      </c>
      <c r="V521">
        <f>H521-'DLC Buildup Factors'!N855</f>
        <v>0</v>
      </c>
      <c r="W521">
        <f>I521-'DLC Buildup Factors'!O855</f>
        <v>0</v>
      </c>
    </row>
    <row r="522" spans="1:23">
      <c r="A522" s="10">
        <v>3.5000000000000003E-2</v>
      </c>
      <c r="B522">
        <v>3.2810000000000001</v>
      </c>
      <c r="C522">
        <v>1.569</v>
      </c>
      <c r="D522">
        <v>6.0999999999999999E-2</v>
      </c>
      <c r="E522">
        <v>14.08</v>
      </c>
      <c r="F522">
        <v>-4.1099999999999998E-2</v>
      </c>
      <c r="G522">
        <v>13.8</v>
      </c>
      <c r="H522">
        <v>40</v>
      </c>
      <c r="I522">
        <v>7.28</v>
      </c>
      <c r="K522" t="str">
        <f t="shared" si="66"/>
        <v xml:space="preserve">    - 0.035</v>
      </c>
      <c r="L522" t="str">
        <f t="shared" si="67"/>
        <v xml:space="preserve">    - [3.281, 1.569, 0.061, 14.08, -0.0411]</v>
      </c>
      <c r="O522">
        <f>A522-'DLC Buildup Factors'!G856</f>
        <v>0</v>
      </c>
      <c r="P522">
        <f>B522-'DLC Buildup Factors'!H856</f>
        <v>0</v>
      </c>
      <c r="Q522">
        <f>C522-'DLC Buildup Factors'!I856</f>
        <v>0</v>
      </c>
      <c r="R522">
        <f>D522-'DLC Buildup Factors'!J856</f>
        <v>0</v>
      </c>
      <c r="S522">
        <f>E522-'DLC Buildup Factors'!K856</f>
        <v>0</v>
      </c>
      <c r="T522">
        <f>F522-'DLC Buildup Factors'!L856</f>
        <v>0</v>
      </c>
      <c r="U522">
        <f>G522-'DLC Buildup Factors'!M856</f>
        <v>0</v>
      </c>
      <c r="V522">
        <f>H522-'DLC Buildup Factors'!N856</f>
        <v>0</v>
      </c>
      <c r="W522">
        <f>I522-'DLC Buildup Factors'!O856</f>
        <v>0</v>
      </c>
    </row>
    <row r="523" spans="1:23">
      <c r="A523" s="10">
        <v>0.04</v>
      </c>
      <c r="B523">
        <v>3.5739999999999998</v>
      </c>
      <c r="C523">
        <v>1.2210000000000001</v>
      </c>
      <c r="D523">
        <v>9.7000000000000003E-2</v>
      </c>
      <c r="E523">
        <v>26.32</v>
      </c>
      <c r="F523">
        <v>-0.12520000000000001</v>
      </c>
      <c r="G523">
        <v>8.8000000000000007</v>
      </c>
      <c r="H523">
        <v>3</v>
      </c>
      <c r="I523">
        <v>4.32</v>
      </c>
      <c r="K523" t="str">
        <f t="shared" si="66"/>
        <v xml:space="preserve">    - 0.040</v>
      </c>
      <c r="L523" t="str">
        <f t="shared" si="67"/>
        <v xml:space="preserve">    - [3.574, 1.221, 0.097, 26.32, -0.1252]</v>
      </c>
      <c r="O523">
        <f>A523-'DLC Buildup Factors'!G857</f>
        <v>0</v>
      </c>
      <c r="P523">
        <f>B523-'DLC Buildup Factors'!H857</f>
        <v>0</v>
      </c>
      <c r="Q523">
        <f>C523-'DLC Buildup Factors'!I857</f>
        <v>0</v>
      </c>
      <c r="R523">
        <f>D523-'DLC Buildup Factors'!J857</f>
        <v>0</v>
      </c>
      <c r="S523">
        <f>E523-'DLC Buildup Factors'!K857</f>
        <v>0</v>
      </c>
      <c r="T523">
        <f>F523-'DLC Buildup Factors'!L857</f>
        <v>0</v>
      </c>
      <c r="U523">
        <f>G523-'DLC Buildup Factors'!M857</f>
        <v>0</v>
      </c>
      <c r="V523">
        <f>H523-'DLC Buildup Factors'!N857</f>
        <v>0</v>
      </c>
      <c r="W523">
        <f>I523-'DLC Buildup Factors'!O857</f>
        <v>0</v>
      </c>
    </row>
    <row r="524" spans="1:23">
      <c r="A524" s="10">
        <v>4.4999999999999998E-2</v>
      </c>
      <c r="B524">
        <v>3.4980000000000002</v>
      </c>
      <c r="C524">
        <v>0.86299999999999999</v>
      </c>
      <c r="D524">
        <v>0.159</v>
      </c>
      <c r="E524">
        <v>17.41</v>
      </c>
      <c r="F524">
        <v>-0.122</v>
      </c>
      <c r="G524">
        <v>3.4</v>
      </c>
      <c r="H524">
        <v>4</v>
      </c>
      <c r="I524">
        <v>2</v>
      </c>
      <c r="K524" t="str">
        <f t="shared" si="66"/>
        <v xml:space="preserve">    - 0.045</v>
      </c>
      <c r="L524" t="str">
        <f t="shared" si="67"/>
        <v xml:space="preserve">    - [3.498, 0.863, 0.159, 17.41, -0.1220]</v>
      </c>
      <c r="O524">
        <f>A524-'DLC Buildup Factors'!G858</f>
        <v>0</v>
      </c>
      <c r="P524">
        <f>B524-'DLC Buildup Factors'!H858</f>
        <v>0</v>
      </c>
      <c r="Q524">
        <f>C524-'DLC Buildup Factors'!I858</f>
        <v>0</v>
      </c>
      <c r="R524">
        <f>D524-'DLC Buildup Factors'!J858</f>
        <v>0</v>
      </c>
      <c r="S524">
        <f>E524-'DLC Buildup Factors'!K858</f>
        <v>0</v>
      </c>
      <c r="T524">
        <f>F524-'DLC Buildup Factors'!L858</f>
        <v>0</v>
      </c>
      <c r="U524">
        <f>G524-'DLC Buildup Factors'!M858</f>
        <v>0</v>
      </c>
      <c r="V524">
        <f>H524-'DLC Buildup Factors'!N858</f>
        <v>0</v>
      </c>
      <c r="W524">
        <f>I524-'DLC Buildup Factors'!O858</f>
        <v>0</v>
      </c>
    </row>
    <row r="525" spans="1:23">
      <c r="A525" s="10">
        <v>0.05</v>
      </c>
      <c r="B525">
        <v>3.4870000000000001</v>
      </c>
      <c r="C525">
        <v>0.49099999999999999</v>
      </c>
      <c r="D525">
        <v>0.28000000000000003</v>
      </c>
      <c r="E525">
        <v>16.8</v>
      </c>
      <c r="F525">
        <v>-0.23719999999999999</v>
      </c>
      <c r="G525">
        <v>2.2999999999999998</v>
      </c>
      <c r="H525">
        <v>0.5</v>
      </c>
      <c r="I525">
        <v>1.21</v>
      </c>
      <c r="K525" t="str">
        <f t="shared" si="66"/>
        <v xml:space="preserve">    - 0.050</v>
      </c>
      <c r="L525" t="str">
        <f t="shared" si="67"/>
        <v xml:space="preserve">    - [3.487, 0.491, 0.280, 16.80, -0.2372]</v>
      </c>
      <c r="O525">
        <f>A525-'DLC Buildup Factors'!G859</f>
        <v>0</v>
      </c>
      <c r="P525">
        <f>B525-'DLC Buildup Factors'!H859</f>
        <v>0</v>
      </c>
      <c r="Q525">
        <f>C525-'DLC Buildup Factors'!I859</f>
        <v>0</v>
      </c>
      <c r="R525">
        <f>D525-'DLC Buildup Factors'!J859</f>
        <v>0</v>
      </c>
      <c r="S525">
        <f>E525-'DLC Buildup Factors'!K859</f>
        <v>0</v>
      </c>
      <c r="T525">
        <f>F525-'DLC Buildup Factors'!L859</f>
        <v>0</v>
      </c>
      <c r="U525">
        <f>G525-'DLC Buildup Factors'!M859</f>
        <v>0</v>
      </c>
      <c r="V525">
        <f>H525-'DLC Buildup Factors'!N859</f>
        <v>0</v>
      </c>
      <c r="W525">
        <f>I525-'DLC Buildup Factors'!O859</f>
        <v>0</v>
      </c>
    </row>
    <row r="526" spans="1:23">
      <c r="A526" s="10">
        <v>5.5E-2</v>
      </c>
      <c r="B526">
        <v>3.2120000000000002</v>
      </c>
      <c r="C526">
        <v>0.32100000000000001</v>
      </c>
      <c r="D526">
        <v>0.23200000000000001</v>
      </c>
      <c r="E526">
        <v>14.2</v>
      </c>
      <c r="F526">
        <v>0.125</v>
      </c>
      <c r="G526">
        <v>2.2000000000000002</v>
      </c>
      <c r="H526">
        <v>0.5</v>
      </c>
      <c r="I526">
        <v>1.39</v>
      </c>
      <c r="K526" t="str">
        <f t="shared" si="66"/>
        <v xml:space="preserve">    - 0.055</v>
      </c>
      <c r="L526" t="str">
        <f t="shared" si="67"/>
        <v xml:space="preserve">    - [3.212, 0.321, 0.232, 14.20, 0.1250]</v>
      </c>
      <c r="O526">
        <f>A526-'DLC Buildup Factors'!G860</f>
        <v>0</v>
      </c>
      <c r="P526">
        <f>B526-'DLC Buildup Factors'!H860</f>
        <v>0</v>
      </c>
      <c r="Q526">
        <f>C526-'DLC Buildup Factors'!I860</f>
        <v>0</v>
      </c>
      <c r="R526">
        <f>D526-'DLC Buildup Factors'!J860</f>
        <v>0</v>
      </c>
      <c r="S526">
        <f>E526-'DLC Buildup Factors'!K860</f>
        <v>0</v>
      </c>
      <c r="T526">
        <f>F526-'DLC Buildup Factors'!L860</f>
        <v>0</v>
      </c>
      <c r="U526">
        <f>G526-'DLC Buildup Factors'!M860</f>
        <v>0</v>
      </c>
      <c r="V526">
        <f>H526-'DLC Buildup Factors'!N860</f>
        <v>0</v>
      </c>
      <c r="W526">
        <f>I526-'DLC Buildup Factors'!O860</f>
        <v>0</v>
      </c>
    </row>
    <row r="527" spans="1:23">
      <c r="A527" s="10">
        <v>0.06</v>
      </c>
      <c r="B527">
        <v>2.9449999999999998</v>
      </c>
      <c r="C527">
        <v>0.23400000000000001</v>
      </c>
      <c r="D527">
        <f>-0.028</f>
        <v>-2.8000000000000001E-2</v>
      </c>
      <c r="E527">
        <v>5</v>
      </c>
      <c r="F527">
        <f>-0.0557</f>
        <v>-5.57E-2</v>
      </c>
      <c r="G527">
        <v>0.6</v>
      </c>
      <c r="H527">
        <v>40</v>
      </c>
      <c r="I527">
        <v>0.36</v>
      </c>
      <c r="K527" t="str">
        <f t="shared" si="66"/>
        <v xml:space="preserve">    - 0.060</v>
      </c>
      <c r="L527" t="str">
        <f t="shared" si="67"/>
        <v xml:space="preserve">    - [2.945, 0.234, -0.028, 5.00, -0.0557]</v>
      </c>
      <c r="O527">
        <f>A527-'DLC Buildup Factors'!G861</f>
        <v>0</v>
      </c>
      <c r="P527">
        <f>B527-'DLC Buildup Factors'!H861</f>
        <v>0</v>
      </c>
      <c r="Q527">
        <f>C527-'DLC Buildup Factors'!I861</f>
        <v>0</v>
      </c>
      <c r="R527">
        <f>D527-'DLC Buildup Factors'!J861</f>
        <v>0</v>
      </c>
      <c r="S527">
        <f>E527-'DLC Buildup Factors'!K861</f>
        <v>0</v>
      </c>
      <c r="T527">
        <f>F527-'DLC Buildup Factors'!L861</f>
        <v>0</v>
      </c>
      <c r="U527">
        <f>G527-'DLC Buildup Factors'!M861</f>
        <v>0</v>
      </c>
      <c r="V527">
        <f>H527-'DLC Buildup Factors'!N861</f>
        <v>0</v>
      </c>
      <c r="W527">
        <f>I527-'DLC Buildup Factors'!O861</f>
        <v>0</v>
      </c>
    </row>
    <row r="528" spans="1:23">
      <c r="A528" s="10">
        <v>7.0000000000000007E-2</v>
      </c>
      <c r="B528">
        <v>2.2480000000000002</v>
      </c>
      <c r="C528">
        <v>4.9000000000000002E-2</v>
      </c>
      <c r="D528">
        <f>-0.565</f>
        <v>-0.56499999999999995</v>
      </c>
      <c r="E528">
        <v>9.48</v>
      </c>
      <c r="F528">
        <v>9.9299999999999999E-2</v>
      </c>
      <c r="G528">
        <v>0.8</v>
      </c>
      <c r="H528">
        <v>2</v>
      </c>
      <c r="I528">
        <v>0.39</v>
      </c>
      <c r="K528" t="str">
        <f t="shared" si="66"/>
        <v xml:space="preserve">    - 0.070</v>
      </c>
      <c r="L528" t="str">
        <f t="shared" si="67"/>
        <v xml:space="preserve">    - [2.248, 0.049, -0.565, 9.48, 0.0993]</v>
      </c>
      <c r="O528">
        <f>A528-'DLC Buildup Factors'!G862</f>
        <v>0</v>
      </c>
      <c r="P528">
        <f>B528-'DLC Buildup Factors'!H862</f>
        <v>0</v>
      </c>
      <c r="Q528">
        <f>C528-'DLC Buildup Factors'!I862</f>
        <v>0</v>
      </c>
      <c r="R528">
        <f>D528-'DLC Buildup Factors'!J862</f>
        <v>0</v>
      </c>
      <c r="S528">
        <f>E528-'DLC Buildup Factors'!K862</f>
        <v>0</v>
      </c>
      <c r="T528">
        <f>F528-'DLC Buildup Factors'!L862</f>
        <v>0</v>
      </c>
      <c r="U528">
        <f>G528-'DLC Buildup Factors'!M862</f>
        <v>0</v>
      </c>
      <c r="V528">
        <f>H528-'DLC Buildup Factors'!N862</f>
        <v>0</v>
      </c>
      <c r="W528">
        <f>I528-'DLC Buildup Factors'!O862</f>
        <v>0</v>
      </c>
    </row>
    <row r="529" spans="1:23">
      <c r="A529" s="10">
        <v>0.08</v>
      </c>
      <c r="B529">
        <v>1.8080000000000001</v>
      </c>
      <c r="C529">
        <v>1.7000000000000001E-2</v>
      </c>
      <c r="D529">
        <v>0.81100000000000005</v>
      </c>
      <c r="E529">
        <v>15.45</v>
      </c>
      <c r="F529">
        <f>-0.1526</f>
        <v>-0.15260000000000001</v>
      </c>
      <c r="G529">
        <v>1.1000000000000001</v>
      </c>
      <c r="H529">
        <v>1</v>
      </c>
      <c r="I529">
        <v>0.36</v>
      </c>
      <c r="K529" t="str">
        <f t="shared" si="66"/>
        <v xml:space="preserve">    - 0.080</v>
      </c>
      <c r="L529" t="str">
        <f t="shared" si="67"/>
        <v xml:space="preserve">    - [1.808, 0.017, 0.811, 15.45, -0.1526]</v>
      </c>
      <c r="O529">
        <f>A529-'DLC Buildup Factors'!G863</f>
        <v>0</v>
      </c>
      <c r="P529">
        <f>B529-'DLC Buildup Factors'!H863</f>
        <v>0</v>
      </c>
      <c r="Q529">
        <f>C529-'DLC Buildup Factors'!I863</f>
        <v>0</v>
      </c>
      <c r="R529">
        <f>D529-'DLC Buildup Factors'!J863</f>
        <v>0</v>
      </c>
      <c r="S529">
        <f>E529-'DLC Buildup Factors'!K863</f>
        <v>0</v>
      </c>
      <c r="T529">
        <f>F529-'DLC Buildup Factors'!L863</f>
        <v>0</v>
      </c>
      <c r="U529">
        <f>G529-'DLC Buildup Factors'!M863</f>
        <v>0</v>
      </c>
      <c r="V529">
        <f>H529-'DLC Buildup Factors'!N863</f>
        <v>0</v>
      </c>
      <c r="W529">
        <f>I529-'DLC Buildup Factors'!O863</f>
        <v>0</v>
      </c>
    </row>
    <row r="530" spans="1:23">
      <c r="A530" s="10">
        <v>0.09</v>
      </c>
      <c r="B530">
        <v>1.542</v>
      </c>
      <c r="C530">
        <v>3.2000000000000001E-2</v>
      </c>
      <c r="D530">
        <v>0.77500000000000002</v>
      </c>
      <c r="E530">
        <v>14.12</v>
      </c>
      <c r="F530">
        <v>-0.27539999999999998</v>
      </c>
      <c r="G530">
        <v>1.6</v>
      </c>
      <c r="H530">
        <v>0.5</v>
      </c>
      <c r="I530">
        <v>0.6</v>
      </c>
      <c r="K530" t="str">
        <f t="shared" si="66"/>
        <v xml:space="preserve">    - 0.090</v>
      </c>
      <c r="L530" t="str">
        <f t="shared" si="67"/>
        <v xml:space="preserve">    - [1.542, 0.032, 0.775, 14.12, -0.2754]</v>
      </c>
      <c r="O530">
        <f>A530-'DLC Buildup Factors'!G864</f>
        <v>0</v>
      </c>
      <c r="P530">
        <f>B530-'DLC Buildup Factors'!H864</f>
        <v>0</v>
      </c>
      <c r="Q530">
        <f>C530-'DLC Buildup Factors'!I864</f>
        <v>0</v>
      </c>
      <c r="R530">
        <f>D530-'DLC Buildup Factors'!J864</f>
        <v>0</v>
      </c>
      <c r="S530">
        <f>E530-'DLC Buildup Factors'!K864</f>
        <v>0</v>
      </c>
      <c r="T530">
        <f>F530-'DLC Buildup Factors'!L864</f>
        <v>0</v>
      </c>
      <c r="U530">
        <f>G530-'DLC Buildup Factors'!M864</f>
        <v>0</v>
      </c>
      <c r="V530">
        <f>H530-'DLC Buildup Factors'!N864</f>
        <v>0</v>
      </c>
      <c r="W530">
        <f>I530-'DLC Buildup Factors'!O864</f>
        <v>0</v>
      </c>
    </row>
    <row r="531" spans="1:23">
      <c r="A531" s="10">
        <v>0.1</v>
      </c>
      <c r="B531">
        <v>1.3959999999999999</v>
      </c>
      <c r="C531">
        <v>5.6000000000000001E-2</v>
      </c>
      <c r="D531">
        <v>0.68799999999999994</v>
      </c>
      <c r="E531">
        <v>13.79</v>
      </c>
      <c r="F531">
        <v>-0.3221</v>
      </c>
      <c r="G531">
        <v>1.7</v>
      </c>
      <c r="H531">
        <v>2</v>
      </c>
      <c r="I531">
        <v>0.77</v>
      </c>
      <c r="K531" t="str">
        <f t="shared" si="66"/>
        <v xml:space="preserve">    - 0.100</v>
      </c>
      <c r="L531" t="str">
        <f t="shared" si="67"/>
        <v xml:space="preserve">    - [1.396, 0.056, 0.688, 13.79, -0.3221]</v>
      </c>
      <c r="O531">
        <f>A531-'DLC Buildup Factors'!G865</f>
        <v>0</v>
      </c>
      <c r="P531">
        <f>B531-'DLC Buildup Factors'!H865</f>
        <v>0</v>
      </c>
      <c r="Q531">
        <f>C531-'DLC Buildup Factors'!I865</f>
        <v>0</v>
      </c>
      <c r="R531">
        <f>D531-'DLC Buildup Factors'!J865</f>
        <v>0</v>
      </c>
      <c r="S531">
        <f>E531-'DLC Buildup Factors'!K865</f>
        <v>0</v>
      </c>
      <c r="T531">
        <f>F531-'DLC Buildup Factors'!L865</f>
        <v>0</v>
      </c>
      <c r="U531">
        <f>G531-'DLC Buildup Factors'!M865</f>
        <v>0</v>
      </c>
      <c r="V531">
        <f>H531-'DLC Buildup Factors'!N865</f>
        <v>0</v>
      </c>
      <c r="W531">
        <f>I531-'DLC Buildup Factors'!O865</f>
        <v>0</v>
      </c>
    </row>
    <row r="532" spans="1:23">
      <c r="A532" s="10">
        <v>0.15</v>
      </c>
      <c r="B532">
        <v>1.2190000000000001</v>
      </c>
      <c r="C532">
        <v>0.32600000000000001</v>
      </c>
      <c r="D532">
        <v>0.27900000000000003</v>
      </c>
      <c r="E532">
        <v>13.95</v>
      </c>
      <c r="F532">
        <f>-0.1554</f>
        <v>-0.15540000000000001</v>
      </c>
      <c r="G532">
        <v>1.4</v>
      </c>
      <c r="H532">
        <v>0.5</v>
      </c>
      <c r="I532">
        <v>0.6</v>
      </c>
      <c r="K532" t="str">
        <f t="shared" si="66"/>
        <v xml:space="preserve">    - 0.150</v>
      </c>
      <c r="L532" t="str">
        <f t="shared" si="67"/>
        <v xml:space="preserve">    - [1.219, 0.326, 0.279, 13.95, -0.1554]</v>
      </c>
      <c r="O532">
        <f>A532-'DLC Buildup Factors'!G866</f>
        <v>0</v>
      </c>
      <c r="P532">
        <f>B532-'DLC Buildup Factors'!H866</f>
        <v>0</v>
      </c>
      <c r="Q532">
        <f>C532-'DLC Buildup Factors'!I866</f>
        <v>0</v>
      </c>
      <c r="R532">
        <f>D532-'DLC Buildup Factors'!J866</f>
        <v>0</v>
      </c>
      <c r="S532">
        <f>E532-'DLC Buildup Factors'!K866</f>
        <v>0</v>
      </c>
      <c r="T532">
        <f>F532-'DLC Buildup Factors'!L866</f>
        <v>0</v>
      </c>
      <c r="U532">
        <f>G532-'DLC Buildup Factors'!M866</f>
        <v>0</v>
      </c>
      <c r="V532">
        <f>H532-'DLC Buildup Factors'!N866</f>
        <v>0</v>
      </c>
      <c r="W532">
        <f>I532-'DLC Buildup Factors'!O866</f>
        <v>0</v>
      </c>
    </row>
    <row r="533" spans="1:23">
      <c r="A533" s="10">
        <v>0.2</v>
      </c>
      <c r="B533">
        <v>1.2609999999999999</v>
      </c>
      <c r="C533">
        <v>0.5</v>
      </c>
      <c r="D533">
        <v>0.17100000000000001</v>
      </c>
      <c r="E533">
        <v>14.62</v>
      </c>
      <c r="F533">
        <v>-9.1800000000000007E-2</v>
      </c>
      <c r="G533">
        <v>1.1000000000000001</v>
      </c>
      <c r="H533">
        <v>0.5</v>
      </c>
      <c r="I533">
        <v>0.48</v>
      </c>
      <c r="K533" t="str">
        <f t="shared" si="66"/>
        <v xml:space="preserve">    - 0.200</v>
      </c>
      <c r="L533" t="str">
        <f t="shared" si="67"/>
        <v xml:space="preserve">    - [1.261, 0.500, 0.171, 14.62, -0.0918]</v>
      </c>
      <c r="O533">
        <f>A533-'DLC Buildup Factors'!G867</f>
        <v>0</v>
      </c>
      <c r="P533">
        <f>B533-'DLC Buildup Factors'!H867</f>
        <v>0</v>
      </c>
      <c r="Q533">
        <f>C533-'DLC Buildup Factors'!I867</f>
        <v>0</v>
      </c>
      <c r="R533">
        <f>D533-'DLC Buildup Factors'!J867</f>
        <v>0</v>
      </c>
      <c r="S533">
        <f>E533-'DLC Buildup Factors'!K867</f>
        <v>0</v>
      </c>
      <c r="T533">
        <f>F533-'DLC Buildup Factors'!L867</f>
        <v>0</v>
      </c>
      <c r="U533">
        <f>G533-'DLC Buildup Factors'!M867</f>
        <v>0</v>
      </c>
      <c r="V533">
        <f>H533-'DLC Buildup Factors'!N867</f>
        <v>0</v>
      </c>
      <c r="W533">
        <f>I533-'DLC Buildup Factors'!O867</f>
        <v>0</v>
      </c>
    </row>
    <row r="534" spans="1:23">
      <c r="A534" s="10">
        <v>0.3</v>
      </c>
      <c r="B534">
        <v>1.405</v>
      </c>
      <c r="C534">
        <v>0.64700000000000002</v>
      </c>
      <c r="D534">
        <v>0.106</v>
      </c>
      <c r="E534">
        <v>14.23</v>
      </c>
      <c r="F534">
        <v>-5.0099999999999999E-2</v>
      </c>
      <c r="G534">
        <v>0.8</v>
      </c>
      <c r="H534">
        <v>5</v>
      </c>
      <c r="I534">
        <v>0.39</v>
      </c>
      <c r="K534" t="str">
        <f t="shared" si="66"/>
        <v xml:space="preserve">    - 0.300</v>
      </c>
      <c r="L534" t="str">
        <f t="shared" si="67"/>
        <v xml:space="preserve">    - [1.405, 0.647, 0.106, 14.23, -0.0501]</v>
      </c>
      <c r="O534">
        <f>A534-'DLC Buildup Factors'!G868</f>
        <v>0</v>
      </c>
      <c r="P534">
        <f>B534-'DLC Buildup Factors'!H868</f>
        <v>0</v>
      </c>
      <c r="Q534">
        <f>C534-'DLC Buildup Factors'!I868</f>
        <v>0</v>
      </c>
      <c r="R534">
        <f>D534-'DLC Buildup Factors'!J868</f>
        <v>0</v>
      </c>
      <c r="S534">
        <f>E534-'DLC Buildup Factors'!K868</f>
        <v>0</v>
      </c>
      <c r="T534">
        <f>F534-'DLC Buildup Factors'!L868</f>
        <v>0</v>
      </c>
      <c r="U534">
        <f>G534-'DLC Buildup Factors'!M868</f>
        <v>0</v>
      </c>
      <c r="V534">
        <f>H534-'DLC Buildup Factors'!N868</f>
        <v>0</v>
      </c>
      <c r="W534">
        <f>I534-'DLC Buildup Factors'!O868</f>
        <v>0</v>
      </c>
    </row>
    <row r="535" spans="1:23">
      <c r="A535" s="10">
        <v>0.4</v>
      </c>
      <c r="B535">
        <v>1.5309999999999999</v>
      </c>
      <c r="C535">
        <v>0.78800000000000003</v>
      </c>
      <c r="D535">
        <v>6.5000000000000002E-2</v>
      </c>
      <c r="E535">
        <v>14.14</v>
      </c>
      <c r="F535">
        <v>-4.24E-2</v>
      </c>
      <c r="G535">
        <v>0.9</v>
      </c>
      <c r="H535">
        <v>5</v>
      </c>
      <c r="I535">
        <v>0.48</v>
      </c>
      <c r="K535" t="str">
        <f t="shared" si="66"/>
        <v xml:space="preserve">    - 0.400</v>
      </c>
      <c r="L535" t="str">
        <f t="shared" si="67"/>
        <v xml:space="preserve">    - [1.531, 0.788, 0.065, 14.14, -0.0424]</v>
      </c>
      <c r="O535">
        <f>A535-'DLC Buildup Factors'!G869</f>
        <v>0</v>
      </c>
      <c r="P535">
        <f>B535-'DLC Buildup Factors'!H869</f>
        <v>0</v>
      </c>
      <c r="Q535">
        <f>C535-'DLC Buildup Factors'!I869</f>
        <v>0</v>
      </c>
      <c r="R535">
        <f>D535-'DLC Buildup Factors'!J869</f>
        <v>0</v>
      </c>
      <c r="S535">
        <f>E535-'DLC Buildup Factors'!K869</f>
        <v>0</v>
      </c>
      <c r="T535">
        <f>F535-'DLC Buildup Factors'!L869</f>
        <v>0</v>
      </c>
      <c r="U535">
        <f>G535-'DLC Buildup Factors'!M869</f>
        <v>0</v>
      </c>
      <c r="V535">
        <f>H535-'DLC Buildup Factors'!N869</f>
        <v>0</v>
      </c>
      <c r="W535">
        <f>I535-'DLC Buildup Factors'!O869</f>
        <v>0</v>
      </c>
    </row>
    <row r="536" spans="1:23">
      <c r="A536" s="10">
        <v>0.5</v>
      </c>
      <c r="B536">
        <v>1.61</v>
      </c>
      <c r="C536">
        <v>0.871</v>
      </c>
      <c r="D536">
        <v>4.2999999999999997E-2</v>
      </c>
      <c r="E536">
        <v>14.06</v>
      </c>
      <c r="F536">
        <v>-3.5499999999999997E-2</v>
      </c>
      <c r="G536">
        <v>1</v>
      </c>
      <c r="H536">
        <v>5</v>
      </c>
      <c r="I536">
        <v>0.48</v>
      </c>
      <c r="K536" t="str">
        <f t="shared" si="66"/>
        <v xml:space="preserve">    - 0.500</v>
      </c>
      <c r="L536" t="str">
        <f t="shared" si="67"/>
        <v xml:space="preserve">    - [1.610, 0.871, 0.043, 14.06, -0.0355]</v>
      </c>
      <c r="O536">
        <f>A536-'DLC Buildup Factors'!G870</f>
        <v>0</v>
      </c>
      <c r="P536">
        <f>B536-'DLC Buildup Factors'!H870</f>
        <v>0</v>
      </c>
      <c r="Q536">
        <f>C536-'DLC Buildup Factors'!I870</f>
        <v>0</v>
      </c>
      <c r="R536">
        <f>D536-'DLC Buildup Factors'!J870</f>
        <v>0</v>
      </c>
      <c r="S536">
        <f>E536-'DLC Buildup Factors'!K870</f>
        <v>0</v>
      </c>
      <c r="T536">
        <f>F536-'DLC Buildup Factors'!L870</f>
        <v>0</v>
      </c>
      <c r="U536">
        <f>G536-'DLC Buildup Factors'!M870</f>
        <v>0</v>
      </c>
      <c r="V536">
        <f>H536-'DLC Buildup Factors'!N870</f>
        <v>0</v>
      </c>
      <c r="W536">
        <f>I536-'DLC Buildup Factors'!O870</f>
        <v>0</v>
      </c>
    </row>
    <row r="537" spans="1:23">
      <c r="A537" s="10">
        <v>0.6</v>
      </c>
      <c r="B537">
        <v>1.645</v>
      </c>
      <c r="C537">
        <v>0.93500000000000005</v>
      </c>
      <c r="D537">
        <v>2.4E-2</v>
      </c>
      <c r="E537">
        <v>14.02</v>
      </c>
      <c r="F537">
        <v>-2.4899999999999999E-2</v>
      </c>
      <c r="G537">
        <v>0.9</v>
      </c>
      <c r="H537">
        <v>5</v>
      </c>
      <c r="I537">
        <v>0.43</v>
      </c>
      <c r="K537" t="str">
        <f t="shared" si="66"/>
        <v xml:space="preserve">    - 0.600</v>
      </c>
      <c r="L537" t="str">
        <f t="shared" si="67"/>
        <v xml:space="preserve">    - [1.645, 0.935, 0.024, 14.02, -0.0249]</v>
      </c>
      <c r="O537">
        <f>A537-'DLC Buildup Factors'!G871</f>
        <v>0</v>
      </c>
      <c r="P537">
        <f>B537-'DLC Buildup Factors'!H871</f>
        <v>0</v>
      </c>
      <c r="Q537">
        <f>C537-'DLC Buildup Factors'!I871</f>
        <v>0</v>
      </c>
      <c r="R537">
        <f>D537-'DLC Buildup Factors'!J871</f>
        <v>0</v>
      </c>
      <c r="S537">
        <f>E537-'DLC Buildup Factors'!K871</f>
        <v>0</v>
      </c>
      <c r="T537">
        <f>F537-'DLC Buildup Factors'!L871</f>
        <v>0</v>
      </c>
      <c r="U537">
        <f>G537-'DLC Buildup Factors'!M871</f>
        <v>0</v>
      </c>
      <c r="V537">
        <f>H537-'DLC Buildup Factors'!N871</f>
        <v>0</v>
      </c>
      <c r="W537">
        <f>I537-'DLC Buildup Factors'!O871</f>
        <v>0</v>
      </c>
    </row>
    <row r="538" spans="1:23">
      <c r="A538" s="10">
        <v>0.8</v>
      </c>
      <c r="B538">
        <v>1.6830000000000001</v>
      </c>
      <c r="C538">
        <v>0.999</v>
      </c>
      <c r="D538">
        <v>8.0000000000000002E-3</v>
      </c>
      <c r="E538">
        <v>14.09</v>
      </c>
      <c r="F538">
        <v>-1.83E-2</v>
      </c>
      <c r="G538">
        <v>1</v>
      </c>
      <c r="H538">
        <v>5</v>
      </c>
      <c r="I538">
        <v>0.39</v>
      </c>
      <c r="K538" t="str">
        <f t="shared" si="66"/>
        <v xml:space="preserve">    - 0.800</v>
      </c>
      <c r="L538" t="str">
        <f t="shared" si="67"/>
        <v xml:space="preserve">    - [1.683, 0.999, 0.008, 14.09, -0.0183]</v>
      </c>
      <c r="O538">
        <f>A538-'DLC Buildup Factors'!G872</f>
        <v>0</v>
      </c>
      <c r="P538">
        <f>B538-'DLC Buildup Factors'!H872</f>
        <v>0</v>
      </c>
      <c r="Q538">
        <f>C538-'DLC Buildup Factors'!I872</f>
        <v>0</v>
      </c>
      <c r="R538">
        <f>D538-'DLC Buildup Factors'!J872</f>
        <v>0</v>
      </c>
      <c r="S538">
        <f>E538-'DLC Buildup Factors'!K872</f>
        <v>0</v>
      </c>
      <c r="T538">
        <f>F538-'DLC Buildup Factors'!L872</f>
        <v>0</v>
      </c>
      <c r="U538">
        <f>G538-'DLC Buildup Factors'!M872</f>
        <v>0</v>
      </c>
      <c r="V538">
        <f>H538-'DLC Buildup Factors'!N872</f>
        <v>0</v>
      </c>
      <c r="W538">
        <f>I538-'DLC Buildup Factors'!O872</f>
        <v>0</v>
      </c>
    </row>
    <row r="539" spans="1:23">
      <c r="A539" s="10">
        <v>1</v>
      </c>
      <c r="B539">
        <v>1.6850000000000001</v>
      </c>
      <c r="C539">
        <v>1.0289999999999999</v>
      </c>
      <c r="D539">
        <v>1E-3</v>
      </c>
      <c r="E539">
        <v>13.43</v>
      </c>
      <c r="F539">
        <v>-1.6199999999999999E-2</v>
      </c>
      <c r="G539">
        <v>0.9</v>
      </c>
      <c r="H539">
        <v>5</v>
      </c>
      <c r="I539">
        <v>0.36</v>
      </c>
      <c r="K539" t="str">
        <f t="shared" si="66"/>
        <v xml:space="preserve">    - 1.000</v>
      </c>
      <c r="L539" t="str">
        <f t="shared" si="67"/>
        <v xml:space="preserve">    - [1.685, 1.029, 0.001, 13.43, -0.0162]</v>
      </c>
      <c r="O539">
        <f>A539-'DLC Buildup Factors'!G873</f>
        <v>0</v>
      </c>
      <c r="P539">
        <f>B539-'DLC Buildup Factors'!H873</f>
        <v>0</v>
      </c>
      <c r="Q539">
        <f>C539-'DLC Buildup Factors'!I873</f>
        <v>0</v>
      </c>
      <c r="R539">
        <f>D539-'DLC Buildup Factors'!J873</f>
        <v>0</v>
      </c>
      <c r="S539">
        <f>E539-'DLC Buildup Factors'!K873</f>
        <v>0</v>
      </c>
      <c r="T539">
        <f>F539-'DLC Buildup Factors'!L873</f>
        <v>0</v>
      </c>
      <c r="U539">
        <f>G539-'DLC Buildup Factors'!M873</f>
        <v>0</v>
      </c>
      <c r="V539">
        <f>H539-'DLC Buildup Factors'!N873</f>
        <v>0</v>
      </c>
      <c r="W539">
        <f>I539-'DLC Buildup Factors'!O873</f>
        <v>0</v>
      </c>
    </row>
    <row r="540" spans="1:23">
      <c r="A540" s="10">
        <v>1.5</v>
      </c>
      <c r="B540">
        <v>1.57</v>
      </c>
      <c r="C540">
        <v>1.1220000000000001</v>
      </c>
      <c r="D540">
        <v>-2.1000000000000001E-2</v>
      </c>
      <c r="E540">
        <v>14.3</v>
      </c>
      <c r="F540">
        <v>-4.4999999999999997E-3</v>
      </c>
      <c r="G540">
        <v>0.9</v>
      </c>
      <c r="H540">
        <v>0.5</v>
      </c>
      <c r="I540">
        <v>0.35</v>
      </c>
      <c r="K540" t="str">
        <f t="shared" si="66"/>
        <v xml:space="preserve">    - 1.500</v>
      </c>
      <c r="L540" t="str">
        <f t="shared" si="67"/>
        <v xml:space="preserve">    - [1.570, 1.122, -0.021, 14.30, -0.0045]</v>
      </c>
      <c r="O540">
        <f>A540-'DLC Buildup Factors'!G874</f>
        <v>0</v>
      </c>
      <c r="P540">
        <f>B540-'DLC Buildup Factors'!H874</f>
        <v>0</v>
      </c>
      <c r="Q540">
        <f>C540-'DLC Buildup Factors'!I874</f>
        <v>0</v>
      </c>
      <c r="R540">
        <f>D540-'DLC Buildup Factors'!J874</f>
        <v>0</v>
      </c>
      <c r="S540">
        <f>E540-'DLC Buildup Factors'!K874</f>
        <v>0</v>
      </c>
      <c r="T540">
        <f>F540-'DLC Buildup Factors'!L874</f>
        <v>0</v>
      </c>
      <c r="U540">
        <f>G540-'DLC Buildup Factors'!M874</f>
        <v>0</v>
      </c>
      <c r="V540">
        <f>H540-'DLC Buildup Factors'!N874</f>
        <v>0</v>
      </c>
      <c r="W540">
        <f>I540-'DLC Buildup Factors'!O874</f>
        <v>0</v>
      </c>
    </row>
    <row r="541" spans="1:23">
      <c r="A541" s="10">
        <v>2</v>
      </c>
      <c r="B541">
        <v>1.556</v>
      </c>
      <c r="C541">
        <v>1.1080000000000001</v>
      </c>
      <c r="D541">
        <v>-1.6E-2</v>
      </c>
      <c r="E541">
        <v>13.1</v>
      </c>
      <c r="F541">
        <v>-8.6999999999999994E-3</v>
      </c>
      <c r="G541">
        <v>0.8</v>
      </c>
      <c r="H541">
        <v>1</v>
      </c>
      <c r="I541">
        <v>0.35</v>
      </c>
      <c r="K541" t="str">
        <f t="shared" si="66"/>
        <v xml:space="preserve">    - 2.000</v>
      </c>
      <c r="L541" t="str">
        <f t="shared" si="67"/>
        <v xml:space="preserve">    - [1.556, 1.108, -0.016, 13.10, -0.0087]</v>
      </c>
      <c r="O541">
        <f>A541-'DLC Buildup Factors'!G875</f>
        <v>0</v>
      </c>
      <c r="P541">
        <f>B541-'DLC Buildup Factors'!H875</f>
        <v>0</v>
      </c>
      <c r="Q541">
        <f>C541-'DLC Buildup Factors'!I875</f>
        <v>0</v>
      </c>
      <c r="R541">
        <f>D541-'DLC Buildup Factors'!J875</f>
        <v>0</v>
      </c>
      <c r="S541">
        <f>E541-'DLC Buildup Factors'!K875</f>
        <v>0</v>
      </c>
      <c r="T541">
        <f>F541-'DLC Buildup Factors'!L875</f>
        <v>0</v>
      </c>
      <c r="U541">
        <f>G541-'DLC Buildup Factors'!M875</f>
        <v>0</v>
      </c>
      <c r="V541">
        <f>H541-'DLC Buildup Factors'!N875</f>
        <v>0</v>
      </c>
      <c r="W541">
        <f>I541-'DLC Buildup Factors'!O875</f>
        <v>0</v>
      </c>
    </row>
    <row r="542" spans="1:23">
      <c r="A542" s="10">
        <v>3</v>
      </c>
      <c r="B542">
        <v>1.5229999999999999</v>
      </c>
      <c r="C542">
        <v>1.0580000000000001</v>
      </c>
      <c r="D542">
        <v>4.0000000000000001E-3</v>
      </c>
      <c r="E542">
        <v>12.99</v>
      </c>
      <c r="F542">
        <v>-3.3099999999999997E-2</v>
      </c>
      <c r="G542">
        <v>2.2000000000000002</v>
      </c>
      <c r="H542">
        <v>0.5</v>
      </c>
      <c r="I542">
        <v>1.1499999999999999</v>
      </c>
      <c r="K542" t="str">
        <f t="shared" si="66"/>
        <v xml:space="preserve">    - 3.000</v>
      </c>
      <c r="L542" t="str">
        <f t="shared" si="67"/>
        <v xml:space="preserve">    - [1.523, 1.058, 0.004, 12.99, -0.0331]</v>
      </c>
      <c r="O542">
        <f>A542-'DLC Buildup Factors'!G876</f>
        <v>0</v>
      </c>
      <c r="P542">
        <f>B542-'DLC Buildup Factors'!H876</f>
        <v>0</v>
      </c>
      <c r="Q542">
        <f>C542-'DLC Buildup Factors'!I876</f>
        <v>0</v>
      </c>
      <c r="R542">
        <f>D542-'DLC Buildup Factors'!J876</f>
        <v>0</v>
      </c>
      <c r="S542">
        <f>E542-'DLC Buildup Factors'!K876</f>
        <v>0</v>
      </c>
      <c r="T542">
        <f>F542-'DLC Buildup Factors'!L876</f>
        <v>0</v>
      </c>
      <c r="U542">
        <f>G542-'DLC Buildup Factors'!M876</f>
        <v>0</v>
      </c>
      <c r="V542">
        <f>H542-'DLC Buildup Factors'!N876</f>
        <v>0</v>
      </c>
      <c r="W542">
        <f>I542-'DLC Buildup Factors'!O876</f>
        <v>0</v>
      </c>
    </row>
    <row r="543" spans="1:23">
      <c r="A543" s="10">
        <v>4</v>
      </c>
      <c r="B543">
        <v>1.47</v>
      </c>
      <c r="C543">
        <v>1.0349999999999999</v>
      </c>
      <c r="D543">
        <v>1.6E-2</v>
      </c>
      <c r="E543">
        <v>13.43</v>
      </c>
      <c r="F543">
        <v>-4.4900000000000002E-2</v>
      </c>
      <c r="G543">
        <v>3.4</v>
      </c>
      <c r="H543">
        <v>0.5</v>
      </c>
      <c r="I543">
        <v>1.52</v>
      </c>
      <c r="K543" t="str">
        <f t="shared" si="66"/>
        <v xml:space="preserve">    - 4.000</v>
      </c>
      <c r="L543" t="str">
        <f t="shared" si="67"/>
        <v xml:space="preserve">    - [1.470, 1.035, 0.016, 13.43, -0.0449]</v>
      </c>
      <c r="O543">
        <f>A543-'DLC Buildup Factors'!G877</f>
        <v>0</v>
      </c>
      <c r="P543">
        <f>B543-'DLC Buildup Factors'!H877</f>
        <v>0</v>
      </c>
      <c r="Q543">
        <f>C543-'DLC Buildup Factors'!I877</f>
        <v>0</v>
      </c>
      <c r="R543">
        <f>D543-'DLC Buildup Factors'!J877</f>
        <v>0</v>
      </c>
      <c r="S543">
        <f>E543-'DLC Buildup Factors'!K877</f>
        <v>0</v>
      </c>
      <c r="T543">
        <f>F543-'DLC Buildup Factors'!L877</f>
        <v>0</v>
      </c>
      <c r="U543">
        <f>G543-'DLC Buildup Factors'!M877</f>
        <v>0</v>
      </c>
      <c r="V543">
        <f>H543-'DLC Buildup Factors'!N877</f>
        <v>0</v>
      </c>
      <c r="W543">
        <f>I543-'DLC Buildup Factors'!O877</f>
        <v>0</v>
      </c>
    </row>
    <row r="544" spans="1:23">
      <c r="A544" s="10">
        <v>5</v>
      </c>
      <c r="B544">
        <v>1.49</v>
      </c>
      <c r="C544">
        <v>0.95699999999999996</v>
      </c>
      <c r="D544">
        <v>4.5999999999999999E-2</v>
      </c>
      <c r="E544">
        <v>13.69</v>
      </c>
      <c r="F544">
        <v>-7.2900000000000006E-2</v>
      </c>
      <c r="G544">
        <v>4.3</v>
      </c>
      <c r="H544">
        <v>0.5</v>
      </c>
      <c r="I544">
        <v>2.16</v>
      </c>
      <c r="K544" t="str">
        <f t="shared" si="66"/>
        <v xml:space="preserve">    - 5.000</v>
      </c>
      <c r="L544" t="str">
        <f t="shared" si="67"/>
        <v xml:space="preserve">    - [1.490, 0.957, 0.046, 13.69, -0.0729]</v>
      </c>
      <c r="O544">
        <f>A544-'DLC Buildup Factors'!G878</f>
        <v>0</v>
      </c>
      <c r="P544">
        <f>B544-'DLC Buildup Factors'!H878</f>
        <v>0</v>
      </c>
      <c r="Q544">
        <f>C544-'DLC Buildup Factors'!I878</f>
        <v>0</v>
      </c>
      <c r="R544">
        <f>D544-'DLC Buildup Factors'!J878</f>
        <v>0</v>
      </c>
      <c r="S544">
        <f>E544-'DLC Buildup Factors'!K878</f>
        <v>0</v>
      </c>
      <c r="T544">
        <f>F544-'DLC Buildup Factors'!L878</f>
        <v>0</v>
      </c>
      <c r="U544">
        <f>G544-'DLC Buildup Factors'!M878</f>
        <v>0</v>
      </c>
      <c r="V544">
        <f>H544-'DLC Buildup Factors'!N878</f>
        <v>0</v>
      </c>
      <c r="W544">
        <f>I544-'DLC Buildup Factors'!O878</f>
        <v>0</v>
      </c>
    </row>
    <row r="545" spans="1:23">
      <c r="A545" s="10">
        <v>6</v>
      </c>
      <c r="B545">
        <v>1.4790000000000001</v>
      </c>
      <c r="C545">
        <v>0.93300000000000005</v>
      </c>
      <c r="D545">
        <v>5.8999999999999997E-2</v>
      </c>
      <c r="E545">
        <v>13.92</v>
      </c>
      <c r="F545">
        <v>-8.4199999999999997E-2</v>
      </c>
      <c r="G545">
        <v>4.5</v>
      </c>
      <c r="H545">
        <v>0.5</v>
      </c>
      <c r="I545">
        <v>2.33</v>
      </c>
      <c r="K545" t="str">
        <f t="shared" si="66"/>
        <v xml:space="preserve">    - 6.000</v>
      </c>
      <c r="L545" t="str">
        <f t="shared" si="67"/>
        <v xml:space="preserve">    - [1.479, 0.933, 0.059, 13.92, -0.0842]</v>
      </c>
      <c r="O545">
        <f>A545-'DLC Buildup Factors'!G879</f>
        <v>0</v>
      </c>
      <c r="P545">
        <f>B545-'DLC Buildup Factors'!H879</f>
        <v>0</v>
      </c>
      <c r="Q545">
        <f>C545-'DLC Buildup Factors'!I879</f>
        <v>0</v>
      </c>
      <c r="R545">
        <f>D545-'DLC Buildup Factors'!J879</f>
        <v>0</v>
      </c>
      <c r="S545">
        <f>E545-'DLC Buildup Factors'!K879</f>
        <v>0</v>
      </c>
      <c r="T545">
        <f>F545-'DLC Buildup Factors'!L879</f>
        <v>0</v>
      </c>
      <c r="U545">
        <f>G545-'DLC Buildup Factors'!M879</f>
        <v>0</v>
      </c>
      <c r="V545">
        <f>H545-'DLC Buildup Factors'!N879</f>
        <v>0</v>
      </c>
      <c r="W545">
        <f>I545-'DLC Buildup Factors'!O879</f>
        <v>0</v>
      </c>
    </row>
    <row r="546" spans="1:23">
      <c r="A546" s="10">
        <v>8</v>
      </c>
      <c r="B546">
        <v>1.5249999999999999</v>
      </c>
      <c r="C546">
        <v>0.91300000000000003</v>
      </c>
      <c r="D546">
        <v>7.5999999999999998E-2</v>
      </c>
      <c r="E546">
        <v>14.16</v>
      </c>
      <c r="F546">
        <v>-9.8299999999999998E-2</v>
      </c>
      <c r="G546">
        <v>4.7</v>
      </c>
      <c r="H546">
        <v>1</v>
      </c>
      <c r="I546">
        <v>2.54</v>
      </c>
      <c r="K546" t="str">
        <f t="shared" si="66"/>
        <v xml:space="preserve">    - 8.000</v>
      </c>
      <c r="L546" t="str">
        <f t="shared" si="67"/>
        <v xml:space="preserve">    - [1.525, 0.913, 0.076, 14.16, -0.0983]</v>
      </c>
      <c r="O546">
        <f>A546-'DLC Buildup Factors'!G880</f>
        <v>0</v>
      </c>
      <c r="P546">
        <f>B546-'DLC Buildup Factors'!H880</f>
        <v>0</v>
      </c>
      <c r="Q546">
        <f>C546-'DLC Buildup Factors'!I880</f>
        <v>0</v>
      </c>
      <c r="R546">
        <f>D546-'DLC Buildup Factors'!J880</f>
        <v>0</v>
      </c>
      <c r="S546">
        <f>E546-'DLC Buildup Factors'!K880</f>
        <v>0</v>
      </c>
      <c r="T546">
        <f>F546-'DLC Buildup Factors'!L880</f>
        <v>0</v>
      </c>
      <c r="U546">
        <f>G546-'DLC Buildup Factors'!M880</f>
        <v>0</v>
      </c>
      <c r="V546">
        <f>H546-'DLC Buildup Factors'!N880</f>
        <v>0</v>
      </c>
      <c r="W546">
        <f>I546-'DLC Buildup Factors'!O880</f>
        <v>0</v>
      </c>
    </row>
    <row r="547" spans="1:23">
      <c r="A547" s="10">
        <v>10</v>
      </c>
      <c r="B547">
        <v>1.504</v>
      </c>
      <c r="C547">
        <v>1.0329999999999999</v>
      </c>
      <c r="D547">
        <v>4.8000000000000001E-2</v>
      </c>
      <c r="E547">
        <v>14.18</v>
      </c>
      <c r="F547">
        <v>-7.0999999999999994E-2</v>
      </c>
      <c r="G547">
        <v>4.0999999999999996</v>
      </c>
      <c r="H547">
        <v>1</v>
      </c>
      <c r="I547">
        <v>2.08</v>
      </c>
      <c r="K547" t="str">
        <f t="shared" si="66"/>
        <v xml:space="preserve">    - 10.000</v>
      </c>
      <c r="L547" t="str">
        <f t="shared" si="67"/>
        <v xml:space="preserve">    - [1.504, 1.033, 0.048, 14.18, -0.0710]</v>
      </c>
      <c r="O547">
        <f>A547-'DLC Buildup Factors'!G881</f>
        <v>0</v>
      </c>
      <c r="P547">
        <f>B547-'DLC Buildup Factors'!H881</f>
        <v>0</v>
      </c>
      <c r="Q547">
        <f>C547-'DLC Buildup Factors'!I881</f>
        <v>0</v>
      </c>
      <c r="R547">
        <f>D547-'DLC Buildup Factors'!J881</f>
        <v>0</v>
      </c>
      <c r="S547">
        <f>E547-'DLC Buildup Factors'!K881</f>
        <v>0</v>
      </c>
      <c r="T547">
        <f>F547-'DLC Buildup Factors'!L881</f>
        <v>0</v>
      </c>
      <c r="U547">
        <f>G547-'DLC Buildup Factors'!M881</f>
        <v>0</v>
      </c>
      <c r="V547">
        <f>H547-'DLC Buildup Factors'!N881</f>
        <v>0</v>
      </c>
      <c r="W547">
        <f>I547-'DLC Buildup Factors'!O881</f>
        <v>0</v>
      </c>
    </row>
    <row r="548" spans="1:23">
      <c r="A548" s="10">
        <v>15</v>
      </c>
      <c r="B548">
        <v>1.5920000000000001</v>
      </c>
      <c r="C548">
        <v>1.2070000000000001</v>
      </c>
      <c r="D548">
        <v>2.5999999999999999E-2</v>
      </c>
      <c r="E548">
        <v>13.91</v>
      </c>
      <c r="F548">
        <f>-0.0566</f>
        <v>-5.6599999999999998E-2</v>
      </c>
      <c r="G548">
        <v>3.6</v>
      </c>
      <c r="H548">
        <v>1</v>
      </c>
      <c r="I548">
        <v>1.67</v>
      </c>
      <c r="K548" t="str">
        <f t="shared" si="66"/>
        <v xml:space="preserve">    - 15.000</v>
      </c>
      <c r="L548" t="str">
        <f t="shared" si="67"/>
        <v xml:space="preserve">    - [1.592, 1.207, 0.026, 13.91, -0.0566]</v>
      </c>
      <c r="O548">
        <f>A548-'DLC Buildup Factors'!G882</f>
        <v>0</v>
      </c>
      <c r="P548">
        <f>B548-'DLC Buildup Factors'!H882</f>
        <v>0</v>
      </c>
      <c r="Q548">
        <f>C548-'DLC Buildup Factors'!I882</f>
        <v>0</v>
      </c>
      <c r="R548">
        <f>D548-'DLC Buildup Factors'!J882</f>
        <v>0</v>
      </c>
      <c r="S548">
        <f>E548-'DLC Buildup Factors'!K882</f>
        <v>0</v>
      </c>
      <c r="T548">
        <f>F548-'DLC Buildup Factors'!L882</f>
        <v>0</v>
      </c>
      <c r="U548">
        <f>G548-'DLC Buildup Factors'!M882</f>
        <v>0</v>
      </c>
      <c r="V548">
        <f>H548-'DLC Buildup Factors'!N882</f>
        <v>0</v>
      </c>
      <c r="W548">
        <f>I548-'DLC Buildup Factors'!O882</f>
        <v>0</v>
      </c>
    </row>
    <row r="549" spans="1:23">
      <c r="A549" s="10"/>
    </row>
    <row r="550" spans="1:23">
      <c r="A550" s="12" t="s">
        <v>1545</v>
      </c>
    </row>
    <row r="551" spans="1:23">
      <c r="A551" s="12" t="s">
        <v>1544</v>
      </c>
    </row>
    <row r="552" spans="1:23">
      <c r="A552" t="s">
        <v>0</v>
      </c>
      <c r="B552" t="s">
        <v>10</v>
      </c>
      <c r="C552" t="s">
        <v>11</v>
      </c>
      <c r="D552" t="s">
        <v>12</v>
      </c>
      <c r="E552" t="s">
        <v>15</v>
      </c>
      <c r="F552" t="s">
        <v>13</v>
      </c>
      <c r="G552" t="s">
        <v>16</v>
      </c>
      <c r="H552" t="s">
        <v>17</v>
      </c>
      <c r="I552" t="s">
        <v>14</v>
      </c>
    </row>
    <row r="553" spans="1:23">
      <c r="A553" s="12">
        <v>1.4999999999999999E-2</v>
      </c>
      <c r="B553">
        <v>1.0029999999999999</v>
      </c>
      <c r="C553">
        <v>0.501</v>
      </c>
      <c r="D553">
        <v>0.128</v>
      </c>
      <c r="E553">
        <v>11.6</v>
      </c>
      <c r="F553">
        <v>-3.8699999999999998E-2</v>
      </c>
      <c r="G553">
        <v>0.1</v>
      </c>
      <c r="H553">
        <v>6</v>
      </c>
      <c r="I553">
        <v>0.03</v>
      </c>
      <c r="K553" t="str">
        <f t="shared" ref="K553" si="68">CONCATENATE("    - ",TEXT(A553,"0.000"))</f>
        <v xml:space="preserve">    - 0.015</v>
      </c>
      <c r="L553" t="str">
        <f t="shared" ref="L553" si="69">CONCATENATE("    - [",TEXT(B553,"0.000"),", ",TEXT(C553,"0.000"),", ",TEXT(D553,"0.000"),", ",TEXT(E553,"0.00"),", ",TEXT(F553,"0.0000"),"]")</f>
        <v xml:space="preserve">    - [1.003, 0.501, 0.128, 11.60, -0.0387]</v>
      </c>
      <c r="O553">
        <f>A553-'DLC Buildup Factors'!G889</f>
        <v>0</v>
      </c>
      <c r="P553">
        <f>B553-'DLC Buildup Factors'!H889</f>
        <v>0</v>
      </c>
      <c r="Q553">
        <f>C553-'DLC Buildup Factors'!I889</f>
        <v>0</v>
      </c>
      <c r="R553">
        <f>D553-'DLC Buildup Factors'!J889</f>
        <v>0</v>
      </c>
      <c r="S553">
        <f>E553-'DLC Buildup Factors'!K889</f>
        <v>0</v>
      </c>
      <c r="T553">
        <f>F553-'DLC Buildup Factors'!L889</f>
        <v>0</v>
      </c>
      <c r="U553">
        <f>G553-'DLC Buildup Factors'!M889</f>
        <v>0</v>
      </c>
      <c r="V553">
        <f>H553-'DLC Buildup Factors'!N889</f>
        <v>0</v>
      </c>
      <c r="W553">
        <f>I553-'DLC Buildup Factors'!O889</f>
        <v>0</v>
      </c>
    </row>
    <row r="554" spans="1:23">
      <c r="A554" s="12">
        <v>0.02</v>
      </c>
      <c r="B554">
        <v>1.0069999999999999</v>
      </c>
      <c r="C554">
        <v>0.41399999999999998</v>
      </c>
      <c r="D554">
        <v>0.17199999999999999</v>
      </c>
      <c r="E554">
        <v>17.100000000000001</v>
      </c>
      <c r="F554">
        <v>-6.0299999999999999E-2</v>
      </c>
      <c r="G554">
        <v>0.1</v>
      </c>
      <c r="H554">
        <v>0.5</v>
      </c>
      <c r="I554">
        <v>0.03</v>
      </c>
      <c r="K554" t="str">
        <f t="shared" ref="K554:K586" si="70">CONCATENATE("    - ",TEXT(A554,"0.000"))</f>
        <v xml:space="preserve">    - 0.020</v>
      </c>
      <c r="L554" t="str">
        <f t="shared" ref="L554:L586" si="71">CONCATENATE("    - [",TEXT(B554,"0.000"),", ",TEXT(C554,"0.000"),", ",TEXT(D554,"0.000"),", ",TEXT(E554,"0.00"),", ",TEXT(F554,"0.0000"),"]")</f>
        <v xml:space="preserve">    - [1.007, 0.414, 0.172, 17.10, -0.0603]</v>
      </c>
      <c r="O554">
        <f>A554-'DLC Buildup Factors'!G890</f>
        <v>0</v>
      </c>
      <c r="P554">
        <f>B554-'DLC Buildup Factors'!H890</f>
        <v>0</v>
      </c>
      <c r="Q554">
        <f>C554-'DLC Buildup Factors'!I890</f>
        <v>0</v>
      </c>
      <c r="R554">
        <f>D554-'DLC Buildup Factors'!J890</f>
        <v>0</v>
      </c>
      <c r="S554">
        <f>E554-'DLC Buildup Factors'!K890</f>
        <v>0</v>
      </c>
      <c r="T554">
        <f>F554-'DLC Buildup Factors'!L890</f>
        <v>0</v>
      </c>
      <c r="U554">
        <f>G554-'DLC Buildup Factors'!M890</f>
        <v>0</v>
      </c>
      <c r="V554">
        <f>H554-'DLC Buildup Factors'!N890</f>
        <v>0</v>
      </c>
      <c r="W554">
        <f>I554-'DLC Buildup Factors'!O890</f>
        <v>0</v>
      </c>
    </row>
    <row r="555" spans="1:23">
      <c r="A555" s="12">
        <v>0.03</v>
      </c>
      <c r="B555">
        <v>1.022</v>
      </c>
      <c r="C555">
        <v>0.32200000000000001</v>
      </c>
      <c r="D555">
        <v>0.24399999999999999</v>
      </c>
      <c r="E555">
        <v>13.95</v>
      </c>
      <c r="F555">
        <v>-9.0899999999999995E-2</v>
      </c>
      <c r="G555">
        <v>0.1</v>
      </c>
      <c r="H555">
        <v>35</v>
      </c>
      <c r="I555">
        <v>0.03</v>
      </c>
      <c r="K555" t="str">
        <f t="shared" si="70"/>
        <v xml:space="preserve">    - 0.030</v>
      </c>
      <c r="L555" t="str">
        <f t="shared" si="71"/>
        <v xml:space="preserve">    - [1.022, 0.322, 0.244, 13.95, -0.0909]</v>
      </c>
      <c r="O555">
        <f>A555-'DLC Buildup Factors'!G891</f>
        <v>0</v>
      </c>
      <c r="P555">
        <f>B555-'DLC Buildup Factors'!H891</f>
        <v>0</v>
      </c>
      <c r="Q555">
        <f>C555-'DLC Buildup Factors'!I891</f>
        <v>0</v>
      </c>
      <c r="R555">
        <f>D555-'DLC Buildup Factors'!J891</f>
        <v>0</v>
      </c>
      <c r="S555">
        <f>E555-'DLC Buildup Factors'!K891</f>
        <v>0</v>
      </c>
      <c r="T555">
        <f>F555-'DLC Buildup Factors'!L891</f>
        <v>0</v>
      </c>
      <c r="U555">
        <f>G555-'DLC Buildup Factors'!M891</f>
        <v>0</v>
      </c>
      <c r="V555">
        <f>H555-'DLC Buildup Factors'!N891</f>
        <v>0</v>
      </c>
      <c r="W555">
        <f>I555-'DLC Buildup Factors'!O891</f>
        <v>0</v>
      </c>
    </row>
    <row r="556" spans="1:23">
      <c r="A556" s="12">
        <v>3.7999999999999999E-2</v>
      </c>
      <c r="B556">
        <v>1.0389999999999999</v>
      </c>
      <c r="C556">
        <v>0.32600000000000001</v>
      </c>
      <c r="D556">
        <v>0.23899999999999999</v>
      </c>
      <c r="E556">
        <v>15.04</v>
      </c>
      <c r="F556">
        <v>-9.5299999999999996E-2</v>
      </c>
      <c r="G556">
        <v>0.1</v>
      </c>
      <c r="H556">
        <v>25</v>
      </c>
      <c r="I556">
        <v>0.05</v>
      </c>
      <c r="K556" t="str">
        <f t="shared" si="70"/>
        <v xml:space="preserve">    - 0.038</v>
      </c>
      <c r="L556" t="str">
        <f t="shared" si="71"/>
        <v xml:space="preserve">    - [1.039, 0.326, 0.239, 15.04, -0.0953]</v>
      </c>
      <c r="O556">
        <f>A556-'DLC Buildup Factors'!G892</f>
        <v>0</v>
      </c>
      <c r="P556">
        <f>B556-'DLC Buildup Factors'!H892</f>
        <v>0</v>
      </c>
      <c r="Q556">
        <f>C556-'DLC Buildup Factors'!I892</f>
        <v>0</v>
      </c>
      <c r="R556">
        <f>D556-'DLC Buildup Factors'!J892</f>
        <v>0</v>
      </c>
      <c r="S556">
        <f>E556-'DLC Buildup Factors'!K892</f>
        <v>0</v>
      </c>
      <c r="T556">
        <f>F556-'DLC Buildup Factors'!L892</f>
        <v>0</v>
      </c>
      <c r="U556">
        <f>G556-'DLC Buildup Factors'!M892</f>
        <v>0</v>
      </c>
      <c r="V556">
        <f>H556-'DLC Buildup Factors'!N892</f>
        <v>0</v>
      </c>
      <c r="W556">
        <f>I556-'DLC Buildup Factors'!O892</f>
        <v>0</v>
      </c>
    </row>
    <row r="557" spans="1:23">
      <c r="A557" s="12">
        <v>3.9E-2</v>
      </c>
      <c r="B557">
        <v>2.8290000000000002</v>
      </c>
      <c r="C557">
        <v>1.8420000000000001</v>
      </c>
      <c r="D557">
        <v>4.5999999999999999E-2</v>
      </c>
      <c r="E557">
        <v>9.59</v>
      </c>
      <c r="F557">
        <v>-3.9399999999999998E-2</v>
      </c>
      <c r="G557">
        <v>11.6</v>
      </c>
      <c r="H557">
        <v>3</v>
      </c>
      <c r="I557">
        <v>4.92</v>
      </c>
      <c r="K557" t="str">
        <f t="shared" si="70"/>
        <v xml:space="preserve">    - 0.039</v>
      </c>
      <c r="L557" t="str">
        <f t="shared" si="71"/>
        <v xml:space="preserve">    - [2.829, 1.842, 0.046, 9.59, -0.0394]</v>
      </c>
      <c r="O557">
        <f>A557-'DLC Buildup Factors'!G893</f>
        <v>0</v>
      </c>
      <c r="P557">
        <f>B557-'DLC Buildup Factors'!H893</f>
        <v>0</v>
      </c>
      <c r="Q557">
        <f>C557-'DLC Buildup Factors'!I893</f>
        <v>0</v>
      </c>
      <c r="R557">
        <f>D557-'DLC Buildup Factors'!J893</f>
        <v>0</v>
      </c>
      <c r="S557">
        <f>E557-'DLC Buildup Factors'!K893</f>
        <v>0</v>
      </c>
      <c r="T557">
        <f>F557-'DLC Buildup Factors'!L893</f>
        <v>0</v>
      </c>
      <c r="U557">
        <f>G557-'DLC Buildup Factors'!M893</f>
        <v>0</v>
      </c>
      <c r="V557">
        <f>H557-'DLC Buildup Factors'!N893</f>
        <v>0</v>
      </c>
      <c r="W557">
        <f>I557-'DLC Buildup Factors'!O893</f>
        <v>0</v>
      </c>
    </row>
    <row r="558" spans="1:23">
      <c r="A558" s="12">
        <v>0.04</v>
      </c>
      <c r="B558">
        <v>2.9209999999999998</v>
      </c>
      <c r="C558">
        <v>1.788</v>
      </c>
      <c r="D558">
        <v>4.9000000000000002E-2</v>
      </c>
      <c r="E558">
        <v>10.98</v>
      </c>
      <c r="F558">
        <v>-3.5799999999999998E-2</v>
      </c>
      <c r="G558">
        <v>12.3</v>
      </c>
      <c r="H558">
        <v>3</v>
      </c>
      <c r="I558">
        <v>5.34</v>
      </c>
      <c r="K558" t="str">
        <f t="shared" si="70"/>
        <v xml:space="preserve">    - 0.040</v>
      </c>
      <c r="L558" t="str">
        <f t="shared" si="71"/>
        <v xml:space="preserve">    - [2.921, 1.788, 0.049, 10.98, -0.0358]</v>
      </c>
      <c r="O558">
        <f>A558-'DLC Buildup Factors'!G894</f>
        <v>0</v>
      </c>
      <c r="P558">
        <f>B558-'DLC Buildup Factors'!H894</f>
        <v>0</v>
      </c>
      <c r="Q558">
        <f>C558-'DLC Buildup Factors'!I894</f>
        <v>0</v>
      </c>
      <c r="R558">
        <f>D558-'DLC Buildup Factors'!J894</f>
        <v>0</v>
      </c>
      <c r="S558">
        <f>E558-'DLC Buildup Factors'!K894</f>
        <v>0</v>
      </c>
      <c r="T558">
        <f>F558-'DLC Buildup Factors'!L894</f>
        <v>0</v>
      </c>
      <c r="U558">
        <f>G558-'DLC Buildup Factors'!M894</f>
        <v>0</v>
      </c>
      <c r="V558">
        <f>H558-'DLC Buildup Factors'!N894</f>
        <v>0</v>
      </c>
      <c r="W558">
        <f>I558-'DLC Buildup Factors'!O894</f>
        <v>0</v>
      </c>
    </row>
    <row r="559" spans="1:23">
      <c r="A559" s="12">
        <v>4.2000000000000003E-2</v>
      </c>
      <c r="B559">
        <v>3.0409999999999999</v>
      </c>
      <c r="C559">
        <v>1.6779999999999999</v>
      </c>
      <c r="D559">
        <v>5.8999999999999997E-2</v>
      </c>
      <c r="E559">
        <v>11.23</v>
      </c>
      <c r="F559">
        <v>-4.0500000000000001E-2</v>
      </c>
      <c r="G559">
        <v>13</v>
      </c>
      <c r="H559">
        <v>3</v>
      </c>
      <c r="I559">
        <v>5.73</v>
      </c>
      <c r="K559" t="str">
        <f t="shared" si="70"/>
        <v xml:space="preserve">    - 0.042</v>
      </c>
      <c r="L559" t="str">
        <f t="shared" si="71"/>
        <v xml:space="preserve">    - [3.041, 1.678, 0.059, 11.23, -0.0405]</v>
      </c>
      <c r="O559">
        <f>A559-'DLC Buildup Factors'!G895</f>
        <v>0</v>
      </c>
      <c r="P559">
        <f>B559-'DLC Buildup Factors'!H895</f>
        <v>0</v>
      </c>
      <c r="Q559">
        <f>C559-'DLC Buildup Factors'!I895</f>
        <v>0</v>
      </c>
      <c r="R559">
        <f>D559-'DLC Buildup Factors'!J895</f>
        <v>0</v>
      </c>
      <c r="S559">
        <f>E559-'DLC Buildup Factors'!K895</f>
        <v>0</v>
      </c>
      <c r="T559">
        <f>F559-'DLC Buildup Factors'!L895</f>
        <v>0</v>
      </c>
      <c r="U559">
        <f>G559-'DLC Buildup Factors'!M895</f>
        <v>0</v>
      </c>
      <c r="V559">
        <f>H559-'DLC Buildup Factors'!N895</f>
        <v>0</v>
      </c>
      <c r="W559">
        <f>I559-'DLC Buildup Factors'!O895</f>
        <v>0</v>
      </c>
    </row>
    <row r="560" spans="1:23">
      <c r="A560" s="12">
        <v>4.3999999999999997E-2</v>
      </c>
      <c r="B560">
        <v>2.9929999999999999</v>
      </c>
      <c r="C560">
        <v>1.6319999999999999</v>
      </c>
      <c r="D560">
        <v>5.7000000000000002E-2</v>
      </c>
      <c r="E560">
        <v>14.01</v>
      </c>
      <c r="F560">
        <v>-3.8899999999999997E-2</v>
      </c>
      <c r="G560">
        <v>11.9</v>
      </c>
      <c r="H560">
        <v>20</v>
      </c>
      <c r="I560">
        <v>6.79</v>
      </c>
      <c r="K560" t="str">
        <f t="shared" si="70"/>
        <v xml:space="preserve">    - 0.044</v>
      </c>
      <c r="L560" t="str">
        <f t="shared" si="71"/>
        <v xml:space="preserve">    - [2.993, 1.632, 0.057, 14.01, -0.0389]</v>
      </c>
      <c r="O560">
        <f>A560-'DLC Buildup Factors'!G896</f>
        <v>0</v>
      </c>
      <c r="P560">
        <f>B560-'DLC Buildup Factors'!H896</f>
        <v>0</v>
      </c>
      <c r="Q560">
        <f>C560-'DLC Buildup Factors'!I896</f>
        <v>0</v>
      </c>
      <c r="R560">
        <f>D560-'DLC Buildup Factors'!J896</f>
        <v>0</v>
      </c>
      <c r="S560">
        <f>E560-'DLC Buildup Factors'!K896</f>
        <v>0</v>
      </c>
      <c r="T560">
        <f>F560-'DLC Buildup Factors'!L896</f>
        <v>0</v>
      </c>
      <c r="U560">
        <f>G560-'DLC Buildup Factors'!M896</f>
        <v>0</v>
      </c>
      <c r="V560">
        <f>H560-'DLC Buildup Factors'!N896</f>
        <v>0</v>
      </c>
      <c r="W560">
        <f>I560-'DLC Buildup Factors'!O896</f>
        <v>0</v>
      </c>
    </row>
    <row r="561" spans="1:23">
      <c r="A561" s="12">
        <v>4.5999999999999999E-2</v>
      </c>
      <c r="B561">
        <v>3.0419999999999998</v>
      </c>
      <c r="C561">
        <v>1.526</v>
      </c>
      <c r="D561">
        <v>6.6000000000000003E-2</v>
      </c>
      <c r="E561">
        <v>21.62</v>
      </c>
      <c r="F561">
        <v>-7.0400000000000004E-2</v>
      </c>
      <c r="G561">
        <v>10.5</v>
      </c>
      <c r="H561">
        <v>25</v>
      </c>
      <c r="I561">
        <v>6.32</v>
      </c>
      <c r="K561" t="str">
        <f t="shared" si="70"/>
        <v xml:space="preserve">    - 0.046</v>
      </c>
      <c r="L561" t="str">
        <f t="shared" si="71"/>
        <v xml:space="preserve">    - [3.042, 1.526, 0.066, 21.62, -0.0704]</v>
      </c>
      <c r="O561">
        <f>A561-'DLC Buildup Factors'!G897</f>
        <v>0</v>
      </c>
      <c r="P561">
        <f>B561-'DLC Buildup Factors'!H897</f>
        <v>0</v>
      </c>
      <c r="Q561">
        <f>C561-'DLC Buildup Factors'!I897</f>
        <v>0</v>
      </c>
      <c r="R561">
        <f>D561-'DLC Buildup Factors'!J897</f>
        <v>0</v>
      </c>
      <c r="S561">
        <f>E561-'DLC Buildup Factors'!K897</f>
        <v>0</v>
      </c>
      <c r="T561">
        <f>F561-'DLC Buildup Factors'!L897</f>
        <v>0</v>
      </c>
      <c r="U561">
        <f>G561-'DLC Buildup Factors'!M897</f>
        <v>0</v>
      </c>
      <c r="V561">
        <f>H561-'DLC Buildup Factors'!N897</f>
        <v>0</v>
      </c>
      <c r="W561">
        <f>I561-'DLC Buildup Factors'!O897</f>
        <v>0</v>
      </c>
    </row>
    <row r="562" spans="1:23">
      <c r="A562" s="12">
        <v>4.8000000000000001E-2</v>
      </c>
      <c r="B562">
        <v>3.1179999999999999</v>
      </c>
      <c r="C562">
        <v>1.4119999999999999</v>
      </c>
      <c r="D562">
        <v>7.6999999999999999E-2</v>
      </c>
      <c r="E562">
        <v>25.91</v>
      </c>
      <c r="F562">
        <v>-9.0200000000000002E-2</v>
      </c>
      <c r="G562">
        <v>10.5</v>
      </c>
      <c r="H562">
        <v>3</v>
      </c>
      <c r="I562">
        <v>5.01</v>
      </c>
      <c r="K562" t="str">
        <f t="shared" si="70"/>
        <v xml:space="preserve">    - 0.048</v>
      </c>
      <c r="L562" t="str">
        <f t="shared" si="71"/>
        <v xml:space="preserve">    - [3.118, 1.412, 0.077, 25.91, -0.0902]</v>
      </c>
      <c r="O562">
        <f>A562-'DLC Buildup Factors'!G898</f>
        <v>0</v>
      </c>
      <c r="P562">
        <f>B562-'DLC Buildup Factors'!H898</f>
        <v>0</v>
      </c>
      <c r="Q562">
        <f>C562-'DLC Buildup Factors'!I898</f>
        <v>0</v>
      </c>
      <c r="R562">
        <f>D562-'DLC Buildup Factors'!J898</f>
        <v>0</v>
      </c>
      <c r="S562">
        <f>E562-'DLC Buildup Factors'!K898</f>
        <v>0</v>
      </c>
      <c r="T562">
        <f>F562-'DLC Buildup Factors'!L898</f>
        <v>0</v>
      </c>
      <c r="U562">
        <f>G562-'DLC Buildup Factors'!M898</f>
        <v>0</v>
      </c>
      <c r="V562">
        <f>H562-'DLC Buildup Factors'!N898</f>
        <v>0</v>
      </c>
      <c r="W562">
        <f>I562-'DLC Buildup Factors'!O898</f>
        <v>0</v>
      </c>
    </row>
    <row r="563" spans="1:23">
      <c r="A563" s="12">
        <v>0.05</v>
      </c>
      <c r="B563">
        <v>3.1269999999999998</v>
      </c>
      <c r="C563">
        <v>1.3109999999999999</v>
      </c>
      <c r="D563">
        <v>8.8999999999999996E-2</v>
      </c>
      <c r="E563">
        <v>20.239999999999998</v>
      </c>
      <c r="F563">
        <v>-7.7100000000000002E-2</v>
      </c>
      <c r="G563">
        <v>9.1</v>
      </c>
      <c r="H563">
        <v>3</v>
      </c>
      <c r="I563">
        <v>5.15</v>
      </c>
      <c r="K563" t="str">
        <f t="shared" si="70"/>
        <v xml:space="preserve">    - 0.050</v>
      </c>
      <c r="L563" t="str">
        <f t="shared" si="71"/>
        <v xml:space="preserve">    - [3.127, 1.311, 0.089, 20.24, -0.0771]</v>
      </c>
      <c r="O563">
        <f>A563-'DLC Buildup Factors'!G899</f>
        <v>0</v>
      </c>
      <c r="P563">
        <f>B563-'DLC Buildup Factors'!H899</f>
        <v>0</v>
      </c>
      <c r="Q563">
        <f>C563-'DLC Buildup Factors'!I899</f>
        <v>0</v>
      </c>
      <c r="R563">
        <f>D563-'DLC Buildup Factors'!J899</f>
        <v>0</v>
      </c>
      <c r="S563">
        <f>E563-'DLC Buildup Factors'!K899</f>
        <v>0</v>
      </c>
      <c r="T563">
        <f>F563-'DLC Buildup Factors'!L899</f>
        <v>0</v>
      </c>
      <c r="U563">
        <f>G563-'DLC Buildup Factors'!M899</f>
        <v>0</v>
      </c>
      <c r="V563">
        <f>H563-'DLC Buildup Factors'!N899</f>
        <v>0</v>
      </c>
      <c r="W563">
        <f>I563-'DLC Buildup Factors'!O899</f>
        <v>0</v>
      </c>
    </row>
    <row r="564" spans="1:23">
      <c r="A564" s="12">
        <v>5.5E-2</v>
      </c>
      <c r="B564">
        <v>3</v>
      </c>
      <c r="C564">
        <v>1.038</v>
      </c>
      <c r="D564">
        <v>0.128</v>
      </c>
      <c r="E564">
        <v>17.579999999999998</v>
      </c>
      <c r="F564">
        <v>-9.2999999999999999E-2</v>
      </c>
      <c r="G564">
        <v>6.2</v>
      </c>
      <c r="H564">
        <v>3</v>
      </c>
      <c r="I564">
        <v>2.97</v>
      </c>
      <c r="K564" t="str">
        <f t="shared" si="70"/>
        <v xml:space="preserve">    - 0.055</v>
      </c>
      <c r="L564" t="str">
        <f t="shared" si="71"/>
        <v xml:space="preserve">    - [3.000, 1.038, 0.128, 17.58, -0.0930]</v>
      </c>
      <c r="O564">
        <f>A564-'DLC Buildup Factors'!G900</f>
        <v>0</v>
      </c>
      <c r="P564">
        <f>B564-'DLC Buildup Factors'!H900</f>
        <v>0</v>
      </c>
      <c r="Q564">
        <f>C564-'DLC Buildup Factors'!I900</f>
        <v>0</v>
      </c>
      <c r="R564">
        <f>D564-'DLC Buildup Factors'!J900</f>
        <v>0</v>
      </c>
      <c r="S564">
        <f>E564-'DLC Buildup Factors'!K900</f>
        <v>0</v>
      </c>
      <c r="T564">
        <f>F564-'DLC Buildup Factors'!L900</f>
        <v>0</v>
      </c>
      <c r="U564">
        <f>G564-'DLC Buildup Factors'!M900</f>
        <v>0</v>
      </c>
      <c r="V564">
        <f>H564-'DLC Buildup Factors'!N900</f>
        <v>0</v>
      </c>
      <c r="W564">
        <f>I564-'DLC Buildup Factors'!O900</f>
        <v>0</v>
      </c>
    </row>
    <row r="565" spans="1:23">
      <c r="A565" s="12">
        <v>0.06</v>
      </c>
      <c r="B565">
        <v>2.8250000000000002</v>
      </c>
      <c r="C565">
        <v>0.77400000000000002</v>
      </c>
      <c r="D565">
        <v>0.184</v>
      </c>
      <c r="E565">
        <v>16.36</v>
      </c>
      <c r="F565">
        <f>-0.1517</f>
        <v>-0.1517</v>
      </c>
      <c r="G565">
        <v>2.8</v>
      </c>
      <c r="H565">
        <v>1</v>
      </c>
      <c r="I565">
        <v>1.54</v>
      </c>
      <c r="K565" t="str">
        <f t="shared" si="70"/>
        <v xml:space="preserve">    - 0.060</v>
      </c>
      <c r="L565" t="str">
        <f t="shared" si="71"/>
        <v xml:space="preserve">    - [2.825, 0.774, 0.184, 16.36, -0.1517]</v>
      </c>
      <c r="O565">
        <f>A565-'DLC Buildup Factors'!G901</f>
        <v>0</v>
      </c>
      <c r="P565">
        <f>B565-'DLC Buildup Factors'!H901</f>
        <v>0</v>
      </c>
      <c r="Q565">
        <f>C565-'DLC Buildup Factors'!I901</f>
        <v>0</v>
      </c>
      <c r="R565">
        <f>D565-'DLC Buildup Factors'!J901</f>
        <v>0</v>
      </c>
      <c r="S565">
        <f>E565-'DLC Buildup Factors'!K901</f>
        <v>0</v>
      </c>
      <c r="T565">
        <f>F565-'DLC Buildup Factors'!L901</f>
        <v>0</v>
      </c>
      <c r="U565">
        <f>G565-'DLC Buildup Factors'!M901</f>
        <v>0</v>
      </c>
      <c r="V565">
        <f>H565-'DLC Buildup Factors'!N901</f>
        <v>0</v>
      </c>
      <c r="W565">
        <f>I565-'DLC Buildup Factors'!O901</f>
        <v>0</v>
      </c>
    </row>
    <row r="566" spans="1:23">
      <c r="A566" s="12">
        <v>7.0000000000000007E-2</v>
      </c>
      <c r="B566">
        <v>2.4220000000000002</v>
      </c>
      <c r="C566">
        <v>0.29899999999999999</v>
      </c>
      <c r="D566">
        <v>0.34899999999999998</v>
      </c>
      <c r="E566">
        <v>28.55</v>
      </c>
      <c r="F566">
        <v>-0.36880000000000002</v>
      </c>
      <c r="G566">
        <v>4.0999999999999996</v>
      </c>
      <c r="H566">
        <v>0.5</v>
      </c>
      <c r="I566">
        <v>2.2200000000000002</v>
      </c>
      <c r="K566" t="str">
        <f t="shared" si="70"/>
        <v xml:space="preserve">    - 0.070</v>
      </c>
      <c r="L566" t="str">
        <f t="shared" si="71"/>
        <v xml:space="preserve">    - [2.422, 0.299, 0.349, 28.55, -0.3688]</v>
      </c>
      <c r="O566">
        <f>A566-'DLC Buildup Factors'!G902</f>
        <v>0</v>
      </c>
      <c r="P566">
        <f>B566-'DLC Buildup Factors'!H902</f>
        <v>0</v>
      </c>
      <c r="Q566">
        <f>C566-'DLC Buildup Factors'!I902</f>
        <v>0</v>
      </c>
      <c r="R566">
        <f>D566-'DLC Buildup Factors'!J902</f>
        <v>0</v>
      </c>
      <c r="S566">
        <f>E566-'DLC Buildup Factors'!K902</f>
        <v>0</v>
      </c>
      <c r="T566">
        <f>F566-'DLC Buildup Factors'!L902</f>
        <v>0</v>
      </c>
      <c r="U566">
        <f>G566-'DLC Buildup Factors'!M902</f>
        <v>0</v>
      </c>
      <c r="V566">
        <f>H566-'DLC Buildup Factors'!N902</f>
        <v>0</v>
      </c>
      <c r="W566">
        <f>I566-'DLC Buildup Factors'!O902</f>
        <v>0</v>
      </c>
    </row>
    <row r="567" spans="1:23">
      <c r="A567" s="12">
        <v>0.08</v>
      </c>
      <c r="B567">
        <v>2.048</v>
      </c>
      <c r="C567">
        <v>0.21199999999999999</v>
      </c>
      <c r="D567">
        <v>-0.124</v>
      </c>
      <c r="E567">
        <v>16.38</v>
      </c>
      <c r="F567">
        <v>6.6299999999999998E-2</v>
      </c>
      <c r="G567">
        <v>0.7</v>
      </c>
      <c r="H567">
        <v>1</v>
      </c>
      <c r="I567">
        <v>0.32</v>
      </c>
      <c r="K567" t="str">
        <f t="shared" si="70"/>
        <v xml:space="preserve">    - 0.080</v>
      </c>
      <c r="L567" t="str">
        <f t="shared" si="71"/>
        <v xml:space="preserve">    - [2.048, 0.212, -0.124, 16.38, 0.0663]</v>
      </c>
      <c r="O567">
        <f>A567-'DLC Buildup Factors'!G903</f>
        <v>0</v>
      </c>
      <c r="P567">
        <f>B567-'DLC Buildup Factors'!H903</f>
        <v>0</v>
      </c>
      <c r="Q567">
        <f>C567-'DLC Buildup Factors'!I903</f>
        <v>0</v>
      </c>
      <c r="R567">
        <f>D567-'DLC Buildup Factors'!J903</f>
        <v>0</v>
      </c>
      <c r="S567">
        <f>E567-'DLC Buildup Factors'!K903</f>
        <v>0</v>
      </c>
      <c r="T567">
        <f>F567-'DLC Buildup Factors'!L903</f>
        <v>0</v>
      </c>
      <c r="U567">
        <f>G567-'DLC Buildup Factors'!M903</f>
        <v>0</v>
      </c>
      <c r="V567">
        <f>H567-'DLC Buildup Factors'!N903</f>
        <v>0</v>
      </c>
      <c r="W567">
        <f>I567-'DLC Buildup Factors'!O903</f>
        <v>0</v>
      </c>
    </row>
    <row r="568" spans="1:23">
      <c r="A568" s="12">
        <v>0.09</v>
      </c>
      <c r="B568">
        <v>1.6859999999999999</v>
      </c>
      <c r="C568">
        <v>7.4999999999999997E-2</v>
      </c>
      <c r="D568">
        <v>2.5999999999999999E-2</v>
      </c>
      <c r="E568">
        <v>8.77</v>
      </c>
      <c r="F568">
        <v>0.115</v>
      </c>
      <c r="G568">
        <v>0.6</v>
      </c>
      <c r="H568">
        <v>15</v>
      </c>
      <c r="I568">
        <v>0.36</v>
      </c>
      <c r="K568" t="str">
        <f t="shared" si="70"/>
        <v xml:space="preserve">    - 0.090</v>
      </c>
      <c r="L568" t="str">
        <f t="shared" si="71"/>
        <v xml:space="preserve">    - [1.686, 0.075, 0.026, 8.77, 0.1150]</v>
      </c>
      <c r="O568">
        <f>A568-'DLC Buildup Factors'!G904</f>
        <v>0</v>
      </c>
      <c r="P568">
        <f>B568-'DLC Buildup Factors'!H904</f>
        <v>0</v>
      </c>
      <c r="Q568">
        <f>C568-'DLC Buildup Factors'!I904</f>
        <v>0</v>
      </c>
      <c r="R568">
        <f>D568-'DLC Buildup Factors'!J904</f>
        <v>0</v>
      </c>
      <c r="S568">
        <f>E568-'DLC Buildup Factors'!K904</f>
        <v>0</v>
      </c>
      <c r="T568">
        <f>F568-'DLC Buildup Factors'!L904</f>
        <v>0</v>
      </c>
      <c r="U568">
        <f>G568-'DLC Buildup Factors'!M904</f>
        <v>0</v>
      </c>
      <c r="V568">
        <f>H568-'DLC Buildup Factors'!N904</f>
        <v>0</v>
      </c>
      <c r="W568">
        <f>I568-'DLC Buildup Factors'!O904</f>
        <v>0</v>
      </c>
    </row>
    <row r="569" spans="1:23">
      <c r="A569" s="12">
        <v>0.1</v>
      </c>
      <c r="B569">
        <v>1.47</v>
      </c>
      <c r="C569">
        <v>3.9E-2</v>
      </c>
      <c r="D569">
        <v>0.66100000000000003</v>
      </c>
      <c r="E569">
        <v>14.46</v>
      </c>
      <c r="F569">
        <v>-0.16639999999999999</v>
      </c>
      <c r="G569">
        <v>0.7</v>
      </c>
      <c r="H569">
        <v>1</v>
      </c>
      <c r="I569">
        <v>0.27</v>
      </c>
      <c r="K569" t="str">
        <f t="shared" si="70"/>
        <v xml:space="preserve">    - 0.100</v>
      </c>
      <c r="L569" t="str">
        <f t="shared" si="71"/>
        <v xml:space="preserve">    - [1.470, 0.039, 0.661, 14.46, -0.1664]</v>
      </c>
      <c r="O569">
        <f>A569-'DLC Buildup Factors'!G905</f>
        <v>0</v>
      </c>
      <c r="P569">
        <f>B569-'DLC Buildup Factors'!H905</f>
        <v>0</v>
      </c>
      <c r="Q569">
        <f>C569-'DLC Buildup Factors'!I905</f>
        <v>0</v>
      </c>
      <c r="R569">
        <f>D569-'DLC Buildup Factors'!J905</f>
        <v>0</v>
      </c>
      <c r="S569">
        <f>E569-'DLC Buildup Factors'!K905</f>
        <v>0</v>
      </c>
      <c r="T569">
        <f>F569-'DLC Buildup Factors'!L905</f>
        <v>0</v>
      </c>
      <c r="U569">
        <f>G569-'DLC Buildup Factors'!M905</f>
        <v>0</v>
      </c>
      <c r="V569">
        <f>H569-'DLC Buildup Factors'!N905</f>
        <v>0</v>
      </c>
      <c r="W569">
        <f>I569-'DLC Buildup Factors'!O905</f>
        <v>0</v>
      </c>
    </row>
    <row r="570" spans="1:23">
      <c r="A570" s="12">
        <v>0.15</v>
      </c>
      <c r="B570">
        <v>1.194</v>
      </c>
      <c r="C570">
        <v>0.23599999999999999</v>
      </c>
      <c r="D570">
        <v>0.36099999999999999</v>
      </c>
      <c r="E570">
        <v>13.74</v>
      </c>
      <c r="F570">
        <v>-0.20610000000000001</v>
      </c>
      <c r="G570">
        <v>1.4</v>
      </c>
      <c r="H570">
        <v>0.5</v>
      </c>
      <c r="I570">
        <v>0.59</v>
      </c>
      <c r="K570" t="str">
        <f t="shared" si="70"/>
        <v xml:space="preserve">    - 0.150</v>
      </c>
      <c r="L570" t="str">
        <f t="shared" si="71"/>
        <v xml:space="preserve">    - [1.194, 0.236, 0.361, 13.74, -0.2061]</v>
      </c>
      <c r="O570">
        <f>A570-'DLC Buildup Factors'!G906</f>
        <v>0</v>
      </c>
      <c r="P570">
        <f>B570-'DLC Buildup Factors'!H906</f>
        <v>0</v>
      </c>
      <c r="Q570">
        <f>C570-'DLC Buildup Factors'!I906</f>
        <v>0</v>
      </c>
      <c r="R570">
        <f>D570-'DLC Buildup Factors'!J906</f>
        <v>0</v>
      </c>
      <c r="S570">
        <f>E570-'DLC Buildup Factors'!K906</f>
        <v>0</v>
      </c>
      <c r="T570">
        <f>F570-'DLC Buildup Factors'!L906</f>
        <v>0</v>
      </c>
      <c r="U570">
        <f>G570-'DLC Buildup Factors'!M906</f>
        <v>0</v>
      </c>
      <c r="V570">
        <f>H570-'DLC Buildup Factors'!N906</f>
        <v>0</v>
      </c>
      <c r="W570">
        <f>I570-'DLC Buildup Factors'!O906</f>
        <v>0</v>
      </c>
    </row>
    <row r="571" spans="1:23">
      <c r="A571" s="12">
        <v>0.2</v>
      </c>
      <c r="B571">
        <v>1.194</v>
      </c>
      <c r="C571">
        <v>0.45</v>
      </c>
      <c r="D571">
        <v>0.19500000000000001</v>
      </c>
      <c r="E571">
        <v>14.2</v>
      </c>
      <c r="F571">
        <v>-0.10440000000000001</v>
      </c>
      <c r="G571">
        <v>1.1000000000000001</v>
      </c>
      <c r="H571">
        <v>0.5</v>
      </c>
      <c r="I571">
        <v>0.44</v>
      </c>
      <c r="K571" t="str">
        <f t="shared" si="70"/>
        <v xml:space="preserve">    - 0.200</v>
      </c>
      <c r="L571" t="str">
        <f t="shared" si="71"/>
        <v xml:space="preserve">    - [1.194, 0.450, 0.195, 14.20, -0.1044]</v>
      </c>
      <c r="O571">
        <f>A571-'DLC Buildup Factors'!G907</f>
        <v>0</v>
      </c>
      <c r="P571">
        <f>B571-'DLC Buildup Factors'!H907</f>
        <v>0</v>
      </c>
      <c r="Q571">
        <f>C571-'DLC Buildup Factors'!I907</f>
        <v>0</v>
      </c>
      <c r="R571">
        <f>D571-'DLC Buildup Factors'!J907</f>
        <v>0</v>
      </c>
      <c r="S571">
        <f>E571-'DLC Buildup Factors'!K907</f>
        <v>0</v>
      </c>
      <c r="T571">
        <f>F571-'DLC Buildup Factors'!L907</f>
        <v>0</v>
      </c>
      <c r="U571">
        <f>G571-'DLC Buildup Factors'!M907</f>
        <v>0</v>
      </c>
      <c r="V571">
        <f>H571-'DLC Buildup Factors'!N907</f>
        <v>0</v>
      </c>
      <c r="W571">
        <f>I571-'DLC Buildup Factors'!O907</f>
        <v>0</v>
      </c>
    </row>
    <row r="572" spans="1:23">
      <c r="A572" s="12">
        <v>0.3</v>
      </c>
      <c r="B572">
        <v>1.3080000000000001</v>
      </c>
      <c r="C572">
        <v>0.57999999999999996</v>
      </c>
      <c r="D572">
        <v>0.13100000000000001</v>
      </c>
      <c r="E572">
        <v>13.84</v>
      </c>
      <c r="F572">
        <v>-6.2300000000000001E-2</v>
      </c>
      <c r="G572">
        <v>0.6</v>
      </c>
      <c r="H572">
        <v>5</v>
      </c>
      <c r="I572">
        <v>0.38</v>
      </c>
      <c r="K572" t="str">
        <f t="shared" si="70"/>
        <v xml:space="preserve">    - 0.300</v>
      </c>
      <c r="L572" t="str">
        <f t="shared" si="71"/>
        <v xml:space="preserve">    - [1.308, 0.580, 0.131, 13.84, -0.0623]</v>
      </c>
      <c r="O572">
        <f>A572-'DLC Buildup Factors'!G908</f>
        <v>0</v>
      </c>
      <c r="P572">
        <f>B572-'DLC Buildup Factors'!H908</f>
        <v>0</v>
      </c>
      <c r="Q572">
        <f>C572-'DLC Buildup Factors'!I908</f>
        <v>0</v>
      </c>
      <c r="R572">
        <f>D572-'DLC Buildup Factors'!J908</f>
        <v>0</v>
      </c>
      <c r="S572">
        <f>E572-'DLC Buildup Factors'!K908</f>
        <v>0</v>
      </c>
      <c r="T572">
        <f>F572-'DLC Buildup Factors'!L908</f>
        <v>0</v>
      </c>
      <c r="U572">
        <f>G572-'DLC Buildup Factors'!M908</f>
        <v>0</v>
      </c>
      <c r="V572">
        <f>H572-'DLC Buildup Factors'!N908</f>
        <v>0</v>
      </c>
      <c r="W572">
        <f>I572-'DLC Buildup Factors'!O908</f>
        <v>0</v>
      </c>
    </row>
    <row r="573" spans="1:23">
      <c r="A573" s="12">
        <v>0.4</v>
      </c>
      <c r="B573">
        <v>1.4159999999999999</v>
      </c>
      <c r="C573">
        <v>0.71299999999999997</v>
      </c>
      <c r="D573">
        <v>8.6999999999999994E-2</v>
      </c>
      <c r="E573">
        <v>14.12</v>
      </c>
      <c r="F573">
        <v>-5.0500000000000003E-2</v>
      </c>
      <c r="G573">
        <v>0.8</v>
      </c>
      <c r="H573">
        <v>5</v>
      </c>
      <c r="I573">
        <v>0.46</v>
      </c>
      <c r="K573" t="str">
        <f t="shared" si="70"/>
        <v xml:space="preserve">    - 0.400</v>
      </c>
      <c r="L573" t="str">
        <f t="shared" si="71"/>
        <v xml:space="preserve">    - [1.416, 0.713, 0.087, 14.12, -0.0505]</v>
      </c>
      <c r="O573">
        <f>A573-'DLC Buildup Factors'!G909</f>
        <v>0</v>
      </c>
      <c r="P573">
        <f>B573-'DLC Buildup Factors'!H909</f>
        <v>0</v>
      </c>
      <c r="Q573">
        <f>C573-'DLC Buildup Factors'!I909</f>
        <v>0</v>
      </c>
      <c r="R573">
        <f>D573-'DLC Buildup Factors'!J909</f>
        <v>0</v>
      </c>
      <c r="S573">
        <f>E573-'DLC Buildup Factors'!K909</f>
        <v>0</v>
      </c>
      <c r="T573">
        <f>F573-'DLC Buildup Factors'!L909</f>
        <v>0</v>
      </c>
      <c r="U573">
        <f>G573-'DLC Buildup Factors'!M909</f>
        <v>0</v>
      </c>
      <c r="V573">
        <f>H573-'DLC Buildup Factors'!N909</f>
        <v>0</v>
      </c>
      <c r="W573">
        <f>I573-'DLC Buildup Factors'!O909</f>
        <v>0</v>
      </c>
    </row>
    <row r="574" spans="1:23">
      <c r="A574" s="12">
        <v>0.5</v>
      </c>
      <c r="B574">
        <v>1.488</v>
      </c>
      <c r="C574">
        <v>0.80300000000000005</v>
      </c>
      <c r="D574">
        <v>0.06</v>
      </c>
      <c r="E574">
        <v>14.1</v>
      </c>
      <c r="F574">
        <v>-3.9899999999999998E-2</v>
      </c>
      <c r="G574">
        <v>0.9</v>
      </c>
      <c r="H574">
        <v>5</v>
      </c>
      <c r="I574">
        <v>0.46</v>
      </c>
      <c r="K574" t="str">
        <f t="shared" si="70"/>
        <v xml:space="preserve">    - 0.500</v>
      </c>
      <c r="L574" t="str">
        <f t="shared" si="71"/>
        <v xml:space="preserve">    - [1.488, 0.803, 0.060, 14.10, -0.0399]</v>
      </c>
      <c r="O574">
        <f>A574-'DLC Buildup Factors'!G910</f>
        <v>0</v>
      </c>
      <c r="P574">
        <f>B574-'DLC Buildup Factors'!H910</f>
        <v>0</v>
      </c>
      <c r="Q574">
        <f>C574-'DLC Buildup Factors'!I910</f>
        <v>0</v>
      </c>
      <c r="R574">
        <f>D574-'DLC Buildup Factors'!J910</f>
        <v>0</v>
      </c>
      <c r="S574">
        <f>E574-'DLC Buildup Factors'!K910</f>
        <v>0</v>
      </c>
      <c r="T574">
        <f>F574-'DLC Buildup Factors'!L910</f>
        <v>0</v>
      </c>
      <c r="U574">
        <f>G574-'DLC Buildup Factors'!M910</f>
        <v>0</v>
      </c>
      <c r="V574">
        <f>H574-'DLC Buildup Factors'!N910</f>
        <v>0</v>
      </c>
      <c r="W574">
        <f>I574-'DLC Buildup Factors'!O910</f>
        <v>0</v>
      </c>
    </row>
    <row r="575" spans="1:23">
      <c r="A575" s="12">
        <v>0.6</v>
      </c>
      <c r="B575">
        <v>1.534</v>
      </c>
      <c r="C575">
        <v>0.86499999999999999</v>
      </c>
      <c r="D575">
        <v>4.1000000000000002E-2</v>
      </c>
      <c r="E575">
        <v>13.81</v>
      </c>
      <c r="F575">
        <v>-3.04E-2</v>
      </c>
      <c r="G575">
        <v>0.9</v>
      </c>
      <c r="H575">
        <v>5</v>
      </c>
      <c r="I575">
        <v>0.44</v>
      </c>
      <c r="K575" t="str">
        <f t="shared" si="70"/>
        <v xml:space="preserve">    - 0.600</v>
      </c>
      <c r="L575" t="str">
        <f t="shared" si="71"/>
        <v xml:space="preserve">    - [1.534, 0.865, 0.041, 13.81, -0.0304]</v>
      </c>
      <c r="O575">
        <f>A575-'DLC Buildup Factors'!G911</f>
        <v>0</v>
      </c>
      <c r="P575">
        <f>B575-'DLC Buildup Factors'!H911</f>
        <v>0</v>
      </c>
      <c r="Q575">
        <f>C575-'DLC Buildup Factors'!I911</f>
        <v>0</v>
      </c>
      <c r="R575">
        <f>D575-'DLC Buildup Factors'!J911</f>
        <v>0</v>
      </c>
      <c r="S575">
        <f>E575-'DLC Buildup Factors'!K911</f>
        <v>0</v>
      </c>
      <c r="T575">
        <f>F575-'DLC Buildup Factors'!L911</f>
        <v>0</v>
      </c>
      <c r="U575">
        <f>G575-'DLC Buildup Factors'!M911</f>
        <v>0</v>
      </c>
      <c r="V575">
        <f>H575-'DLC Buildup Factors'!N911</f>
        <v>0</v>
      </c>
      <c r="W575">
        <f>I575-'DLC Buildup Factors'!O911</f>
        <v>0</v>
      </c>
    </row>
    <row r="576" spans="1:23">
      <c r="A576" s="12">
        <v>0.8</v>
      </c>
      <c r="B576">
        <v>1.5880000000000001</v>
      </c>
      <c r="C576">
        <v>0.93400000000000005</v>
      </c>
      <c r="D576">
        <v>2.3E-2</v>
      </c>
      <c r="E576">
        <v>13.66</v>
      </c>
      <c r="F576">
        <v>-2.3400000000000001E-2</v>
      </c>
      <c r="G576">
        <v>0.9</v>
      </c>
      <c r="H576">
        <v>5</v>
      </c>
      <c r="I576">
        <v>0.39</v>
      </c>
      <c r="K576" t="str">
        <f t="shared" si="70"/>
        <v xml:space="preserve">    - 0.800</v>
      </c>
      <c r="L576" t="str">
        <f t="shared" si="71"/>
        <v xml:space="preserve">    - [1.588, 0.934, 0.023, 13.66, -0.0234]</v>
      </c>
      <c r="O576">
        <f>A576-'DLC Buildup Factors'!G912</f>
        <v>0</v>
      </c>
      <c r="P576">
        <f>B576-'DLC Buildup Factors'!H912</f>
        <v>0</v>
      </c>
      <c r="Q576">
        <f>C576-'DLC Buildup Factors'!I912</f>
        <v>0</v>
      </c>
      <c r="R576">
        <f>D576-'DLC Buildup Factors'!J912</f>
        <v>0</v>
      </c>
      <c r="S576">
        <f>E576-'DLC Buildup Factors'!K912</f>
        <v>0</v>
      </c>
      <c r="T576">
        <f>F576-'DLC Buildup Factors'!L912</f>
        <v>0</v>
      </c>
      <c r="U576">
        <f>G576-'DLC Buildup Factors'!M912</f>
        <v>0</v>
      </c>
      <c r="V576">
        <f>H576-'DLC Buildup Factors'!N912</f>
        <v>0</v>
      </c>
      <c r="W576">
        <f>I576-'DLC Buildup Factors'!O912</f>
        <v>0</v>
      </c>
    </row>
    <row r="577" spans="1:23">
      <c r="A577" s="12">
        <v>1</v>
      </c>
      <c r="B577">
        <v>1.6020000000000001</v>
      </c>
      <c r="C577">
        <v>0.97399999999999998</v>
      </c>
      <c r="D577">
        <v>1.4E-2</v>
      </c>
      <c r="E577">
        <v>13.24</v>
      </c>
      <c r="F577">
        <v>-2.2200000000000001E-2</v>
      </c>
      <c r="G577">
        <v>0.7</v>
      </c>
      <c r="H577">
        <v>25</v>
      </c>
      <c r="I577">
        <v>0.41</v>
      </c>
      <c r="K577" t="str">
        <f t="shared" si="70"/>
        <v xml:space="preserve">    - 1.000</v>
      </c>
      <c r="L577" t="str">
        <f t="shared" si="71"/>
        <v xml:space="preserve">    - [1.602, 0.974, 0.014, 13.24, -0.0222]</v>
      </c>
      <c r="O577">
        <f>A577-'DLC Buildup Factors'!G913</f>
        <v>0</v>
      </c>
      <c r="P577">
        <f>B577-'DLC Buildup Factors'!H913</f>
        <v>0</v>
      </c>
      <c r="Q577">
        <f>C577-'DLC Buildup Factors'!I913</f>
        <v>0</v>
      </c>
      <c r="R577">
        <f>D577-'DLC Buildup Factors'!J913</f>
        <v>0</v>
      </c>
      <c r="S577">
        <f>E577-'DLC Buildup Factors'!K913</f>
        <v>0</v>
      </c>
      <c r="T577">
        <f>F577-'DLC Buildup Factors'!L913</f>
        <v>0</v>
      </c>
      <c r="U577">
        <f>G577-'DLC Buildup Factors'!M913</f>
        <v>0</v>
      </c>
      <c r="V577">
        <f>H577-'DLC Buildup Factors'!N913</f>
        <v>0</v>
      </c>
      <c r="W577">
        <f>I577-'DLC Buildup Factors'!O913</f>
        <v>0</v>
      </c>
    </row>
    <row r="578" spans="1:23">
      <c r="A578" s="12">
        <v>1.5</v>
      </c>
      <c r="B578">
        <v>1.538</v>
      </c>
      <c r="C578">
        <v>1.0720000000000001</v>
      </c>
      <c r="D578">
        <v>-8.9999999999999993E-3</v>
      </c>
      <c r="E578">
        <v>13.64</v>
      </c>
      <c r="F578">
        <v>-1.0800000000000001E-2</v>
      </c>
      <c r="G578">
        <v>0.6</v>
      </c>
      <c r="H578">
        <v>1</v>
      </c>
      <c r="I578">
        <v>0.28000000000000003</v>
      </c>
      <c r="K578" t="str">
        <f t="shared" si="70"/>
        <v xml:space="preserve">    - 1.500</v>
      </c>
      <c r="L578" t="str">
        <f t="shared" si="71"/>
        <v xml:space="preserve">    - [1.538, 1.072, -0.009, 13.64, -0.0108]</v>
      </c>
      <c r="O578">
        <f>A578-'DLC Buildup Factors'!G914</f>
        <v>0</v>
      </c>
      <c r="P578">
        <f>B578-'DLC Buildup Factors'!H914</f>
        <v>0</v>
      </c>
      <c r="Q578">
        <f>C578-'DLC Buildup Factors'!I914</f>
        <v>0</v>
      </c>
      <c r="R578">
        <f>D578-'DLC Buildup Factors'!J914</f>
        <v>0</v>
      </c>
      <c r="S578">
        <f>E578-'DLC Buildup Factors'!K914</f>
        <v>0</v>
      </c>
      <c r="T578">
        <f>F578-'DLC Buildup Factors'!L914</f>
        <v>0</v>
      </c>
      <c r="U578">
        <f>G578-'DLC Buildup Factors'!M914</f>
        <v>0</v>
      </c>
      <c r="V578">
        <f>H578-'DLC Buildup Factors'!N914</f>
        <v>0</v>
      </c>
      <c r="W578">
        <f>I578-'DLC Buildup Factors'!O914</f>
        <v>0</v>
      </c>
    </row>
    <row r="579" spans="1:23">
      <c r="A579" s="12">
        <v>2</v>
      </c>
      <c r="B579">
        <v>1.5529999999999999</v>
      </c>
      <c r="C579">
        <v>1.044</v>
      </c>
      <c r="D579">
        <v>2E-3</v>
      </c>
      <c r="E579">
        <v>13.08</v>
      </c>
      <c r="F579">
        <v>-2.2499999999999999E-2</v>
      </c>
      <c r="G579">
        <v>0.9</v>
      </c>
      <c r="H579">
        <v>4</v>
      </c>
      <c r="I579">
        <v>0.63</v>
      </c>
      <c r="K579" t="str">
        <f t="shared" si="70"/>
        <v xml:space="preserve">    - 2.000</v>
      </c>
      <c r="L579" t="str">
        <f t="shared" si="71"/>
        <v xml:space="preserve">    - [1.553, 1.044, 0.002, 13.08, -0.0225]</v>
      </c>
      <c r="O579">
        <f>A579-'DLC Buildup Factors'!G915</f>
        <v>0</v>
      </c>
      <c r="P579">
        <f>B579-'DLC Buildup Factors'!H915</f>
        <v>0</v>
      </c>
      <c r="Q579">
        <f>C579-'DLC Buildup Factors'!I915</f>
        <v>0</v>
      </c>
      <c r="R579">
        <f>D579-'DLC Buildup Factors'!J915</f>
        <v>0</v>
      </c>
      <c r="S579">
        <f>E579-'DLC Buildup Factors'!K915</f>
        <v>0</v>
      </c>
      <c r="T579">
        <f>F579-'DLC Buildup Factors'!L915</f>
        <v>0</v>
      </c>
      <c r="U579">
        <f>G579-'DLC Buildup Factors'!M915</f>
        <v>0</v>
      </c>
      <c r="V579">
        <f>H579-'DLC Buildup Factors'!N915</f>
        <v>0</v>
      </c>
      <c r="W579">
        <f>I579-'DLC Buildup Factors'!O915</f>
        <v>0</v>
      </c>
    </row>
    <row r="580" spans="1:23">
      <c r="A580" s="12">
        <v>3</v>
      </c>
      <c r="B580">
        <v>1.5429999999999999</v>
      </c>
      <c r="C580">
        <v>1.0089999999999999</v>
      </c>
      <c r="D580">
        <v>1.9E-2</v>
      </c>
      <c r="E580">
        <v>13.39</v>
      </c>
      <c r="F580">
        <v>-4.4699999999999997E-2</v>
      </c>
      <c r="G580">
        <v>3.4</v>
      </c>
      <c r="H580">
        <v>0.5</v>
      </c>
      <c r="I580">
        <v>1.52</v>
      </c>
      <c r="K580" t="str">
        <f t="shared" si="70"/>
        <v xml:space="preserve">    - 3.000</v>
      </c>
      <c r="L580" t="str">
        <f t="shared" si="71"/>
        <v xml:space="preserve">    - [1.543, 1.009, 0.019, 13.39, -0.0447]</v>
      </c>
      <c r="O580">
        <f>A580-'DLC Buildup Factors'!G916</f>
        <v>0</v>
      </c>
      <c r="P580">
        <f>B580-'DLC Buildup Factors'!H916</f>
        <v>0</v>
      </c>
      <c r="Q580">
        <f>C580-'DLC Buildup Factors'!I916</f>
        <v>0</v>
      </c>
      <c r="R580">
        <f>D580-'DLC Buildup Factors'!J916</f>
        <v>0</v>
      </c>
      <c r="S580">
        <f>E580-'DLC Buildup Factors'!K916</f>
        <v>0</v>
      </c>
      <c r="T580">
        <f>F580-'DLC Buildup Factors'!L916</f>
        <v>0</v>
      </c>
      <c r="U580">
        <f>G580-'DLC Buildup Factors'!M916</f>
        <v>0</v>
      </c>
      <c r="V580">
        <f>H580-'DLC Buildup Factors'!N916</f>
        <v>0</v>
      </c>
      <c r="W580">
        <f>I580-'DLC Buildup Factors'!O916</f>
        <v>0</v>
      </c>
    </row>
    <row r="581" spans="1:23">
      <c r="A581" s="12">
        <v>4</v>
      </c>
      <c r="B581">
        <v>1.5229999999999999</v>
      </c>
      <c r="C581">
        <v>0.97</v>
      </c>
      <c r="D581">
        <v>3.6999999999999998E-2</v>
      </c>
      <c r="E581">
        <v>13.74</v>
      </c>
      <c r="F581">
        <v>-6.0900000000000003E-2</v>
      </c>
      <c r="G581">
        <v>4.0999999999999996</v>
      </c>
      <c r="H581">
        <v>0.5</v>
      </c>
      <c r="I581">
        <v>1.82</v>
      </c>
      <c r="K581" t="str">
        <f t="shared" si="70"/>
        <v xml:space="preserve">    - 4.000</v>
      </c>
      <c r="L581" t="str">
        <f t="shared" si="71"/>
        <v xml:space="preserve">    - [1.523, 0.970, 0.037, 13.74, -0.0609]</v>
      </c>
      <c r="O581">
        <f>A581-'DLC Buildup Factors'!G917</f>
        <v>0</v>
      </c>
      <c r="P581">
        <f>B581-'DLC Buildup Factors'!H917</f>
        <v>0</v>
      </c>
      <c r="Q581">
        <f>C581-'DLC Buildup Factors'!I917</f>
        <v>0</v>
      </c>
      <c r="R581">
        <f>D581-'DLC Buildup Factors'!J917</f>
        <v>0</v>
      </c>
      <c r="S581">
        <f>E581-'DLC Buildup Factors'!K917</f>
        <v>0</v>
      </c>
      <c r="T581">
        <f>F581-'DLC Buildup Factors'!L917</f>
        <v>0</v>
      </c>
      <c r="U581">
        <f>G581-'DLC Buildup Factors'!M917</f>
        <v>0</v>
      </c>
      <c r="V581">
        <f>H581-'DLC Buildup Factors'!N917</f>
        <v>0</v>
      </c>
      <c r="W581">
        <f>I581-'DLC Buildup Factors'!O917</f>
        <v>0</v>
      </c>
    </row>
    <row r="582" spans="1:23">
      <c r="A582" s="12">
        <v>5</v>
      </c>
      <c r="B582">
        <v>1.611</v>
      </c>
      <c r="C582">
        <v>0.88800000000000001</v>
      </c>
      <c r="D582">
        <v>7.0000000000000007E-2</v>
      </c>
      <c r="E582">
        <v>13.96</v>
      </c>
      <c r="F582">
        <v>-8.9300000000000004E-2</v>
      </c>
      <c r="G582">
        <v>4.8</v>
      </c>
      <c r="H582">
        <v>0.5</v>
      </c>
      <c r="I582">
        <v>2.33</v>
      </c>
      <c r="K582" t="str">
        <f t="shared" si="70"/>
        <v xml:space="preserve">    - 5.000</v>
      </c>
      <c r="L582" t="str">
        <f t="shared" si="71"/>
        <v xml:space="preserve">    - [1.611, 0.888, 0.070, 13.96, -0.0893]</v>
      </c>
      <c r="O582">
        <f>A582-'DLC Buildup Factors'!G918</f>
        <v>0</v>
      </c>
      <c r="P582">
        <f>B582-'DLC Buildup Factors'!H918</f>
        <v>0</v>
      </c>
      <c r="Q582">
        <f>C582-'DLC Buildup Factors'!I918</f>
        <v>0</v>
      </c>
      <c r="R582">
        <f>D582-'DLC Buildup Factors'!J918</f>
        <v>0</v>
      </c>
      <c r="S582">
        <f>E582-'DLC Buildup Factors'!K918</f>
        <v>0</v>
      </c>
      <c r="T582">
        <f>F582-'DLC Buildup Factors'!L918</f>
        <v>0</v>
      </c>
      <c r="U582">
        <f>G582-'DLC Buildup Factors'!M918</f>
        <v>0</v>
      </c>
      <c r="V582">
        <f>H582-'DLC Buildup Factors'!N918</f>
        <v>0</v>
      </c>
      <c r="W582">
        <f>I582-'DLC Buildup Factors'!O918</f>
        <v>0</v>
      </c>
    </row>
    <row r="583" spans="1:23">
      <c r="A583" s="12">
        <v>6</v>
      </c>
      <c r="B583">
        <v>1.65</v>
      </c>
      <c r="C583">
        <v>0.88400000000000001</v>
      </c>
      <c r="D583">
        <v>7.5999999999999998E-2</v>
      </c>
      <c r="E583">
        <v>14.19</v>
      </c>
      <c r="F583">
        <v>-9.1899999999999996E-2</v>
      </c>
      <c r="G583">
        <v>4.5</v>
      </c>
      <c r="H583">
        <v>0.5</v>
      </c>
      <c r="I583">
        <v>2.31</v>
      </c>
      <c r="K583" t="str">
        <f t="shared" si="70"/>
        <v xml:space="preserve">    - 6.000</v>
      </c>
      <c r="L583" t="str">
        <f t="shared" si="71"/>
        <v xml:space="preserve">    - [1.650, 0.884, 0.076, 14.19, -0.0919]</v>
      </c>
      <c r="O583">
        <f>A583-'DLC Buildup Factors'!G919</f>
        <v>0</v>
      </c>
      <c r="P583">
        <f>B583-'DLC Buildup Factors'!H919</f>
        <v>0</v>
      </c>
      <c r="Q583">
        <f>C583-'DLC Buildup Factors'!I919</f>
        <v>0</v>
      </c>
      <c r="R583">
        <f>D583-'DLC Buildup Factors'!J919</f>
        <v>0</v>
      </c>
      <c r="S583">
        <f>E583-'DLC Buildup Factors'!K919</f>
        <v>0</v>
      </c>
      <c r="T583">
        <f>F583-'DLC Buildup Factors'!L919</f>
        <v>0</v>
      </c>
      <c r="U583">
        <f>G583-'DLC Buildup Factors'!M919</f>
        <v>0</v>
      </c>
      <c r="V583">
        <f>H583-'DLC Buildup Factors'!N919</f>
        <v>0</v>
      </c>
      <c r="W583">
        <f>I583-'DLC Buildup Factors'!O919</f>
        <v>0</v>
      </c>
    </row>
    <row r="584" spans="1:23">
      <c r="A584" s="12">
        <v>8</v>
      </c>
      <c r="B584">
        <v>1.847</v>
      </c>
      <c r="C584">
        <v>0.92900000000000005</v>
      </c>
      <c r="D584">
        <v>7.2999999999999995E-2</v>
      </c>
      <c r="E584">
        <v>14.18</v>
      </c>
      <c r="F584">
        <v>-9.06E-2</v>
      </c>
      <c r="G584">
        <v>4</v>
      </c>
      <c r="H584">
        <v>0.5</v>
      </c>
      <c r="I584">
        <v>2.2400000000000002</v>
      </c>
      <c r="K584" t="str">
        <f t="shared" si="70"/>
        <v xml:space="preserve">    - 8.000</v>
      </c>
      <c r="L584" t="str">
        <f t="shared" si="71"/>
        <v xml:space="preserve">    - [1.847, 0.929, 0.073, 14.18, -0.0906]</v>
      </c>
      <c r="O584">
        <f>A584-'DLC Buildup Factors'!G920</f>
        <v>0</v>
      </c>
      <c r="P584">
        <f>B584-'DLC Buildup Factors'!H920</f>
        <v>0</v>
      </c>
      <c r="Q584">
        <f>C584-'DLC Buildup Factors'!I920</f>
        <v>0</v>
      </c>
      <c r="R584">
        <f>D584-'DLC Buildup Factors'!J920</f>
        <v>0</v>
      </c>
      <c r="S584">
        <f>E584-'DLC Buildup Factors'!K920</f>
        <v>0</v>
      </c>
      <c r="T584">
        <f>F584-'DLC Buildup Factors'!L920</f>
        <v>0</v>
      </c>
      <c r="U584">
        <f>G584-'DLC Buildup Factors'!M920</f>
        <v>0</v>
      </c>
      <c r="V584">
        <f>H584-'DLC Buildup Factors'!N920</f>
        <v>0</v>
      </c>
      <c r="W584">
        <f>I584-'DLC Buildup Factors'!O920</f>
        <v>0</v>
      </c>
    </row>
    <row r="585" spans="1:23">
      <c r="A585" s="12">
        <v>10</v>
      </c>
      <c r="B585">
        <v>1.9179999999999999</v>
      </c>
      <c r="C585">
        <v>1.097</v>
      </c>
      <c r="D585">
        <v>3.5000000000000003E-2</v>
      </c>
      <c r="E585">
        <v>14.06</v>
      </c>
      <c r="F585">
        <f>-0.0582</f>
        <v>-5.8200000000000002E-2</v>
      </c>
      <c r="G585">
        <v>2.9</v>
      </c>
      <c r="H585">
        <v>0.5</v>
      </c>
      <c r="I585">
        <v>1.64</v>
      </c>
      <c r="K585" t="str">
        <f t="shared" si="70"/>
        <v xml:space="preserve">    - 10.000</v>
      </c>
      <c r="L585" t="str">
        <f t="shared" si="71"/>
        <v xml:space="preserve">    - [1.918, 1.097, 0.035, 14.06, -0.0582]</v>
      </c>
      <c r="O585">
        <f>A585-'DLC Buildup Factors'!G921</f>
        <v>0</v>
      </c>
      <c r="P585">
        <f>B585-'DLC Buildup Factors'!H921</f>
        <v>0</v>
      </c>
      <c r="Q585">
        <f>C585-'DLC Buildup Factors'!I921</f>
        <v>0</v>
      </c>
      <c r="R585">
        <f>D585-'DLC Buildup Factors'!J921</f>
        <v>0</v>
      </c>
      <c r="S585">
        <f>E585-'DLC Buildup Factors'!K921</f>
        <v>0</v>
      </c>
      <c r="T585">
        <f>F585-'DLC Buildup Factors'!L921</f>
        <v>0</v>
      </c>
      <c r="U585">
        <f>G585-'DLC Buildup Factors'!M921</f>
        <v>0</v>
      </c>
      <c r="V585">
        <f>H585-'DLC Buildup Factors'!N921</f>
        <v>0</v>
      </c>
      <c r="W585">
        <f>I585-'DLC Buildup Factors'!O921</f>
        <v>0</v>
      </c>
    </row>
    <row r="586" spans="1:23">
      <c r="A586">
        <v>15</v>
      </c>
      <c r="B586">
        <v>2.1800000000000002</v>
      </c>
      <c r="C586">
        <v>1.3160000000000001</v>
      </c>
      <c r="D586">
        <v>8.0000000000000002E-3</v>
      </c>
      <c r="E586">
        <v>13.68</v>
      </c>
      <c r="F586">
        <v>-3.9600000000000003E-2</v>
      </c>
      <c r="G586">
        <v>1.9</v>
      </c>
      <c r="H586">
        <v>1</v>
      </c>
      <c r="I586">
        <v>1.06</v>
      </c>
      <c r="K586" t="str">
        <f t="shared" si="70"/>
        <v xml:space="preserve">    - 15.000</v>
      </c>
      <c r="L586" t="str">
        <f t="shared" si="71"/>
        <v xml:space="preserve">    - [2.180, 1.316, 0.008, 13.68, -0.0396]</v>
      </c>
      <c r="O586">
        <f>A586-'DLC Buildup Factors'!G922</f>
        <v>0</v>
      </c>
      <c r="P586">
        <f>B586-'DLC Buildup Factors'!H922</f>
        <v>0</v>
      </c>
      <c r="Q586">
        <f>C586-'DLC Buildup Factors'!I922</f>
        <v>0</v>
      </c>
      <c r="R586">
        <f>D586-'DLC Buildup Factors'!J922</f>
        <v>0</v>
      </c>
      <c r="S586">
        <f>E586-'DLC Buildup Factors'!K922</f>
        <v>0</v>
      </c>
      <c r="T586">
        <f>F586-'DLC Buildup Factors'!L922</f>
        <v>0</v>
      </c>
      <c r="U586">
        <f>G586-'DLC Buildup Factors'!M922</f>
        <v>0</v>
      </c>
      <c r="V586">
        <f>H586-'DLC Buildup Factors'!N922</f>
        <v>0</v>
      </c>
      <c r="W586">
        <f>I586-'DLC Buildup Factors'!O922</f>
        <v>0</v>
      </c>
    </row>
    <row r="587" spans="1:23">
      <c r="A587" s="12"/>
    </row>
    <row r="588" spans="1:23">
      <c r="A588" s="10" t="s">
        <v>1525</v>
      </c>
    </row>
    <row r="589" spans="1:23">
      <c r="A589" s="10" t="s">
        <v>1546</v>
      </c>
    </row>
    <row r="590" spans="1:23">
      <c r="A590" t="s">
        <v>0</v>
      </c>
      <c r="B590" t="s">
        <v>10</v>
      </c>
      <c r="C590" t="s">
        <v>11</v>
      </c>
      <c r="D590" t="s">
        <v>12</v>
      </c>
      <c r="E590" t="s">
        <v>15</v>
      </c>
      <c r="F590" t="s">
        <v>13</v>
      </c>
      <c r="G590" t="s">
        <v>16</v>
      </c>
      <c r="H590" t="s">
        <v>17</v>
      </c>
      <c r="I590" t="s">
        <v>14</v>
      </c>
    </row>
    <row r="591" spans="1:23">
      <c r="A591" s="10">
        <v>1.4999999999999999E-2</v>
      </c>
      <c r="B591">
        <v>1.0029999999999999</v>
      </c>
      <c r="C591">
        <v>0.26100000000000001</v>
      </c>
      <c r="D591">
        <v>0.29899999999999999</v>
      </c>
      <c r="E591">
        <v>21.25</v>
      </c>
      <c r="F591">
        <v>-0.27710000000000001</v>
      </c>
      <c r="G591">
        <v>0.1</v>
      </c>
      <c r="H591">
        <v>1</v>
      </c>
      <c r="I591">
        <v>0.03</v>
      </c>
      <c r="K591" t="str">
        <f t="shared" ref="K591" si="72">CONCATENATE("    - ",TEXT(A591,"0.000"))</f>
        <v xml:space="preserve">    - 0.015</v>
      </c>
      <c r="L591" t="str">
        <f t="shared" ref="L591" si="73">CONCATENATE("    - [",TEXT(B591,"0.000"),", ",TEXT(C591,"0.000"),", ",TEXT(D591,"0.000"),", ",TEXT(E591,"0.00"),", ",TEXT(F591,"0.0000"),"]")</f>
        <v xml:space="preserve">    - [1.003, 0.261, 0.299, 21.25, -0.2771]</v>
      </c>
      <c r="O591">
        <f>A591-'DLC Buildup Factors'!G929</f>
        <v>0</v>
      </c>
      <c r="P591">
        <f>B591-'DLC Buildup Factors'!H929</f>
        <v>0</v>
      </c>
      <c r="Q591">
        <f>C591-'DLC Buildup Factors'!I929</f>
        <v>0</v>
      </c>
      <c r="R591">
        <f>D591-'DLC Buildup Factors'!J929</f>
        <v>0</v>
      </c>
      <c r="S591">
        <f>E591-'DLC Buildup Factors'!K929</f>
        <v>0</v>
      </c>
      <c r="T591">
        <f>F591-'DLC Buildup Factors'!L929</f>
        <v>0</v>
      </c>
      <c r="U591">
        <f>G591-'DLC Buildup Factors'!M929</f>
        <v>0</v>
      </c>
      <c r="V591">
        <f>H591-'DLC Buildup Factors'!N929</f>
        <v>0</v>
      </c>
      <c r="W591">
        <f>I591-'DLC Buildup Factors'!O929</f>
        <v>0</v>
      </c>
    </row>
    <row r="592" spans="1:23">
      <c r="A592" s="10">
        <v>0.02</v>
      </c>
      <c r="B592">
        <v>1.0049999999999999</v>
      </c>
      <c r="C592">
        <v>0.39300000000000002</v>
      </c>
      <c r="D592">
        <v>0.19500000000000001</v>
      </c>
      <c r="E592">
        <v>12.95</v>
      </c>
      <c r="F592">
        <v>-8.0199999999999994E-2</v>
      </c>
      <c r="G592">
        <v>0.1</v>
      </c>
      <c r="H592">
        <v>15</v>
      </c>
      <c r="I592">
        <v>0.03</v>
      </c>
      <c r="K592" t="str">
        <f t="shared" ref="K592:K624" si="74">CONCATENATE("    - ",TEXT(A592,"0.000"))</f>
        <v xml:space="preserve">    - 0.020</v>
      </c>
      <c r="L592" t="str">
        <f t="shared" ref="L592:L624" si="75">CONCATENATE("    - [",TEXT(B592,"0.000"),", ",TEXT(C592,"0.000"),", ",TEXT(D592,"0.000"),", ",TEXT(E592,"0.00"),", ",TEXT(F592,"0.0000"),"]")</f>
        <v xml:space="preserve">    - [1.005, 0.393, 0.195, 12.95, -0.0802]</v>
      </c>
      <c r="O592">
        <f>A592-'DLC Buildup Factors'!G930</f>
        <v>0</v>
      </c>
      <c r="P592">
        <f>B592-'DLC Buildup Factors'!H930</f>
        <v>0</v>
      </c>
      <c r="Q592">
        <f>C592-'DLC Buildup Factors'!I930</f>
        <v>0</v>
      </c>
      <c r="R592">
        <f>D592-'DLC Buildup Factors'!J930</f>
        <v>0</v>
      </c>
      <c r="S592">
        <f>E592-'DLC Buildup Factors'!K930</f>
        <v>0</v>
      </c>
      <c r="T592">
        <f>F592-'DLC Buildup Factors'!L930</f>
        <v>0</v>
      </c>
      <c r="U592">
        <f>G592-'DLC Buildup Factors'!M930</f>
        <v>0</v>
      </c>
      <c r="V592">
        <f>H592-'DLC Buildup Factors'!N930</f>
        <v>0</v>
      </c>
      <c r="W592">
        <f>I592-'DLC Buildup Factors'!O930</f>
        <v>0</v>
      </c>
    </row>
    <row r="593" spans="1:23">
      <c r="A593" s="10">
        <v>0.03</v>
      </c>
      <c r="B593">
        <v>1.0149999999999999</v>
      </c>
      <c r="C593">
        <v>0.32600000000000001</v>
      </c>
      <c r="D593">
        <v>0.24099999999999999</v>
      </c>
      <c r="E593">
        <v>13.87</v>
      </c>
      <c r="F593">
        <v>-8.8499999999999995E-2</v>
      </c>
      <c r="G593">
        <v>0.1</v>
      </c>
      <c r="H593">
        <v>35</v>
      </c>
      <c r="I593">
        <v>0.02</v>
      </c>
      <c r="K593" t="str">
        <f t="shared" si="74"/>
        <v xml:space="preserve">    - 0.030</v>
      </c>
      <c r="L593" t="str">
        <f t="shared" si="75"/>
        <v xml:space="preserve">    - [1.015, 0.326, 0.241, 13.87, -0.0885]</v>
      </c>
      <c r="O593">
        <f>A593-'DLC Buildup Factors'!G931</f>
        <v>0</v>
      </c>
      <c r="P593">
        <f>B593-'DLC Buildup Factors'!H931</f>
        <v>0</v>
      </c>
      <c r="Q593">
        <f>C593-'DLC Buildup Factors'!I931</f>
        <v>0</v>
      </c>
      <c r="R593">
        <f>D593-'DLC Buildup Factors'!J931</f>
        <v>0</v>
      </c>
      <c r="S593">
        <f>E593-'DLC Buildup Factors'!K931</f>
        <v>0</v>
      </c>
      <c r="T593">
        <f>F593-'DLC Buildup Factors'!L931</f>
        <v>0</v>
      </c>
      <c r="U593">
        <f>G593-'DLC Buildup Factors'!M931</f>
        <v>0</v>
      </c>
      <c r="V593">
        <f>H593-'DLC Buildup Factors'!N931</f>
        <v>0</v>
      </c>
      <c r="W593">
        <f>I593-'DLC Buildup Factors'!O931</f>
        <v>0</v>
      </c>
    </row>
    <row r="594" spans="1:23">
      <c r="A594" s="10">
        <v>0.04</v>
      </c>
      <c r="B594">
        <v>1.0309999999999999</v>
      </c>
      <c r="C594">
        <v>0.312</v>
      </c>
      <c r="D594">
        <v>0.25600000000000001</v>
      </c>
      <c r="E594">
        <v>14.14</v>
      </c>
      <c r="F594">
        <v>-9.9699999999999997E-2</v>
      </c>
      <c r="G594">
        <v>0.1</v>
      </c>
      <c r="H594">
        <v>8</v>
      </c>
      <c r="I594">
        <v>0.03</v>
      </c>
      <c r="K594" t="str">
        <f t="shared" si="74"/>
        <v xml:space="preserve">    - 0.040</v>
      </c>
      <c r="L594" t="str">
        <f t="shared" si="75"/>
        <v xml:space="preserve">    - [1.031, 0.312, 0.256, 14.14, -0.0997]</v>
      </c>
      <c r="O594">
        <f>A594-'DLC Buildup Factors'!G932</f>
        <v>0</v>
      </c>
      <c r="P594">
        <f>B594-'DLC Buildup Factors'!H932</f>
        <v>0</v>
      </c>
      <c r="Q594">
        <f>C594-'DLC Buildup Factors'!I932</f>
        <v>0</v>
      </c>
      <c r="R594">
        <f>D594-'DLC Buildup Factors'!J932</f>
        <v>0</v>
      </c>
      <c r="S594">
        <f>E594-'DLC Buildup Factors'!K932</f>
        <v>0</v>
      </c>
      <c r="T594">
        <f>F594-'DLC Buildup Factors'!L932</f>
        <v>0</v>
      </c>
      <c r="U594">
        <f>G594-'DLC Buildup Factors'!M932</f>
        <v>0</v>
      </c>
      <c r="V594">
        <f>H594-'DLC Buildup Factors'!N932</f>
        <v>0</v>
      </c>
      <c r="W594">
        <f>I594-'DLC Buildup Factors'!O932</f>
        <v>0</v>
      </c>
    </row>
    <row r="595" spans="1:23">
      <c r="A595" s="10">
        <v>0.05</v>
      </c>
      <c r="B595">
        <v>1.0509999999999999</v>
      </c>
      <c r="C595">
        <v>0.32400000000000001</v>
      </c>
      <c r="D595">
        <v>0.248</v>
      </c>
      <c r="E595">
        <v>14.02</v>
      </c>
      <c r="F595">
        <v>-0.105</v>
      </c>
      <c r="G595">
        <v>0.1</v>
      </c>
      <c r="H595">
        <v>10</v>
      </c>
      <c r="I595">
        <v>0.06</v>
      </c>
      <c r="K595" t="str">
        <f t="shared" si="74"/>
        <v xml:space="preserve">    - 0.050</v>
      </c>
      <c r="L595" t="str">
        <f t="shared" si="75"/>
        <v xml:space="preserve">    - [1.051, 0.324, 0.248, 14.02, -0.1050]</v>
      </c>
      <c r="O595">
        <f>A595-'DLC Buildup Factors'!G933</f>
        <v>0</v>
      </c>
      <c r="P595">
        <f>B595-'DLC Buildup Factors'!H933</f>
        <v>0</v>
      </c>
      <c r="Q595">
        <f>C595-'DLC Buildup Factors'!I933</f>
        <v>0</v>
      </c>
      <c r="R595">
        <f>D595-'DLC Buildup Factors'!J933</f>
        <v>0</v>
      </c>
      <c r="S595">
        <f>E595-'DLC Buildup Factors'!K933</f>
        <v>0</v>
      </c>
      <c r="T595">
        <f>F595-'DLC Buildup Factors'!L933</f>
        <v>0</v>
      </c>
      <c r="U595">
        <f>G595-'DLC Buildup Factors'!M933</f>
        <v>0</v>
      </c>
      <c r="V595">
        <f>H595-'DLC Buildup Factors'!N933</f>
        <v>0</v>
      </c>
      <c r="W595">
        <f>I595-'DLC Buildup Factors'!O933</f>
        <v>0</v>
      </c>
    </row>
    <row r="596" spans="1:23">
      <c r="A596" s="10">
        <v>5.0999999999999997E-2</v>
      </c>
      <c r="B596">
        <v>2.7570000000000001</v>
      </c>
      <c r="C596">
        <v>1.7529999999999999</v>
      </c>
      <c r="D596">
        <v>5.3999999999999999E-2</v>
      </c>
      <c r="E596">
        <v>9.91</v>
      </c>
      <c r="F596">
        <v>-4.0099999999999997E-2</v>
      </c>
      <c r="G596">
        <v>12.1</v>
      </c>
      <c r="H596">
        <v>3</v>
      </c>
      <c r="I596">
        <v>5.31</v>
      </c>
      <c r="K596" t="str">
        <f t="shared" si="74"/>
        <v xml:space="preserve">    - 0.051</v>
      </c>
      <c r="L596" t="str">
        <f t="shared" si="75"/>
        <v xml:space="preserve">    - [2.757, 1.753, 0.054, 9.91, -0.0401]</v>
      </c>
      <c r="O596">
        <f>A596-'DLC Buildup Factors'!G934</f>
        <v>0</v>
      </c>
      <c r="P596">
        <f>B596-'DLC Buildup Factors'!H934</f>
        <v>0</v>
      </c>
      <c r="Q596">
        <f>C596-'DLC Buildup Factors'!I934</f>
        <v>0</v>
      </c>
      <c r="R596">
        <f>D596-'DLC Buildup Factors'!J934</f>
        <v>0</v>
      </c>
      <c r="S596">
        <f>E596-'DLC Buildup Factors'!K934</f>
        <v>0</v>
      </c>
      <c r="T596">
        <f>F596-'DLC Buildup Factors'!L934</f>
        <v>0</v>
      </c>
      <c r="U596">
        <f>G596-'DLC Buildup Factors'!M934</f>
        <v>0</v>
      </c>
      <c r="V596">
        <f>H596-'DLC Buildup Factors'!N934</f>
        <v>0</v>
      </c>
      <c r="W596">
        <f>I596-'DLC Buildup Factors'!O934</f>
        <v>0</v>
      </c>
    </row>
    <row r="597" spans="1:23">
      <c r="A597" s="10">
        <v>5.1999999999999998E-2</v>
      </c>
      <c r="B597">
        <v>2.7690000000000001</v>
      </c>
      <c r="C597">
        <v>1.7190000000000001</v>
      </c>
      <c r="D597">
        <v>5.6000000000000001E-2</v>
      </c>
      <c r="E597">
        <v>12.05</v>
      </c>
      <c r="F597">
        <v>-4.1300000000000003E-2</v>
      </c>
      <c r="G597">
        <v>13</v>
      </c>
      <c r="H597">
        <v>3</v>
      </c>
      <c r="I597">
        <v>5.98</v>
      </c>
      <c r="K597" t="str">
        <f t="shared" si="74"/>
        <v xml:space="preserve">    - 0.052</v>
      </c>
      <c r="L597" t="str">
        <f t="shared" si="75"/>
        <v xml:space="preserve">    - [2.769, 1.719, 0.056, 12.05, -0.0413]</v>
      </c>
      <c r="O597">
        <f>A597-'DLC Buildup Factors'!G935</f>
        <v>0</v>
      </c>
      <c r="P597">
        <f>B597-'DLC Buildup Factors'!H935</f>
        <v>0</v>
      </c>
      <c r="Q597">
        <f>C597-'DLC Buildup Factors'!I935</f>
        <v>0</v>
      </c>
      <c r="R597">
        <f>D597-'DLC Buildup Factors'!J935</f>
        <v>0</v>
      </c>
      <c r="S597">
        <f>E597-'DLC Buildup Factors'!K935</f>
        <v>0</v>
      </c>
      <c r="T597">
        <f>F597-'DLC Buildup Factors'!L935</f>
        <v>0</v>
      </c>
      <c r="U597">
        <f>G597-'DLC Buildup Factors'!M935</f>
        <v>0</v>
      </c>
      <c r="V597">
        <f>H597-'DLC Buildup Factors'!N935</f>
        <v>0</v>
      </c>
      <c r="W597">
        <f>I597-'DLC Buildup Factors'!O935</f>
        <v>0</v>
      </c>
    </row>
    <row r="598" spans="1:23">
      <c r="A598" s="10">
        <v>5.3999999999999999E-2</v>
      </c>
      <c r="B598">
        <v>2.6930000000000001</v>
      </c>
      <c r="C598">
        <v>1.696</v>
      </c>
      <c r="D598">
        <v>5.1999999999999998E-2</v>
      </c>
      <c r="E598">
        <v>13.52</v>
      </c>
      <c r="F598">
        <v>-3.4700000000000002E-2</v>
      </c>
      <c r="G598">
        <v>11.7</v>
      </c>
      <c r="H598">
        <v>20</v>
      </c>
      <c r="I598">
        <v>6.37</v>
      </c>
      <c r="K598" t="str">
        <f t="shared" si="74"/>
        <v xml:space="preserve">    - 0.054</v>
      </c>
      <c r="L598" t="str">
        <f t="shared" si="75"/>
        <v xml:space="preserve">    - [2.693, 1.696, 0.052, 13.52, -0.0347]</v>
      </c>
      <c r="O598">
        <f>A598-'DLC Buildup Factors'!G936</f>
        <v>0</v>
      </c>
      <c r="P598">
        <f>B598-'DLC Buildup Factors'!H936</f>
        <v>0</v>
      </c>
      <c r="Q598">
        <f>C598-'DLC Buildup Factors'!I936</f>
        <v>0</v>
      </c>
      <c r="R598">
        <f>D598-'DLC Buildup Factors'!J936</f>
        <v>0</v>
      </c>
      <c r="S598">
        <f>E598-'DLC Buildup Factors'!K936</f>
        <v>0</v>
      </c>
      <c r="T598">
        <f>F598-'DLC Buildup Factors'!L936</f>
        <v>0</v>
      </c>
      <c r="U598">
        <f>G598-'DLC Buildup Factors'!M936</f>
        <v>0</v>
      </c>
      <c r="V598">
        <f>H598-'DLC Buildup Factors'!N936</f>
        <v>0</v>
      </c>
      <c r="W598">
        <f>I598-'DLC Buildup Factors'!O936</f>
        <v>0</v>
      </c>
    </row>
    <row r="599" spans="1:23">
      <c r="A599" s="10">
        <v>5.6000000000000001E-2</v>
      </c>
      <c r="B599">
        <v>2.6429999999999998</v>
      </c>
      <c r="C599">
        <v>1.629</v>
      </c>
      <c r="D599">
        <v>5.6000000000000001E-2</v>
      </c>
      <c r="E599">
        <v>32.159999999999997</v>
      </c>
      <c r="F599">
        <v>-0.18440000000000001</v>
      </c>
      <c r="G599">
        <v>13.4</v>
      </c>
      <c r="H599">
        <v>40</v>
      </c>
      <c r="I599">
        <v>6.54</v>
      </c>
      <c r="K599" t="str">
        <f t="shared" si="74"/>
        <v xml:space="preserve">    - 0.056</v>
      </c>
      <c r="L599" t="str">
        <f t="shared" si="75"/>
        <v xml:space="preserve">    - [2.643, 1.629, 0.056, 32.16, -0.1844]</v>
      </c>
      <c r="O599">
        <f>A599-'DLC Buildup Factors'!G937</f>
        <v>0</v>
      </c>
      <c r="P599">
        <f>B599-'DLC Buildup Factors'!H937</f>
        <v>0</v>
      </c>
      <c r="Q599">
        <f>C599-'DLC Buildup Factors'!I937</f>
        <v>0</v>
      </c>
      <c r="R599">
        <f>D599-'DLC Buildup Factors'!J937</f>
        <v>0</v>
      </c>
      <c r="S599">
        <f>E599-'DLC Buildup Factors'!K937</f>
        <v>0</v>
      </c>
      <c r="T599">
        <f>F599-'DLC Buildup Factors'!L937</f>
        <v>0</v>
      </c>
      <c r="U599">
        <f>G599-'DLC Buildup Factors'!M937</f>
        <v>0</v>
      </c>
      <c r="V599">
        <f>H599-'DLC Buildup Factors'!N937</f>
        <v>0</v>
      </c>
      <c r="W599">
        <f>I599-'DLC Buildup Factors'!O937</f>
        <v>0</v>
      </c>
    </row>
    <row r="600" spans="1:23">
      <c r="A600" s="10">
        <v>5.8000000000000003E-2</v>
      </c>
      <c r="B600">
        <v>2.5049999999999999</v>
      </c>
      <c r="C600">
        <v>1.6240000000000001</v>
      </c>
      <c r="D600">
        <v>4.9000000000000002E-2</v>
      </c>
      <c r="E600">
        <v>23.79</v>
      </c>
      <c r="F600">
        <v>-5.5E-2</v>
      </c>
      <c r="G600">
        <v>15.9</v>
      </c>
      <c r="H600">
        <v>20</v>
      </c>
      <c r="I600">
        <v>7.72</v>
      </c>
      <c r="K600" t="str">
        <f t="shared" si="74"/>
        <v xml:space="preserve">    - 0.058</v>
      </c>
      <c r="L600" t="str">
        <f t="shared" si="75"/>
        <v xml:space="preserve">    - [2.505, 1.624, 0.049, 23.79, -0.0550]</v>
      </c>
      <c r="O600">
        <f>A600-'DLC Buildup Factors'!G938</f>
        <v>0</v>
      </c>
      <c r="P600">
        <f>B600-'DLC Buildup Factors'!H938</f>
        <v>0</v>
      </c>
      <c r="Q600">
        <f>C600-'DLC Buildup Factors'!I938</f>
        <v>0</v>
      </c>
      <c r="R600">
        <f>D600-'DLC Buildup Factors'!J938</f>
        <v>0</v>
      </c>
      <c r="S600">
        <f>E600-'DLC Buildup Factors'!K938</f>
        <v>0</v>
      </c>
      <c r="T600">
        <f>F600-'DLC Buildup Factors'!L938</f>
        <v>0</v>
      </c>
      <c r="U600">
        <f>G600-'DLC Buildup Factors'!M938</f>
        <v>0</v>
      </c>
      <c r="V600">
        <f>H600-'DLC Buildup Factors'!N938</f>
        <v>0</v>
      </c>
      <c r="W600">
        <f>I600-'DLC Buildup Factors'!O938</f>
        <v>0</v>
      </c>
    </row>
    <row r="601" spans="1:23">
      <c r="A601" s="10">
        <v>0.06</v>
      </c>
      <c r="B601">
        <v>2.512</v>
      </c>
      <c r="C601">
        <v>1.51</v>
      </c>
      <c r="D601">
        <v>6.2E-2</v>
      </c>
      <c r="E601">
        <v>28.83</v>
      </c>
      <c r="F601">
        <f>-0.1054</f>
        <v>-0.10539999999999999</v>
      </c>
      <c r="G601">
        <v>10.4</v>
      </c>
      <c r="H601">
        <v>20</v>
      </c>
      <c r="I601">
        <v>5.66</v>
      </c>
      <c r="K601" t="str">
        <f t="shared" si="74"/>
        <v xml:space="preserve">    - 0.060</v>
      </c>
      <c r="L601" t="str">
        <f t="shared" si="75"/>
        <v xml:space="preserve">    - [2.512, 1.510, 0.062, 28.83, -0.1054]</v>
      </c>
      <c r="O601">
        <f>A601-'DLC Buildup Factors'!G939</f>
        <v>0</v>
      </c>
      <c r="P601">
        <f>B601-'DLC Buildup Factors'!H939</f>
        <v>0</v>
      </c>
      <c r="Q601">
        <f>C601-'DLC Buildup Factors'!I939</f>
        <v>0</v>
      </c>
      <c r="R601">
        <f>D601-'DLC Buildup Factors'!J939</f>
        <v>0</v>
      </c>
      <c r="S601">
        <f>E601-'DLC Buildup Factors'!K939</f>
        <v>0</v>
      </c>
      <c r="T601">
        <f>F601-'DLC Buildup Factors'!L939</f>
        <v>0</v>
      </c>
      <c r="U601">
        <f>G601-'DLC Buildup Factors'!M939</f>
        <v>0</v>
      </c>
      <c r="V601">
        <f>H601-'DLC Buildup Factors'!N939</f>
        <v>0</v>
      </c>
      <c r="W601">
        <f>I601-'DLC Buildup Factors'!O939</f>
        <v>0</v>
      </c>
    </row>
    <row r="602" spans="1:23">
      <c r="A602" s="10">
        <v>6.5000000000000002E-2</v>
      </c>
      <c r="B602">
        <v>2.5529999999999999</v>
      </c>
      <c r="C602">
        <v>1.2070000000000001</v>
      </c>
      <c r="D602">
        <v>0.106</v>
      </c>
      <c r="E602">
        <v>18.010000000000002</v>
      </c>
      <c r="F602">
        <v>-8.3900000000000002E-2</v>
      </c>
      <c r="G602">
        <v>8.5</v>
      </c>
      <c r="H602">
        <v>3</v>
      </c>
      <c r="I602">
        <v>4.16</v>
      </c>
      <c r="K602" t="str">
        <f t="shared" si="74"/>
        <v xml:space="preserve">    - 0.065</v>
      </c>
      <c r="L602" t="str">
        <f t="shared" si="75"/>
        <v xml:space="preserve">    - [2.553, 1.207, 0.106, 18.01, -0.0839]</v>
      </c>
      <c r="O602">
        <f>A602-'DLC Buildup Factors'!G940</f>
        <v>0</v>
      </c>
      <c r="P602">
        <f>B602-'DLC Buildup Factors'!H940</f>
        <v>0</v>
      </c>
      <c r="Q602">
        <f>C602-'DLC Buildup Factors'!I940</f>
        <v>0</v>
      </c>
      <c r="R602">
        <f>D602-'DLC Buildup Factors'!J940</f>
        <v>0</v>
      </c>
      <c r="S602">
        <f>E602-'DLC Buildup Factors'!K940</f>
        <v>0</v>
      </c>
      <c r="T602">
        <f>F602-'DLC Buildup Factors'!L940</f>
        <v>0</v>
      </c>
      <c r="U602">
        <f>G602-'DLC Buildup Factors'!M940</f>
        <v>0</v>
      </c>
      <c r="V602">
        <f>H602-'DLC Buildup Factors'!N940</f>
        <v>0</v>
      </c>
      <c r="W602">
        <f>I602-'DLC Buildup Factors'!O940</f>
        <v>0</v>
      </c>
    </row>
    <row r="603" spans="1:23">
      <c r="A603" s="10">
        <v>7.0000000000000007E-2</v>
      </c>
      <c r="B603">
        <v>2.323</v>
      </c>
      <c r="C603">
        <v>1.0349999999999999</v>
      </c>
      <c r="D603">
        <v>0.128</v>
      </c>
      <c r="E603">
        <v>17.88</v>
      </c>
      <c r="F603">
        <v>-0.1051</v>
      </c>
      <c r="G603">
        <v>4.2</v>
      </c>
      <c r="H603">
        <v>4</v>
      </c>
      <c r="I603">
        <v>2.77</v>
      </c>
      <c r="K603" t="str">
        <f t="shared" si="74"/>
        <v xml:space="preserve">    - 0.070</v>
      </c>
      <c r="L603" t="str">
        <f t="shared" si="75"/>
        <v xml:space="preserve">    - [2.323, 1.035, 0.128, 17.88, -0.1051]</v>
      </c>
      <c r="O603">
        <f>A603-'DLC Buildup Factors'!G941</f>
        <v>0</v>
      </c>
      <c r="P603">
        <f>B603-'DLC Buildup Factors'!H941</f>
        <v>0</v>
      </c>
      <c r="Q603">
        <f>C603-'DLC Buildup Factors'!I941</f>
        <v>0</v>
      </c>
      <c r="R603">
        <f>D603-'DLC Buildup Factors'!J941</f>
        <v>0</v>
      </c>
      <c r="S603">
        <f>E603-'DLC Buildup Factors'!K941</f>
        <v>0</v>
      </c>
      <c r="T603">
        <f>F603-'DLC Buildup Factors'!L941</f>
        <v>0</v>
      </c>
      <c r="U603">
        <f>G603-'DLC Buildup Factors'!M941</f>
        <v>0</v>
      </c>
      <c r="V603">
        <f>H603-'DLC Buildup Factors'!N941</f>
        <v>0</v>
      </c>
      <c r="W603">
        <f>I603-'DLC Buildup Factors'!O941</f>
        <v>0</v>
      </c>
    </row>
    <row r="604" spans="1:23">
      <c r="A604" s="10">
        <v>7.4999999999999997E-2</v>
      </c>
      <c r="B604">
        <v>2.1909999999999998</v>
      </c>
      <c r="C604">
        <v>0.81599999999999995</v>
      </c>
      <c r="D604">
        <v>0.17399999999999999</v>
      </c>
      <c r="E604">
        <v>16.260000000000002</v>
      </c>
      <c r="F604">
        <v>-0.14580000000000001</v>
      </c>
      <c r="G604">
        <v>3.1</v>
      </c>
      <c r="H604">
        <v>1</v>
      </c>
      <c r="I604">
        <v>1.63</v>
      </c>
      <c r="K604" t="str">
        <f t="shared" si="74"/>
        <v xml:space="preserve">    - 0.075</v>
      </c>
      <c r="L604" t="str">
        <f t="shared" si="75"/>
        <v xml:space="preserve">    - [2.191, 0.816, 0.174, 16.26, -0.1458]</v>
      </c>
      <c r="O604">
        <f>A604-'DLC Buildup Factors'!G942</f>
        <v>0</v>
      </c>
      <c r="P604">
        <f>B604-'DLC Buildup Factors'!H942</f>
        <v>0</v>
      </c>
      <c r="Q604">
        <f>C604-'DLC Buildup Factors'!I942</f>
        <v>0</v>
      </c>
      <c r="R604">
        <f>D604-'DLC Buildup Factors'!J942</f>
        <v>0</v>
      </c>
      <c r="S604">
        <f>E604-'DLC Buildup Factors'!K942</f>
        <v>0</v>
      </c>
      <c r="T604">
        <f>F604-'DLC Buildup Factors'!L942</f>
        <v>0</v>
      </c>
      <c r="U604">
        <f>G604-'DLC Buildup Factors'!M942</f>
        <v>0</v>
      </c>
      <c r="V604">
        <f>H604-'DLC Buildup Factors'!N942</f>
        <v>0</v>
      </c>
      <c r="W604">
        <f>I604-'DLC Buildup Factors'!O942</f>
        <v>0</v>
      </c>
    </row>
    <row r="605" spans="1:23">
      <c r="A605" s="10">
        <v>0.08</v>
      </c>
      <c r="B605">
        <v>2.1040000000000001</v>
      </c>
      <c r="C605">
        <v>0.59299999999999997</v>
      </c>
      <c r="D605">
        <v>0.24299999999999999</v>
      </c>
      <c r="E605">
        <v>15.93</v>
      </c>
      <c r="F605">
        <v>-0.21510000000000001</v>
      </c>
      <c r="G605">
        <v>2.4</v>
      </c>
      <c r="H605">
        <v>35</v>
      </c>
      <c r="I605">
        <v>1.39</v>
      </c>
      <c r="K605" t="str">
        <f t="shared" si="74"/>
        <v xml:space="preserve">    - 0.080</v>
      </c>
      <c r="L605" t="str">
        <f t="shared" si="75"/>
        <v xml:space="preserve">    - [2.104, 0.593, 0.243, 15.93, -0.2151]</v>
      </c>
      <c r="O605">
        <f>A605-'DLC Buildup Factors'!G943</f>
        <v>0</v>
      </c>
      <c r="P605">
        <f>B605-'DLC Buildup Factors'!H943</f>
        <v>0</v>
      </c>
      <c r="Q605">
        <f>C605-'DLC Buildup Factors'!I943</f>
        <v>0</v>
      </c>
      <c r="R605">
        <f>D605-'DLC Buildup Factors'!J943</f>
        <v>0</v>
      </c>
      <c r="S605">
        <f>E605-'DLC Buildup Factors'!K943</f>
        <v>0</v>
      </c>
      <c r="T605">
        <f>F605-'DLC Buildup Factors'!L943</f>
        <v>0</v>
      </c>
      <c r="U605">
        <f>G605-'DLC Buildup Factors'!M943</f>
        <v>0</v>
      </c>
      <c r="V605">
        <f>H605-'DLC Buildup Factors'!N943</f>
        <v>0</v>
      </c>
      <c r="W605">
        <f>I605-'DLC Buildup Factors'!O943</f>
        <v>0</v>
      </c>
    </row>
    <row r="606" spans="1:23">
      <c r="A606" s="10">
        <v>0.09</v>
      </c>
      <c r="B606">
        <v>1.804</v>
      </c>
      <c r="C606">
        <v>0.32</v>
      </c>
      <c r="D606">
        <v>0.29399999999999998</v>
      </c>
      <c r="E606">
        <v>28.34</v>
      </c>
      <c r="F606">
        <v>-2.07E-2</v>
      </c>
      <c r="G606">
        <v>3.3</v>
      </c>
      <c r="H606">
        <v>2</v>
      </c>
      <c r="I606">
        <v>1.56</v>
      </c>
      <c r="K606" t="str">
        <f t="shared" si="74"/>
        <v xml:space="preserve">    - 0.090</v>
      </c>
      <c r="L606" t="str">
        <f t="shared" si="75"/>
        <v xml:space="preserve">    - [1.804, 0.320, 0.294, 28.34, -0.0207]</v>
      </c>
      <c r="O606">
        <f>A606-'DLC Buildup Factors'!G944</f>
        <v>0</v>
      </c>
      <c r="P606">
        <f>B606-'DLC Buildup Factors'!H944</f>
        <v>0</v>
      </c>
      <c r="Q606">
        <f>C606-'DLC Buildup Factors'!I944</f>
        <v>0</v>
      </c>
      <c r="R606">
        <f>D606-'DLC Buildup Factors'!J944</f>
        <v>0</v>
      </c>
      <c r="S606">
        <f>E606-'DLC Buildup Factors'!K944</f>
        <v>0</v>
      </c>
      <c r="T606">
        <f>F606-'DLC Buildup Factors'!L944</f>
        <v>0</v>
      </c>
      <c r="U606">
        <f>G606-'DLC Buildup Factors'!M944</f>
        <v>0</v>
      </c>
      <c r="V606">
        <f>H606-'DLC Buildup Factors'!N944</f>
        <v>0</v>
      </c>
      <c r="W606">
        <f>I606-'DLC Buildup Factors'!O944</f>
        <v>0</v>
      </c>
    </row>
    <row r="607" spans="1:23">
      <c r="A607" s="10">
        <v>0.1</v>
      </c>
      <c r="B607">
        <v>1.617</v>
      </c>
      <c r="C607">
        <v>0.24099999999999999</v>
      </c>
      <c r="D607">
        <v>-7.0000000000000001E-3</v>
      </c>
      <c r="E607">
        <v>19.329999999999998</v>
      </c>
      <c r="F607">
        <v>6.08E-2</v>
      </c>
      <c r="G607">
        <v>0.3</v>
      </c>
      <c r="H607">
        <v>0.5</v>
      </c>
      <c r="I607">
        <v>0.17</v>
      </c>
      <c r="K607" t="str">
        <f t="shared" si="74"/>
        <v xml:space="preserve">    - 0.100</v>
      </c>
      <c r="L607" t="str">
        <f t="shared" si="75"/>
        <v xml:space="preserve">    - [1.617, 0.241, -0.007, 19.33, 0.0608]</v>
      </c>
      <c r="O607">
        <f>A607-'DLC Buildup Factors'!G945</f>
        <v>0</v>
      </c>
      <c r="P607">
        <f>B607-'DLC Buildup Factors'!H945</f>
        <v>0</v>
      </c>
      <c r="Q607">
        <f>C607-'DLC Buildup Factors'!I945</f>
        <v>0</v>
      </c>
      <c r="R607">
        <f>D607-'DLC Buildup Factors'!J945</f>
        <v>0</v>
      </c>
      <c r="S607">
        <f>E607-'DLC Buildup Factors'!K945</f>
        <v>0</v>
      </c>
      <c r="T607">
        <f>F607-'DLC Buildup Factors'!L945</f>
        <v>0</v>
      </c>
      <c r="U607">
        <f>G607-'DLC Buildup Factors'!M945</f>
        <v>0</v>
      </c>
      <c r="V607">
        <f>H607-'DLC Buildup Factors'!N945</f>
        <v>0</v>
      </c>
      <c r="W607">
        <f>I607-'DLC Buildup Factors'!O945</f>
        <v>0</v>
      </c>
    </row>
    <row r="608" spans="1:23">
      <c r="A608" s="10">
        <v>0.15</v>
      </c>
      <c r="B608">
        <v>1.198</v>
      </c>
      <c r="C608">
        <v>0.14899999999999999</v>
      </c>
      <c r="D608">
        <v>0.47299999999999998</v>
      </c>
      <c r="E608">
        <v>13.83</v>
      </c>
      <c r="F608">
        <v>-0.26019999999999999</v>
      </c>
      <c r="G608">
        <v>1</v>
      </c>
      <c r="H608">
        <v>0.5</v>
      </c>
      <c r="I608">
        <v>0.5</v>
      </c>
      <c r="K608" t="str">
        <f t="shared" si="74"/>
        <v xml:space="preserve">    - 0.150</v>
      </c>
      <c r="L608" t="str">
        <f t="shared" si="75"/>
        <v xml:space="preserve">    - [1.198, 0.149, 0.473, 13.83, -0.2602]</v>
      </c>
      <c r="O608">
        <f>A608-'DLC Buildup Factors'!G946</f>
        <v>0</v>
      </c>
      <c r="P608">
        <f>B608-'DLC Buildup Factors'!H946</f>
        <v>0</v>
      </c>
      <c r="Q608">
        <f>C608-'DLC Buildup Factors'!I946</f>
        <v>0</v>
      </c>
      <c r="R608">
        <f>D608-'DLC Buildup Factors'!J946</f>
        <v>0</v>
      </c>
      <c r="S608">
        <f>E608-'DLC Buildup Factors'!K946</f>
        <v>0</v>
      </c>
      <c r="T608">
        <f>F608-'DLC Buildup Factors'!L946</f>
        <v>0</v>
      </c>
      <c r="U608">
        <f>G608-'DLC Buildup Factors'!M946</f>
        <v>0</v>
      </c>
      <c r="V608">
        <f>H608-'DLC Buildup Factors'!N946</f>
        <v>0</v>
      </c>
      <c r="W608">
        <f>I608-'DLC Buildup Factors'!O946</f>
        <v>0</v>
      </c>
    </row>
    <row r="609" spans="1:23">
      <c r="A609" s="10">
        <v>0.2</v>
      </c>
      <c r="B609">
        <v>1.159</v>
      </c>
      <c r="C609">
        <v>0.38900000000000001</v>
      </c>
      <c r="D609">
        <v>0.22900000000000001</v>
      </c>
      <c r="E609">
        <v>14.18</v>
      </c>
      <c r="F609">
        <v>-0.12180000000000001</v>
      </c>
      <c r="G609">
        <v>1.1000000000000001</v>
      </c>
      <c r="H609">
        <v>0.5</v>
      </c>
      <c r="I609">
        <v>0.44</v>
      </c>
      <c r="K609" t="str">
        <f t="shared" si="74"/>
        <v xml:space="preserve">    - 0.200</v>
      </c>
      <c r="L609" t="str">
        <f t="shared" si="75"/>
        <v xml:space="preserve">    - [1.159, 0.389, 0.229, 14.18, -0.1218]</v>
      </c>
      <c r="O609">
        <f>A609-'DLC Buildup Factors'!G947</f>
        <v>0</v>
      </c>
      <c r="P609">
        <f>B609-'DLC Buildup Factors'!H947</f>
        <v>0</v>
      </c>
      <c r="Q609">
        <f>C609-'DLC Buildup Factors'!I947</f>
        <v>0</v>
      </c>
      <c r="R609">
        <f>D609-'DLC Buildup Factors'!J947</f>
        <v>0</v>
      </c>
      <c r="S609">
        <f>E609-'DLC Buildup Factors'!K947</f>
        <v>0</v>
      </c>
      <c r="T609">
        <f>F609-'DLC Buildup Factors'!L947</f>
        <v>0</v>
      </c>
      <c r="U609">
        <f>G609-'DLC Buildup Factors'!M947</f>
        <v>0</v>
      </c>
      <c r="V609">
        <f>H609-'DLC Buildup Factors'!N947</f>
        <v>0</v>
      </c>
      <c r="W609">
        <f>I609-'DLC Buildup Factors'!O947</f>
        <v>0</v>
      </c>
    </row>
    <row r="610" spans="1:23">
      <c r="A610" s="10">
        <v>0.3</v>
      </c>
      <c r="B610">
        <v>1.2330000000000001</v>
      </c>
      <c r="C610">
        <v>0.54400000000000004</v>
      </c>
      <c r="D610">
        <v>0.14299999999999999</v>
      </c>
      <c r="E610">
        <v>13.81</v>
      </c>
      <c r="F610">
        <v>-6.59E-2</v>
      </c>
      <c r="G610">
        <v>0.5</v>
      </c>
      <c r="H610">
        <v>0.5</v>
      </c>
      <c r="I610">
        <v>0.33</v>
      </c>
      <c r="K610" t="str">
        <f t="shared" si="74"/>
        <v xml:space="preserve">    - 0.300</v>
      </c>
      <c r="L610" t="str">
        <f t="shared" si="75"/>
        <v xml:space="preserve">    - [1.233, 0.544, 0.143, 13.81, -0.0659]</v>
      </c>
      <c r="O610">
        <f>A610-'DLC Buildup Factors'!G948</f>
        <v>0</v>
      </c>
      <c r="P610">
        <f>B610-'DLC Buildup Factors'!H948</f>
        <v>0</v>
      </c>
      <c r="Q610">
        <f>C610-'DLC Buildup Factors'!I948</f>
        <v>0</v>
      </c>
      <c r="R610">
        <f>D610-'DLC Buildup Factors'!J948</f>
        <v>0</v>
      </c>
      <c r="S610">
        <f>E610-'DLC Buildup Factors'!K948</f>
        <v>0</v>
      </c>
      <c r="T610">
        <f>F610-'DLC Buildup Factors'!L948</f>
        <v>0</v>
      </c>
      <c r="U610">
        <f>G610-'DLC Buildup Factors'!M948</f>
        <v>0</v>
      </c>
      <c r="V610">
        <f>H610-'DLC Buildup Factors'!N948</f>
        <v>0</v>
      </c>
      <c r="W610">
        <f>I610-'DLC Buildup Factors'!O948</f>
        <v>0</v>
      </c>
    </row>
    <row r="611" spans="1:23">
      <c r="A611" s="10">
        <v>0.4</v>
      </c>
      <c r="B611">
        <v>1.321</v>
      </c>
      <c r="C611">
        <v>0.66900000000000004</v>
      </c>
      <c r="D611">
        <v>9.9000000000000005E-2</v>
      </c>
      <c r="E611">
        <v>14.23</v>
      </c>
      <c r="F611">
        <v>-5.3400000000000003E-2</v>
      </c>
      <c r="G611">
        <v>0.7</v>
      </c>
      <c r="H611">
        <v>35</v>
      </c>
      <c r="I611">
        <v>0.41</v>
      </c>
      <c r="K611" t="str">
        <f t="shared" si="74"/>
        <v xml:space="preserve">    - 0.400</v>
      </c>
      <c r="L611" t="str">
        <f t="shared" si="75"/>
        <v xml:space="preserve">    - [1.321, 0.669, 0.099, 14.23, -0.0534]</v>
      </c>
      <c r="O611">
        <f>A611-'DLC Buildup Factors'!G949</f>
        <v>0</v>
      </c>
      <c r="P611">
        <f>B611-'DLC Buildup Factors'!H949</f>
        <v>0</v>
      </c>
      <c r="Q611">
        <f>C611-'DLC Buildup Factors'!I949</f>
        <v>0</v>
      </c>
      <c r="R611">
        <f>D611-'DLC Buildup Factors'!J949</f>
        <v>0</v>
      </c>
      <c r="S611">
        <f>E611-'DLC Buildup Factors'!K949</f>
        <v>0</v>
      </c>
      <c r="T611">
        <f>F611-'DLC Buildup Factors'!L949</f>
        <v>0</v>
      </c>
      <c r="U611">
        <f>G611-'DLC Buildup Factors'!M949</f>
        <v>0</v>
      </c>
      <c r="V611">
        <f>H611-'DLC Buildup Factors'!N949</f>
        <v>0</v>
      </c>
      <c r="W611">
        <f>I611-'DLC Buildup Factors'!O949</f>
        <v>0</v>
      </c>
    </row>
    <row r="612" spans="1:23">
      <c r="A612" s="10">
        <v>0.5</v>
      </c>
      <c r="B612">
        <v>1.3939999999999999</v>
      </c>
      <c r="C612">
        <v>0.74399999999999999</v>
      </c>
      <c r="D612">
        <v>7.5999999999999998E-2</v>
      </c>
      <c r="E612">
        <v>14.15</v>
      </c>
      <c r="F612">
        <v>-4.4699999999999997E-2</v>
      </c>
      <c r="G612">
        <v>0.7</v>
      </c>
      <c r="H612">
        <v>5</v>
      </c>
      <c r="I612">
        <v>0.44</v>
      </c>
      <c r="K612" t="str">
        <f t="shared" si="74"/>
        <v xml:space="preserve">    - 0.500</v>
      </c>
      <c r="L612" t="str">
        <f t="shared" si="75"/>
        <v xml:space="preserve">    - [1.394, 0.744, 0.076, 14.15, -0.0447]</v>
      </c>
      <c r="O612">
        <f>A612-'DLC Buildup Factors'!G950</f>
        <v>0</v>
      </c>
      <c r="P612">
        <f>B612-'DLC Buildup Factors'!H950</f>
        <v>0</v>
      </c>
      <c r="Q612">
        <f>C612-'DLC Buildup Factors'!I950</f>
        <v>0</v>
      </c>
      <c r="R612">
        <f>D612-'DLC Buildup Factors'!J950</f>
        <v>0</v>
      </c>
      <c r="S612">
        <f>E612-'DLC Buildup Factors'!K950</f>
        <v>0</v>
      </c>
      <c r="T612">
        <f>F612-'DLC Buildup Factors'!L950</f>
        <v>0</v>
      </c>
      <c r="U612">
        <f>G612-'DLC Buildup Factors'!M950</f>
        <v>0</v>
      </c>
      <c r="V612">
        <f>H612-'DLC Buildup Factors'!N950</f>
        <v>0</v>
      </c>
      <c r="W612">
        <f>I612-'DLC Buildup Factors'!O950</f>
        <v>0</v>
      </c>
    </row>
    <row r="613" spans="1:23">
      <c r="A613" s="10">
        <v>0.6</v>
      </c>
      <c r="B613">
        <v>1.4419999999999999</v>
      </c>
      <c r="C613">
        <v>0.8</v>
      </c>
      <c r="D613">
        <v>5.8000000000000003E-2</v>
      </c>
      <c r="E613">
        <v>13.75</v>
      </c>
      <c r="F613">
        <v>-3.5900000000000001E-2</v>
      </c>
      <c r="G613">
        <v>0.8</v>
      </c>
      <c r="H613">
        <v>5</v>
      </c>
      <c r="I613">
        <v>0.46</v>
      </c>
      <c r="K613" t="str">
        <f t="shared" si="74"/>
        <v xml:space="preserve">    - 0.600</v>
      </c>
      <c r="L613" t="str">
        <f t="shared" si="75"/>
        <v xml:space="preserve">    - [1.442, 0.800, 0.058, 13.75, -0.0359]</v>
      </c>
      <c r="O613">
        <f>A613-'DLC Buildup Factors'!G951</f>
        <v>0</v>
      </c>
      <c r="P613">
        <f>B613-'DLC Buildup Factors'!H951</f>
        <v>0</v>
      </c>
      <c r="Q613">
        <f>C613-'DLC Buildup Factors'!I951</f>
        <v>0</v>
      </c>
      <c r="R613">
        <f>D613-'DLC Buildup Factors'!J951</f>
        <v>0</v>
      </c>
      <c r="S613">
        <f>E613-'DLC Buildup Factors'!K951</f>
        <v>0</v>
      </c>
      <c r="T613">
        <f>F613-'DLC Buildup Factors'!L951</f>
        <v>0</v>
      </c>
      <c r="U613">
        <f>G613-'DLC Buildup Factors'!M951</f>
        <v>0</v>
      </c>
      <c r="V613">
        <f>H613-'DLC Buildup Factors'!N951</f>
        <v>0</v>
      </c>
      <c r="W613">
        <f>I613-'DLC Buildup Factors'!O951</f>
        <v>0</v>
      </c>
    </row>
    <row r="614" spans="1:23">
      <c r="A614" s="10">
        <v>0.8</v>
      </c>
      <c r="B614">
        <v>1.506</v>
      </c>
      <c r="C614">
        <v>0.872</v>
      </c>
      <c r="D614">
        <v>3.7999999999999999E-2</v>
      </c>
      <c r="E614">
        <v>13.69</v>
      </c>
      <c r="F614">
        <v>-2.7900000000000001E-2</v>
      </c>
      <c r="G614">
        <v>0.9</v>
      </c>
      <c r="H614">
        <v>5</v>
      </c>
      <c r="I614">
        <v>0.43</v>
      </c>
      <c r="K614" t="str">
        <f t="shared" si="74"/>
        <v xml:space="preserve">    - 0.800</v>
      </c>
      <c r="L614" t="str">
        <f t="shared" si="75"/>
        <v xml:space="preserve">    - [1.506, 0.872, 0.038, 13.69, -0.0279]</v>
      </c>
      <c r="O614">
        <f>A614-'DLC Buildup Factors'!G952</f>
        <v>0</v>
      </c>
      <c r="P614">
        <f>B614-'DLC Buildup Factors'!H952</f>
        <v>0</v>
      </c>
      <c r="Q614">
        <f>C614-'DLC Buildup Factors'!I952</f>
        <v>0</v>
      </c>
      <c r="R614">
        <f>D614-'DLC Buildup Factors'!J952</f>
        <v>0</v>
      </c>
      <c r="S614">
        <f>E614-'DLC Buildup Factors'!K952</f>
        <v>0</v>
      </c>
      <c r="T614">
        <f>F614-'DLC Buildup Factors'!L952</f>
        <v>0</v>
      </c>
      <c r="U614">
        <f>G614-'DLC Buildup Factors'!M952</f>
        <v>0</v>
      </c>
      <c r="V614">
        <f>H614-'DLC Buildup Factors'!N952</f>
        <v>0</v>
      </c>
      <c r="W614">
        <f>I614-'DLC Buildup Factors'!O952</f>
        <v>0</v>
      </c>
    </row>
    <row r="615" spans="1:23">
      <c r="A615" s="10">
        <v>1</v>
      </c>
      <c r="B615">
        <v>1.5269999999999999</v>
      </c>
      <c r="C615">
        <v>0.92900000000000005</v>
      </c>
      <c r="D615">
        <v>2.3E-2</v>
      </c>
      <c r="E615">
        <v>13.52</v>
      </c>
      <c r="F615">
        <v>-2.2200000000000001E-2</v>
      </c>
      <c r="G615">
        <v>0.9</v>
      </c>
      <c r="H615">
        <v>5</v>
      </c>
      <c r="I615">
        <v>0.41</v>
      </c>
      <c r="K615" t="str">
        <f t="shared" si="74"/>
        <v xml:space="preserve">    - 1.000</v>
      </c>
      <c r="L615" t="str">
        <f t="shared" si="75"/>
        <v xml:space="preserve">    - [1.527, 0.929, 0.023, 13.52, -0.0222]</v>
      </c>
      <c r="O615">
        <f>A615-'DLC Buildup Factors'!G953</f>
        <v>0</v>
      </c>
      <c r="P615">
        <f>B615-'DLC Buildup Factors'!H953</f>
        <v>0</v>
      </c>
      <c r="Q615">
        <f>C615-'DLC Buildup Factors'!I953</f>
        <v>0</v>
      </c>
      <c r="R615">
        <f>D615-'DLC Buildup Factors'!J953</f>
        <v>0</v>
      </c>
      <c r="S615">
        <f>E615-'DLC Buildup Factors'!K953</f>
        <v>0</v>
      </c>
      <c r="T615">
        <f>F615-'DLC Buildup Factors'!L953</f>
        <v>0</v>
      </c>
      <c r="U615">
        <f>G615-'DLC Buildup Factors'!M953</f>
        <v>0</v>
      </c>
      <c r="V615">
        <f>H615-'DLC Buildup Factors'!N953</f>
        <v>0</v>
      </c>
      <c r="W615">
        <f>I615-'DLC Buildup Factors'!O953</f>
        <v>0</v>
      </c>
    </row>
    <row r="616" spans="1:23">
      <c r="A616" s="10">
        <v>1.5</v>
      </c>
      <c r="B616">
        <v>1.4950000000000001</v>
      </c>
      <c r="C616">
        <v>1.0229999999999999</v>
      </c>
      <c r="D616">
        <v>3.0000000000000001E-3</v>
      </c>
      <c r="E616">
        <v>14.01</v>
      </c>
      <c r="F616">
        <v>-1.7600000000000001E-2</v>
      </c>
      <c r="G616">
        <v>0.6</v>
      </c>
      <c r="H616">
        <v>35</v>
      </c>
      <c r="I616">
        <v>0.28000000000000003</v>
      </c>
      <c r="K616" t="str">
        <f t="shared" si="74"/>
        <v xml:space="preserve">    - 1.500</v>
      </c>
      <c r="L616" t="str">
        <f t="shared" si="75"/>
        <v xml:space="preserve">    - [1.495, 1.023, 0.003, 14.01, -0.0176]</v>
      </c>
      <c r="O616">
        <f>A616-'DLC Buildup Factors'!G954</f>
        <v>0</v>
      </c>
      <c r="P616">
        <f>B616-'DLC Buildup Factors'!H954</f>
        <v>0</v>
      </c>
      <c r="Q616">
        <f>C616-'DLC Buildup Factors'!I954</f>
        <v>0</v>
      </c>
      <c r="R616">
        <f>D616-'DLC Buildup Factors'!J954</f>
        <v>0</v>
      </c>
      <c r="S616">
        <f>E616-'DLC Buildup Factors'!K954</f>
        <v>0</v>
      </c>
      <c r="T616">
        <f>F616-'DLC Buildup Factors'!L954</f>
        <v>0</v>
      </c>
      <c r="U616">
        <f>G616-'DLC Buildup Factors'!M954</f>
        <v>0</v>
      </c>
      <c r="V616">
        <f>H616-'DLC Buildup Factors'!N954</f>
        <v>0</v>
      </c>
      <c r="W616">
        <f>I616-'DLC Buildup Factors'!O954</f>
        <v>0</v>
      </c>
    </row>
    <row r="617" spans="1:23">
      <c r="A617" s="10">
        <v>2</v>
      </c>
      <c r="B617">
        <v>1.496</v>
      </c>
      <c r="C617">
        <v>1.042</v>
      </c>
      <c r="D617">
        <v>1E-3</v>
      </c>
      <c r="E617">
        <v>13.15</v>
      </c>
      <c r="F617">
        <v>-1.9199999999999998E-2</v>
      </c>
      <c r="G617">
        <v>1.5</v>
      </c>
      <c r="H617">
        <v>0.5</v>
      </c>
      <c r="I617">
        <v>0.66</v>
      </c>
      <c r="K617" t="str">
        <f t="shared" si="74"/>
        <v xml:space="preserve">    - 2.000</v>
      </c>
      <c r="L617" t="str">
        <f t="shared" si="75"/>
        <v xml:space="preserve">    - [1.496, 1.042, 0.001, 13.15, -0.0192]</v>
      </c>
      <c r="O617">
        <f>A617-'DLC Buildup Factors'!G955</f>
        <v>0</v>
      </c>
      <c r="P617">
        <f>B617-'DLC Buildup Factors'!H955</f>
        <v>0</v>
      </c>
      <c r="Q617">
        <f>C617-'DLC Buildup Factors'!I955</f>
        <v>0</v>
      </c>
      <c r="R617">
        <f>D617-'DLC Buildup Factors'!J955</f>
        <v>0</v>
      </c>
      <c r="S617">
        <f>E617-'DLC Buildup Factors'!K955</f>
        <v>0</v>
      </c>
      <c r="T617">
        <f>F617-'DLC Buildup Factors'!L955</f>
        <v>0</v>
      </c>
      <c r="U617">
        <f>G617-'DLC Buildup Factors'!M955</f>
        <v>0</v>
      </c>
      <c r="V617">
        <f>H617-'DLC Buildup Factors'!N955</f>
        <v>0</v>
      </c>
      <c r="W617">
        <f>I617-'DLC Buildup Factors'!O955</f>
        <v>0</v>
      </c>
    </row>
    <row r="618" spans="1:23">
      <c r="A618" s="10">
        <v>3</v>
      </c>
      <c r="B618">
        <v>1.488</v>
      </c>
      <c r="C618">
        <v>1.014</v>
      </c>
      <c r="D618">
        <v>1.7999999999999999E-2</v>
      </c>
      <c r="E618">
        <v>13.26</v>
      </c>
      <c r="F618">
        <v>-4.3799999999999999E-2</v>
      </c>
      <c r="G618">
        <v>3.6</v>
      </c>
      <c r="H618">
        <v>0.5</v>
      </c>
      <c r="I618">
        <v>1.54</v>
      </c>
      <c r="K618" t="str">
        <f t="shared" si="74"/>
        <v xml:space="preserve">    - 3.000</v>
      </c>
      <c r="L618" t="str">
        <f t="shared" si="75"/>
        <v xml:space="preserve">    - [1.488, 1.014, 0.018, 13.26, -0.0438]</v>
      </c>
      <c r="O618">
        <f>A618-'DLC Buildup Factors'!G956</f>
        <v>0</v>
      </c>
      <c r="P618">
        <f>B618-'DLC Buildup Factors'!H956</f>
        <v>0</v>
      </c>
      <c r="Q618">
        <f>C618-'DLC Buildup Factors'!I956</f>
        <v>0</v>
      </c>
      <c r="R618">
        <f>D618-'DLC Buildup Factors'!J956</f>
        <v>0</v>
      </c>
      <c r="S618">
        <f>E618-'DLC Buildup Factors'!K956</f>
        <v>0</v>
      </c>
      <c r="T618">
        <f>F618-'DLC Buildup Factors'!L956</f>
        <v>0</v>
      </c>
      <c r="U618">
        <f>G618-'DLC Buildup Factors'!M956</f>
        <v>0</v>
      </c>
      <c r="V618">
        <f>H618-'DLC Buildup Factors'!N956</f>
        <v>0</v>
      </c>
      <c r="W618">
        <f>I618-'DLC Buildup Factors'!O956</f>
        <v>0</v>
      </c>
    </row>
    <row r="619" spans="1:23">
      <c r="A619" s="10">
        <v>4</v>
      </c>
      <c r="B619">
        <v>1.466</v>
      </c>
      <c r="C619">
        <v>0.98699999999999999</v>
      </c>
      <c r="D619">
        <v>3.3000000000000002E-2</v>
      </c>
      <c r="E619">
        <v>13.74</v>
      </c>
      <c r="F619">
        <v>-5.7200000000000001E-2</v>
      </c>
      <c r="G619">
        <v>4.2</v>
      </c>
      <c r="H619">
        <v>0.5</v>
      </c>
      <c r="I619">
        <v>1.8</v>
      </c>
      <c r="K619" t="str">
        <f t="shared" si="74"/>
        <v xml:space="preserve">    - 4.000</v>
      </c>
      <c r="L619" t="str">
        <f t="shared" si="75"/>
        <v xml:space="preserve">    - [1.466, 0.987, 0.033, 13.74, -0.0572]</v>
      </c>
      <c r="O619">
        <f>A619-'DLC Buildup Factors'!G957</f>
        <v>0</v>
      </c>
      <c r="P619">
        <f>B619-'DLC Buildup Factors'!H957</f>
        <v>0</v>
      </c>
      <c r="Q619">
        <f>C619-'DLC Buildup Factors'!I957</f>
        <v>0</v>
      </c>
      <c r="R619">
        <f>D619-'DLC Buildup Factors'!J957</f>
        <v>0</v>
      </c>
      <c r="S619">
        <f>E619-'DLC Buildup Factors'!K957</f>
        <v>0</v>
      </c>
      <c r="T619">
        <f>F619-'DLC Buildup Factors'!L957</f>
        <v>0</v>
      </c>
      <c r="U619">
        <f>G619-'DLC Buildup Factors'!M957</f>
        <v>0</v>
      </c>
      <c r="V619">
        <f>H619-'DLC Buildup Factors'!N957</f>
        <v>0</v>
      </c>
      <c r="W619">
        <f>I619-'DLC Buildup Factors'!O957</f>
        <v>0</v>
      </c>
    </row>
    <row r="620" spans="1:23">
      <c r="A620" s="10">
        <v>5</v>
      </c>
      <c r="B620">
        <v>1.5329999999999999</v>
      </c>
      <c r="C620">
        <v>0.91500000000000004</v>
      </c>
      <c r="D620">
        <v>6.3E-2</v>
      </c>
      <c r="E620">
        <v>13.98</v>
      </c>
      <c r="F620">
        <v>-8.3500000000000005E-2</v>
      </c>
      <c r="G620">
        <v>5.4</v>
      </c>
      <c r="H620">
        <v>0.5</v>
      </c>
      <c r="I620">
        <v>2.38</v>
      </c>
      <c r="K620" t="str">
        <f t="shared" si="74"/>
        <v xml:space="preserve">    - 5.000</v>
      </c>
      <c r="L620" t="str">
        <f t="shared" si="75"/>
        <v xml:space="preserve">    - [1.533, 0.915, 0.063, 13.98, -0.0835]</v>
      </c>
      <c r="O620">
        <f>A620-'DLC Buildup Factors'!G958</f>
        <v>0</v>
      </c>
      <c r="P620">
        <f>B620-'DLC Buildup Factors'!H958</f>
        <v>0</v>
      </c>
      <c r="Q620">
        <f>C620-'DLC Buildup Factors'!I958</f>
        <v>0</v>
      </c>
      <c r="R620">
        <f>D620-'DLC Buildup Factors'!J958</f>
        <v>0</v>
      </c>
      <c r="S620">
        <f>E620-'DLC Buildup Factors'!K958</f>
        <v>0</v>
      </c>
      <c r="T620">
        <f>F620-'DLC Buildup Factors'!L958</f>
        <v>0</v>
      </c>
      <c r="U620">
        <f>G620-'DLC Buildup Factors'!M958</f>
        <v>0</v>
      </c>
      <c r="V620">
        <f>H620-'DLC Buildup Factors'!N958</f>
        <v>0</v>
      </c>
      <c r="W620">
        <f>I620-'DLC Buildup Factors'!O958</f>
        <v>0</v>
      </c>
    </row>
    <row r="621" spans="1:23">
      <c r="A621" s="10">
        <v>6</v>
      </c>
      <c r="B621">
        <v>1.5629999999999999</v>
      </c>
      <c r="C621">
        <v>0.91500000000000004</v>
      </c>
      <c r="D621">
        <v>6.9000000000000006E-2</v>
      </c>
      <c r="E621">
        <v>14.16</v>
      </c>
      <c r="F621">
        <v>-8.7300000000000003E-2</v>
      </c>
      <c r="G621">
        <v>5.2</v>
      </c>
      <c r="H621">
        <v>0.5</v>
      </c>
      <c r="I621">
        <v>2.38</v>
      </c>
      <c r="K621" t="str">
        <f t="shared" si="74"/>
        <v xml:space="preserve">    - 6.000</v>
      </c>
      <c r="L621" t="str">
        <f t="shared" si="75"/>
        <v xml:space="preserve">    - [1.563, 0.915, 0.069, 14.16, -0.0873]</v>
      </c>
      <c r="O621">
        <f>A621-'DLC Buildup Factors'!G959</f>
        <v>0</v>
      </c>
      <c r="P621">
        <f>B621-'DLC Buildup Factors'!H959</f>
        <v>0</v>
      </c>
      <c r="Q621">
        <f>C621-'DLC Buildup Factors'!I959</f>
        <v>0</v>
      </c>
      <c r="R621">
        <f>D621-'DLC Buildup Factors'!J959</f>
        <v>0</v>
      </c>
      <c r="S621">
        <f>E621-'DLC Buildup Factors'!K959</f>
        <v>0</v>
      </c>
      <c r="T621">
        <f>F621-'DLC Buildup Factors'!L959</f>
        <v>0</v>
      </c>
      <c r="U621">
        <f>G621-'DLC Buildup Factors'!M959</f>
        <v>0</v>
      </c>
      <c r="V621">
        <f>H621-'DLC Buildup Factors'!N959</f>
        <v>0</v>
      </c>
      <c r="W621">
        <f>I621-'DLC Buildup Factors'!O959</f>
        <v>0</v>
      </c>
    </row>
    <row r="622" spans="1:23">
      <c r="A622" s="10">
        <v>8</v>
      </c>
      <c r="B622">
        <v>1.726</v>
      </c>
      <c r="C622">
        <v>0.96599999999999997</v>
      </c>
      <c r="D622">
        <v>6.6000000000000003E-2</v>
      </c>
      <c r="E622">
        <v>14.13</v>
      </c>
      <c r="F622">
        <v>-8.6099999999999996E-2</v>
      </c>
      <c r="G622">
        <v>5</v>
      </c>
      <c r="H622">
        <v>0.5</v>
      </c>
      <c r="I622">
        <v>2.4</v>
      </c>
      <c r="K622" t="str">
        <f t="shared" si="74"/>
        <v xml:space="preserve">    - 8.000</v>
      </c>
      <c r="L622" t="str">
        <f t="shared" si="75"/>
        <v xml:space="preserve">    - [1.726, 0.966, 0.066, 14.13, -0.0861]</v>
      </c>
      <c r="O622">
        <f>A622-'DLC Buildup Factors'!G960</f>
        <v>0</v>
      </c>
      <c r="P622">
        <f>B622-'DLC Buildup Factors'!H960</f>
        <v>0</v>
      </c>
      <c r="Q622">
        <f>C622-'DLC Buildup Factors'!I960</f>
        <v>0</v>
      </c>
      <c r="R622">
        <f>D622-'DLC Buildup Factors'!J960</f>
        <v>0</v>
      </c>
      <c r="S622">
        <f>E622-'DLC Buildup Factors'!K960</f>
        <v>0</v>
      </c>
      <c r="T622">
        <f>F622-'DLC Buildup Factors'!L960</f>
        <v>0</v>
      </c>
      <c r="U622">
        <f>G622-'DLC Buildup Factors'!M960</f>
        <v>0</v>
      </c>
      <c r="V622">
        <f>H622-'DLC Buildup Factors'!N960</f>
        <v>0</v>
      </c>
      <c r="W622">
        <f>I622-'DLC Buildup Factors'!O960</f>
        <v>0</v>
      </c>
    </row>
    <row r="623" spans="1:23">
      <c r="A623" s="10">
        <v>10</v>
      </c>
      <c r="B623">
        <v>1.7929999999999999</v>
      </c>
      <c r="C623">
        <v>1.127</v>
      </c>
      <c r="D623">
        <v>3.3000000000000002E-2</v>
      </c>
      <c r="E623">
        <v>13.96</v>
      </c>
      <c r="F623">
        <v>-5.8700000000000002E-2</v>
      </c>
      <c r="G623">
        <v>3.4</v>
      </c>
      <c r="H623">
        <v>0.5</v>
      </c>
      <c r="I623">
        <v>1.74</v>
      </c>
      <c r="K623" t="str">
        <f t="shared" si="74"/>
        <v xml:space="preserve">    - 10.000</v>
      </c>
      <c r="L623" t="str">
        <f t="shared" si="75"/>
        <v xml:space="preserve">    - [1.793, 1.127, 0.033, 13.96, -0.0587]</v>
      </c>
      <c r="O623">
        <f>A623-'DLC Buildup Factors'!G961</f>
        <v>0</v>
      </c>
      <c r="P623">
        <f>B623-'DLC Buildup Factors'!H961</f>
        <v>0</v>
      </c>
      <c r="Q623">
        <f>C623-'DLC Buildup Factors'!I961</f>
        <v>0</v>
      </c>
      <c r="R623">
        <f>D623-'DLC Buildup Factors'!J961</f>
        <v>0</v>
      </c>
      <c r="S623">
        <f>E623-'DLC Buildup Factors'!K961</f>
        <v>0</v>
      </c>
      <c r="T623">
        <f>F623-'DLC Buildup Factors'!L961</f>
        <v>0</v>
      </c>
      <c r="U623">
        <f>G623-'DLC Buildup Factors'!M961</f>
        <v>0</v>
      </c>
      <c r="V623">
        <f>H623-'DLC Buildup Factors'!N961</f>
        <v>0</v>
      </c>
      <c r="W623">
        <f>I623-'DLC Buildup Factors'!O961</f>
        <v>0</v>
      </c>
    </row>
    <row r="624" spans="1:23">
      <c r="A624" s="10">
        <v>15</v>
      </c>
      <c r="B624">
        <v>2</v>
      </c>
      <c r="C624">
        <v>1.3580000000000001</v>
      </c>
      <c r="D624">
        <v>5.0000000000000001E-3</v>
      </c>
      <c r="E624">
        <v>13.71</v>
      </c>
      <c r="F624">
        <v>-3.6999999999999998E-2</v>
      </c>
      <c r="G624">
        <v>2.7</v>
      </c>
      <c r="H624">
        <v>1</v>
      </c>
      <c r="I624">
        <v>1.25</v>
      </c>
      <c r="K624" t="str">
        <f t="shared" si="74"/>
        <v xml:space="preserve">    - 15.000</v>
      </c>
      <c r="L624" t="str">
        <f t="shared" si="75"/>
        <v xml:space="preserve">    - [2.000, 1.358, 0.005, 13.71, -0.0370]</v>
      </c>
      <c r="O624">
        <f>A624-'DLC Buildup Factors'!G962</f>
        <v>0</v>
      </c>
      <c r="P624">
        <f>B624-'DLC Buildup Factors'!H962</f>
        <v>0</v>
      </c>
      <c r="Q624">
        <f>C624-'DLC Buildup Factors'!I962</f>
        <v>0</v>
      </c>
      <c r="R624">
        <f>D624-'DLC Buildup Factors'!J962</f>
        <v>0</v>
      </c>
      <c r="S624">
        <f>E624-'DLC Buildup Factors'!K962</f>
        <v>0</v>
      </c>
      <c r="T624">
        <f>F624-'DLC Buildup Factors'!L962</f>
        <v>0</v>
      </c>
      <c r="U624">
        <f>G624-'DLC Buildup Factors'!M962</f>
        <v>0</v>
      </c>
      <c r="V624">
        <f>H624-'DLC Buildup Factors'!N962</f>
        <v>0</v>
      </c>
      <c r="W624">
        <f>I624-'DLC Buildup Factors'!O962</f>
        <v>0</v>
      </c>
    </row>
    <row r="625" spans="1:23">
      <c r="A625" s="10"/>
    </row>
    <row r="626" spans="1:23">
      <c r="A626" s="10" t="s">
        <v>1525</v>
      </c>
    </row>
    <row r="627" spans="1:23">
      <c r="A627" s="10" t="s">
        <v>51</v>
      </c>
    </row>
    <row r="628" spans="1:23">
      <c r="A628" t="s">
        <v>0</v>
      </c>
      <c r="B628" t="s">
        <v>10</v>
      </c>
      <c r="C628" t="s">
        <v>11</v>
      </c>
      <c r="D628" t="s">
        <v>12</v>
      </c>
      <c r="E628" t="s">
        <v>15</v>
      </c>
      <c r="F628" t="s">
        <v>13</v>
      </c>
      <c r="G628" t="s">
        <v>16</v>
      </c>
      <c r="H628" t="s">
        <v>17</v>
      </c>
      <c r="I628" t="s">
        <v>14</v>
      </c>
    </row>
    <row r="629" spans="1:23">
      <c r="A629" s="10">
        <v>1.4999999999999999E-2</v>
      </c>
      <c r="B629">
        <v>1.002</v>
      </c>
      <c r="C629">
        <v>0.317</v>
      </c>
      <c r="D629">
        <v>0.22800000000000001</v>
      </c>
      <c r="E629">
        <v>33.67</v>
      </c>
      <c r="F629">
        <v>-0.4556</v>
      </c>
      <c r="G629">
        <v>0.1</v>
      </c>
      <c r="H629">
        <v>2</v>
      </c>
      <c r="I629">
        <v>0.03</v>
      </c>
      <c r="K629" t="str">
        <f t="shared" ref="K629" si="76">CONCATENATE("    - ",TEXT(A629,"0.000"))</f>
        <v xml:space="preserve">    - 0.015</v>
      </c>
      <c r="L629" t="str">
        <f t="shared" ref="L629" si="77">CONCATENATE("    - [",TEXT(B629,"0.000"),", ",TEXT(C629,"0.000"),", ",TEXT(D629,"0.000"),", ",TEXT(E629,"0.00"),", ",TEXT(F629,"0.0000"),"]")</f>
        <v xml:space="preserve">    - [1.002, 0.317, 0.228, 33.67, -0.4556]</v>
      </c>
      <c r="O629">
        <f>A629-'DLC Buildup Factors'!G969</f>
        <v>0</v>
      </c>
      <c r="P629">
        <f>B629-'DLC Buildup Factors'!H969</f>
        <v>0</v>
      </c>
      <c r="Q629">
        <f>C629-'DLC Buildup Factors'!I969</f>
        <v>0</v>
      </c>
      <c r="R629">
        <f>D629-'DLC Buildup Factors'!J969</f>
        <v>0</v>
      </c>
      <c r="S629">
        <f>E629-'DLC Buildup Factors'!K969</f>
        <v>0</v>
      </c>
      <c r="T629">
        <f>F629-'DLC Buildup Factors'!L969</f>
        <v>0</v>
      </c>
      <c r="U629">
        <f>G629-'DLC Buildup Factors'!M969</f>
        <v>0</v>
      </c>
      <c r="V629">
        <f>H629-'DLC Buildup Factors'!N969</f>
        <v>0</v>
      </c>
      <c r="W629">
        <f>I629-'DLC Buildup Factors'!O969</f>
        <v>0</v>
      </c>
    </row>
    <row r="630" spans="1:23">
      <c r="A630" s="10">
        <v>0.02</v>
      </c>
      <c r="B630">
        <v>1.0029999999999999</v>
      </c>
      <c r="C630">
        <v>0.46800000000000003</v>
      </c>
      <c r="D630">
        <v>0.13700000000000001</v>
      </c>
      <c r="E630">
        <v>25.3</v>
      </c>
      <c r="F630">
        <v>-8.2000000000000003E-2</v>
      </c>
      <c r="G630">
        <v>0.1</v>
      </c>
      <c r="H630">
        <v>3</v>
      </c>
      <c r="I630">
        <v>0.03</v>
      </c>
      <c r="K630" t="str">
        <f t="shared" ref="K630:K661" si="78">CONCATENATE("    - ",TEXT(A630,"0.000"))</f>
        <v xml:space="preserve">    - 0.020</v>
      </c>
      <c r="L630" t="str">
        <f t="shared" ref="L630:L661" si="79">CONCATENATE("    - [",TEXT(B630,"0.000"),", ",TEXT(C630,"0.000"),", ",TEXT(D630,"0.000"),", ",TEXT(E630,"0.00"),", ",TEXT(F630,"0.0000"),"]")</f>
        <v xml:space="preserve">    - [1.003, 0.468, 0.137, 25.30, -0.0820]</v>
      </c>
      <c r="O630">
        <f>A630-'DLC Buildup Factors'!G970</f>
        <v>0</v>
      </c>
      <c r="P630">
        <f>B630-'DLC Buildup Factors'!H970</f>
        <v>0</v>
      </c>
      <c r="Q630">
        <f>C630-'DLC Buildup Factors'!I970</f>
        <v>0</v>
      </c>
      <c r="R630">
        <f>D630-'DLC Buildup Factors'!J970</f>
        <v>0</v>
      </c>
      <c r="S630">
        <f>E630-'DLC Buildup Factors'!K970</f>
        <v>0</v>
      </c>
      <c r="T630">
        <f>F630-'DLC Buildup Factors'!L970</f>
        <v>0</v>
      </c>
      <c r="U630">
        <f>G630-'DLC Buildup Factors'!M970</f>
        <v>0</v>
      </c>
      <c r="V630">
        <f>H630-'DLC Buildup Factors'!N970</f>
        <v>0</v>
      </c>
      <c r="W630">
        <f>I630-'DLC Buildup Factors'!O970</f>
        <v>0</v>
      </c>
    </row>
    <row r="631" spans="1:23">
      <c r="A631" s="10">
        <v>0.03</v>
      </c>
      <c r="B631">
        <v>1.0089999999999999</v>
      </c>
      <c r="C631">
        <v>0.38800000000000001</v>
      </c>
      <c r="D631">
        <v>0.187</v>
      </c>
      <c r="E631">
        <v>19.12</v>
      </c>
      <c r="F631">
        <v>-8.43E-2</v>
      </c>
      <c r="G631">
        <v>0.1</v>
      </c>
      <c r="H631">
        <v>1</v>
      </c>
      <c r="I631">
        <v>0.03</v>
      </c>
      <c r="K631" t="str">
        <f t="shared" si="78"/>
        <v xml:space="preserve">    - 0.030</v>
      </c>
      <c r="L631" t="str">
        <f t="shared" si="79"/>
        <v xml:space="preserve">    - [1.009, 0.388, 0.187, 19.12, -0.0843]</v>
      </c>
      <c r="O631">
        <f>A631-'DLC Buildup Factors'!G971</f>
        <v>0</v>
      </c>
      <c r="P631">
        <f>B631-'DLC Buildup Factors'!H971</f>
        <v>0</v>
      </c>
      <c r="Q631">
        <f>C631-'DLC Buildup Factors'!I971</f>
        <v>0</v>
      </c>
      <c r="R631">
        <f>D631-'DLC Buildup Factors'!J971</f>
        <v>0</v>
      </c>
      <c r="S631">
        <f>E631-'DLC Buildup Factors'!K971</f>
        <v>0</v>
      </c>
      <c r="T631">
        <f>F631-'DLC Buildup Factors'!L971</f>
        <v>0</v>
      </c>
      <c r="U631">
        <f>G631-'DLC Buildup Factors'!M971</f>
        <v>0</v>
      </c>
      <c r="V631">
        <f>H631-'DLC Buildup Factors'!N971</f>
        <v>0</v>
      </c>
      <c r="W631">
        <f>I631-'DLC Buildup Factors'!O971</f>
        <v>0</v>
      </c>
    </row>
    <row r="632" spans="1:23">
      <c r="A632" s="10">
        <v>0.04</v>
      </c>
      <c r="B632">
        <v>1.0189999999999999</v>
      </c>
      <c r="C632">
        <v>0.32</v>
      </c>
      <c r="D632">
        <v>0.251</v>
      </c>
      <c r="E632">
        <v>13.89</v>
      </c>
      <c r="F632">
        <v>-0.1026</v>
      </c>
      <c r="G632">
        <v>0.1</v>
      </c>
      <c r="H632">
        <v>1</v>
      </c>
      <c r="I632">
        <v>0.04</v>
      </c>
      <c r="K632" t="str">
        <f t="shared" si="78"/>
        <v xml:space="preserve">    - 0.040</v>
      </c>
      <c r="L632" t="str">
        <f t="shared" si="79"/>
        <v xml:space="preserve">    - [1.019, 0.320, 0.251, 13.89, -0.1026]</v>
      </c>
      <c r="O632">
        <f>A632-'DLC Buildup Factors'!G972</f>
        <v>0</v>
      </c>
      <c r="P632">
        <f>B632-'DLC Buildup Factors'!H972</f>
        <v>0</v>
      </c>
      <c r="Q632">
        <f>C632-'DLC Buildup Factors'!I972</f>
        <v>0</v>
      </c>
      <c r="R632">
        <f>D632-'DLC Buildup Factors'!J972</f>
        <v>0</v>
      </c>
      <c r="S632">
        <f>E632-'DLC Buildup Factors'!K972</f>
        <v>0</v>
      </c>
      <c r="T632">
        <f>F632-'DLC Buildup Factors'!L972</f>
        <v>0</v>
      </c>
      <c r="U632">
        <f>G632-'DLC Buildup Factors'!M972</f>
        <v>0</v>
      </c>
      <c r="V632">
        <f>H632-'DLC Buildup Factors'!N972</f>
        <v>0</v>
      </c>
      <c r="W632">
        <f>I632-'DLC Buildup Factors'!O972</f>
        <v>0</v>
      </c>
    </row>
    <row r="633" spans="1:23">
      <c r="A633" s="10">
        <v>0.05</v>
      </c>
      <c r="B633">
        <v>1.0329999999999999</v>
      </c>
      <c r="C633">
        <v>0.29899999999999999</v>
      </c>
      <c r="D633">
        <v>0.26400000000000001</v>
      </c>
      <c r="E633">
        <v>13.96</v>
      </c>
      <c r="F633">
        <v>-0.1066</v>
      </c>
      <c r="G633">
        <v>0.1</v>
      </c>
      <c r="H633">
        <v>7</v>
      </c>
      <c r="I633">
        <v>0.05</v>
      </c>
      <c r="K633" t="str">
        <f t="shared" si="78"/>
        <v xml:space="preserve">    - 0.050</v>
      </c>
      <c r="L633" t="str">
        <f t="shared" si="79"/>
        <v xml:space="preserve">    - [1.033, 0.299, 0.264, 13.96, -0.1066]</v>
      </c>
      <c r="O633">
        <f>A633-'DLC Buildup Factors'!G973</f>
        <v>0</v>
      </c>
      <c r="P633">
        <f>B633-'DLC Buildup Factors'!H973</f>
        <v>0</v>
      </c>
      <c r="Q633">
        <f>C633-'DLC Buildup Factors'!I973</f>
        <v>0</v>
      </c>
      <c r="R633">
        <f>D633-'DLC Buildup Factors'!J973</f>
        <v>0</v>
      </c>
      <c r="S633">
        <f>E633-'DLC Buildup Factors'!K973</f>
        <v>0</v>
      </c>
      <c r="T633">
        <f>F633-'DLC Buildup Factors'!L973</f>
        <v>0</v>
      </c>
      <c r="U633">
        <f>G633-'DLC Buildup Factors'!M973</f>
        <v>0</v>
      </c>
      <c r="V633">
        <f>H633-'DLC Buildup Factors'!N973</f>
        <v>0</v>
      </c>
      <c r="W633">
        <f>I633-'DLC Buildup Factors'!O973</f>
        <v>0</v>
      </c>
    </row>
    <row r="634" spans="1:23">
      <c r="A634" s="10">
        <v>0.06</v>
      </c>
      <c r="B634">
        <v>1.048</v>
      </c>
      <c r="C634">
        <v>0.314</v>
      </c>
      <c r="D634">
        <v>0.25700000000000001</v>
      </c>
      <c r="E634">
        <v>14.2</v>
      </c>
      <c r="F634">
        <v>-0.11</v>
      </c>
      <c r="G634">
        <v>0.1</v>
      </c>
      <c r="H634">
        <v>35</v>
      </c>
      <c r="I634">
        <v>0.09</v>
      </c>
      <c r="K634" t="str">
        <f t="shared" si="78"/>
        <v xml:space="preserve">    - 0.060</v>
      </c>
      <c r="L634" t="str">
        <f t="shared" si="79"/>
        <v xml:space="preserve">    - [1.048, 0.314, 0.257, 14.20, -0.1100]</v>
      </c>
      <c r="O634">
        <f>A634-'DLC Buildup Factors'!G974</f>
        <v>0</v>
      </c>
      <c r="P634">
        <f>B634-'DLC Buildup Factors'!H974</f>
        <v>0</v>
      </c>
      <c r="Q634">
        <f>C634-'DLC Buildup Factors'!I974</f>
        <v>0</v>
      </c>
      <c r="R634">
        <f>D634-'DLC Buildup Factors'!J974</f>
        <v>0</v>
      </c>
      <c r="S634">
        <f>E634-'DLC Buildup Factors'!K974</f>
        <v>0</v>
      </c>
      <c r="T634">
        <f>F634-'DLC Buildup Factors'!L974</f>
        <v>0</v>
      </c>
      <c r="U634">
        <f>G634-'DLC Buildup Factors'!M974</f>
        <v>0</v>
      </c>
      <c r="V634">
        <f>H634-'DLC Buildup Factors'!N974</f>
        <v>0</v>
      </c>
      <c r="W634">
        <f>I634-'DLC Buildup Factors'!O974</f>
        <v>0</v>
      </c>
    </row>
    <row r="635" spans="1:23">
      <c r="A635" s="10">
        <v>6.9000000000000006E-2</v>
      </c>
      <c r="B635">
        <v>1.06</v>
      </c>
      <c r="C635">
        <v>0.35199999999999998</v>
      </c>
      <c r="D635">
        <v>0.23599999999999999</v>
      </c>
      <c r="E635">
        <v>14.2</v>
      </c>
      <c r="F635">
        <v>-0.1079</v>
      </c>
      <c r="G635">
        <v>0.2</v>
      </c>
      <c r="H635">
        <v>0.5</v>
      </c>
      <c r="I635">
        <v>0.13</v>
      </c>
      <c r="K635" t="str">
        <f t="shared" si="78"/>
        <v xml:space="preserve">    - 0.069</v>
      </c>
      <c r="L635" t="str">
        <f t="shared" si="79"/>
        <v xml:space="preserve">    - [1.060, 0.352, 0.236, 14.20, -0.1079]</v>
      </c>
      <c r="O635">
        <f>A635-'DLC Buildup Factors'!G975</f>
        <v>0</v>
      </c>
      <c r="P635">
        <f>B635-'DLC Buildup Factors'!H975</f>
        <v>0</v>
      </c>
      <c r="Q635">
        <f>C635-'DLC Buildup Factors'!I975</f>
        <v>0</v>
      </c>
      <c r="R635">
        <f>D635-'DLC Buildup Factors'!J975</f>
        <v>0</v>
      </c>
      <c r="S635">
        <f>E635-'DLC Buildup Factors'!K975</f>
        <v>0</v>
      </c>
      <c r="T635">
        <f>F635-'DLC Buildup Factors'!L975</f>
        <v>0</v>
      </c>
      <c r="U635">
        <f>G635-'DLC Buildup Factors'!M975</f>
        <v>0</v>
      </c>
      <c r="V635">
        <f>H635-'DLC Buildup Factors'!N975</f>
        <v>0</v>
      </c>
      <c r="W635">
        <f>I635-'DLC Buildup Factors'!O975</f>
        <v>0</v>
      </c>
    </row>
    <row r="636" spans="1:23">
      <c r="A636" s="10">
        <v>7.0000000000000007E-2</v>
      </c>
      <c r="B636">
        <v>2.4460000000000002</v>
      </c>
      <c r="C636">
        <v>1.708</v>
      </c>
      <c r="D636">
        <v>5.8000000000000003E-2</v>
      </c>
      <c r="E636">
        <v>11.02</v>
      </c>
      <c r="F636">
        <v>-4.0399999999999998E-2</v>
      </c>
      <c r="G636">
        <v>12.3</v>
      </c>
      <c r="H636">
        <v>3</v>
      </c>
      <c r="I636">
        <v>5.68</v>
      </c>
      <c r="K636" t="str">
        <f t="shared" si="78"/>
        <v xml:space="preserve">    - 0.070</v>
      </c>
      <c r="L636" t="str">
        <f t="shared" si="79"/>
        <v xml:space="preserve">    - [2.446, 1.708, 0.058, 11.02, -0.0404]</v>
      </c>
      <c r="O636">
        <f>A636-'DLC Buildup Factors'!G976</f>
        <v>0</v>
      </c>
      <c r="P636">
        <f>B636-'DLC Buildup Factors'!H976</f>
        <v>0</v>
      </c>
      <c r="Q636">
        <f>C636-'DLC Buildup Factors'!I976</f>
        <v>0</v>
      </c>
      <c r="R636">
        <f>D636-'DLC Buildup Factors'!J976</f>
        <v>0</v>
      </c>
      <c r="S636">
        <f>E636-'DLC Buildup Factors'!K976</f>
        <v>0</v>
      </c>
      <c r="T636">
        <f>F636-'DLC Buildup Factors'!L976</f>
        <v>0</v>
      </c>
      <c r="U636">
        <f>G636-'DLC Buildup Factors'!M976</f>
        <v>0</v>
      </c>
      <c r="V636">
        <f>H636-'DLC Buildup Factors'!N976</f>
        <v>0</v>
      </c>
      <c r="W636">
        <f>I636-'DLC Buildup Factors'!O976</f>
        <v>0</v>
      </c>
    </row>
    <row r="637" spans="1:23">
      <c r="A637" s="10">
        <v>7.4999999999999997E-2</v>
      </c>
      <c r="B637">
        <v>2.31</v>
      </c>
      <c r="C637">
        <v>1.603</v>
      </c>
      <c r="D637">
        <v>6.2E-2</v>
      </c>
      <c r="E637">
        <v>15.06</v>
      </c>
      <c r="F637">
        <v>-5.0299999999999997E-2</v>
      </c>
      <c r="G637">
        <v>11.3</v>
      </c>
      <c r="H637">
        <v>20</v>
      </c>
      <c r="I637">
        <v>6.27</v>
      </c>
      <c r="K637" t="str">
        <f t="shared" si="78"/>
        <v xml:space="preserve">    - 0.075</v>
      </c>
      <c r="L637" t="str">
        <f t="shared" si="79"/>
        <v xml:space="preserve">    - [2.310, 1.603, 0.062, 15.06, -0.0503]</v>
      </c>
      <c r="O637">
        <f>A637-'DLC Buildup Factors'!G977</f>
        <v>0</v>
      </c>
      <c r="P637">
        <f>B637-'DLC Buildup Factors'!H977</f>
        <v>0</v>
      </c>
      <c r="Q637">
        <f>C637-'DLC Buildup Factors'!I977</f>
        <v>0</v>
      </c>
      <c r="R637">
        <f>D637-'DLC Buildup Factors'!J977</f>
        <v>0</v>
      </c>
      <c r="S637">
        <f>E637-'DLC Buildup Factors'!K977</f>
        <v>0</v>
      </c>
      <c r="T637">
        <f>F637-'DLC Buildup Factors'!L977</f>
        <v>0</v>
      </c>
      <c r="U637">
        <f>G637-'DLC Buildup Factors'!M977</f>
        <v>0</v>
      </c>
      <c r="V637">
        <f>H637-'DLC Buildup Factors'!N977</f>
        <v>0</v>
      </c>
      <c r="W637">
        <f>I637-'DLC Buildup Factors'!O977</f>
        <v>0</v>
      </c>
    </row>
    <row r="638" spans="1:23">
      <c r="A638" s="10">
        <v>0.08</v>
      </c>
      <c r="B638">
        <v>2.238</v>
      </c>
      <c r="C638">
        <v>1.4419999999999999</v>
      </c>
      <c r="D638">
        <v>7.9000000000000001E-2</v>
      </c>
      <c r="E638">
        <v>17.8</v>
      </c>
      <c r="F638">
        <v>-8.5800000000000001E-2</v>
      </c>
      <c r="G638">
        <v>10.9</v>
      </c>
      <c r="H638">
        <v>25</v>
      </c>
      <c r="I638">
        <v>6.25</v>
      </c>
      <c r="K638" t="str">
        <f t="shared" si="78"/>
        <v xml:space="preserve">    - 0.080</v>
      </c>
      <c r="L638" t="str">
        <f t="shared" si="79"/>
        <v xml:space="preserve">    - [2.238, 1.442, 0.079, 17.80, -0.0858]</v>
      </c>
      <c r="O638">
        <f>A638-'DLC Buildup Factors'!G978</f>
        <v>0</v>
      </c>
      <c r="P638">
        <f>B638-'DLC Buildup Factors'!H978</f>
        <v>0</v>
      </c>
      <c r="Q638">
        <f>C638-'DLC Buildup Factors'!I978</f>
        <v>0</v>
      </c>
      <c r="R638">
        <f>D638-'DLC Buildup Factors'!J978</f>
        <v>0</v>
      </c>
      <c r="S638">
        <f>E638-'DLC Buildup Factors'!K978</f>
        <v>0</v>
      </c>
      <c r="T638">
        <f>F638-'DLC Buildup Factors'!L978</f>
        <v>0</v>
      </c>
      <c r="U638">
        <f>G638-'DLC Buildup Factors'!M978</f>
        <v>0</v>
      </c>
      <c r="V638">
        <f>H638-'DLC Buildup Factors'!N978</f>
        <v>0</v>
      </c>
      <c r="W638">
        <f>I638-'DLC Buildup Factors'!O978</f>
        <v>0</v>
      </c>
    </row>
    <row r="639" spans="1:23">
      <c r="A639" s="10">
        <v>0.09</v>
      </c>
      <c r="B639">
        <v>1.9510000000000001</v>
      </c>
      <c r="C639">
        <v>1.179</v>
      </c>
      <c r="D639">
        <v>0.104</v>
      </c>
      <c r="E639">
        <v>17.18</v>
      </c>
      <c r="F639">
        <v>-7.5700000000000003E-2</v>
      </c>
      <c r="G639">
        <v>5.4</v>
      </c>
      <c r="H639">
        <v>4</v>
      </c>
      <c r="I639">
        <v>2.69</v>
      </c>
      <c r="K639" t="str">
        <f t="shared" si="78"/>
        <v xml:space="preserve">    - 0.090</v>
      </c>
      <c r="L639" t="str">
        <f t="shared" si="79"/>
        <v xml:space="preserve">    - [1.951, 1.179, 0.104, 17.18, -0.0757]</v>
      </c>
      <c r="O639">
        <f>A639-'DLC Buildup Factors'!G979</f>
        <v>0</v>
      </c>
      <c r="P639">
        <f>B639-'DLC Buildup Factors'!H979</f>
        <v>0</v>
      </c>
      <c r="Q639">
        <f>C639-'DLC Buildup Factors'!I979</f>
        <v>0</v>
      </c>
      <c r="R639">
        <f>D639-'DLC Buildup Factors'!J979</f>
        <v>0</v>
      </c>
      <c r="S639">
        <f>E639-'DLC Buildup Factors'!K979</f>
        <v>0</v>
      </c>
      <c r="T639">
        <f>F639-'DLC Buildup Factors'!L979</f>
        <v>0</v>
      </c>
      <c r="U639">
        <f>G639-'DLC Buildup Factors'!M979</f>
        <v>0</v>
      </c>
      <c r="V639">
        <f>H639-'DLC Buildup Factors'!N979</f>
        <v>0</v>
      </c>
      <c r="W639">
        <f>I639-'DLC Buildup Factors'!O979</f>
        <v>0</v>
      </c>
    </row>
    <row r="640" spans="1:23">
      <c r="A640" s="10">
        <v>0.1</v>
      </c>
      <c r="B640">
        <v>1.764</v>
      </c>
      <c r="C640">
        <v>0.86699999999999999</v>
      </c>
      <c r="D640">
        <v>0.16</v>
      </c>
      <c r="E640">
        <v>15.88</v>
      </c>
      <c r="F640">
        <v>-0.1366</v>
      </c>
      <c r="G640">
        <v>2.9</v>
      </c>
      <c r="H640">
        <v>4</v>
      </c>
      <c r="I640">
        <v>1.75</v>
      </c>
      <c r="K640" t="str">
        <f t="shared" si="78"/>
        <v xml:space="preserve">    - 0.100</v>
      </c>
      <c r="L640" t="str">
        <f t="shared" si="79"/>
        <v xml:space="preserve">    - [1.764, 0.867, 0.160, 15.88, -0.1366]</v>
      </c>
      <c r="O640">
        <f>A640-'DLC Buildup Factors'!G980</f>
        <v>0</v>
      </c>
      <c r="P640">
        <f>B640-'DLC Buildup Factors'!H980</f>
        <v>0</v>
      </c>
      <c r="Q640">
        <f>C640-'DLC Buildup Factors'!I980</f>
        <v>0</v>
      </c>
      <c r="R640">
        <f>D640-'DLC Buildup Factors'!J980</f>
        <v>0</v>
      </c>
      <c r="S640">
        <f>E640-'DLC Buildup Factors'!K980</f>
        <v>0</v>
      </c>
      <c r="T640">
        <f>F640-'DLC Buildup Factors'!L980</f>
        <v>0</v>
      </c>
      <c r="U640">
        <f>G640-'DLC Buildup Factors'!M980</f>
        <v>0</v>
      </c>
      <c r="V640">
        <f>H640-'DLC Buildup Factors'!N980</f>
        <v>0</v>
      </c>
      <c r="W640">
        <f>I640-'DLC Buildup Factors'!O980</f>
        <v>0</v>
      </c>
    </row>
    <row r="641" spans="1:23">
      <c r="A641" s="10">
        <v>0.11</v>
      </c>
      <c r="B641">
        <v>1.61</v>
      </c>
      <c r="C641">
        <v>0.56200000000000006</v>
      </c>
      <c r="D641">
        <v>0.247</v>
      </c>
      <c r="E641">
        <v>15.87</v>
      </c>
      <c r="F641">
        <v>-0.21179999999999999</v>
      </c>
      <c r="G641">
        <v>3.1</v>
      </c>
      <c r="H641">
        <v>35</v>
      </c>
      <c r="I641">
        <v>1.41</v>
      </c>
      <c r="K641" t="str">
        <f t="shared" si="78"/>
        <v xml:space="preserve">    - 0.110</v>
      </c>
      <c r="L641" t="str">
        <f t="shared" si="79"/>
        <v xml:space="preserve">    - [1.610, 0.562, 0.247, 15.87, -0.2118]</v>
      </c>
      <c r="O641">
        <f>A641-'DLC Buildup Factors'!G981</f>
        <v>0</v>
      </c>
      <c r="P641">
        <f>B641-'DLC Buildup Factors'!H981</f>
        <v>0</v>
      </c>
      <c r="Q641">
        <f>C641-'DLC Buildup Factors'!I981</f>
        <v>0</v>
      </c>
      <c r="R641">
        <f>D641-'DLC Buildup Factors'!J981</f>
        <v>0</v>
      </c>
      <c r="S641">
        <f>E641-'DLC Buildup Factors'!K981</f>
        <v>0</v>
      </c>
      <c r="T641">
        <f>F641-'DLC Buildup Factors'!L981</f>
        <v>0</v>
      </c>
      <c r="U641">
        <f>G641-'DLC Buildup Factors'!M981</f>
        <v>0</v>
      </c>
      <c r="V641">
        <f>H641-'DLC Buildup Factors'!N981</f>
        <v>0</v>
      </c>
      <c r="W641">
        <f>I641-'DLC Buildup Factors'!O981</f>
        <v>0</v>
      </c>
    </row>
    <row r="642" spans="1:23">
      <c r="A642" s="10">
        <v>0.12</v>
      </c>
      <c r="B642">
        <v>1.5009999999999999</v>
      </c>
      <c r="C642">
        <v>0.34</v>
      </c>
      <c r="D642">
        <v>0.30499999999999999</v>
      </c>
      <c r="E642">
        <v>24.33</v>
      </c>
      <c r="F642">
        <v>-0.1784</v>
      </c>
      <c r="G642">
        <v>1.6</v>
      </c>
      <c r="H642">
        <v>0.5</v>
      </c>
      <c r="I642">
        <v>0.84</v>
      </c>
      <c r="K642" t="str">
        <f t="shared" si="78"/>
        <v xml:space="preserve">    - 0.120</v>
      </c>
      <c r="L642" t="str">
        <f t="shared" si="79"/>
        <v xml:space="preserve">    - [1.501, 0.340, 0.305, 24.33, -0.1784]</v>
      </c>
      <c r="O642">
        <f>A642-'DLC Buildup Factors'!G982</f>
        <v>0</v>
      </c>
      <c r="P642">
        <f>B642-'DLC Buildup Factors'!H982</f>
        <v>0</v>
      </c>
      <c r="Q642">
        <f>C642-'DLC Buildup Factors'!I982</f>
        <v>0</v>
      </c>
      <c r="R642">
        <f>D642-'DLC Buildup Factors'!J982</f>
        <v>0</v>
      </c>
      <c r="S642">
        <f>E642-'DLC Buildup Factors'!K982</f>
        <v>0</v>
      </c>
      <c r="T642">
        <f>F642-'DLC Buildup Factors'!L982</f>
        <v>0</v>
      </c>
      <c r="U642">
        <f>G642-'DLC Buildup Factors'!M982</f>
        <v>0</v>
      </c>
      <c r="V642">
        <f>H642-'DLC Buildup Factors'!N982</f>
        <v>0</v>
      </c>
      <c r="W642">
        <f>I642-'DLC Buildup Factors'!O982</f>
        <v>0</v>
      </c>
    </row>
    <row r="643" spans="1:23">
      <c r="A643" s="10">
        <v>0.13</v>
      </c>
      <c r="B643">
        <v>1.393</v>
      </c>
      <c r="C643">
        <v>0.30599999999999999</v>
      </c>
      <c r="D643">
        <v>0.122</v>
      </c>
      <c r="E643">
        <v>9.7200000000000006</v>
      </c>
      <c r="F643">
        <f>-0.0574</f>
        <v>-5.74E-2</v>
      </c>
      <c r="G643">
        <v>0.2</v>
      </c>
      <c r="H643">
        <v>30</v>
      </c>
      <c r="I643">
        <v>0.1</v>
      </c>
      <c r="K643" t="str">
        <f t="shared" si="78"/>
        <v xml:space="preserve">    - 0.130</v>
      </c>
      <c r="L643" t="str">
        <f t="shared" si="79"/>
        <v xml:space="preserve">    - [1.393, 0.306, 0.122, 9.72, -0.0574]</v>
      </c>
      <c r="O643">
        <f>A643-'DLC Buildup Factors'!G983</f>
        <v>0</v>
      </c>
      <c r="P643">
        <f>B643-'DLC Buildup Factors'!H983</f>
        <v>0</v>
      </c>
      <c r="Q643">
        <f>C643-'DLC Buildup Factors'!I983</f>
        <v>0</v>
      </c>
      <c r="R643">
        <f>D643-'DLC Buildup Factors'!J983</f>
        <v>0</v>
      </c>
      <c r="S643">
        <f>E643-'DLC Buildup Factors'!K983</f>
        <v>0</v>
      </c>
      <c r="T643">
        <f>F643-'DLC Buildup Factors'!L983</f>
        <v>0</v>
      </c>
      <c r="U643">
        <f>G643-'DLC Buildup Factors'!M983</f>
        <v>0</v>
      </c>
      <c r="V643">
        <f>H643-'DLC Buildup Factors'!N983</f>
        <v>0</v>
      </c>
      <c r="W643">
        <f>I643-'DLC Buildup Factors'!O983</f>
        <v>0</v>
      </c>
    </row>
    <row r="644" spans="1:23">
      <c r="A644" s="10">
        <v>0.14000000000000001</v>
      </c>
      <c r="B644">
        <v>1.3140000000000001</v>
      </c>
      <c r="C644">
        <v>0.21</v>
      </c>
      <c r="D644">
        <v>0.156</v>
      </c>
      <c r="E644">
        <v>10.36</v>
      </c>
      <c r="F644">
        <v>3.56E-2</v>
      </c>
      <c r="G644">
        <v>0.2</v>
      </c>
      <c r="H644">
        <v>0.5</v>
      </c>
      <c r="I644">
        <v>0.08</v>
      </c>
      <c r="K644" t="str">
        <f t="shared" si="78"/>
        <v xml:space="preserve">    - 0.140</v>
      </c>
      <c r="L644" t="str">
        <f t="shared" si="79"/>
        <v xml:space="preserve">    - [1.314, 0.210, 0.156, 10.36, 0.0356]</v>
      </c>
      <c r="O644">
        <f>A644-'DLC Buildup Factors'!G984</f>
        <v>0</v>
      </c>
      <c r="P644">
        <f>B644-'DLC Buildup Factors'!H984</f>
        <v>0</v>
      </c>
      <c r="Q644">
        <f>C644-'DLC Buildup Factors'!I984</f>
        <v>0</v>
      </c>
      <c r="R644">
        <f>D644-'DLC Buildup Factors'!J984</f>
        <v>0</v>
      </c>
      <c r="S644">
        <f>E644-'DLC Buildup Factors'!K984</f>
        <v>0</v>
      </c>
      <c r="T644">
        <f>F644-'DLC Buildup Factors'!L984</f>
        <v>0</v>
      </c>
      <c r="U644">
        <f>G644-'DLC Buildup Factors'!M984</f>
        <v>0</v>
      </c>
      <c r="V644">
        <f>H644-'DLC Buildup Factors'!N984</f>
        <v>0</v>
      </c>
      <c r="W644">
        <f>I644-'DLC Buildup Factors'!O984</f>
        <v>0</v>
      </c>
    </row>
    <row r="645" spans="1:23">
      <c r="A645" s="10">
        <v>0.15</v>
      </c>
      <c r="B645">
        <v>1.2529999999999999</v>
      </c>
      <c r="C645">
        <v>0.14499999999999999</v>
      </c>
      <c r="D645">
        <v>0.35299999999999998</v>
      </c>
      <c r="E645">
        <v>15.12</v>
      </c>
      <c r="F645">
        <v>-8.4500000000000006E-2</v>
      </c>
      <c r="G645">
        <v>0.4</v>
      </c>
      <c r="H645">
        <v>0.5</v>
      </c>
      <c r="I645">
        <v>0.15</v>
      </c>
      <c r="K645" t="str">
        <f t="shared" si="78"/>
        <v xml:space="preserve">    - 0.150</v>
      </c>
      <c r="L645" t="str">
        <f t="shared" si="79"/>
        <v xml:space="preserve">    - [1.253, 0.145, 0.353, 15.12, -0.0845]</v>
      </c>
      <c r="O645">
        <f>A645-'DLC Buildup Factors'!G985</f>
        <v>0</v>
      </c>
      <c r="P645">
        <f>B645-'DLC Buildup Factors'!H985</f>
        <v>0</v>
      </c>
      <c r="Q645">
        <f>C645-'DLC Buildup Factors'!I985</f>
        <v>0</v>
      </c>
      <c r="R645">
        <f>D645-'DLC Buildup Factors'!J985</f>
        <v>0</v>
      </c>
      <c r="S645">
        <f>E645-'DLC Buildup Factors'!K985</f>
        <v>0</v>
      </c>
      <c r="T645">
        <f>F645-'DLC Buildup Factors'!L985</f>
        <v>0</v>
      </c>
      <c r="U645">
        <f>G645-'DLC Buildup Factors'!M985</f>
        <v>0</v>
      </c>
      <c r="V645">
        <f>H645-'DLC Buildup Factors'!N985</f>
        <v>0</v>
      </c>
      <c r="W645">
        <f>I645-'DLC Buildup Factors'!O985</f>
        <v>0</v>
      </c>
    </row>
    <row r="646" spans="1:23">
      <c r="A646" s="10">
        <v>0.2</v>
      </c>
      <c r="B646">
        <v>1.155</v>
      </c>
      <c r="C646">
        <v>0.248</v>
      </c>
      <c r="D646">
        <v>0.34699999999999998</v>
      </c>
      <c r="E646">
        <v>13.68</v>
      </c>
      <c r="F646">
        <v>-0.1966</v>
      </c>
      <c r="G646">
        <v>0.9</v>
      </c>
      <c r="H646">
        <v>0.5</v>
      </c>
      <c r="I646">
        <v>0.47</v>
      </c>
      <c r="K646" t="str">
        <f t="shared" si="78"/>
        <v xml:space="preserve">    - 0.200</v>
      </c>
      <c r="L646" t="str">
        <f t="shared" si="79"/>
        <v xml:space="preserve">    - [1.155, 0.248, 0.347, 13.68, -0.1966]</v>
      </c>
      <c r="O646">
        <f>A646-'DLC Buildup Factors'!G986</f>
        <v>0</v>
      </c>
      <c r="P646">
        <f>B646-'DLC Buildup Factors'!H986</f>
        <v>0</v>
      </c>
      <c r="Q646">
        <f>C646-'DLC Buildup Factors'!I986</f>
        <v>0</v>
      </c>
      <c r="R646">
        <f>D646-'DLC Buildup Factors'!J986</f>
        <v>0</v>
      </c>
      <c r="S646">
        <f>E646-'DLC Buildup Factors'!K986</f>
        <v>0</v>
      </c>
      <c r="T646">
        <f>F646-'DLC Buildup Factors'!L986</f>
        <v>0</v>
      </c>
      <c r="U646">
        <f>G646-'DLC Buildup Factors'!M986</f>
        <v>0</v>
      </c>
      <c r="V646">
        <f>H646-'DLC Buildup Factors'!N986</f>
        <v>0</v>
      </c>
      <c r="W646">
        <f>I646-'DLC Buildup Factors'!O986</f>
        <v>0</v>
      </c>
    </row>
    <row r="647" spans="1:23">
      <c r="A647" s="10">
        <v>0.3</v>
      </c>
      <c r="B647">
        <v>1.17</v>
      </c>
      <c r="C647">
        <v>0.48699999999999999</v>
      </c>
      <c r="D647">
        <v>0.16800000000000001</v>
      </c>
      <c r="E647">
        <v>13.62</v>
      </c>
      <c r="F647">
        <v>-8.1199999999999994E-2</v>
      </c>
      <c r="G647">
        <v>0.6</v>
      </c>
      <c r="H647">
        <v>0.5</v>
      </c>
      <c r="I647">
        <v>0.33</v>
      </c>
      <c r="K647" t="str">
        <f t="shared" si="78"/>
        <v xml:space="preserve">    - 0.300</v>
      </c>
      <c r="L647" t="str">
        <f t="shared" si="79"/>
        <v xml:space="preserve">    - [1.170, 0.487, 0.168, 13.62, -0.0812]</v>
      </c>
      <c r="O647">
        <f>A647-'DLC Buildup Factors'!G987</f>
        <v>0</v>
      </c>
      <c r="P647">
        <f>B647-'DLC Buildup Factors'!H987</f>
        <v>0</v>
      </c>
      <c r="Q647">
        <f>C647-'DLC Buildup Factors'!I987</f>
        <v>0</v>
      </c>
      <c r="R647">
        <f>D647-'DLC Buildup Factors'!J987</f>
        <v>0</v>
      </c>
      <c r="S647">
        <f>E647-'DLC Buildup Factors'!K987</f>
        <v>0</v>
      </c>
      <c r="T647">
        <f>F647-'DLC Buildup Factors'!L987</f>
        <v>0</v>
      </c>
      <c r="U647">
        <f>G647-'DLC Buildup Factors'!M987</f>
        <v>0</v>
      </c>
      <c r="V647">
        <f>H647-'DLC Buildup Factors'!N987</f>
        <v>0</v>
      </c>
      <c r="W647">
        <f>I647-'DLC Buildup Factors'!O987</f>
        <v>0</v>
      </c>
    </row>
    <row r="648" spans="1:23">
      <c r="A648" s="10">
        <v>0.4</v>
      </c>
      <c r="B648">
        <v>1.234</v>
      </c>
      <c r="C648">
        <v>0.60099999999999998</v>
      </c>
      <c r="D648">
        <v>0.123</v>
      </c>
      <c r="E648">
        <v>14.14</v>
      </c>
      <c r="F648">
        <v>-6.4699999999999994E-2</v>
      </c>
      <c r="G648">
        <v>0.6</v>
      </c>
      <c r="H648">
        <v>25</v>
      </c>
      <c r="I648">
        <v>0.38</v>
      </c>
      <c r="K648" t="str">
        <f t="shared" si="78"/>
        <v xml:space="preserve">    - 0.400</v>
      </c>
      <c r="L648" t="str">
        <f t="shared" si="79"/>
        <v xml:space="preserve">    - [1.234, 0.601, 0.123, 14.14, -0.0647]</v>
      </c>
      <c r="O648">
        <f>A648-'DLC Buildup Factors'!G988</f>
        <v>0</v>
      </c>
      <c r="P648">
        <f>B648-'DLC Buildup Factors'!H988</f>
        <v>0</v>
      </c>
      <c r="Q648">
        <f>C648-'DLC Buildup Factors'!I988</f>
        <v>0</v>
      </c>
      <c r="R648">
        <f>D648-'DLC Buildup Factors'!J988</f>
        <v>0</v>
      </c>
      <c r="S648">
        <f>E648-'DLC Buildup Factors'!K988</f>
        <v>0</v>
      </c>
      <c r="T648">
        <f>F648-'DLC Buildup Factors'!L988</f>
        <v>0</v>
      </c>
      <c r="U648">
        <f>G648-'DLC Buildup Factors'!M988</f>
        <v>0</v>
      </c>
      <c r="V648">
        <f>H648-'DLC Buildup Factors'!N988</f>
        <v>0</v>
      </c>
      <c r="W648">
        <f>I648-'DLC Buildup Factors'!O988</f>
        <v>0</v>
      </c>
    </row>
    <row r="649" spans="1:23">
      <c r="A649" s="10">
        <v>0.5</v>
      </c>
      <c r="B649">
        <v>1.2929999999999999</v>
      </c>
      <c r="C649">
        <v>0.67200000000000004</v>
      </c>
      <c r="D649">
        <v>9.8000000000000004E-2</v>
      </c>
      <c r="E649">
        <v>14.13</v>
      </c>
      <c r="F649">
        <f>-0.0532</f>
        <v>-5.3199999999999997E-2</v>
      </c>
      <c r="G649">
        <v>0.6</v>
      </c>
      <c r="H649">
        <v>25</v>
      </c>
      <c r="I649">
        <v>0.4</v>
      </c>
      <c r="K649" t="str">
        <f t="shared" si="78"/>
        <v xml:space="preserve">    - 0.500</v>
      </c>
      <c r="L649" t="str">
        <f t="shared" si="79"/>
        <v xml:space="preserve">    - [1.293, 0.672, 0.098, 14.13, -0.0532]</v>
      </c>
      <c r="O649">
        <f>A649-'DLC Buildup Factors'!G989</f>
        <v>0</v>
      </c>
      <c r="P649">
        <f>B649-'DLC Buildup Factors'!H989</f>
        <v>0</v>
      </c>
      <c r="Q649">
        <f>C649-'DLC Buildup Factors'!I989</f>
        <v>0</v>
      </c>
      <c r="R649">
        <f>D649-'DLC Buildup Factors'!J989</f>
        <v>0</v>
      </c>
      <c r="S649">
        <f>E649-'DLC Buildup Factors'!K989</f>
        <v>0</v>
      </c>
      <c r="T649">
        <f>F649-'DLC Buildup Factors'!L989</f>
        <v>0</v>
      </c>
      <c r="U649">
        <f>G649-'DLC Buildup Factors'!M989</f>
        <v>0</v>
      </c>
      <c r="V649">
        <f>H649-'DLC Buildup Factors'!N989</f>
        <v>0</v>
      </c>
      <c r="W649">
        <f>I649-'DLC Buildup Factors'!O989</f>
        <v>0</v>
      </c>
    </row>
    <row r="650" spans="1:23">
      <c r="A650" s="10">
        <v>0.6</v>
      </c>
      <c r="B650">
        <v>1.3380000000000001</v>
      </c>
      <c r="C650">
        <v>0.72199999999999998</v>
      </c>
      <c r="D650">
        <v>0.08</v>
      </c>
      <c r="E650">
        <v>13.69</v>
      </c>
      <c r="F650">
        <v>-4.3799999999999999E-2</v>
      </c>
      <c r="G650">
        <v>0.7</v>
      </c>
      <c r="H650">
        <v>5</v>
      </c>
      <c r="I650">
        <v>0.42</v>
      </c>
      <c r="K650" t="str">
        <f t="shared" si="78"/>
        <v xml:space="preserve">    - 0.600</v>
      </c>
      <c r="L650" t="str">
        <f t="shared" si="79"/>
        <v xml:space="preserve">    - [1.338, 0.722, 0.080, 13.69, -0.0438]</v>
      </c>
      <c r="O650">
        <f>A650-'DLC Buildup Factors'!G990</f>
        <v>0</v>
      </c>
      <c r="P650">
        <f>B650-'DLC Buildup Factors'!H990</f>
        <v>0</v>
      </c>
      <c r="Q650">
        <f>C650-'DLC Buildup Factors'!I990</f>
        <v>0</v>
      </c>
      <c r="R650">
        <f>D650-'DLC Buildup Factors'!J990</f>
        <v>0</v>
      </c>
      <c r="S650">
        <f>E650-'DLC Buildup Factors'!K990</f>
        <v>0</v>
      </c>
      <c r="T650">
        <f>F650-'DLC Buildup Factors'!L990</f>
        <v>0</v>
      </c>
      <c r="U650">
        <f>G650-'DLC Buildup Factors'!M990</f>
        <v>0</v>
      </c>
      <c r="V650">
        <f>H650-'DLC Buildup Factors'!N990</f>
        <v>0</v>
      </c>
      <c r="W650">
        <f>I650-'DLC Buildup Factors'!O990</f>
        <v>0</v>
      </c>
    </row>
    <row r="651" spans="1:23">
      <c r="A651" s="10">
        <v>0.8</v>
      </c>
      <c r="B651">
        <v>1.4019999999999999</v>
      </c>
      <c r="C651">
        <v>0.79700000000000004</v>
      </c>
      <c r="D651">
        <v>5.7000000000000002E-2</v>
      </c>
      <c r="E651">
        <v>13.71</v>
      </c>
      <c r="F651">
        <v>-3.3399999999999999E-2</v>
      </c>
      <c r="G651">
        <v>0.7</v>
      </c>
      <c r="H651">
        <v>25</v>
      </c>
      <c r="I651">
        <v>0.41</v>
      </c>
      <c r="K651" t="str">
        <f t="shared" si="78"/>
        <v xml:space="preserve">    - 0.800</v>
      </c>
      <c r="L651" t="str">
        <f t="shared" si="79"/>
        <v xml:space="preserve">    - [1.402, 0.797, 0.057, 13.71, -0.0334]</v>
      </c>
      <c r="O651">
        <f>A651-'DLC Buildup Factors'!G991</f>
        <v>0</v>
      </c>
      <c r="P651">
        <f>B651-'DLC Buildup Factors'!H991</f>
        <v>0</v>
      </c>
      <c r="Q651">
        <f>C651-'DLC Buildup Factors'!I991</f>
        <v>0</v>
      </c>
      <c r="R651">
        <f>D651-'DLC Buildup Factors'!J991</f>
        <v>0</v>
      </c>
      <c r="S651">
        <f>E651-'DLC Buildup Factors'!K991</f>
        <v>0</v>
      </c>
      <c r="T651">
        <f>F651-'DLC Buildup Factors'!L991</f>
        <v>0</v>
      </c>
      <c r="U651">
        <f>G651-'DLC Buildup Factors'!M991</f>
        <v>0</v>
      </c>
      <c r="V651">
        <f>H651-'DLC Buildup Factors'!N991</f>
        <v>0</v>
      </c>
      <c r="W651">
        <f>I651-'DLC Buildup Factors'!O991</f>
        <v>0</v>
      </c>
    </row>
    <row r="652" spans="1:23">
      <c r="A652" s="10">
        <v>1</v>
      </c>
      <c r="B652">
        <v>1.4359999999999999</v>
      </c>
      <c r="C652">
        <v>0.85299999999999998</v>
      </c>
      <c r="D652">
        <v>4.2000000000000003E-2</v>
      </c>
      <c r="E652">
        <v>13.34</v>
      </c>
      <c r="F652">
        <v>-2.8500000000000001E-2</v>
      </c>
      <c r="G652">
        <v>0.8</v>
      </c>
      <c r="H652">
        <v>5</v>
      </c>
      <c r="I652">
        <v>0.43</v>
      </c>
      <c r="K652" t="str">
        <f t="shared" si="78"/>
        <v xml:space="preserve">    - 1.000</v>
      </c>
      <c r="L652" t="str">
        <f t="shared" si="79"/>
        <v xml:space="preserve">    - [1.436, 0.853, 0.042, 13.34, -0.0285]</v>
      </c>
      <c r="O652">
        <f>A652-'DLC Buildup Factors'!G992</f>
        <v>0</v>
      </c>
      <c r="P652">
        <f>B652-'DLC Buildup Factors'!H992</f>
        <v>0</v>
      </c>
      <c r="Q652">
        <f>C652-'DLC Buildup Factors'!I992</f>
        <v>0</v>
      </c>
      <c r="R652">
        <f>D652-'DLC Buildup Factors'!J992</f>
        <v>0</v>
      </c>
      <c r="S652">
        <f>E652-'DLC Buildup Factors'!K992</f>
        <v>0</v>
      </c>
      <c r="T652">
        <f>F652-'DLC Buildup Factors'!L992</f>
        <v>0</v>
      </c>
      <c r="U652">
        <f>G652-'DLC Buildup Factors'!M992</f>
        <v>0</v>
      </c>
      <c r="V652">
        <f>H652-'DLC Buildup Factors'!N992</f>
        <v>0</v>
      </c>
      <c r="W652">
        <f>I652-'DLC Buildup Factors'!O992</f>
        <v>0</v>
      </c>
    </row>
    <row r="653" spans="1:23">
      <c r="A653" s="10">
        <v>1.5</v>
      </c>
      <c r="B653">
        <v>1.421</v>
      </c>
      <c r="C653">
        <v>0.97699999999999998</v>
      </c>
      <c r="D653">
        <v>1.2999999999999999E-2</v>
      </c>
      <c r="E653">
        <v>14.3</v>
      </c>
      <c r="F653">
        <v>-2.0500000000000001E-2</v>
      </c>
      <c r="G653">
        <v>0.5</v>
      </c>
      <c r="H653">
        <v>4</v>
      </c>
      <c r="I653">
        <v>0.26</v>
      </c>
      <c r="K653" t="str">
        <f t="shared" si="78"/>
        <v xml:space="preserve">    - 1.500</v>
      </c>
      <c r="L653" t="str">
        <f t="shared" si="79"/>
        <v xml:space="preserve">    - [1.421, 0.977, 0.013, 14.30, -0.0205]</v>
      </c>
      <c r="O653">
        <f>A653-'DLC Buildup Factors'!G993</f>
        <v>0</v>
      </c>
      <c r="P653">
        <f>B653-'DLC Buildup Factors'!H993</f>
        <v>0</v>
      </c>
      <c r="Q653">
        <f>C653-'DLC Buildup Factors'!I993</f>
        <v>0</v>
      </c>
      <c r="R653">
        <f>D653-'DLC Buildup Factors'!J993</f>
        <v>0</v>
      </c>
      <c r="S653">
        <f>E653-'DLC Buildup Factors'!K993</f>
        <v>0</v>
      </c>
      <c r="T653">
        <f>F653-'DLC Buildup Factors'!L993</f>
        <v>0</v>
      </c>
      <c r="U653">
        <f>G653-'DLC Buildup Factors'!M993</f>
        <v>0</v>
      </c>
      <c r="V653">
        <f>H653-'DLC Buildup Factors'!N993</f>
        <v>0</v>
      </c>
      <c r="W653">
        <f>I653-'DLC Buildup Factors'!O993</f>
        <v>0</v>
      </c>
    </row>
    <row r="654" spans="1:23">
      <c r="A654" s="10">
        <v>2</v>
      </c>
      <c r="B654">
        <v>1.4279999999999999</v>
      </c>
      <c r="C654">
        <v>1.012</v>
      </c>
      <c r="D654">
        <v>7.0000000000000001E-3</v>
      </c>
      <c r="E654">
        <v>13.4</v>
      </c>
      <c r="F654">
        <v>-0.02</v>
      </c>
      <c r="G654">
        <v>1.3</v>
      </c>
      <c r="H654">
        <v>0.5</v>
      </c>
      <c r="I654">
        <v>0.67</v>
      </c>
      <c r="K654" t="str">
        <f t="shared" si="78"/>
        <v xml:space="preserve">    - 2.000</v>
      </c>
      <c r="L654" t="str">
        <f t="shared" si="79"/>
        <v xml:space="preserve">    - [1.428, 1.012, 0.007, 13.40, -0.0200]</v>
      </c>
      <c r="O654">
        <f>A654-'DLC Buildup Factors'!G994</f>
        <v>0</v>
      </c>
      <c r="P654">
        <f>B654-'DLC Buildup Factors'!H994</f>
        <v>0</v>
      </c>
      <c r="Q654">
        <f>C654-'DLC Buildup Factors'!I994</f>
        <v>0</v>
      </c>
      <c r="R654">
        <f>D654-'DLC Buildup Factors'!J994</f>
        <v>0</v>
      </c>
      <c r="S654">
        <f>E654-'DLC Buildup Factors'!K994</f>
        <v>0</v>
      </c>
      <c r="T654">
        <f>F654-'DLC Buildup Factors'!L994</f>
        <v>0</v>
      </c>
      <c r="U654">
        <f>G654-'DLC Buildup Factors'!M994</f>
        <v>0</v>
      </c>
      <c r="V654">
        <f>H654-'DLC Buildup Factors'!N994</f>
        <v>0</v>
      </c>
      <c r="W654">
        <f>I654-'DLC Buildup Factors'!O994</f>
        <v>0</v>
      </c>
    </row>
    <row r="655" spans="1:23">
      <c r="A655" s="10">
        <v>3</v>
      </c>
      <c r="B655">
        <v>1.4059999999999999</v>
      </c>
      <c r="C655">
        <v>1.0229999999999999</v>
      </c>
      <c r="D655">
        <v>1.4E-2</v>
      </c>
      <c r="E655">
        <v>13.42</v>
      </c>
      <c r="F655">
        <v>-3.85E-2</v>
      </c>
      <c r="G655">
        <v>3.3</v>
      </c>
      <c r="H655">
        <v>0.5</v>
      </c>
      <c r="I655">
        <v>1.35</v>
      </c>
      <c r="K655" t="str">
        <f t="shared" si="78"/>
        <v xml:space="preserve">    - 3.000</v>
      </c>
      <c r="L655" t="str">
        <f t="shared" si="79"/>
        <v xml:space="preserve">    - [1.406, 1.023, 0.014, 13.42, -0.0385]</v>
      </c>
      <c r="O655">
        <f>A655-'DLC Buildup Factors'!G995</f>
        <v>0</v>
      </c>
      <c r="P655">
        <f>B655-'DLC Buildup Factors'!H995</f>
        <v>0</v>
      </c>
      <c r="Q655">
        <f>C655-'DLC Buildup Factors'!I995</f>
        <v>0</v>
      </c>
      <c r="R655">
        <f>D655-'DLC Buildup Factors'!J995</f>
        <v>0</v>
      </c>
      <c r="S655">
        <f>E655-'DLC Buildup Factors'!K995</f>
        <v>0</v>
      </c>
      <c r="T655">
        <f>F655-'DLC Buildup Factors'!L995</f>
        <v>0</v>
      </c>
      <c r="U655">
        <f>G655-'DLC Buildup Factors'!M995</f>
        <v>0</v>
      </c>
      <c r="V655">
        <f>H655-'DLC Buildup Factors'!N995</f>
        <v>0</v>
      </c>
      <c r="W655">
        <f>I655-'DLC Buildup Factors'!O995</f>
        <v>0</v>
      </c>
    </row>
    <row r="656" spans="1:23">
      <c r="A656" s="10">
        <v>4</v>
      </c>
      <c r="B656">
        <v>1.363</v>
      </c>
      <c r="C656">
        <v>1.0369999999999999</v>
      </c>
      <c r="D656">
        <v>1.7999999999999999E-2</v>
      </c>
      <c r="E656">
        <v>13.72</v>
      </c>
      <c r="F656">
        <v>-4.3700000000000003E-2</v>
      </c>
      <c r="G656">
        <v>4.2</v>
      </c>
      <c r="H656">
        <v>0.5</v>
      </c>
      <c r="I656">
        <v>1.56</v>
      </c>
      <c r="K656" t="str">
        <f t="shared" si="78"/>
        <v xml:space="preserve">    - 4.000</v>
      </c>
      <c r="L656" t="str">
        <f t="shared" si="79"/>
        <v xml:space="preserve">    - [1.363, 1.037, 0.018, 13.72, -0.0437]</v>
      </c>
      <c r="O656">
        <f>A656-'DLC Buildup Factors'!G996</f>
        <v>0</v>
      </c>
      <c r="P656">
        <f>B656-'DLC Buildup Factors'!H996</f>
        <v>0</v>
      </c>
      <c r="Q656">
        <f>C656-'DLC Buildup Factors'!I996</f>
        <v>0</v>
      </c>
      <c r="R656">
        <f>D656-'DLC Buildup Factors'!J996</f>
        <v>0</v>
      </c>
      <c r="S656">
        <f>E656-'DLC Buildup Factors'!K996</f>
        <v>0</v>
      </c>
      <c r="T656">
        <f>F656-'DLC Buildup Factors'!L996</f>
        <v>0</v>
      </c>
      <c r="U656">
        <f>G656-'DLC Buildup Factors'!M996</f>
        <v>0</v>
      </c>
      <c r="V656">
        <f>H656-'DLC Buildup Factors'!N996</f>
        <v>0</v>
      </c>
      <c r="W656">
        <f>I656-'DLC Buildup Factors'!O996</f>
        <v>0</v>
      </c>
    </row>
    <row r="657" spans="1:23">
      <c r="A657" s="10">
        <v>5</v>
      </c>
      <c r="B657">
        <v>1.393</v>
      </c>
      <c r="C657">
        <v>0.96399999999999997</v>
      </c>
      <c r="D657">
        <v>4.9000000000000002E-2</v>
      </c>
      <c r="E657">
        <v>13.94</v>
      </c>
      <c r="F657">
        <v>-7.2300000000000003E-2</v>
      </c>
      <c r="G657">
        <v>5.4</v>
      </c>
      <c r="H657">
        <v>0.5</v>
      </c>
      <c r="I657">
        <v>2.25</v>
      </c>
      <c r="K657" t="str">
        <f t="shared" si="78"/>
        <v xml:space="preserve">    - 5.000</v>
      </c>
      <c r="L657" t="str">
        <f t="shared" si="79"/>
        <v xml:space="preserve">    - [1.393, 0.964, 0.049, 13.94, -0.0723]</v>
      </c>
      <c r="O657">
        <f>A657-'DLC Buildup Factors'!G997</f>
        <v>0</v>
      </c>
      <c r="P657">
        <f>B657-'DLC Buildup Factors'!H997</f>
        <v>0</v>
      </c>
      <c r="Q657">
        <f>C657-'DLC Buildup Factors'!I997</f>
        <v>0</v>
      </c>
      <c r="R657">
        <f>D657-'DLC Buildup Factors'!J997</f>
        <v>0</v>
      </c>
      <c r="S657">
        <f>E657-'DLC Buildup Factors'!K997</f>
        <v>0</v>
      </c>
      <c r="T657">
        <f>F657-'DLC Buildup Factors'!L997</f>
        <v>0</v>
      </c>
      <c r="U657">
        <f>G657-'DLC Buildup Factors'!M997</f>
        <v>0</v>
      </c>
      <c r="V657">
        <f>H657-'DLC Buildup Factors'!N997</f>
        <v>0</v>
      </c>
      <c r="W657">
        <f>I657-'DLC Buildup Factors'!O997</f>
        <v>0</v>
      </c>
    </row>
    <row r="658" spans="1:23">
      <c r="A658" s="10">
        <v>6</v>
      </c>
      <c r="B658">
        <v>1.397</v>
      </c>
      <c r="C658">
        <v>0.96299999999999997</v>
      </c>
      <c r="D658">
        <v>5.6000000000000001E-2</v>
      </c>
      <c r="E658">
        <v>14.34</v>
      </c>
      <c r="F658">
        <v>-7.6899999999999996E-2</v>
      </c>
      <c r="G658">
        <v>5.5</v>
      </c>
      <c r="H658">
        <v>0.5</v>
      </c>
      <c r="I658">
        <v>2.37</v>
      </c>
      <c r="K658" t="str">
        <f t="shared" si="78"/>
        <v xml:space="preserve">    - 6.000</v>
      </c>
      <c r="L658" t="str">
        <f t="shared" si="79"/>
        <v xml:space="preserve">    - [1.397, 0.963, 0.056, 14.34, -0.0769]</v>
      </c>
      <c r="O658">
        <f>A658-'DLC Buildup Factors'!G998</f>
        <v>0</v>
      </c>
      <c r="P658">
        <f>B658-'DLC Buildup Factors'!H998</f>
        <v>0</v>
      </c>
      <c r="Q658">
        <f>C658-'DLC Buildup Factors'!I998</f>
        <v>0</v>
      </c>
      <c r="R658">
        <f>D658-'DLC Buildup Factors'!J998</f>
        <v>0</v>
      </c>
      <c r="S658">
        <f>E658-'DLC Buildup Factors'!K998</f>
        <v>0</v>
      </c>
      <c r="T658">
        <f>F658-'DLC Buildup Factors'!L998</f>
        <v>0</v>
      </c>
      <c r="U658">
        <f>G658-'DLC Buildup Factors'!M998</f>
        <v>0</v>
      </c>
      <c r="V658">
        <f>H658-'DLC Buildup Factors'!N998</f>
        <v>0</v>
      </c>
      <c r="W658">
        <f>I658-'DLC Buildup Factors'!O998</f>
        <v>0</v>
      </c>
    </row>
    <row r="659" spans="1:23">
      <c r="A659" s="10">
        <v>8</v>
      </c>
      <c r="B659">
        <v>1.4650000000000001</v>
      </c>
      <c r="C659">
        <v>0.99</v>
      </c>
      <c r="D659">
        <v>6.3E-2</v>
      </c>
      <c r="E659">
        <v>14.15</v>
      </c>
      <c r="F659">
        <v>-8.48E-2</v>
      </c>
      <c r="G659">
        <v>5.8</v>
      </c>
      <c r="H659">
        <v>0.5</v>
      </c>
      <c r="I659">
        <v>2.58</v>
      </c>
      <c r="K659" t="str">
        <f t="shared" si="78"/>
        <v xml:space="preserve">    - 8.000</v>
      </c>
      <c r="L659" t="str">
        <f t="shared" si="79"/>
        <v xml:space="preserve">    - [1.465, 0.990, 0.063, 14.15, -0.0848]</v>
      </c>
      <c r="O659">
        <f>A659-'DLC Buildup Factors'!G999</f>
        <v>0</v>
      </c>
      <c r="P659">
        <f>B659-'DLC Buildup Factors'!H999</f>
        <v>0</v>
      </c>
      <c r="Q659">
        <f>C659-'DLC Buildup Factors'!I999</f>
        <v>0</v>
      </c>
      <c r="R659">
        <f>D659-'DLC Buildup Factors'!J999</f>
        <v>0</v>
      </c>
      <c r="S659">
        <f>E659-'DLC Buildup Factors'!K999</f>
        <v>0</v>
      </c>
      <c r="T659">
        <f>F659-'DLC Buildup Factors'!L999</f>
        <v>0</v>
      </c>
      <c r="U659">
        <f>G659-'DLC Buildup Factors'!M999</f>
        <v>0</v>
      </c>
      <c r="V659">
        <f>H659-'DLC Buildup Factors'!N999</f>
        <v>0</v>
      </c>
      <c r="W659">
        <f>I659-'DLC Buildup Factors'!O999</f>
        <v>0</v>
      </c>
    </row>
    <row r="660" spans="1:23">
      <c r="A660" s="10">
        <v>10</v>
      </c>
      <c r="B660">
        <v>1.4750000000000001</v>
      </c>
      <c r="C660">
        <v>1.151</v>
      </c>
      <c r="D660">
        <v>3.1E-2</v>
      </c>
      <c r="E660">
        <v>14.1</v>
      </c>
      <c r="F660">
        <v>-5.6099999999999997E-2</v>
      </c>
      <c r="G660">
        <v>4.5</v>
      </c>
      <c r="H660">
        <v>0.5</v>
      </c>
      <c r="I660">
        <v>1.89</v>
      </c>
      <c r="K660" t="str">
        <f t="shared" si="78"/>
        <v xml:space="preserve">    - 10.000</v>
      </c>
      <c r="L660" t="str">
        <f t="shared" si="79"/>
        <v xml:space="preserve">    - [1.475, 1.151, 0.031, 14.10, -0.0561]</v>
      </c>
      <c r="O660">
        <f>A660-'DLC Buildup Factors'!G1000</f>
        <v>0</v>
      </c>
      <c r="P660">
        <f>B660-'DLC Buildup Factors'!H1000</f>
        <v>0</v>
      </c>
      <c r="Q660">
        <f>C660-'DLC Buildup Factors'!I1000</f>
        <v>0</v>
      </c>
      <c r="R660">
        <f>D660-'DLC Buildup Factors'!J1000</f>
        <v>0</v>
      </c>
      <c r="S660">
        <f>E660-'DLC Buildup Factors'!K1000</f>
        <v>0</v>
      </c>
      <c r="T660">
        <f>F660-'DLC Buildup Factors'!L1000</f>
        <v>0</v>
      </c>
      <c r="U660">
        <f>G660-'DLC Buildup Factors'!M1000</f>
        <v>0</v>
      </c>
      <c r="V660">
        <f>H660-'DLC Buildup Factors'!N1000</f>
        <v>0</v>
      </c>
      <c r="W660">
        <f>I660-'DLC Buildup Factors'!O1000</f>
        <v>0</v>
      </c>
    </row>
    <row r="661" spans="1:23">
      <c r="A661">
        <v>15</v>
      </c>
      <c r="B661">
        <v>1.589</v>
      </c>
      <c r="C661">
        <v>1.335</v>
      </c>
      <c r="D661">
        <v>1.6E-2</v>
      </c>
      <c r="E661">
        <v>13.6</v>
      </c>
      <c r="F661">
        <v>-4.9399999999999999E-2</v>
      </c>
      <c r="G661">
        <v>3.4</v>
      </c>
      <c r="H661">
        <v>0.5</v>
      </c>
      <c r="I661">
        <v>1.71</v>
      </c>
      <c r="K661" t="str">
        <f t="shared" si="78"/>
        <v xml:space="preserve">    - 15.000</v>
      </c>
      <c r="L661" t="str">
        <f t="shared" si="79"/>
        <v xml:space="preserve">    - [1.589, 1.335, 0.016, 13.60, -0.0494]</v>
      </c>
      <c r="O661">
        <f>A661-'DLC Buildup Factors'!G1001</f>
        <v>0</v>
      </c>
      <c r="P661">
        <f>B661-'DLC Buildup Factors'!H1001</f>
        <v>0</v>
      </c>
      <c r="Q661">
        <f>C661-'DLC Buildup Factors'!I1001</f>
        <v>0</v>
      </c>
      <c r="R661">
        <f>D661-'DLC Buildup Factors'!J1001</f>
        <v>0</v>
      </c>
      <c r="S661">
        <f>E661-'DLC Buildup Factors'!K1001</f>
        <v>0</v>
      </c>
      <c r="T661">
        <f>F661-'DLC Buildup Factors'!L1001</f>
        <v>0</v>
      </c>
      <c r="U661">
        <f>G661-'DLC Buildup Factors'!M1001</f>
        <v>0</v>
      </c>
      <c r="V661">
        <f>H661-'DLC Buildup Factors'!N1001</f>
        <v>0</v>
      </c>
      <c r="W661">
        <f>I661-'DLC Buildup Factors'!O1001</f>
        <v>0</v>
      </c>
    </row>
    <row r="662" spans="1:23">
      <c r="A662" s="10"/>
    </row>
    <row r="663" spans="1:23">
      <c r="A663" s="10" t="s">
        <v>1547</v>
      </c>
    </row>
    <row r="664" spans="1:23">
      <c r="A664" s="10" t="s">
        <v>52</v>
      </c>
    </row>
    <row r="665" spans="1:23">
      <c r="A665" t="s">
        <v>0</v>
      </c>
      <c r="B665" t="s">
        <v>10</v>
      </c>
      <c r="C665" t="s">
        <v>11</v>
      </c>
      <c r="D665" t="s">
        <v>12</v>
      </c>
      <c r="E665" t="s">
        <v>15</v>
      </c>
      <c r="F665" t="s">
        <v>13</v>
      </c>
      <c r="G665" t="s">
        <v>16</v>
      </c>
      <c r="H665" t="s">
        <v>17</v>
      </c>
      <c r="I665" t="s">
        <v>14</v>
      </c>
    </row>
    <row r="666" spans="1:23">
      <c r="A666" s="14">
        <v>0.03</v>
      </c>
      <c r="B666">
        <v>1.0069999999999999</v>
      </c>
      <c r="C666">
        <v>0.32200000000000001</v>
      </c>
      <c r="D666">
        <v>0.246</v>
      </c>
      <c r="E666">
        <v>13.67</v>
      </c>
      <c r="F666">
        <v>-0.10299999999999999</v>
      </c>
      <c r="G666">
        <v>0</v>
      </c>
      <c r="H666">
        <v>0.5</v>
      </c>
      <c r="I666">
        <v>0.02</v>
      </c>
      <c r="K666" t="str">
        <f t="shared" ref="K666" si="80">CONCATENATE("    - ",TEXT(A666,"0.000"))</f>
        <v xml:space="preserve">    - 0.030</v>
      </c>
      <c r="L666" t="str">
        <f t="shared" ref="L666" si="81">CONCATENATE("    - [",TEXT(B666,"0.000"),", ",TEXT(C666,"0.000"),", ",TEXT(D666,"0.000"),", ",TEXT(E666,"0.00"),", ",TEXT(F666,"0.0000"),"]")</f>
        <v xml:space="preserve">    - [1.007, 0.322, 0.246, 13.67, -0.1030]</v>
      </c>
      <c r="O666">
        <f>A666-'DLC Buildup Factors'!G1010</f>
        <v>0</v>
      </c>
      <c r="P666">
        <f>B666-'DLC Buildup Factors'!H1010</f>
        <v>0</v>
      </c>
      <c r="Q666">
        <f>C666-'DLC Buildup Factors'!I1010</f>
        <v>0</v>
      </c>
      <c r="R666">
        <f>D666-'DLC Buildup Factors'!J1010</f>
        <v>0</v>
      </c>
      <c r="S666">
        <f>E666-'DLC Buildup Factors'!K1010</f>
        <v>0</v>
      </c>
      <c r="T666">
        <f>F666-'DLC Buildup Factors'!L1010</f>
        <v>0</v>
      </c>
      <c r="U666">
        <f>G666-'DLC Buildup Factors'!M1010</f>
        <v>0</v>
      </c>
      <c r="V666">
        <f>H666-'DLC Buildup Factors'!N1010</f>
        <v>0</v>
      </c>
      <c r="W666">
        <f>I666-'DLC Buildup Factors'!O1010</f>
        <v>0</v>
      </c>
    </row>
    <row r="667" spans="1:23">
      <c r="A667" s="10">
        <v>0.04</v>
      </c>
      <c r="B667">
        <v>1.014</v>
      </c>
      <c r="C667">
        <v>0.317</v>
      </c>
      <c r="D667">
        <v>0.245</v>
      </c>
      <c r="E667">
        <v>14.95</v>
      </c>
      <c r="F667">
        <v>-8.6699999999999999E-2</v>
      </c>
      <c r="G667">
        <v>0.1</v>
      </c>
      <c r="H667">
        <v>0.5</v>
      </c>
      <c r="I667">
        <v>0.04</v>
      </c>
      <c r="K667" t="str">
        <f t="shared" ref="K667:K696" si="82">CONCATENATE("    - ",TEXT(A667,"0.000"))</f>
        <v xml:space="preserve">    - 0.040</v>
      </c>
      <c r="L667" t="str">
        <f t="shared" ref="L667:L696" si="83">CONCATENATE("    - [",TEXT(B667,"0.000"),", ",TEXT(C667,"0.000"),", ",TEXT(D667,"0.000"),", ",TEXT(E667,"0.00"),", ",TEXT(F667,"0.0000"),"]")</f>
        <v xml:space="preserve">    - [1.014, 0.317, 0.245, 14.95, -0.0867]</v>
      </c>
      <c r="O667">
        <f>A667-'DLC Buildup Factors'!G1011</f>
        <v>0</v>
      </c>
      <c r="P667">
        <f>B667-'DLC Buildup Factors'!H1011</f>
        <v>0</v>
      </c>
      <c r="Q667">
        <f>C667-'DLC Buildup Factors'!I1011</f>
        <v>0</v>
      </c>
      <c r="R667">
        <f>D667-'DLC Buildup Factors'!J1011</f>
        <v>0</v>
      </c>
      <c r="S667">
        <f>E667-'DLC Buildup Factors'!K1011</f>
        <v>0</v>
      </c>
      <c r="T667">
        <f>F667-'DLC Buildup Factors'!L1011</f>
        <v>0</v>
      </c>
      <c r="U667">
        <f>G667-'DLC Buildup Factors'!M1011</f>
        <v>0</v>
      </c>
      <c r="V667">
        <f>H667-'DLC Buildup Factors'!N1011</f>
        <v>0</v>
      </c>
      <c r="W667">
        <f>I667-'DLC Buildup Factors'!O1011</f>
        <v>0</v>
      </c>
    </row>
    <row r="668" spans="1:23">
      <c r="A668" s="10">
        <v>0.05</v>
      </c>
      <c r="B668">
        <v>1.0229999999999999</v>
      </c>
      <c r="C668">
        <v>0.312</v>
      </c>
      <c r="D668">
        <v>0.252</v>
      </c>
      <c r="E668">
        <v>14.17</v>
      </c>
      <c r="F668">
        <v>-0.10050000000000001</v>
      </c>
      <c r="G668">
        <v>0.1</v>
      </c>
      <c r="H668">
        <v>0.5</v>
      </c>
      <c r="I668">
        <v>0.04</v>
      </c>
      <c r="K668" t="str">
        <f t="shared" si="82"/>
        <v xml:space="preserve">    - 0.050</v>
      </c>
      <c r="L668" t="str">
        <f t="shared" si="83"/>
        <v xml:space="preserve">    - [1.023, 0.312, 0.252, 14.17, -0.1005]</v>
      </c>
      <c r="O668">
        <f>A668-'DLC Buildup Factors'!G1012</f>
        <v>0</v>
      </c>
      <c r="P668">
        <f>B668-'DLC Buildup Factors'!H1012</f>
        <v>0</v>
      </c>
      <c r="Q668">
        <f>C668-'DLC Buildup Factors'!I1012</f>
        <v>0</v>
      </c>
      <c r="R668">
        <f>D668-'DLC Buildup Factors'!J1012</f>
        <v>0</v>
      </c>
      <c r="S668">
        <f>E668-'DLC Buildup Factors'!K1012</f>
        <v>0</v>
      </c>
      <c r="T668">
        <f>F668-'DLC Buildup Factors'!L1012</f>
        <v>0</v>
      </c>
      <c r="U668">
        <f>G668-'DLC Buildup Factors'!M1012</f>
        <v>0</v>
      </c>
      <c r="V668">
        <f>H668-'DLC Buildup Factors'!N1012</f>
        <v>0</v>
      </c>
      <c r="W668">
        <f>I668-'DLC Buildup Factors'!O1012</f>
        <v>0</v>
      </c>
    </row>
    <row r="669" spans="1:23">
      <c r="A669" s="10">
        <v>0.06</v>
      </c>
      <c r="B669">
        <v>1.0329999999999999</v>
      </c>
      <c r="C669">
        <v>0.32</v>
      </c>
      <c r="D669">
        <v>0.26</v>
      </c>
      <c r="E669">
        <v>13.89</v>
      </c>
      <c r="F669">
        <v>-0.12230000000000001</v>
      </c>
      <c r="G669">
        <v>0.1</v>
      </c>
      <c r="H669">
        <v>4</v>
      </c>
      <c r="I669">
        <v>0.06</v>
      </c>
      <c r="K669" t="str">
        <f t="shared" si="82"/>
        <v xml:space="preserve">    - 0.060</v>
      </c>
      <c r="L669" t="str">
        <f t="shared" si="83"/>
        <v xml:space="preserve">    - [1.033, 0.320, 0.260, 13.89, -0.1223]</v>
      </c>
      <c r="O669">
        <f>A669-'DLC Buildup Factors'!G1013</f>
        <v>0</v>
      </c>
      <c r="P669">
        <f>B669-'DLC Buildup Factors'!H1013</f>
        <v>0</v>
      </c>
      <c r="Q669">
        <f>C669-'DLC Buildup Factors'!I1013</f>
        <v>0</v>
      </c>
      <c r="R669">
        <f>D669-'DLC Buildup Factors'!J1013</f>
        <v>0</v>
      </c>
      <c r="S669">
        <f>E669-'DLC Buildup Factors'!K1013</f>
        <v>0</v>
      </c>
      <c r="T669">
        <f>F669-'DLC Buildup Factors'!L1013</f>
        <v>0</v>
      </c>
      <c r="U669">
        <f>G669-'DLC Buildup Factors'!M1013</f>
        <v>0</v>
      </c>
      <c r="V669">
        <f>H669-'DLC Buildup Factors'!N1013</f>
        <v>0</v>
      </c>
      <c r="W669">
        <f>I669-'DLC Buildup Factors'!O1013</f>
        <v>0</v>
      </c>
    </row>
    <row r="670" spans="1:23">
      <c r="A670" s="10">
        <v>0.08</v>
      </c>
      <c r="B670">
        <v>1.0580000000000001</v>
      </c>
      <c r="C670">
        <v>0.36199999999999999</v>
      </c>
      <c r="D670">
        <v>0.23300000000000001</v>
      </c>
      <c r="E670">
        <v>13.91</v>
      </c>
      <c r="F670">
        <v>-0.11269999999999999</v>
      </c>
      <c r="G670">
        <v>0.2</v>
      </c>
      <c r="H670">
        <v>0.5</v>
      </c>
      <c r="I670">
        <v>0.12</v>
      </c>
      <c r="K670" t="str">
        <f t="shared" si="82"/>
        <v xml:space="preserve">    - 0.080</v>
      </c>
      <c r="L670" t="str">
        <f t="shared" si="83"/>
        <v xml:space="preserve">    - [1.058, 0.362, 0.233, 13.91, -0.1127]</v>
      </c>
      <c r="O670">
        <f>A670-'DLC Buildup Factors'!G1014</f>
        <v>0</v>
      </c>
      <c r="P670">
        <f>B670-'DLC Buildup Factors'!H1014</f>
        <v>0</v>
      </c>
      <c r="Q670">
        <f>C670-'DLC Buildup Factors'!I1014</f>
        <v>0</v>
      </c>
      <c r="R670">
        <f>D670-'DLC Buildup Factors'!J1014</f>
        <v>0</v>
      </c>
      <c r="S670">
        <f>E670-'DLC Buildup Factors'!K1014</f>
        <v>0</v>
      </c>
      <c r="T670">
        <f>F670-'DLC Buildup Factors'!L1014</f>
        <v>0</v>
      </c>
      <c r="U670">
        <f>G670-'DLC Buildup Factors'!M1014</f>
        <v>0</v>
      </c>
      <c r="V670">
        <f>H670-'DLC Buildup Factors'!N1014</f>
        <v>0</v>
      </c>
      <c r="W670">
        <f>I670-'DLC Buildup Factors'!O1014</f>
        <v>0</v>
      </c>
    </row>
    <row r="671" spans="1:23">
      <c r="A671" s="10">
        <v>8.7999999999999995E-2</v>
      </c>
      <c r="B671">
        <v>1.0669999999999999</v>
      </c>
      <c r="C671">
        <v>0.38200000000000001</v>
      </c>
      <c r="D671">
        <v>0.22</v>
      </c>
      <c r="E671">
        <v>14.14</v>
      </c>
      <c r="F671">
        <v>-0.1048</v>
      </c>
      <c r="G671">
        <v>0.3</v>
      </c>
      <c r="H671">
        <v>0.5</v>
      </c>
      <c r="I671">
        <v>0.15</v>
      </c>
      <c r="K671" t="str">
        <f t="shared" si="82"/>
        <v xml:space="preserve">    - 0.088</v>
      </c>
      <c r="L671" t="str">
        <f t="shared" si="83"/>
        <v xml:space="preserve">    - [1.067, 0.382, 0.220, 14.14, -0.1048]</v>
      </c>
      <c r="O671">
        <f>A671-'DLC Buildup Factors'!G1015</f>
        <v>0</v>
      </c>
      <c r="P671">
        <f>B671-'DLC Buildup Factors'!H1015</f>
        <v>0</v>
      </c>
      <c r="Q671">
        <f>C671-'DLC Buildup Factors'!I1015</f>
        <v>0</v>
      </c>
      <c r="R671">
        <f>D671-'DLC Buildup Factors'!J1015</f>
        <v>0</v>
      </c>
      <c r="S671">
        <f>E671-'DLC Buildup Factors'!K1015</f>
        <v>0</v>
      </c>
      <c r="T671">
        <f>F671-'DLC Buildup Factors'!L1015</f>
        <v>0</v>
      </c>
      <c r="U671">
        <f>G671-'DLC Buildup Factors'!M1015</f>
        <v>0</v>
      </c>
      <c r="V671">
        <f>H671-'DLC Buildup Factors'!N1015</f>
        <v>0</v>
      </c>
      <c r="W671">
        <f>I671-'DLC Buildup Factors'!O1015</f>
        <v>0</v>
      </c>
    </row>
    <row r="672" spans="1:23">
      <c r="A672" s="10">
        <v>8.8999999999999996E-2</v>
      </c>
      <c r="B672">
        <v>2.3679999999999999</v>
      </c>
      <c r="C672">
        <v>1.58</v>
      </c>
      <c r="D672">
        <v>7.4999999999999997E-2</v>
      </c>
      <c r="E672">
        <v>12.44</v>
      </c>
      <c r="F672">
        <v>-6.3500000000000001E-2</v>
      </c>
      <c r="G672">
        <v>14.1</v>
      </c>
      <c r="H672">
        <v>3</v>
      </c>
      <c r="I672">
        <v>6.38</v>
      </c>
      <c r="K672" t="str">
        <f t="shared" si="82"/>
        <v xml:space="preserve">    - 0.089</v>
      </c>
      <c r="L672" t="str">
        <f t="shared" si="83"/>
        <v xml:space="preserve">    - [2.368, 1.580, 0.075, 12.44, -0.0635]</v>
      </c>
      <c r="O672">
        <f>A672-'DLC Buildup Factors'!G1016</f>
        <v>0</v>
      </c>
      <c r="P672">
        <f>B672-'DLC Buildup Factors'!H1016</f>
        <v>0</v>
      </c>
      <c r="Q672">
        <f>C672-'DLC Buildup Factors'!I1016</f>
        <v>0</v>
      </c>
      <c r="R672">
        <f>D672-'DLC Buildup Factors'!J1016</f>
        <v>0</v>
      </c>
      <c r="S672">
        <f>E672-'DLC Buildup Factors'!K1016</f>
        <v>0</v>
      </c>
      <c r="T672">
        <f>F672-'DLC Buildup Factors'!L1016</f>
        <v>0</v>
      </c>
      <c r="U672">
        <f>G672-'DLC Buildup Factors'!M1016</f>
        <v>0</v>
      </c>
      <c r="V672">
        <f>H672-'DLC Buildup Factors'!N1016</f>
        <v>0</v>
      </c>
      <c r="W672">
        <f>I672-'DLC Buildup Factors'!O1016</f>
        <v>0</v>
      </c>
    </row>
    <row r="673" spans="1:23">
      <c r="A673" s="10">
        <v>0.09</v>
      </c>
      <c r="B673">
        <v>2.1869999999999998</v>
      </c>
      <c r="C673">
        <v>1.6930000000000001</v>
      </c>
      <c r="D673">
        <v>0.05</v>
      </c>
      <c r="E673">
        <v>18.21</v>
      </c>
      <c r="F673">
        <v>-4.1500000000000002E-2</v>
      </c>
      <c r="G673">
        <v>9.4</v>
      </c>
      <c r="H673">
        <v>20</v>
      </c>
      <c r="I673">
        <v>5.51</v>
      </c>
      <c r="K673" t="str">
        <f t="shared" si="82"/>
        <v xml:space="preserve">    - 0.090</v>
      </c>
      <c r="L673" t="str">
        <f t="shared" si="83"/>
        <v xml:space="preserve">    - [2.187, 1.693, 0.050, 18.21, -0.0415]</v>
      </c>
      <c r="O673">
        <f>A673-'DLC Buildup Factors'!G1017</f>
        <v>0</v>
      </c>
      <c r="P673">
        <f>B673-'DLC Buildup Factors'!H1017</f>
        <v>0</v>
      </c>
      <c r="Q673">
        <f>C673-'DLC Buildup Factors'!I1017</f>
        <v>0</v>
      </c>
      <c r="R673">
        <f>D673-'DLC Buildup Factors'!J1017</f>
        <v>0</v>
      </c>
      <c r="S673">
        <f>E673-'DLC Buildup Factors'!K1017</f>
        <v>0</v>
      </c>
      <c r="T673">
        <f>F673-'DLC Buildup Factors'!L1017</f>
        <v>0</v>
      </c>
      <c r="U673">
        <f>G673-'DLC Buildup Factors'!M1017</f>
        <v>0</v>
      </c>
      <c r="V673">
        <f>H673-'DLC Buildup Factors'!N1017</f>
        <v>0</v>
      </c>
      <c r="W673">
        <f>I673-'DLC Buildup Factors'!O1017</f>
        <v>0</v>
      </c>
    </row>
    <row r="674" spans="1:23">
      <c r="A674" s="10">
        <v>0.1</v>
      </c>
      <c r="B674">
        <v>1.93</v>
      </c>
      <c r="C674">
        <v>1.4990000000000001</v>
      </c>
      <c r="D674">
        <v>6.0999999999999999E-2</v>
      </c>
      <c r="E674">
        <v>29.65</v>
      </c>
      <c r="F674">
        <v>-0.1162</v>
      </c>
      <c r="G674">
        <v>10.1</v>
      </c>
      <c r="H674">
        <v>40</v>
      </c>
      <c r="I674">
        <v>4.37</v>
      </c>
      <c r="K674" t="str">
        <f t="shared" si="82"/>
        <v xml:space="preserve">    - 0.100</v>
      </c>
      <c r="L674" t="str">
        <f t="shared" si="83"/>
        <v xml:space="preserve">    - [1.930, 1.499, 0.061, 29.65, -0.1162]</v>
      </c>
      <c r="O674">
        <f>A674-'DLC Buildup Factors'!G1018</f>
        <v>0</v>
      </c>
      <c r="P674">
        <f>B674-'DLC Buildup Factors'!H1018</f>
        <v>0</v>
      </c>
      <c r="Q674">
        <f>C674-'DLC Buildup Factors'!I1018</f>
        <v>0</v>
      </c>
      <c r="R674">
        <f>D674-'DLC Buildup Factors'!J1018</f>
        <v>0</v>
      </c>
      <c r="S674">
        <f>E674-'DLC Buildup Factors'!K1018</f>
        <v>0</v>
      </c>
      <c r="T674">
        <f>F674-'DLC Buildup Factors'!L1018</f>
        <v>0</v>
      </c>
      <c r="U674">
        <f>G674-'DLC Buildup Factors'!M1018</f>
        <v>0</v>
      </c>
      <c r="V674">
        <f>H674-'DLC Buildup Factors'!N1018</f>
        <v>0</v>
      </c>
      <c r="W674">
        <f>I674-'DLC Buildup Factors'!O1018</f>
        <v>0</v>
      </c>
    </row>
    <row r="675" spans="1:23">
      <c r="A675" s="10">
        <v>0.11</v>
      </c>
      <c r="B675">
        <v>1.821</v>
      </c>
      <c r="C675">
        <v>1.196</v>
      </c>
      <c r="D675">
        <v>0.10199999999999999</v>
      </c>
      <c r="E675">
        <v>16.64</v>
      </c>
      <c r="F675">
        <v>-7.5600000000000001E-2</v>
      </c>
      <c r="G675">
        <v>5.5</v>
      </c>
      <c r="H675">
        <v>4</v>
      </c>
      <c r="I675">
        <v>2.72</v>
      </c>
      <c r="K675" t="str">
        <f t="shared" si="82"/>
        <v xml:space="preserve">    - 0.110</v>
      </c>
      <c r="L675" t="str">
        <f t="shared" si="83"/>
        <v xml:space="preserve">    - [1.821, 1.196, 0.102, 16.64, -0.0756]</v>
      </c>
      <c r="O675">
        <f>A675-'DLC Buildup Factors'!G1019</f>
        <v>0</v>
      </c>
      <c r="P675">
        <f>B675-'DLC Buildup Factors'!H1019</f>
        <v>0</v>
      </c>
      <c r="Q675">
        <f>C675-'DLC Buildup Factors'!I1019</f>
        <v>0</v>
      </c>
      <c r="R675">
        <f>D675-'DLC Buildup Factors'!J1019</f>
        <v>0</v>
      </c>
      <c r="S675">
        <f>E675-'DLC Buildup Factors'!K1019</f>
        <v>0</v>
      </c>
      <c r="T675">
        <f>F675-'DLC Buildup Factors'!L1019</f>
        <v>0</v>
      </c>
      <c r="U675">
        <f>G675-'DLC Buildup Factors'!M1019</f>
        <v>0</v>
      </c>
      <c r="V675">
        <f>H675-'DLC Buildup Factors'!N1019</f>
        <v>0</v>
      </c>
      <c r="W675">
        <f>I675-'DLC Buildup Factors'!O1019</f>
        <v>0</v>
      </c>
    </row>
    <row r="676" spans="1:23">
      <c r="A676" s="10">
        <v>0.12</v>
      </c>
      <c r="B676">
        <v>1.6439999999999999</v>
      </c>
      <c r="C676">
        <v>0.97</v>
      </c>
      <c r="D676">
        <v>0.13600000000000001</v>
      </c>
      <c r="E676">
        <v>16.100000000000001</v>
      </c>
      <c r="F676">
        <f>-0.1135</f>
        <v>-0.1135</v>
      </c>
      <c r="G676">
        <v>3.6</v>
      </c>
      <c r="H676">
        <v>1</v>
      </c>
      <c r="I676">
        <v>1.9</v>
      </c>
      <c r="K676" t="str">
        <f t="shared" si="82"/>
        <v xml:space="preserve">    - 0.120</v>
      </c>
      <c r="L676" t="str">
        <f t="shared" si="83"/>
        <v xml:space="preserve">    - [1.644, 0.970, 0.136, 16.10, -0.1135]</v>
      </c>
      <c r="O676">
        <f>A676-'DLC Buildup Factors'!G1020</f>
        <v>0</v>
      </c>
      <c r="P676">
        <f>B676-'DLC Buildup Factors'!H1020</f>
        <v>0</v>
      </c>
      <c r="Q676">
        <f>C676-'DLC Buildup Factors'!I1020</f>
        <v>0</v>
      </c>
      <c r="R676">
        <f>D676-'DLC Buildup Factors'!J1020</f>
        <v>0</v>
      </c>
      <c r="S676">
        <f>E676-'DLC Buildup Factors'!K1020</f>
        <v>0</v>
      </c>
      <c r="T676">
        <f>F676-'DLC Buildup Factors'!L1020</f>
        <v>0</v>
      </c>
      <c r="U676">
        <f>G676-'DLC Buildup Factors'!M1020</f>
        <v>0</v>
      </c>
      <c r="V676">
        <f>H676-'DLC Buildup Factors'!N1020</f>
        <v>0</v>
      </c>
      <c r="W676">
        <f>I676-'DLC Buildup Factors'!O1020</f>
        <v>0</v>
      </c>
    </row>
    <row r="677" spans="1:23">
      <c r="A677" s="10">
        <v>0.13</v>
      </c>
      <c r="B677">
        <v>1.54</v>
      </c>
      <c r="C677">
        <v>0.71799999999999997</v>
      </c>
      <c r="D677">
        <v>0.19400000000000001</v>
      </c>
      <c r="E677">
        <v>15.69</v>
      </c>
      <c r="F677">
        <v>-0.16850000000000001</v>
      </c>
      <c r="G677">
        <v>2.7</v>
      </c>
      <c r="H677">
        <v>1</v>
      </c>
      <c r="I677">
        <v>1.6</v>
      </c>
      <c r="K677" t="str">
        <f t="shared" si="82"/>
        <v xml:space="preserve">    - 0.130</v>
      </c>
      <c r="L677" t="str">
        <f t="shared" si="83"/>
        <v xml:space="preserve">    - [1.540, 0.718, 0.194, 15.69, -0.1685]</v>
      </c>
      <c r="O677">
        <f>A677-'DLC Buildup Factors'!G1021</f>
        <v>0</v>
      </c>
      <c r="P677">
        <f>B677-'DLC Buildup Factors'!H1021</f>
        <v>0</v>
      </c>
      <c r="Q677">
        <f>C677-'DLC Buildup Factors'!I1021</f>
        <v>0</v>
      </c>
      <c r="R677">
        <f>D677-'DLC Buildup Factors'!J1021</f>
        <v>0</v>
      </c>
      <c r="S677">
        <f>E677-'DLC Buildup Factors'!K1021</f>
        <v>0</v>
      </c>
      <c r="T677">
        <f>F677-'DLC Buildup Factors'!L1021</f>
        <v>0</v>
      </c>
      <c r="U677">
        <f>G677-'DLC Buildup Factors'!M1021</f>
        <v>0</v>
      </c>
      <c r="V677">
        <f>H677-'DLC Buildup Factors'!N1021</f>
        <v>0</v>
      </c>
      <c r="W677">
        <f>I677-'DLC Buildup Factors'!O1021</f>
        <v>0</v>
      </c>
    </row>
    <row r="678" spans="1:23">
      <c r="A678" s="10">
        <v>0.14000000000000001</v>
      </c>
      <c r="B678">
        <v>1.472</v>
      </c>
      <c r="C678">
        <v>0.47899999999999998</v>
      </c>
      <c r="D678">
        <v>0.27300000000000002</v>
      </c>
      <c r="E678">
        <v>16.5</v>
      </c>
      <c r="F678">
        <v>-0.21529999999999999</v>
      </c>
      <c r="G678">
        <v>1.7</v>
      </c>
      <c r="H678">
        <v>35</v>
      </c>
      <c r="I678">
        <v>1.05</v>
      </c>
      <c r="K678" t="str">
        <f t="shared" si="82"/>
        <v xml:space="preserve">    - 0.140</v>
      </c>
      <c r="L678" t="str">
        <f t="shared" si="83"/>
        <v xml:space="preserve">    - [1.472, 0.479, 0.273, 16.50, -0.2153]</v>
      </c>
      <c r="O678">
        <f>A678-'DLC Buildup Factors'!G1022</f>
        <v>0</v>
      </c>
      <c r="P678">
        <f>B678-'DLC Buildup Factors'!H1022</f>
        <v>0</v>
      </c>
      <c r="Q678">
        <f>C678-'DLC Buildup Factors'!I1022</f>
        <v>0</v>
      </c>
      <c r="R678">
        <f>D678-'DLC Buildup Factors'!J1022</f>
        <v>0</v>
      </c>
      <c r="S678">
        <f>E678-'DLC Buildup Factors'!K1022</f>
        <v>0</v>
      </c>
      <c r="T678">
        <f>F678-'DLC Buildup Factors'!L1022</f>
        <v>0</v>
      </c>
      <c r="U678">
        <f>G678-'DLC Buildup Factors'!M1022</f>
        <v>0</v>
      </c>
      <c r="V678">
        <f>H678-'DLC Buildup Factors'!N1022</f>
        <v>0</v>
      </c>
      <c r="W678">
        <f>I678-'DLC Buildup Factors'!O1022</f>
        <v>0</v>
      </c>
    </row>
    <row r="679" spans="1:23">
      <c r="A679" s="10">
        <v>0.15</v>
      </c>
      <c r="B679">
        <v>1.4019999999999999</v>
      </c>
      <c r="C679">
        <v>0.35199999999999998</v>
      </c>
      <c r="D679">
        <v>0.26900000000000002</v>
      </c>
      <c r="E679">
        <v>17.09</v>
      </c>
      <c r="F679">
        <v>-2.47E-2</v>
      </c>
      <c r="G679">
        <v>1.1000000000000001</v>
      </c>
      <c r="H679">
        <v>0.5</v>
      </c>
      <c r="I679">
        <v>0.57999999999999996</v>
      </c>
      <c r="K679" t="str">
        <f t="shared" si="82"/>
        <v xml:space="preserve">    - 0.150</v>
      </c>
      <c r="L679" t="str">
        <f t="shared" si="83"/>
        <v xml:space="preserve">    - [1.402, 0.352, 0.269, 17.09, -0.0247]</v>
      </c>
      <c r="O679">
        <f>A679-'DLC Buildup Factors'!G1023</f>
        <v>0</v>
      </c>
      <c r="P679">
        <f>B679-'DLC Buildup Factors'!H1023</f>
        <v>0</v>
      </c>
      <c r="Q679">
        <f>C679-'DLC Buildup Factors'!I1023</f>
        <v>0</v>
      </c>
      <c r="R679">
        <f>D679-'DLC Buildup Factors'!J1023</f>
        <v>0</v>
      </c>
      <c r="S679">
        <f>E679-'DLC Buildup Factors'!K1023</f>
        <v>0</v>
      </c>
      <c r="T679">
        <f>F679-'DLC Buildup Factors'!L1023</f>
        <v>0</v>
      </c>
      <c r="U679">
        <f>G679-'DLC Buildup Factors'!M1023</f>
        <v>0</v>
      </c>
      <c r="V679">
        <f>H679-'DLC Buildup Factors'!N1023</f>
        <v>0</v>
      </c>
      <c r="W679">
        <f>I679-'DLC Buildup Factors'!O1023</f>
        <v>0</v>
      </c>
    </row>
    <row r="680" spans="1:23">
      <c r="A680" s="10">
        <v>0.16</v>
      </c>
      <c r="B680">
        <v>1.3340000000000001</v>
      </c>
      <c r="C680">
        <v>0.32900000000000001</v>
      </c>
      <c r="D680">
        <v>0.14499999999999999</v>
      </c>
      <c r="E680">
        <v>11.38</v>
      </c>
      <c r="F680">
        <v>-6.4299999999999996E-2</v>
      </c>
      <c r="G680">
        <v>0.2</v>
      </c>
      <c r="H680">
        <v>30</v>
      </c>
      <c r="I680">
        <v>0.1</v>
      </c>
      <c r="K680" t="str">
        <f t="shared" si="82"/>
        <v xml:space="preserve">    - 0.160</v>
      </c>
      <c r="L680" t="str">
        <f t="shared" si="83"/>
        <v xml:space="preserve">    - [1.334, 0.329, 0.145, 11.38, -0.0643]</v>
      </c>
      <c r="O680">
        <f>A680-'DLC Buildup Factors'!G1024</f>
        <v>0</v>
      </c>
      <c r="P680">
        <f>B680-'DLC Buildup Factors'!H1024</f>
        <v>0</v>
      </c>
      <c r="Q680">
        <f>C680-'DLC Buildup Factors'!I1024</f>
        <v>0</v>
      </c>
      <c r="R680">
        <f>D680-'DLC Buildup Factors'!J1024</f>
        <v>0</v>
      </c>
      <c r="S680">
        <f>E680-'DLC Buildup Factors'!K1024</f>
        <v>0</v>
      </c>
      <c r="T680">
        <f>F680-'DLC Buildup Factors'!L1024</f>
        <v>0</v>
      </c>
      <c r="U680">
        <f>G680-'DLC Buildup Factors'!M1024</f>
        <v>0</v>
      </c>
      <c r="V680">
        <f>H680-'DLC Buildup Factors'!N1024</f>
        <v>0</v>
      </c>
      <c r="W680">
        <f>I680-'DLC Buildup Factors'!O1024</f>
        <v>0</v>
      </c>
    </row>
    <row r="681" spans="1:23">
      <c r="A681" s="10">
        <v>0.2</v>
      </c>
      <c r="B681">
        <v>1.2010000000000001</v>
      </c>
      <c r="C681">
        <v>0.158</v>
      </c>
      <c r="D681">
        <v>0.42599999999999999</v>
      </c>
      <c r="E681">
        <v>14.12</v>
      </c>
      <c r="F681">
        <v>-0.18729999999999999</v>
      </c>
      <c r="G681">
        <v>0.3</v>
      </c>
      <c r="H681">
        <v>10</v>
      </c>
      <c r="I681">
        <v>0.2</v>
      </c>
      <c r="K681" t="str">
        <f t="shared" si="82"/>
        <v xml:space="preserve">    - 0.200</v>
      </c>
      <c r="L681" t="str">
        <f t="shared" si="83"/>
        <v xml:space="preserve">    - [1.201, 0.158, 0.426, 14.12, -0.1873]</v>
      </c>
      <c r="O681">
        <f>A681-'DLC Buildup Factors'!G1025</f>
        <v>0</v>
      </c>
      <c r="P681">
        <f>B681-'DLC Buildup Factors'!H1025</f>
        <v>0</v>
      </c>
      <c r="Q681">
        <f>C681-'DLC Buildup Factors'!I1025</f>
        <v>0</v>
      </c>
      <c r="R681">
        <f>D681-'DLC Buildup Factors'!J1025</f>
        <v>0</v>
      </c>
      <c r="S681">
        <f>E681-'DLC Buildup Factors'!K1025</f>
        <v>0</v>
      </c>
      <c r="T681">
        <f>F681-'DLC Buildup Factors'!L1025</f>
        <v>0</v>
      </c>
      <c r="U681">
        <f>G681-'DLC Buildup Factors'!M1025</f>
        <v>0</v>
      </c>
      <c r="V681">
        <f>H681-'DLC Buildup Factors'!N1025</f>
        <v>0</v>
      </c>
      <c r="W681">
        <f>I681-'DLC Buildup Factors'!O1025</f>
        <v>0</v>
      </c>
    </row>
    <row r="682" spans="1:23">
      <c r="A682" s="10">
        <v>0.3</v>
      </c>
      <c r="B682">
        <v>1.1479999999999999</v>
      </c>
      <c r="C682">
        <v>0.42199999999999999</v>
      </c>
      <c r="D682">
        <v>0.20300000000000001</v>
      </c>
      <c r="E682">
        <v>13.49</v>
      </c>
      <c r="F682">
        <v>-0.1013</v>
      </c>
      <c r="G682">
        <v>0.8</v>
      </c>
      <c r="H682">
        <v>0.5</v>
      </c>
      <c r="I682">
        <v>0.36</v>
      </c>
      <c r="K682" t="str">
        <f t="shared" si="82"/>
        <v xml:space="preserve">    - 0.300</v>
      </c>
      <c r="L682" t="str">
        <f t="shared" si="83"/>
        <v xml:space="preserve">    - [1.148, 0.422, 0.203, 13.49, -0.1013]</v>
      </c>
      <c r="O682">
        <f>A682-'DLC Buildup Factors'!G1026</f>
        <v>0</v>
      </c>
      <c r="P682">
        <f>B682-'DLC Buildup Factors'!H1026</f>
        <v>0</v>
      </c>
      <c r="Q682">
        <f>C682-'DLC Buildup Factors'!I1026</f>
        <v>0</v>
      </c>
      <c r="R682">
        <f>D682-'DLC Buildup Factors'!J1026</f>
        <v>0</v>
      </c>
      <c r="S682">
        <f>E682-'DLC Buildup Factors'!K1026</f>
        <v>0</v>
      </c>
      <c r="T682">
        <f>F682-'DLC Buildup Factors'!L1026</f>
        <v>0</v>
      </c>
      <c r="U682">
        <f>G682-'DLC Buildup Factors'!M1026</f>
        <v>0</v>
      </c>
      <c r="V682">
        <f>H682-'DLC Buildup Factors'!N1026</f>
        <v>0</v>
      </c>
      <c r="W682">
        <f>I682-'DLC Buildup Factors'!O1026</f>
        <v>0</v>
      </c>
    </row>
    <row r="683" spans="1:23">
      <c r="A683" s="10">
        <v>0.4</v>
      </c>
      <c r="B683">
        <v>1.1870000000000001</v>
      </c>
      <c r="C683">
        <v>0.56200000000000006</v>
      </c>
      <c r="D683">
        <v>0.13700000000000001</v>
      </c>
      <c r="E683">
        <v>14.19</v>
      </c>
      <c r="F683">
        <v>-7.0599999999999996E-2</v>
      </c>
      <c r="G683">
        <v>0.6</v>
      </c>
      <c r="H683">
        <v>0.5</v>
      </c>
      <c r="I683">
        <v>0.35</v>
      </c>
      <c r="K683" t="str">
        <f t="shared" si="82"/>
        <v xml:space="preserve">    - 0.400</v>
      </c>
      <c r="L683" t="str">
        <f t="shared" si="83"/>
        <v xml:space="preserve">    - [1.187, 0.562, 0.137, 14.19, -0.0706]</v>
      </c>
      <c r="O683">
        <f>A683-'DLC Buildup Factors'!G1027</f>
        <v>0</v>
      </c>
      <c r="P683">
        <f>B683-'DLC Buildup Factors'!H1027</f>
        <v>0</v>
      </c>
      <c r="Q683">
        <f>C683-'DLC Buildup Factors'!I1027</f>
        <v>0</v>
      </c>
      <c r="R683">
        <f>D683-'DLC Buildup Factors'!J1027</f>
        <v>0</v>
      </c>
      <c r="S683">
        <f>E683-'DLC Buildup Factors'!K1027</f>
        <v>0</v>
      </c>
      <c r="T683">
        <f>F683-'DLC Buildup Factors'!L1027</f>
        <v>0</v>
      </c>
      <c r="U683">
        <f>G683-'DLC Buildup Factors'!M1027</f>
        <v>0</v>
      </c>
      <c r="V683">
        <f>H683-'DLC Buildup Factors'!N1027</f>
        <v>0</v>
      </c>
      <c r="W683">
        <f>I683-'DLC Buildup Factors'!O1027</f>
        <v>0</v>
      </c>
    </row>
    <row r="684" spans="1:23">
      <c r="A684" s="10">
        <v>0.5</v>
      </c>
      <c r="B684">
        <v>1.2330000000000001</v>
      </c>
      <c r="C684">
        <v>0.63400000000000001</v>
      </c>
      <c r="D684">
        <v>0.109</v>
      </c>
      <c r="E684">
        <v>14.2</v>
      </c>
      <c r="F684">
        <f>-0.0556</f>
        <v>-5.5599999999999997E-2</v>
      </c>
      <c r="G684">
        <v>0.6</v>
      </c>
      <c r="H684">
        <v>0.5</v>
      </c>
      <c r="I684">
        <v>0.38</v>
      </c>
      <c r="K684" t="str">
        <f t="shared" si="82"/>
        <v xml:space="preserve">    - 0.500</v>
      </c>
      <c r="L684" t="str">
        <f t="shared" si="83"/>
        <v xml:space="preserve">    - [1.233, 0.634, 0.109, 14.20, -0.0556]</v>
      </c>
      <c r="O684">
        <f>A684-'DLC Buildup Factors'!G1028</f>
        <v>0</v>
      </c>
      <c r="P684">
        <f>B684-'DLC Buildup Factors'!H1028</f>
        <v>0</v>
      </c>
      <c r="Q684">
        <f>C684-'DLC Buildup Factors'!I1028</f>
        <v>0</v>
      </c>
      <c r="R684">
        <f>D684-'DLC Buildup Factors'!J1028</f>
        <v>0</v>
      </c>
      <c r="S684">
        <f>E684-'DLC Buildup Factors'!K1028</f>
        <v>0</v>
      </c>
      <c r="T684">
        <f>F684-'DLC Buildup Factors'!L1028</f>
        <v>0</v>
      </c>
      <c r="U684">
        <f>G684-'DLC Buildup Factors'!M1028</f>
        <v>0</v>
      </c>
      <c r="V684">
        <f>H684-'DLC Buildup Factors'!N1028</f>
        <v>0</v>
      </c>
      <c r="W684">
        <f>I684-'DLC Buildup Factors'!O1028</f>
        <v>0</v>
      </c>
    </row>
    <row r="685" spans="1:23">
      <c r="A685" s="10">
        <v>0.6</v>
      </c>
      <c r="B685">
        <v>1.2689999999999999</v>
      </c>
      <c r="C685">
        <v>0.68500000000000005</v>
      </c>
      <c r="D685">
        <v>8.8999999999999996E-2</v>
      </c>
      <c r="E685">
        <v>13.78</v>
      </c>
      <c r="F685">
        <v>-4.3999999999999997E-2</v>
      </c>
      <c r="G685">
        <v>0.6</v>
      </c>
      <c r="H685">
        <v>1</v>
      </c>
      <c r="I685">
        <v>0.36</v>
      </c>
      <c r="K685" t="str">
        <f t="shared" si="82"/>
        <v xml:space="preserve">    - 0.600</v>
      </c>
      <c r="L685" t="str">
        <f t="shared" si="83"/>
        <v xml:space="preserve">    - [1.269, 0.685, 0.089, 13.78, -0.0440]</v>
      </c>
      <c r="O685">
        <f>A685-'DLC Buildup Factors'!G1029</f>
        <v>0</v>
      </c>
      <c r="P685">
        <f>B685-'DLC Buildup Factors'!H1029</f>
        <v>0</v>
      </c>
      <c r="Q685">
        <f>C685-'DLC Buildup Factors'!I1029</f>
        <v>0</v>
      </c>
      <c r="R685">
        <f>D685-'DLC Buildup Factors'!J1029</f>
        <v>0</v>
      </c>
      <c r="S685">
        <f>E685-'DLC Buildup Factors'!K1029</f>
        <v>0</v>
      </c>
      <c r="T685">
        <f>F685-'DLC Buildup Factors'!L1029</f>
        <v>0</v>
      </c>
      <c r="U685">
        <f>G685-'DLC Buildup Factors'!M1029</f>
        <v>0</v>
      </c>
      <c r="V685">
        <f>H685-'DLC Buildup Factors'!N1029</f>
        <v>0</v>
      </c>
      <c r="W685">
        <f>I685-'DLC Buildup Factors'!O1029</f>
        <v>0</v>
      </c>
    </row>
    <row r="686" spans="1:23">
      <c r="A686" s="10">
        <v>0.8</v>
      </c>
      <c r="B686">
        <v>1.329</v>
      </c>
      <c r="C686">
        <v>0.75900000000000001</v>
      </c>
      <c r="D686">
        <v>6.5000000000000002E-2</v>
      </c>
      <c r="E686">
        <v>13.69</v>
      </c>
      <c r="F686">
        <v>-3.1699999999999999E-2</v>
      </c>
      <c r="G686">
        <v>0.8</v>
      </c>
      <c r="H686">
        <v>1</v>
      </c>
      <c r="I686">
        <v>0.39</v>
      </c>
      <c r="K686" t="str">
        <f t="shared" si="82"/>
        <v xml:space="preserve">    - 0.800</v>
      </c>
      <c r="L686" t="str">
        <f t="shared" si="83"/>
        <v xml:space="preserve">    - [1.329, 0.759, 0.065, 13.69, -0.0317]</v>
      </c>
      <c r="O686">
        <f>A686-'DLC Buildup Factors'!G1030</f>
        <v>0</v>
      </c>
      <c r="P686">
        <f>B686-'DLC Buildup Factors'!H1030</f>
        <v>0</v>
      </c>
      <c r="Q686">
        <f>C686-'DLC Buildup Factors'!I1030</f>
        <v>0</v>
      </c>
      <c r="R686">
        <f>D686-'DLC Buildup Factors'!J1030</f>
        <v>0</v>
      </c>
      <c r="S686">
        <f>E686-'DLC Buildup Factors'!K1030</f>
        <v>0</v>
      </c>
      <c r="T686">
        <f>F686-'DLC Buildup Factors'!L1030</f>
        <v>0</v>
      </c>
      <c r="U686">
        <f>G686-'DLC Buildup Factors'!M1030</f>
        <v>0</v>
      </c>
      <c r="V686">
        <f>H686-'DLC Buildup Factors'!N1030</f>
        <v>0</v>
      </c>
      <c r="W686">
        <f>I686-'DLC Buildup Factors'!O1030</f>
        <v>0</v>
      </c>
    </row>
    <row r="687" spans="1:23">
      <c r="A687" s="10">
        <v>1</v>
      </c>
      <c r="B687">
        <v>1.367</v>
      </c>
      <c r="C687">
        <v>0.81100000000000005</v>
      </c>
      <c r="D687">
        <v>5.0999999999999997E-2</v>
      </c>
      <c r="E687">
        <v>13.67</v>
      </c>
      <c r="F687">
        <v>-2.8299999999999999E-2</v>
      </c>
      <c r="G687">
        <v>0.8</v>
      </c>
      <c r="H687">
        <v>1</v>
      </c>
      <c r="I687">
        <v>0.42</v>
      </c>
      <c r="K687" t="str">
        <f t="shared" si="82"/>
        <v xml:space="preserve">    - 1.000</v>
      </c>
      <c r="L687" t="str">
        <f t="shared" si="83"/>
        <v xml:space="preserve">    - [1.367, 0.811, 0.051, 13.67, -0.0283]</v>
      </c>
      <c r="O687">
        <f>A687-'DLC Buildup Factors'!G1031</f>
        <v>0</v>
      </c>
      <c r="P687">
        <f>B687-'DLC Buildup Factors'!H1031</f>
        <v>0</v>
      </c>
      <c r="Q687">
        <f>C687-'DLC Buildup Factors'!I1031</f>
        <v>0</v>
      </c>
      <c r="R687">
        <f>D687-'DLC Buildup Factors'!J1031</f>
        <v>0</v>
      </c>
      <c r="S687">
        <f>E687-'DLC Buildup Factors'!K1031</f>
        <v>0</v>
      </c>
      <c r="T687">
        <f>F687-'DLC Buildup Factors'!L1031</f>
        <v>0</v>
      </c>
      <c r="U687">
        <f>G687-'DLC Buildup Factors'!M1031</f>
        <v>0</v>
      </c>
      <c r="V687">
        <f>H687-'DLC Buildup Factors'!N1031</f>
        <v>0</v>
      </c>
      <c r="W687">
        <f>I687-'DLC Buildup Factors'!O1031</f>
        <v>0</v>
      </c>
    </row>
    <row r="688" spans="1:23">
      <c r="A688" s="10">
        <v>1.5</v>
      </c>
      <c r="B688">
        <v>1.369</v>
      </c>
      <c r="C688">
        <v>0.94199999999999995</v>
      </c>
      <c r="D688">
        <v>0.02</v>
      </c>
      <c r="E688">
        <v>14.65</v>
      </c>
      <c r="F688">
        <v>-2.07E-2</v>
      </c>
      <c r="G688">
        <v>0.9</v>
      </c>
      <c r="H688">
        <v>1</v>
      </c>
      <c r="I688">
        <v>0.34</v>
      </c>
      <c r="K688" t="str">
        <f t="shared" si="82"/>
        <v xml:space="preserve">    - 1.500</v>
      </c>
      <c r="L688" t="str">
        <f t="shared" si="83"/>
        <v xml:space="preserve">    - [1.369, 0.942, 0.020, 14.65, -0.0207]</v>
      </c>
      <c r="O688">
        <f>A688-'DLC Buildup Factors'!G1032</f>
        <v>0</v>
      </c>
      <c r="P688">
        <f>B688-'DLC Buildup Factors'!H1032</f>
        <v>0</v>
      </c>
      <c r="Q688">
        <f>C688-'DLC Buildup Factors'!I1032</f>
        <v>0</v>
      </c>
      <c r="R688">
        <f>D688-'DLC Buildup Factors'!J1032</f>
        <v>0</v>
      </c>
      <c r="S688">
        <f>E688-'DLC Buildup Factors'!K1032</f>
        <v>0</v>
      </c>
      <c r="T688">
        <f>F688-'DLC Buildup Factors'!L1032</f>
        <v>0</v>
      </c>
      <c r="U688">
        <f>G688-'DLC Buildup Factors'!M1032</f>
        <v>0</v>
      </c>
      <c r="V688">
        <f>H688-'DLC Buildup Factors'!N1032</f>
        <v>0</v>
      </c>
      <c r="W688">
        <f>I688-'DLC Buildup Factors'!O1032</f>
        <v>0</v>
      </c>
    </row>
    <row r="689" spans="1:23">
      <c r="A689" s="10">
        <v>2</v>
      </c>
      <c r="B689">
        <v>1.3839999999999999</v>
      </c>
      <c r="C689">
        <v>0.98</v>
      </c>
      <c r="D689">
        <v>1.4E-2</v>
      </c>
      <c r="E689">
        <v>13.51</v>
      </c>
      <c r="F689">
        <v>-2.1600000000000001E-2</v>
      </c>
      <c r="G689">
        <v>1.7</v>
      </c>
      <c r="H689">
        <v>0.5</v>
      </c>
      <c r="I689">
        <v>0.68</v>
      </c>
      <c r="K689" t="str">
        <f t="shared" si="82"/>
        <v xml:space="preserve">    - 2.000</v>
      </c>
      <c r="L689" t="str">
        <f t="shared" si="83"/>
        <v xml:space="preserve">    - [1.384, 0.980, 0.014, 13.51, -0.0216]</v>
      </c>
      <c r="O689">
        <f>A689-'DLC Buildup Factors'!G1033</f>
        <v>0</v>
      </c>
      <c r="P689">
        <f>B689-'DLC Buildup Factors'!H1033</f>
        <v>0</v>
      </c>
      <c r="Q689">
        <f>C689-'DLC Buildup Factors'!I1033</f>
        <v>0</v>
      </c>
      <c r="R689">
        <f>D689-'DLC Buildup Factors'!J1033</f>
        <v>0</v>
      </c>
      <c r="S689">
        <f>E689-'DLC Buildup Factors'!K1033</f>
        <v>0</v>
      </c>
      <c r="T689">
        <f>F689-'DLC Buildup Factors'!L1033</f>
        <v>0</v>
      </c>
      <c r="U689">
        <f>G689-'DLC Buildup Factors'!M1033</f>
        <v>0</v>
      </c>
      <c r="V689">
        <f>H689-'DLC Buildup Factors'!N1033</f>
        <v>0</v>
      </c>
      <c r="W689">
        <f>I689-'DLC Buildup Factors'!O1033</f>
        <v>0</v>
      </c>
    </row>
    <row r="690" spans="1:23">
      <c r="A690" s="10">
        <v>3</v>
      </c>
      <c r="B690">
        <v>1.367</v>
      </c>
      <c r="C690">
        <v>1.006</v>
      </c>
      <c r="D690">
        <v>1.7000000000000001E-2</v>
      </c>
      <c r="E690">
        <v>13.33</v>
      </c>
      <c r="F690">
        <v>-3.7699999999999997E-2</v>
      </c>
      <c r="G690">
        <v>3.4</v>
      </c>
      <c r="H690">
        <v>0.5</v>
      </c>
      <c r="I690">
        <v>1.3</v>
      </c>
      <c r="K690" t="str">
        <f t="shared" si="82"/>
        <v xml:space="preserve">    - 3.000</v>
      </c>
      <c r="L690" t="str">
        <f t="shared" si="83"/>
        <v xml:space="preserve">    - [1.367, 1.006, 0.017, 13.33, -0.0377]</v>
      </c>
      <c r="O690">
        <f>A690-'DLC Buildup Factors'!G1034</f>
        <v>0</v>
      </c>
      <c r="P690">
        <f>B690-'DLC Buildup Factors'!H1034</f>
        <v>0</v>
      </c>
      <c r="Q690">
        <f>C690-'DLC Buildup Factors'!I1034</f>
        <v>0</v>
      </c>
      <c r="R690">
        <f>D690-'DLC Buildup Factors'!J1034</f>
        <v>0</v>
      </c>
      <c r="S690">
        <f>E690-'DLC Buildup Factors'!K1034</f>
        <v>0</v>
      </c>
      <c r="T690">
        <f>F690-'DLC Buildup Factors'!L1034</f>
        <v>0</v>
      </c>
      <c r="U690">
        <f>G690-'DLC Buildup Factors'!M1034</f>
        <v>0</v>
      </c>
      <c r="V690">
        <f>H690-'DLC Buildup Factors'!N1034</f>
        <v>0</v>
      </c>
      <c r="W690">
        <f>I690-'DLC Buildup Factors'!O1034</f>
        <v>0</v>
      </c>
    </row>
    <row r="691" spans="1:23">
      <c r="A691" s="10">
        <v>4</v>
      </c>
      <c r="B691">
        <v>1.337</v>
      </c>
      <c r="C691">
        <v>1.0089999999999999</v>
      </c>
      <c r="D691">
        <v>2.4E-2</v>
      </c>
      <c r="E691">
        <v>14.15</v>
      </c>
      <c r="F691">
        <v>-4.5499999999999999E-2</v>
      </c>
      <c r="G691">
        <v>3.7</v>
      </c>
      <c r="H691">
        <v>0.5</v>
      </c>
      <c r="I691">
        <v>1.46</v>
      </c>
      <c r="K691" t="str">
        <f t="shared" si="82"/>
        <v xml:space="preserve">    - 4.000</v>
      </c>
      <c r="L691" t="str">
        <f t="shared" si="83"/>
        <v xml:space="preserve">    - [1.337, 1.009, 0.024, 14.15, -0.0455]</v>
      </c>
      <c r="O691">
        <f>A691-'DLC Buildup Factors'!G1035</f>
        <v>0</v>
      </c>
      <c r="P691">
        <f>B691-'DLC Buildup Factors'!H1035</f>
        <v>0</v>
      </c>
      <c r="Q691">
        <f>C691-'DLC Buildup Factors'!I1035</f>
        <v>0</v>
      </c>
      <c r="R691">
        <f>D691-'DLC Buildup Factors'!J1035</f>
        <v>0</v>
      </c>
      <c r="S691">
        <f>E691-'DLC Buildup Factors'!K1035</f>
        <v>0</v>
      </c>
      <c r="T691">
        <f>F691-'DLC Buildup Factors'!L1035</f>
        <v>0</v>
      </c>
      <c r="U691">
        <f>G691-'DLC Buildup Factors'!M1035</f>
        <v>0</v>
      </c>
      <c r="V691">
        <f>H691-'DLC Buildup Factors'!N1035</f>
        <v>0</v>
      </c>
      <c r="W691">
        <f>I691-'DLC Buildup Factors'!O1035</f>
        <v>0</v>
      </c>
    </row>
    <row r="692" spans="1:23">
      <c r="A692" s="10">
        <v>5</v>
      </c>
      <c r="B692">
        <v>1.36</v>
      </c>
      <c r="C692">
        <v>0.95699999999999996</v>
      </c>
      <c r="D692">
        <v>4.9000000000000002E-2</v>
      </c>
      <c r="E692">
        <v>14.04</v>
      </c>
      <c r="F692">
        <v>-6.83E-2</v>
      </c>
      <c r="G692">
        <v>5.4</v>
      </c>
      <c r="H692">
        <v>0.5</v>
      </c>
      <c r="I692">
        <v>2.12</v>
      </c>
      <c r="K692" t="str">
        <f t="shared" si="82"/>
        <v xml:space="preserve">    - 5.000</v>
      </c>
      <c r="L692" t="str">
        <f t="shared" si="83"/>
        <v xml:space="preserve">    - [1.360, 0.957, 0.049, 14.04, -0.0683]</v>
      </c>
      <c r="O692">
        <f>A692-'DLC Buildup Factors'!G1036</f>
        <v>0</v>
      </c>
      <c r="P692">
        <f>B692-'DLC Buildup Factors'!H1036</f>
        <v>0</v>
      </c>
      <c r="Q692">
        <f>C692-'DLC Buildup Factors'!I1036</f>
        <v>0</v>
      </c>
      <c r="R692">
        <f>D692-'DLC Buildup Factors'!J1036</f>
        <v>0</v>
      </c>
      <c r="S692">
        <f>E692-'DLC Buildup Factors'!K1036</f>
        <v>0</v>
      </c>
      <c r="T692">
        <f>F692-'DLC Buildup Factors'!L1036</f>
        <v>0</v>
      </c>
      <c r="U692">
        <f>G692-'DLC Buildup Factors'!M1036</f>
        <v>0</v>
      </c>
      <c r="V692">
        <f>H692-'DLC Buildup Factors'!N1036</f>
        <v>0</v>
      </c>
      <c r="W692">
        <f>I692-'DLC Buildup Factors'!O1036</f>
        <v>0</v>
      </c>
    </row>
    <row r="693" spans="1:23">
      <c r="A693" s="10">
        <v>6</v>
      </c>
      <c r="B693">
        <v>1.363</v>
      </c>
      <c r="C693">
        <v>0.96499999999999997</v>
      </c>
      <c r="D693">
        <v>5.3999999999999999E-2</v>
      </c>
      <c r="E693">
        <v>14.21</v>
      </c>
      <c r="F693">
        <v>-7.1599999999999997E-2</v>
      </c>
      <c r="G693">
        <v>5.7</v>
      </c>
      <c r="H693">
        <v>0.5</v>
      </c>
      <c r="I693">
        <v>2.21</v>
      </c>
      <c r="K693" t="str">
        <f t="shared" si="82"/>
        <v xml:space="preserve">    - 6.000</v>
      </c>
      <c r="L693" t="str">
        <f t="shared" si="83"/>
        <v xml:space="preserve">    - [1.363, 0.965, 0.054, 14.21, -0.0716]</v>
      </c>
      <c r="O693">
        <f>A693-'DLC Buildup Factors'!G1037</f>
        <v>0</v>
      </c>
      <c r="P693">
        <f>B693-'DLC Buildup Factors'!H1037</f>
        <v>0</v>
      </c>
      <c r="Q693">
        <f>C693-'DLC Buildup Factors'!I1037</f>
        <v>0</v>
      </c>
      <c r="R693">
        <f>D693-'DLC Buildup Factors'!J1037</f>
        <v>0</v>
      </c>
      <c r="S693">
        <f>E693-'DLC Buildup Factors'!K1037</f>
        <v>0</v>
      </c>
      <c r="T693">
        <f>F693-'DLC Buildup Factors'!L1037</f>
        <v>0</v>
      </c>
      <c r="U693">
        <f>G693-'DLC Buildup Factors'!M1037</f>
        <v>0</v>
      </c>
      <c r="V693">
        <f>H693-'DLC Buildup Factors'!N1037</f>
        <v>0</v>
      </c>
      <c r="W693">
        <f>I693-'DLC Buildup Factors'!O1037</f>
        <v>0</v>
      </c>
    </row>
    <row r="694" spans="1:23">
      <c r="A694" s="10">
        <v>8</v>
      </c>
      <c r="B694">
        <v>1.4410000000000001</v>
      </c>
      <c r="C694">
        <v>0.99399999999999999</v>
      </c>
      <c r="D694">
        <v>6.0999999999999999E-2</v>
      </c>
      <c r="E694">
        <v>14.18</v>
      </c>
      <c r="F694">
        <v>-0.08</v>
      </c>
      <c r="G694">
        <v>5.8</v>
      </c>
      <c r="H694">
        <v>0.5</v>
      </c>
      <c r="I694">
        <v>2.4500000000000002</v>
      </c>
      <c r="K694" t="str">
        <f t="shared" si="82"/>
        <v xml:space="preserve">    - 8.000</v>
      </c>
      <c r="L694" t="str">
        <f t="shared" si="83"/>
        <v xml:space="preserve">    - [1.441, 0.994, 0.061, 14.18, -0.0800]</v>
      </c>
      <c r="O694">
        <f>A694-'DLC Buildup Factors'!G1038</f>
        <v>0</v>
      </c>
      <c r="P694">
        <f>B694-'DLC Buildup Factors'!H1038</f>
        <v>0</v>
      </c>
      <c r="Q694">
        <f>C694-'DLC Buildup Factors'!I1038</f>
        <v>0</v>
      </c>
      <c r="R694">
        <f>D694-'DLC Buildup Factors'!J1038</f>
        <v>0</v>
      </c>
      <c r="S694">
        <f>E694-'DLC Buildup Factors'!K1038</f>
        <v>0</v>
      </c>
      <c r="T694">
        <f>F694-'DLC Buildup Factors'!L1038</f>
        <v>0</v>
      </c>
      <c r="U694">
        <f>G694-'DLC Buildup Factors'!M1038</f>
        <v>0</v>
      </c>
      <c r="V694">
        <f>H694-'DLC Buildup Factors'!N1038</f>
        <v>0</v>
      </c>
      <c r="W694">
        <f>I694-'DLC Buildup Factors'!O1038</f>
        <v>0</v>
      </c>
    </row>
    <row r="695" spans="1:23">
      <c r="A695" s="10">
        <v>10</v>
      </c>
      <c r="B695">
        <v>1.464</v>
      </c>
      <c r="C695">
        <v>1.1479999999999999</v>
      </c>
      <c r="D695">
        <v>3.2000000000000001E-2</v>
      </c>
      <c r="E695">
        <v>14.08</v>
      </c>
      <c r="F695">
        <v>-5.5399999999999998E-2</v>
      </c>
      <c r="G695">
        <v>4.0999999999999996</v>
      </c>
      <c r="H695">
        <v>0.5</v>
      </c>
      <c r="I695">
        <v>1.73</v>
      </c>
      <c r="K695" t="str">
        <f t="shared" si="82"/>
        <v xml:space="preserve">    - 10.000</v>
      </c>
      <c r="L695" t="str">
        <f t="shared" si="83"/>
        <v xml:space="preserve">    - [1.464, 1.148, 0.032, 14.08, -0.0554]</v>
      </c>
      <c r="O695">
        <f>A695-'DLC Buildup Factors'!G1039</f>
        <v>0</v>
      </c>
      <c r="P695">
        <f>B695-'DLC Buildup Factors'!H1039</f>
        <v>0</v>
      </c>
      <c r="Q695">
        <f>C695-'DLC Buildup Factors'!I1039</f>
        <v>0</v>
      </c>
      <c r="R695">
        <f>D695-'DLC Buildup Factors'!J1039</f>
        <v>0</v>
      </c>
      <c r="S695">
        <f>E695-'DLC Buildup Factors'!K1039</f>
        <v>0</v>
      </c>
      <c r="T695">
        <f>F695-'DLC Buildup Factors'!L1039</f>
        <v>0</v>
      </c>
      <c r="U695">
        <f>G695-'DLC Buildup Factors'!M1039</f>
        <v>0</v>
      </c>
      <c r="V695">
        <f>H695-'DLC Buildup Factors'!N1039</f>
        <v>0</v>
      </c>
      <c r="W695">
        <f>I695-'DLC Buildup Factors'!O1039</f>
        <v>0</v>
      </c>
    </row>
    <row r="696" spans="1:23">
      <c r="A696" s="10">
        <v>15</v>
      </c>
      <c r="B696">
        <v>1.573</v>
      </c>
      <c r="C696">
        <v>1.337</v>
      </c>
      <c r="D696">
        <v>1.6E-2</v>
      </c>
      <c r="E696">
        <v>13.54</v>
      </c>
      <c r="F696">
        <v>-4.6300000000000001E-2</v>
      </c>
      <c r="G696">
        <v>3.5</v>
      </c>
      <c r="H696">
        <v>0.5</v>
      </c>
      <c r="I696">
        <v>1.76</v>
      </c>
      <c r="K696" t="str">
        <f t="shared" si="82"/>
        <v xml:space="preserve">    - 15.000</v>
      </c>
      <c r="L696" t="str">
        <f t="shared" si="83"/>
        <v xml:space="preserve">    - [1.573, 1.337, 0.016, 13.54, -0.0463]</v>
      </c>
      <c r="O696">
        <f>A696-'DLC Buildup Factors'!G1040</f>
        <v>0</v>
      </c>
      <c r="P696">
        <f>B696-'DLC Buildup Factors'!H1040</f>
        <v>0</v>
      </c>
      <c r="Q696">
        <f>C696-'DLC Buildup Factors'!I1040</f>
        <v>0</v>
      </c>
      <c r="R696">
        <f>D696-'DLC Buildup Factors'!J1040</f>
        <v>0</v>
      </c>
      <c r="S696">
        <f>E696-'DLC Buildup Factors'!K1040</f>
        <v>0</v>
      </c>
      <c r="T696">
        <f>F696-'DLC Buildup Factors'!L1040</f>
        <v>0</v>
      </c>
      <c r="U696">
        <f>G696-'DLC Buildup Factors'!M1040</f>
        <v>0</v>
      </c>
      <c r="V696">
        <f>H696-'DLC Buildup Factors'!N1040</f>
        <v>0</v>
      </c>
      <c r="W696">
        <f>I696-'DLC Buildup Factors'!O1040</f>
        <v>0</v>
      </c>
    </row>
    <row r="697" spans="1:23">
      <c r="A697" s="10"/>
    </row>
    <row r="698" spans="1:23">
      <c r="A698" s="12" t="s">
        <v>1525</v>
      </c>
    </row>
    <row r="699" spans="1:23">
      <c r="A699" s="12" t="s">
        <v>53</v>
      </c>
    </row>
    <row r="700" spans="1:23">
      <c r="A700" t="s">
        <v>0</v>
      </c>
      <c r="B700" t="s">
        <v>10</v>
      </c>
      <c r="C700" t="s">
        <v>11</v>
      </c>
      <c r="D700" t="s">
        <v>12</v>
      </c>
      <c r="E700" t="s">
        <v>15</v>
      </c>
      <c r="F700" t="s">
        <v>13</v>
      </c>
      <c r="G700" t="s">
        <v>16</v>
      </c>
      <c r="H700" t="s">
        <v>17</v>
      </c>
      <c r="I700" t="s">
        <v>14</v>
      </c>
    </row>
    <row r="701" spans="1:23">
      <c r="A701" s="13">
        <v>0.03</v>
      </c>
      <c r="B701">
        <v>1.0049999999999999</v>
      </c>
      <c r="C701">
        <v>0.33600000000000002</v>
      </c>
      <c r="D701">
        <v>0.224</v>
      </c>
      <c r="E701">
        <v>25.06</v>
      </c>
      <c r="F701">
        <v>-0.2039</v>
      </c>
      <c r="G701">
        <v>0</v>
      </c>
      <c r="H701">
        <v>8</v>
      </c>
      <c r="I701">
        <v>0.02</v>
      </c>
      <c r="K701" t="str">
        <f t="shared" ref="K701" si="84">CONCATENATE("    - ",TEXT(A701,"0.000"))</f>
        <v xml:space="preserve">    - 0.030</v>
      </c>
      <c r="L701" t="str">
        <f t="shared" ref="L701" si="85">CONCATENATE("    - [",TEXT(B701,"0.000"),", ",TEXT(C701,"0.000"),", ",TEXT(D701,"0.000"),", ",TEXT(E701,"0.00"),", ",TEXT(F701,"0.0000"),"]")</f>
        <v xml:space="preserve">    - [1.005, 0.336, 0.224, 25.06, -0.2039]</v>
      </c>
      <c r="O701">
        <f>A701-'DLC Buildup Factors'!G1049</f>
        <v>0</v>
      </c>
      <c r="P701">
        <f>B701-'DLC Buildup Factors'!H1049</f>
        <v>0</v>
      </c>
      <c r="Q701">
        <f>C701-'DLC Buildup Factors'!I1049</f>
        <v>0</v>
      </c>
      <c r="R701">
        <f>D701-'DLC Buildup Factors'!J1049</f>
        <v>0</v>
      </c>
      <c r="S701">
        <f>E701-'DLC Buildup Factors'!K1049</f>
        <v>0</v>
      </c>
      <c r="T701">
        <f>F701-'DLC Buildup Factors'!L1049</f>
        <v>0</v>
      </c>
      <c r="U701">
        <f>G701-'DLC Buildup Factors'!M1049</f>
        <v>0</v>
      </c>
      <c r="V701">
        <f>H701-'DLC Buildup Factors'!N1049</f>
        <v>0</v>
      </c>
      <c r="W701">
        <f>I701-'DLC Buildup Factors'!O1049</f>
        <v>0</v>
      </c>
    </row>
    <row r="702" spans="1:23">
      <c r="A702" s="12">
        <v>0.04</v>
      </c>
      <c r="B702">
        <v>1.01</v>
      </c>
      <c r="C702">
        <v>0.29599999999999999</v>
      </c>
      <c r="D702">
        <v>0.27200000000000002</v>
      </c>
      <c r="E702">
        <v>14.23</v>
      </c>
      <c r="F702">
        <v>-0.11990000000000001</v>
      </c>
      <c r="G702">
        <v>0.1</v>
      </c>
      <c r="H702">
        <v>2</v>
      </c>
      <c r="I702">
        <v>0.03</v>
      </c>
      <c r="K702" t="str">
        <f t="shared" ref="K702:K733" si="86">CONCATENATE("    - ",TEXT(A702,"0.000"))</f>
        <v xml:space="preserve">    - 0.040</v>
      </c>
      <c r="L702" t="str">
        <f t="shared" ref="L702:L733" si="87">CONCATENATE("    - [",TEXT(B702,"0.000"),", ",TEXT(C702,"0.000"),", ",TEXT(D702,"0.000"),", ",TEXT(E702,"0.00"),", ",TEXT(F702,"0.0000"),"]")</f>
        <v xml:space="preserve">    - [1.010, 0.296, 0.272, 14.23, -0.1199]</v>
      </c>
      <c r="O702">
        <f>A702-'DLC Buildup Factors'!G1050</f>
        <v>0</v>
      </c>
      <c r="P702">
        <f>B702-'DLC Buildup Factors'!H1050</f>
        <v>0</v>
      </c>
      <c r="Q702">
        <f>C702-'DLC Buildup Factors'!I1050</f>
        <v>0</v>
      </c>
      <c r="R702">
        <f>D702-'DLC Buildup Factors'!J1050</f>
        <v>0</v>
      </c>
      <c r="S702">
        <f>E702-'DLC Buildup Factors'!K1050</f>
        <v>0</v>
      </c>
      <c r="T702">
        <f>F702-'DLC Buildup Factors'!L1050</f>
        <v>0</v>
      </c>
      <c r="U702">
        <f>G702-'DLC Buildup Factors'!M1050</f>
        <v>0</v>
      </c>
      <c r="V702">
        <f>H702-'DLC Buildup Factors'!N1050</f>
        <v>0</v>
      </c>
      <c r="W702">
        <f>I702-'DLC Buildup Factors'!O1050</f>
        <v>0</v>
      </c>
    </row>
    <row r="703" spans="1:23">
      <c r="A703" s="12">
        <v>0.05</v>
      </c>
      <c r="B703">
        <v>1.016</v>
      </c>
      <c r="C703">
        <v>0.313</v>
      </c>
      <c r="D703">
        <v>0.248</v>
      </c>
      <c r="E703">
        <v>13.81</v>
      </c>
      <c r="F703">
        <f>-0.0893</f>
        <v>-8.9300000000000004E-2</v>
      </c>
      <c r="G703">
        <v>0.1</v>
      </c>
      <c r="H703">
        <v>10</v>
      </c>
      <c r="I703">
        <v>0.03</v>
      </c>
      <c r="K703" t="str">
        <f t="shared" si="86"/>
        <v xml:space="preserve">    - 0.050</v>
      </c>
      <c r="L703" t="str">
        <f t="shared" si="87"/>
        <v xml:space="preserve">    - [1.016, 0.313, 0.248, 13.81, -0.0893]</v>
      </c>
      <c r="O703">
        <f>A703-'DLC Buildup Factors'!G1051</f>
        <v>0</v>
      </c>
      <c r="P703">
        <f>B703-'DLC Buildup Factors'!H1051</f>
        <v>0</v>
      </c>
      <c r="Q703">
        <f>C703-'DLC Buildup Factors'!I1051</f>
        <v>0</v>
      </c>
      <c r="R703">
        <f>D703-'DLC Buildup Factors'!J1051</f>
        <v>0</v>
      </c>
      <c r="S703">
        <f>E703-'DLC Buildup Factors'!K1051</f>
        <v>0</v>
      </c>
      <c r="T703">
        <f>F703-'DLC Buildup Factors'!L1051</f>
        <v>0</v>
      </c>
      <c r="U703">
        <f>G703-'DLC Buildup Factors'!M1051</f>
        <v>0</v>
      </c>
      <c r="V703">
        <f>H703-'DLC Buildup Factors'!N1051</f>
        <v>0</v>
      </c>
      <c r="W703">
        <f>I703-'DLC Buildup Factors'!O1051</f>
        <v>0</v>
      </c>
    </row>
    <row r="704" spans="1:23">
      <c r="A704" s="12">
        <v>0.06</v>
      </c>
      <c r="B704">
        <v>1.022</v>
      </c>
      <c r="C704">
        <v>0.33600000000000002</v>
      </c>
      <c r="D704">
        <v>0.24399999999999999</v>
      </c>
      <c r="E704">
        <v>14.48</v>
      </c>
      <c r="F704">
        <f>-0.1157</f>
        <v>-0.1157</v>
      </c>
      <c r="G704">
        <v>0.1</v>
      </c>
      <c r="H704">
        <v>2</v>
      </c>
      <c r="I704">
        <v>0.04</v>
      </c>
      <c r="K704" t="str">
        <f t="shared" si="86"/>
        <v xml:space="preserve">    - 0.060</v>
      </c>
      <c r="L704" t="str">
        <f t="shared" si="87"/>
        <v xml:space="preserve">    - [1.022, 0.336, 0.244, 14.48, -0.1157]</v>
      </c>
      <c r="O704">
        <f>A704-'DLC Buildup Factors'!G1052</f>
        <v>0</v>
      </c>
      <c r="P704">
        <f>B704-'DLC Buildup Factors'!H1052</f>
        <v>0</v>
      </c>
      <c r="Q704">
        <f>C704-'DLC Buildup Factors'!I1052</f>
        <v>0</v>
      </c>
      <c r="R704">
        <f>D704-'DLC Buildup Factors'!J1052</f>
        <v>0</v>
      </c>
      <c r="S704">
        <f>E704-'DLC Buildup Factors'!K1052</f>
        <v>0</v>
      </c>
      <c r="T704">
        <f>F704-'DLC Buildup Factors'!L1052</f>
        <v>0</v>
      </c>
      <c r="U704">
        <f>G704-'DLC Buildup Factors'!M1052</f>
        <v>0</v>
      </c>
      <c r="V704">
        <f>H704-'DLC Buildup Factors'!N1052</f>
        <v>0</v>
      </c>
      <c r="W704">
        <f>I704-'DLC Buildup Factors'!O1052</f>
        <v>0</v>
      </c>
    </row>
    <row r="705" spans="1:23">
      <c r="A705" s="12">
        <v>0.08</v>
      </c>
      <c r="B705">
        <v>1.0389999999999999</v>
      </c>
      <c r="C705">
        <v>0.35699999999999998</v>
      </c>
      <c r="D705">
        <v>0.23599999999999999</v>
      </c>
      <c r="E705">
        <v>13.87</v>
      </c>
      <c r="F705">
        <f>-0.1154</f>
        <v>-0.1154</v>
      </c>
      <c r="G705">
        <v>0.2</v>
      </c>
      <c r="H705">
        <v>0.5</v>
      </c>
      <c r="I705">
        <v>0.09</v>
      </c>
      <c r="K705" t="str">
        <f t="shared" si="86"/>
        <v xml:space="preserve">    - 0.080</v>
      </c>
      <c r="L705" t="str">
        <f t="shared" si="87"/>
        <v xml:space="preserve">    - [1.039, 0.357, 0.236, 13.87, -0.1154]</v>
      </c>
      <c r="O705">
        <f>A705-'DLC Buildup Factors'!G1053</f>
        <v>0</v>
      </c>
      <c r="P705">
        <f>B705-'DLC Buildup Factors'!H1053</f>
        <v>0</v>
      </c>
      <c r="Q705">
        <f>C705-'DLC Buildup Factors'!I1053</f>
        <v>0</v>
      </c>
      <c r="R705">
        <f>D705-'DLC Buildup Factors'!J1053</f>
        <v>0</v>
      </c>
      <c r="S705">
        <f>E705-'DLC Buildup Factors'!K1053</f>
        <v>0</v>
      </c>
      <c r="T705">
        <f>F705-'DLC Buildup Factors'!L1053</f>
        <v>0</v>
      </c>
      <c r="U705">
        <f>G705-'DLC Buildup Factors'!M1053</f>
        <v>0</v>
      </c>
      <c r="V705">
        <f>H705-'DLC Buildup Factors'!N1053</f>
        <v>0</v>
      </c>
      <c r="W705">
        <f>I705-'DLC Buildup Factors'!O1053</f>
        <v>0</v>
      </c>
    </row>
    <row r="706" spans="1:23">
      <c r="A706" s="12">
        <v>0.1</v>
      </c>
      <c r="B706">
        <v>1.0569999999999999</v>
      </c>
      <c r="C706">
        <v>0.39</v>
      </c>
      <c r="D706">
        <v>0.217</v>
      </c>
      <c r="E706">
        <v>13.78</v>
      </c>
      <c r="F706">
        <v>-0.1096</v>
      </c>
      <c r="G706">
        <v>0.2</v>
      </c>
      <c r="H706">
        <v>3</v>
      </c>
      <c r="I706">
        <v>0.13</v>
      </c>
      <c r="K706" t="str">
        <f t="shared" si="86"/>
        <v xml:space="preserve">    - 0.100</v>
      </c>
      <c r="L706" t="str">
        <f t="shared" si="87"/>
        <v xml:space="preserve">    - [1.057, 0.390, 0.217, 13.78, -0.1096]</v>
      </c>
      <c r="O706">
        <f>A706-'DLC Buildup Factors'!G1054</f>
        <v>0</v>
      </c>
      <c r="P706">
        <f>B706-'DLC Buildup Factors'!H1054</f>
        <v>0</v>
      </c>
      <c r="Q706">
        <f>C706-'DLC Buildup Factors'!I1054</f>
        <v>0</v>
      </c>
      <c r="R706">
        <f>D706-'DLC Buildup Factors'!J1054</f>
        <v>0</v>
      </c>
      <c r="S706">
        <f>E706-'DLC Buildup Factors'!K1054</f>
        <v>0</v>
      </c>
      <c r="T706">
        <f>F706-'DLC Buildup Factors'!L1054</f>
        <v>0</v>
      </c>
      <c r="U706">
        <f>G706-'DLC Buildup Factors'!M1054</f>
        <v>0</v>
      </c>
      <c r="V706">
        <f>H706-'DLC Buildup Factors'!N1054</f>
        <v>0</v>
      </c>
      <c r="W706">
        <f>I706-'DLC Buildup Factors'!O1054</f>
        <v>0</v>
      </c>
    </row>
    <row r="707" spans="1:23">
      <c r="A707" s="12">
        <v>0.115</v>
      </c>
      <c r="B707">
        <v>1.071</v>
      </c>
      <c r="C707">
        <v>0.435</v>
      </c>
      <c r="D707">
        <v>0.19400000000000001</v>
      </c>
      <c r="E707">
        <v>14.51</v>
      </c>
      <c r="F707">
        <v>-9.9599999999999994E-2</v>
      </c>
      <c r="G707">
        <v>0.3</v>
      </c>
      <c r="H707">
        <v>0.5</v>
      </c>
      <c r="I707">
        <v>0.14000000000000001</v>
      </c>
      <c r="K707" t="str">
        <f t="shared" si="86"/>
        <v xml:space="preserve">    - 0.115</v>
      </c>
      <c r="L707" t="str">
        <f t="shared" si="87"/>
        <v xml:space="preserve">    - [1.071, 0.435, 0.194, 14.51, -0.0996]</v>
      </c>
      <c r="O707">
        <f>A707-'DLC Buildup Factors'!G1055</f>
        <v>0</v>
      </c>
      <c r="P707">
        <f>B707-'DLC Buildup Factors'!H1055</f>
        <v>0</v>
      </c>
      <c r="Q707">
        <f>C707-'DLC Buildup Factors'!I1055</f>
        <v>0</v>
      </c>
      <c r="R707">
        <f>D707-'DLC Buildup Factors'!J1055</f>
        <v>0</v>
      </c>
      <c r="S707">
        <f>E707-'DLC Buildup Factors'!K1055</f>
        <v>0</v>
      </c>
      <c r="T707">
        <f>F707-'DLC Buildup Factors'!L1055</f>
        <v>0</v>
      </c>
      <c r="U707">
        <f>G707-'DLC Buildup Factors'!M1055</f>
        <v>0</v>
      </c>
      <c r="V707">
        <f>H707-'DLC Buildup Factors'!N1055</f>
        <v>0</v>
      </c>
      <c r="W707">
        <f>I707-'DLC Buildup Factors'!O1055</f>
        <v>0</v>
      </c>
    </row>
    <row r="708" spans="1:23">
      <c r="A708" s="12">
        <v>0.11600000000000001</v>
      </c>
      <c r="B708">
        <v>2.0699999999999998</v>
      </c>
      <c r="C708">
        <v>1.63</v>
      </c>
      <c r="D708">
        <v>5.7000000000000002E-2</v>
      </c>
      <c r="E708">
        <v>14.52</v>
      </c>
      <c r="F708">
        <v>-4.1200000000000001E-2</v>
      </c>
      <c r="G708">
        <v>10.1</v>
      </c>
      <c r="H708">
        <v>3</v>
      </c>
      <c r="I708">
        <v>5.12</v>
      </c>
      <c r="K708" t="str">
        <f t="shared" si="86"/>
        <v xml:space="preserve">    - 0.116</v>
      </c>
      <c r="L708" t="str">
        <f t="shared" si="87"/>
        <v xml:space="preserve">    - [2.070, 1.630, 0.057, 14.52, -0.0412]</v>
      </c>
      <c r="O708">
        <f>A708-'DLC Buildup Factors'!G1056</f>
        <v>0</v>
      </c>
      <c r="P708">
        <f>B708-'DLC Buildup Factors'!H1056</f>
        <v>0</v>
      </c>
      <c r="Q708">
        <f>C708-'DLC Buildup Factors'!I1056</f>
        <v>0</v>
      </c>
      <c r="R708">
        <f>D708-'DLC Buildup Factors'!J1056</f>
        <v>0</v>
      </c>
      <c r="S708">
        <f>E708-'DLC Buildup Factors'!K1056</f>
        <v>0</v>
      </c>
      <c r="T708">
        <f>F708-'DLC Buildup Factors'!L1056</f>
        <v>0</v>
      </c>
      <c r="U708">
        <f>G708-'DLC Buildup Factors'!M1056</f>
        <v>0</v>
      </c>
      <c r="V708">
        <f>H708-'DLC Buildup Factors'!N1056</f>
        <v>0</v>
      </c>
      <c r="W708">
        <f>I708-'DLC Buildup Factors'!O1056</f>
        <v>0</v>
      </c>
    </row>
    <row r="709" spans="1:23">
      <c r="A709" s="12">
        <v>0.12</v>
      </c>
      <c r="B709">
        <v>1.921</v>
      </c>
      <c r="C709">
        <v>1.623</v>
      </c>
      <c r="D709">
        <v>0.05</v>
      </c>
      <c r="E709">
        <v>29.71</v>
      </c>
      <c r="F709">
        <v>-0.1023</v>
      </c>
      <c r="G709">
        <v>7.4</v>
      </c>
      <c r="H709">
        <v>20</v>
      </c>
      <c r="I709">
        <v>4.41</v>
      </c>
      <c r="K709" t="str">
        <f t="shared" si="86"/>
        <v xml:space="preserve">    - 0.120</v>
      </c>
      <c r="L709" t="str">
        <f t="shared" si="87"/>
        <v xml:space="preserve">    - [1.921, 1.623, 0.050, 29.71, -0.1023]</v>
      </c>
      <c r="O709">
        <f>A709-'DLC Buildup Factors'!G1057</f>
        <v>0</v>
      </c>
      <c r="P709">
        <f>B709-'DLC Buildup Factors'!H1057</f>
        <v>0</v>
      </c>
      <c r="Q709">
        <f>C709-'DLC Buildup Factors'!I1057</f>
        <v>0</v>
      </c>
      <c r="R709">
        <f>D709-'DLC Buildup Factors'!J1057</f>
        <v>0</v>
      </c>
      <c r="S709">
        <f>E709-'DLC Buildup Factors'!K1057</f>
        <v>0</v>
      </c>
      <c r="T709">
        <f>F709-'DLC Buildup Factors'!L1057</f>
        <v>0</v>
      </c>
      <c r="U709">
        <f>G709-'DLC Buildup Factors'!M1057</f>
        <v>0</v>
      </c>
      <c r="V709">
        <f>H709-'DLC Buildup Factors'!N1057</f>
        <v>0</v>
      </c>
      <c r="W709">
        <f>I709-'DLC Buildup Factors'!O1057</f>
        <v>0</v>
      </c>
    </row>
    <row r="710" spans="1:23">
      <c r="A710" s="12">
        <v>0.13</v>
      </c>
      <c r="B710">
        <v>1.917</v>
      </c>
      <c r="C710">
        <v>1.3180000000000001</v>
      </c>
      <c r="D710">
        <v>9.2999999999999999E-2</v>
      </c>
      <c r="E710">
        <v>15.12</v>
      </c>
      <c r="F710">
        <v>-7.1099999999999997E-2</v>
      </c>
      <c r="G710">
        <v>9.6999999999999993</v>
      </c>
      <c r="H710">
        <v>3</v>
      </c>
      <c r="I710">
        <v>4.3499999999999996</v>
      </c>
      <c r="K710" t="str">
        <f t="shared" si="86"/>
        <v xml:space="preserve">    - 0.130</v>
      </c>
      <c r="L710" t="str">
        <f t="shared" si="87"/>
        <v xml:space="preserve">    - [1.917, 1.318, 0.093, 15.12, -0.0711]</v>
      </c>
      <c r="O710">
        <f>A710-'DLC Buildup Factors'!G1058</f>
        <v>0</v>
      </c>
      <c r="P710">
        <f>B710-'DLC Buildup Factors'!H1058</f>
        <v>0</v>
      </c>
      <c r="Q710">
        <f>C710-'DLC Buildup Factors'!I1058</f>
        <v>0</v>
      </c>
      <c r="R710">
        <f>D710-'DLC Buildup Factors'!J1058</f>
        <v>0</v>
      </c>
      <c r="S710">
        <f>E710-'DLC Buildup Factors'!K1058</f>
        <v>0</v>
      </c>
      <c r="T710">
        <f>F710-'DLC Buildup Factors'!L1058</f>
        <v>0</v>
      </c>
      <c r="U710">
        <f>G710-'DLC Buildup Factors'!M1058</f>
        <v>0</v>
      </c>
      <c r="V710">
        <f>H710-'DLC Buildup Factors'!N1058</f>
        <v>0</v>
      </c>
      <c r="W710">
        <f>I710-'DLC Buildup Factors'!O1058</f>
        <v>0</v>
      </c>
    </row>
    <row r="711" spans="1:23">
      <c r="A711" s="12">
        <v>0.14000000000000001</v>
      </c>
      <c r="B711">
        <v>1.734</v>
      </c>
      <c r="C711">
        <v>1.1839999999999999</v>
      </c>
      <c r="D711">
        <v>0.10299999999999999</v>
      </c>
      <c r="E711">
        <v>16.309999999999999</v>
      </c>
      <c r="F711">
        <v>-8.14E-2</v>
      </c>
      <c r="G711">
        <v>5.7</v>
      </c>
      <c r="H711">
        <v>4</v>
      </c>
      <c r="I711">
        <v>2.79</v>
      </c>
      <c r="K711" t="str">
        <f t="shared" si="86"/>
        <v xml:space="preserve">    - 0.140</v>
      </c>
      <c r="L711" t="str">
        <f t="shared" si="87"/>
        <v xml:space="preserve">    - [1.734, 1.184, 0.103, 16.31, -0.0814]</v>
      </c>
      <c r="O711">
        <f>A711-'DLC Buildup Factors'!G1059</f>
        <v>0</v>
      </c>
      <c r="P711">
        <f>B711-'DLC Buildup Factors'!H1059</f>
        <v>0</v>
      </c>
      <c r="Q711">
        <f>C711-'DLC Buildup Factors'!I1059</f>
        <v>0</v>
      </c>
      <c r="R711">
        <f>D711-'DLC Buildup Factors'!J1059</f>
        <v>0</v>
      </c>
      <c r="S711">
        <f>E711-'DLC Buildup Factors'!K1059</f>
        <v>0</v>
      </c>
      <c r="T711">
        <f>F711-'DLC Buildup Factors'!L1059</f>
        <v>0</v>
      </c>
      <c r="U711">
        <f>G711-'DLC Buildup Factors'!M1059</f>
        <v>0</v>
      </c>
      <c r="V711">
        <f>H711-'DLC Buildup Factors'!N1059</f>
        <v>0</v>
      </c>
      <c r="W711">
        <f>I711-'DLC Buildup Factors'!O1059</f>
        <v>0</v>
      </c>
    </row>
    <row r="712" spans="1:23">
      <c r="A712" s="12">
        <v>0.15</v>
      </c>
      <c r="B712">
        <v>1.5980000000000001</v>
      </c>
      <c r="C712">
        <v>1.03</v>
      </c>
      <c r="D712">
        <v>0.122</v>
      </c>
      <c r="E712">
        <v>16.02</v>
      </c>
      <c r="F712">
        <v>-9.9599999999999994E-2</v>
      </c>
      <c r="G712">
        <v>4</v>
      </c>
      <c r="H712">
        <v>1</v>
      </c>
      <c r="I712">
        <v>2</v>
      </c>
      <c r="K712" t="str">
        <f t="shared" si="86"/>
        <v xml:space="preserve">    - 0.150</v>
      </c>
      <c r="L712" t="str">
        <f t="shared" si="87"/>
        <v xml:space="preserve">    - [1.598, 1.030, 0.122, 16.02, -0.0996]</v>
      </c>
      <c r="O712">
        <f>A712-'DLC Buildup Factors'!G1060</f>
        <v>0</v>
      </c>
      <c r="P712">
        <f>B712-'DLC Buildup Factors'!H1060</f>
        <v>0</v>
      </c>
      <c r="Q712">
        <f>C712-'DLC Buildup Factors'!I1060</f>
        <v>0</v>
      </c>
      <c r="R712">
        <f>D712-'DLC Buildup Factors'!J1060</f>
        <v>0</v>
      </c>
      <c r="S712">
        <f>E712-'DLC Buildup Factors'!K1060</f>
        <v>0</v>
      </c>
      <c r="T712">
        <f>F712-'DLC Buildup Factors'!L1060</f>
        <v>0</v>
      </c>
      <c r="U712">
        <f>G712-'DLC Buildup Factors'!M1060</f>
        <v>0</v>
      </c>
      <c r="V712">
        <f>H712-'DLC Buildup Factors'!N1060</f>
        <v>0</v>
      </c>
      <c r="W712">
        <f>I712-'DLC Buildup Factors'!O1060</f>
        <v>0</v>
      </c>
    </row>
    <row r="713" spans="1:23">
      <c r="A713" s="12">
        <v>0.16</v>
      </c>
      <c r="B713">
        <v>1.5289999999999999</v>
      </c>
      <c r="C713">
        <v>0.82599999999999996</v>
      </c>
      <c r="D713">
        <v>0.16400000000000001</v>
      </c>
      <c r="E713">
        <v>15.64</v>
      </c>
      <c r="F713">
        <v>-0.14080000000000001</v>
      </c>
      <c r="G713">
        <v>2.9</v>
      </c>
      <c r="H713">
        <v>1</v>
      </c>
      <c r="I713">
        <v>1.68</v>
      </c>
      <c r="K713" t="str">
        <f t="shared" si="86"/>
        <v xml:space="preserve">    - 0.160</v>
      </c>
      <c r="L713" t="str">
        <f t="shared" si="87"/>
        <v xml:space="preserve">    - [1.529, 0.826, 0.164, 15.64, -0.1408]</v>
      </c>
      <c r="O713">
        <f>A713-'DLC Buildup Factors'!G1061</f>
        <v>0</v>
      </c>
      <c r="P713">
        <f>B713-'DLC Buildup Factors'!H1061</f>
        <v>0</v>
      </c>
      <c r="Q713">
        <f>C713-'DLC Buildup Factors'!I1061</f>
        <v>0</v>
      </c>
      <c r="R713">
        <f>D713-'DLC Buildup Factors'!J1061</f>
        <v>0</v>
      </c>
      <c r="S713">
        <f>E713-'DLC Buildup Factors'!K1061</f>
        <v>0</v>
      </c>
      <c r="T713">
        <f>F713-'DLC Buildup Factors'!L1061</f>
        <v>0</v>
      </c>
      <c r="U713">
        <f>G713-'DLC Buildup Factors'!M1061</f>
        <v>0</v>
      </c>
      <c r="V713">
        <f>H713-'DLC Buildup Factors'!N1061</f>
        <v>0</v>
      </c>
      <c r="W713">
        <f>I713-'DLC Buildup Factors'!O1061</f>
        <v>0</v>
      </c>
    </row>
    <row r="714" spans="1:23">
      <c r="A714" s="12">
        <v>0.17</v>
      </c>
      <c r="B714">
        <v>1.4610000000000001</v>
      </c>
      <c r="C714">
        <v>0.64900000000000002</v>
      </c>
      <c r="D714">
        <v>0.20899999999999999</v>
      </c>
      <c r="E714">
        <v>15.75</v>
      </c>
      <c r="F714">
        <v>-0.1759</v>
      </c>
      <c r="G714">
        <v>2.2999999999999998</v>
      </c>
      <c r="H714">
        <v>35</v>
      </c>
      <c r="I714">
        <v>1.54</v>
      </c>
      <c r="K714" t="str">
        <f t="shared" si="86"/>
        <v xml:space="preserve">    - 0.170</v>
      </c>
      <c r="L714" t="str">
        <f t="shared" si="87"/>
        <v xml:space="preserve">    - [1.461, 0.649, 0.209, 15.75, -0.1759]</v>
      </c>
      <c r="O714">
        <f>A714-'DLC Buildup Factors'!G1062</f>
        <v>0</v>
      </c>
      <c r="P714">
        <f>B714-'DLC Buildup Factors'!H1062</f>
        <v>0</v>
      </c>
      <c r="Q714">
        <f>C714-'DLC Buildup Factors'!I1062</f>
        <v>0</v>
      </c>
      <c r="R714">
        <f>D714-'DLC Buildup Factors'!J1062</f>
        <v>0</v>
      </c>
      <c r="S714">
        <f>E714-'DLC Buildup Factors'!K1062</f>
        <v>0</v>
      </c>
      <c r="T714">
        <f>F714-'DLC Buildup Factors'!L1062</f>
        <v>0</v>
      </c>
      <c r="U714">
        <f>G714-'DLC Buildup Factors'!M1062</f>
        <v>0</v>
      </c>
      <c r="V714">
        <f>H714-'DLC Buildup Factors'!N1062</f>
        <v>0</v>
      </c>
      <c r="W714">
        <f>I714-'DLC Buildup Factors'!O1062</f>
        <v>0</v>
      </c>
    </row>
    <row r="715" spans="1:23">
      <c r="A715" s="12">
        <v>0.18</v>
      </c>
      <c r="B715">
        <v>1.423</v>
      </c>
      <c r="C715">
        <v>0.47</v>
      </c>
      <c r="D715">
        <v>0.26900000000000002</v>
      </c>
      <c r="E715">
        <v>16.82</v>
      </c>
      <c r="F715">
        <v>-0.20039999999999999</v>
      </c>
      <c r="G715">
        <v>1.4</v>
      </c>
      <c r="H715">
        <v>35</v>
      </c>
      <c r="I715">
        <v>0.85</v>
      </c>
      <c r="K715" t="str">
        <f t="shared" si="86"/>
        <v xml:space="preserve">    - 0.180</v>
      </c>
      <c r="L715" t="str">
        <f t="shared" si="87"/>
        <v xml:space="preserve">    - [1.423, 0.470, 0.269, 16.82, -0.2004]</v>
      </c>
      <c r="O715">
        <f>A715-'DLC Buildup Factors'!G1063</f>
        <v>0</v>
      </c>
      <c r="P715">
        <f>B715-'DLC Buildup Factors'!H1063</f>
        <v>0</v>
      </c>
      <c r="Q715">
        <f>C715-'DLC Buildup Factors'!I1063</f>
        <v>0</v>
      </c>
      <c r="R715">
        <f>D715-'DLC Buildup Factors'!J1063</f>
        <v>0</v>
      </c>
      <c r="S715">
        <f>E715-'DLC Buildup Factors'!K1063</f>
        <v>0</v>
      </c>
      <c r="T715">
        <f>F715-'DLC Buildup Factors'!L1063</f>
        <v>0</v>
      </c>
      <c r="U715">
        <f>G715-'DLC Buildup Factors'!M1063</f>
        <v>0</v>
      </c>
      <c r="V715">
        <f>H715-'DLC Buildup Factors'!N1063</f>
        <v>0</v>
      </c>
      <c r="W715">
        <f>I715-'DLC Buildup Factors'!O1063</f>
        <v>0</v>
      </c>
    </row>
    <row r="716" spans="1:23">
      <c r="A716" s="12">
        <v>0.19</v>
      </c>
      <c r="B716">
        <v>1.377</v>
      </c>
      <c r="C716">
        <v>0.374</v>
      </c>
      <c r="D716">
        <v>0.26700000000000002</v>
      </c>
      <c r="E716">
        <v>18.149999999999999</v>
      </c>
      <c r="F716">
        <v>-6.3899999999999998E-2</v>
      </c>
      <c r="G716">
        <v>1.1000000000000001</v>
      </c>
      <c r="H716">
        <v>0.5</v>
      </c>
      <c r="I716">
        <v>0.52</v>
      </c>
      <c r="K716" t="str">
        <f t="shared" si="86"/>
        <v xml:space="preserve">    - 0.190</v>
      </c>
      <c r="L716" t="str">
        <f t="shared" si="87"/>
        <v xml:space="preserve">    - [1.377, 0.374, 0.267, 18.15, -0.0639]</v>
      </c>
      <c r="O716">
        <f>A716-'DLC Buildup Factors'!G1064</f>
        <v>0</v>
      </c>
      <c r="P716">
        <f>B716-'DLC Buildup Factors'!H1064</f>
        <v>0</v>
      </c>
      <c r="Q716">
        <f>C716-'DLC Buildup Factors'!I1064</f>
        <v>0</v>
      </c>
      <c r="R716">
        <f>D716-'DLC Buildup Factors'!J1064</f>
        <v>0</v>
      </c>
      <c r="S716">
        <f>E716-'DLC Buildup Factors'!K1064</f>
        <v>0</v>
      </c>
      <c r="T716">
        <f>F716-'DLC Buildup Factors'!L1064</f>
        <v>0</v>
      </c>
      <c r="U716">
        <f>G716-'DLC Buildup Factors'!M1064</f>
        <v>0</v>
      </c>
      <c r="V716">
        <f>H716-'DLC Buildup Factors'!N1064</f>
        <v>0</v>
      </c>
      <c r="W716">
        <f>I716-'DLC Buildup Factors'!O1064</f>
        <v>0</v>
      </c>
    </row>
    <row r="717" spans="1:23">
      <c r="A717" s="12">
        <v>0.2</v>
      </c>
      <c r="B717">
        <v>1.3240000000000001</v>
      </c>
      <c r="C717">
        <v>0.36599999999999999</v>
      </c>
      <c r="D717">
        <v>0.16700000000000001</v>
      </c>
      <c r="E717">
        <v>13.28</v>
      </c>
      <c r="F717">
        <v>-6.5500000000000003E-2</v>
      </c>
      <c r="G717">
        <v>0.2</v>
      </c>
      <c r="H717">
        <v>3</v>
      </c>
      <c r="I717">
        <v>0.11</v>
      </c>
      <c r="K717" t="str">
        <f t="shared" si="86"/>
        <v xml:space="preserve">    - 0.200</v>
      </c>
      <c r="L717" t="str">
        <f t="shared" si="87"/>
        <v xml:space="preserve">    - [1.324, 0.366, 0.167, 13.28, -0.0655]</v>
      </c>
      <c r="O717">
        <f>A717-'DLC Buildup Factors'!G1065</f>
        <v>0</v>
      </c>
      <c r="P717">
        <f>B717-'DLC Buildup Factors'!H1065</f>
        <v>0</v>
      </c>
      <c r="Q717">
        <f>C717-'DLC Buildup Factors'!I1065</f>
        <v>0</v>
      </c>
      <c r="R717">
        <f>D717-'DLC Buildup Factors'!J1065</f>
        <v>0</v>
      </c>
      <c r="S717">
        <f>E717-'DLC Buildup Factors'!K1065</f>
        <v>0</v>
      </c>
      <c r="T717">
        <f>F717-'DLC Buildup Factors'!L1065</f>
        <v>0</v>
      </c>
      <c r="U717">
        <f>G717-'DLC Buildup Factors'!M1065</f>
        <v>0</v>
      </c>
      <c r="V717">
        <f>H717-'DLC Buildup Factors'!N1065</f>
        <v>0</v>
      </c>
      <c r="W717">
        <f>I717-'DLC Buildup Factors'!O1065</f>
        <v>0</v>
      </c>
    </row>
    <row r="718" spans="1:23">
      <c r="A718" s="12">
        <v>0.25</v>
      </c>
      <c r="B718">
        <v>1.206</v>
      </c>
      <c r="C718">
        <v>0.191</v>
      </c>
      <c r="D718">
        <v>0.378</v>
      </c>
      <c r="E718">
        <v>14.46</v>
      </c>
      <c r="F718">
        <v>-0.16389999999999999</v>
      </c>
      <c r="G718">
        <v>0.3</v>
      </c>
      <c r="H718">
        <v>35</v>
      </c>
      <c r="I718">
        <v>0.17</v>
      </c>
      <c r="K718" t="str">
        <f t="shared" si="86"/>
        <v xml:space="preserve">    - 0.250</v>
      </c>
      <c r="L718" t="str">
        <f t="shared" si="87"/>
        <v xml:space="preserve">    - [1.206, 0.191, 0.378, 14.46, -0.1639]</v>
      </c>
      <c r="O718">
        <f>A718-'DLC Buildup Factors'!G1066</f>
        <v>0</v>
      </c>
      <c r="P718">
        <f>B718-'DLC Buildup Factors'!H1066</f>
        <v>0</v>
      </c>
      <c r="Q718">
        <f>C718-'DLC Buildup Factors'!I1066</f>
        <v>0</v>
      </c>
      <c r="R718">
        <f>D718-'DLC Buildup Factors'!J1066</f>
        <v>0</v>
      </c>
      <c r="S718">
        <f>E718-'DLC Buildup Factors'!K1066</f>
        <v>0</v>
      </c>
      <c r="T718">
        <f>F718-'DLC Buildup Factors'!L1066</f>
        <v>0</v>
      </c>
      <c r="U718">
        <f>G718-'DLC Buildup Factors'!M1066</f>
        <v>0</v>
      </c>
      <c r="V718">
        <f>H718-'DLC Buildup Factors'!N1066</f>
        <v>0</v>
      </c>
      <c r="W718">
        <f>I718-'DLC Buildup Factors'!O1066</f>
        <v>0</v>
      </c>
    </row>
    <row r="719" spans="1:23">
      <c r="A719" s="12">
        <v>0.3</v>
      </c>
      <c r="B719">
        <v>1.1599999999999999</v>
      </c>
      <c r="C719">
        <v>0.28399999999999997</v>
      </c>
      <c r="D719">
        <v>0.30399999999999999</v>
      </c>
      <c r="E719">
        <v>13.28</v>
      </c>
      <c r="F719">
        <v>-0.1643</v>
      </c>
      <c r="G719">
        <v>0.8</v>
      </c>
      <c r="H719">
        <v>0.5</v>
      </c>
      <c r="I719">
        <v>0.42</v>
      </c>
      <c r="K719" t="str">
        <f t="shared" si="86"/>
        <v xml:space="preserve">    - 0.300</v>
      </c>
      <c r="L719" t="str">
        <f t="shared" si="87"/>
        <v xml:space="preserve">    - [1.160, 0.284, 0.304, 13.28, -0.1643]</v>
      </c>
      <c r="O719">
        <f>A719-'DLC Buildup Factors'!G1067</f>
        <v>0</v>
      </c>
      <c r="P719">
        <f>B719-'DLC Buildup Factors'!H1067</f>
        <v>0</v>
      </c>
      <c r="Q719">
        <f>C719-'DLC Buildup Factors'!I1067</f>
        <v>0</v>
      </c>
      <c r="R719">
        <f>D719-'DLC Buildup Factors'!J1067</f>
        <v>0</v>
      </c>
      <c r="S719">
        <f>E719-'DLC Buildup Factors'!K1067</f>
        <v>0</v>
      </c>
      <c r="T719">
        <f>F719-'DLC Buildup Factors'!L1067</f>
        <v>0</v>
      </c>
      <c r="U719">
        <f>G719-'DLC Buildup Factors'!M1067</f>
        <v>0</v>
      </c>
      <c r="V719">
        <f>H719-'DLC Buildup Factors'!N1067</f>
        <v>0</v>
      </c>
      <c r="W719">
        <f>I719-'DLC Buildup Factors'!O1067</f>
        <v>0</v>
      </c>
    </row>
    <row r="720" spans="1:23">
      <c r="A720" s="12">
        <v>0.4</v>
      </c>
      <c r="B720">
        <v>1.157</v>
      </c>
      <c r="C720">
        <v>0.49</v>
      </c>
      <c r="D720">
        <v>0.17100000000000001</v>
      </c>
      <c r="E720">
        <v>13.96</v>
      </c>
      <c r="F720">
        <v>-9.11E-2</v>
      </c>
      <c r="G720">
        <v>0.9</v>
      </c>
      <c r="H720">
        <v>0.5</v>
      </c>
      <c r="I720">
        <v>0.42</v>
      </c>
      <c r="K720" t="str">
        <f t="shared" si="86"/>
        <v xml:space="preserve">    - 0.400</v>
      </c>
      <c r="L720" t="str">
        <f t="shared" si="87"/>
        <v xml:space="preserve">    - [1.157, 0.490, 0.171, 13.96, -0.0911]</v>
      </c>
      <c r="O720">
        <f>A720-'DLC Buildup Factors'!G1068</f>
        <v>0</v>
      </c>
      <c r="P720">
        <f>B720-'DLC Buildup Factors'!H1068</f>
        <v>0</v>
      </c>
      <c r="Q720">
        <f>C720-'DLC Buildup Factors'!I1068</f>
        <v>0</v>
      </c>
      <c r="R720">
        <f>D720-'DLC Buildup Factors'!J1068</f>
        <v>0</v>
      </c>
      <c r="S720">
        <f>E720-'DLC Buildup Factors'!K1068</f>
        <v>0</v>
      </c>
      <c r="T720">
        <f>F720-'DLC Buildup Factors'!L1068</f>
        <v>0</v>
      </c>
      <c r="U720">
        <f>G720-'DLC Buildup Factors'!M1068</f>
        <v>0</v>
      </c>
      <c r="V720">
        <f>H720-'DLC Buildup Factors'!N1068</f>
        <v>0</v>
      </c>
      <c r="W720">
        <f>I720-'DLC Buildup Factors'!O1068</f>
        <v>0</v>
      </c>
    </row>
    <row r="721" spans="1:23">
      <c r="A721" s="12">
        <v>0.5</v>
      </c>
      <c r="B721">
        <v>1.1850000000000001</v>
      </c>
      <c r="C721">
        <v>0.57699999999999996</v>
      </c>
      <c r="D721">
        <v>0.13100000000000001</v>
      </c>
      <c r="E721">
        <v>14.05</v>
      </c>
      <c r="F721">
        <v>-6.8199999999999997E-2</v>
      </c>
      <c r="G721">
        <v>0.7</v>
      </c>
      <c r="H721">
        <v>0.5</v>
      </c>
      <c r="I721">
        <v>0.39</v>
      </c>
      <c r="K721" t="str">
        <f t="shared" si="86"/>
        <v xml:space="preserve">    - 0.500</v>
      </c>
      <c r="L721" t="str">
        <f t="shared" si="87"/>
        <v xml:space="preserve">    - [1.185, 0.577, 0.131, 14.05, -0.0682]</v>
      </c>
      <c r="O721">
        <f>A721-'DLC Buildup Factors'!G1069</f>
        <v>0</v>
      </c>
      <c r="P721">
        <f>B721-'DLC Buildup Factors'!H1069</f>
        <v>0</v>
      </c>
      <c r="Q721">
        <f>C721-'DLC Buildup Factors'!I1069</f>
        <v>0</v>
      </c>
      <c r="R721">
        <f>D721-'DLC Buildup Factors'!J1069</f>
        <v>0</v>
      </c>
      <c r="S721">
        <f>E721-'DLC Buildup Factors'!K1069</f>
        <v>0</v>
      </c>
      <c r="T721">
        <f>F721-'DLC Buildup Factors'!L1069</f>
        <v>0</v>
      </c>
      <c r="U721">
        <f>G721-'DLC Buildup Factors'!M1069</f>
        <v>0</v>
      </c>
      <c r="V721">
        <f>H721-'DLC Buildup Factors'!N1069</f>
        <v>0</v>
      </c>
      <c r="W721">
        <f>I721-'DLC Buildup Factors'!O1069</f>
        <v>0</v>
      </c>
    </row>
    <row r="722" spans="1:23">
      <c r="A722" s="12">
        <v>0.6</v>
      </c>
      <c r="B722">
        <v>1.2070000000000001</v>
      </c>
      <c r="C722">
        <v>0.64300000000000002</v>
      </c>
      <c r="D722">
        <v>0.10100000000000001</v>
      </c>
      <c r="E722">
        <v>13.8</v>
      </c>
      <c r="F722">
        <v>-4.7300000000000002E-2</v>
      </c>
      <c r="G722">
        <v>0.6</v>
      </c>
      <c r="H722">
        <v>1</v>
      </c>
      <c r="I722">
        <v>0.33</v>
      </c>
      <c r="K722" t="str">
        <f t="shared" si="86"/>
        <v xml:space="preserve">    - 0.600</v>
      </c>
      <c r="L722" t="str">
        <f t="shared" si="87"/>
        <v xml:space="preserve">    - [1.207, 0.643, 0.101, 13.80, -0.0473]</v>
      </c>
      <c r="O722">
        <f>A722-'DLC Buildup Factors'!G1070</f>
        <v>0</v>
      </c>
      <c r="P722">
        <f>B722-'DLC Buildup Factors'!H1070</f>
        <v>0</v>
      </c>
      <c r="Q722">
        <f>C722-'DLC Buildup Factors'!I1070</f>
        <v>0</v>
      </c>
      <c r="R722">
        <f>D722-'DLC Buildup Factors'!J1070</f>
        <v>0</v>
      </c>
      <c r="S722">
        <f>E722-'DLC Buildup Factors'!K1070</f>
        <v>0</v>
      </c>
      <c r="T722">
        <f>F722-'DLC Buildup Factors'!L1070</f>
        <v>0</v>
      </c>
      <c r="U722">
        <f>G722-'DLC Buildup Factors'!M1070</f>
        <v>0</v>
      </c>
      <c r="V722">
        <f>H722-'DLC Buildup Factors'!N1070</f>
        <v>0</v>
      </c>
      <c r="W722">
        <f>I722-'DLC Buildup Factors'!O1070</f>
        <v>0</v>
      </c>
    </row>
    <row r="723" spans="1:23">
      <c r="A723" s="12">
        <v>0.8</v>
      </c>
      <c r="B723">
        <v>1.2609999999999999</v>
      </c>
      <c r="C723">
        <v>0.70499999999999996</v>
      </c>
      <c r="D723">
        <v>0.08</v>
      </c>
      <c r="E723">
        <v>13.89</v>
      </c>
      <c r="F723">
        <v>-3.6200000000000003E-2</v>
      </c>
      <c r="G723">
        <v>0.7</v>
      </c>
      <c r="H723">
        <v>1</v>
      </c>
      <c r="I723">
        <v>0.35</v>
      </c>
      <c r="K723" t="str">
        <f t="shared" si="86"/>
        <v xml:space="preserve">    - 0.800</v>
      </c>
      <c r="L723" t="str">
        <f t="shared" si="87"/>
        <v xml:space="preserve">    - [1.261, 0.705, 0.080, 13.89, -0.0362]</v>
      </c>
      <c r="O723">
        <f>A723-'DLC Buildup Factors'!G1071</f>
        <v>0</v>
      </c>
      <c r="P723">
        <f>B723-'DLC Buildup Factors'!H1071</f>
        <v>0</v>
      </c>
      <c r="Q723">
        <f>C723-'DLC Buildup Factors'!I1071</f>
        <v>0</v>
      </c>
      <c r="R723">
        <f>D723-'DLC Buildup Factors'!J1071</f>
        <v>0</v>
      </c>
      <c r="S723">
        <f>E723-'DLC Buildup Factors'!K1071</f>
        <v>0</v>
      </c>
      <c r="T723">
        <f>F723-'DLC Buildup Factors'!L1071</f>
        <v>0</v>
      </c>
      <c r="U723">
        <f>G723-'DLC Buildup Factors'!M1071</f>
        <v>0</v>
      </c>
      <c r="V723">
        <f>H723-'DLC Buildup Factors'!N1071</f>
        <v>0</v>
      </c>
      <c r="W723">
        <f>I723-'DLC Buildup Factors'!O1071</f>
        <v>0</v>
      </c>
    </row>
    <row r="724" spans="1:23">
      <c r="A724" s="12">
        <v>1</v>
      </c>
      <c r="B724">
        <v>1.298</v>
      </c>
      <c r="C724">
        <v>0.754</v>
      </c>
      <c r="D724">
        <v>6.6000000000000003E-2</v>
      </c>
      <c r="E724">
        <v>13.69</v>
      </c>
      <c r="F724">
        <v>-3.2500000000000001E-2</v>
      </c>
      <c r="G724">
        <v>0.7</v>
      </c>
      <c r="H724">
        <v>1</v>
      </c>
      <c r="I724">
        <v>0.4</v>
      </c>
      <c r="K724" t="str">
        <f t="shared" si="86"/>
        <v xml:space="preserve">    - 1.000</v>
      </c>
      <c r="L724" t="str">
        <f t="shared" si="87"/>
        <v xml:space="preserve">    - [1.298, 0.754, 0.066, 13.69, -0.0325]</v>
      </c>
      <c r="O724">
        <f>A724-'DLC Buildup Factors'!G1072</f>
        <v>0</v>
      </c>
      <c r="P724">
        <f>B724-'DLC Buildup Factors'!H1072</f>
        <v>0</v>
      </c>
      <c r="Q724">
        <f>C724-'DLC Buildup Factors'!I1072</f>
        <v>0</v>
      </c>
      <c r="R724">
        <f>D724-'DLC Buildup Factors'!J1072</f>
        <v>0</v>
      </c>
      <c r="S724">
        <f>E724-'DLC Buildup Factors'!K1072</f>
        <v>0</v>
      </c>
      <c r="T724">
        <f>F724-'DLC Buildup Factors'!L1072</f>
        <v>0</v>
      </c>
      <c r="U724">
        <f>G724-'DLC Buildup Factors'!M1072</f>
        <v>0</v>
      </c>
      <c r="V724">
        <f>H724-'DLC Buildup Factors'!N1072</f>
        <v>0</v>
      </c>
      <c r="W724">
        <f>I724-'DLC Buildup Factors'!O1072</f>
        <v>0</v>
      </c>
    </row>
    <row r="725" spans="1:23">
      <c r="A725" s="12">
        <v>1.5</v>
      </c>
      <c r="B725">
        <v>1.32</v>
      </c>
      <c r="C725">
        <v>0.873</v>
      </c>
      <c r="D725">
        <v>3.7999999999999999E-2</v>
      </c>
      <c r="E725">
        <v>14.78</v>
      </c>
      <c r="F725">
        <v>-2.8199999999999999E-2</v>
      </c>
      <c r="G725">
        <v>0.6</v>
      </c>
      <c r="H725">
        <v>10</v>
      </c>
      <c r="I725">
        <v>0.35</v>
      </c>
      <c r="K725" t="str">
        <f t="shared" si="86"/>
        <v xml:space="preserve">    - 1.500</v>
      </c>
      <c r="L725" t="str">
        <f t="shared" si="87"/>
        <v xml:space="preserve">    - [1.320, 0.873, 0.038, 14.78, -0.0282]</v>
      </c>
      <c r="O725">
        <f>A725-'DLC Buildup Factors'!G1073</f>
        <v>0</v>
      </c>
      <c r="P725">
        <f>B725-'DLC Buildup Factors'!H1073</f>
        <v>0</v>
      </c>
      <c r="Q725">
        <f>C725-'DLC Buildup Factors'!I1073</f>
        <v>0</v>
      </c>
      <c r="R725">
        <f>D725-'DLC Buildup Factors'!J1073</f>
        <v>0</v>
      </c>
      <c r="S725">
        <f>E725-'DLC Buildup Factors'!K1073</f>
        <v>0</v>
      </c>
      <c r="T725">
        <f>F725-'DLC Buildup Factors'!L1073</f>
        <v>0</v>
      </c>
      <c r="U725">
        <f>G725-'DLC Buildup Factors'!M1073</f>
        <v>0</v>
      </c>
      <c r="V725">
        <f>H725-'DLC Buildup Factors'!N1073</f>
        <v>0</v>
      </c>
      <c r="W725">
        <f>I725-'DLC Buildup Factors'!O1073</f>
        <v>0</v>
      </c>
    </row>
    <row r="726" spans="1:23">
      <c r="A726" s="12">
        <v>2</v>
      </c>
      <c r="B726">
        <v>1.3380000000000001</v>
      </c>
      <c r="C726">
        <v>0.92300000000000004</v>
      </c>
      <c r="D726">
        <v>2.8000000000000001E-2</v>
      </c>
      <c r="E726">
        <v>13.56</v>
      </c>
      <c r="F726">
        <v>-2.7400000000000001E-2</v>
      </c>
      <c r="G726">
        <v>1.6</v>
      </c>
      <c r="H726">
        <v>0.5</v>
      </c>
      <c r="I726">
        <v>0.69</v>
      </c>
      <c r="K726" t="str">
        <f t="shared" si="86"/>
        <v xml:space="preserve">    - 2.000</v>
      </c>
      <c r="L726" t="str">
        <f t="shared" si="87"/>
        <v xml:space="preserve">    - [1.338, 0.923, 0.028, 13.56, -0.0274]</v>
      </c>
      <c r="O726">
        <f>A726-'DLC Buildup Factors'!G1074</f>
        <v>0</v>
      </c>
      <c r="P726">
        <f>B726-'DLC Buildup Factors'!H1074</f>
        <v>0</v>
      </c>
      <c r="Q726">
        <f>C726-'DLC Buildup Factors'!I1074</f>
        <v>0</v>
      </c>
      <c r="R726">
        <f>D726-'DLC Buildup Factors'!J1074</f>
        <v>0</v>
      </c>
      <c r="S726">
        <f>E726-'DLC Buildup Factors'!K1074</f>
        <v>0</v>
      </c>
      <c r="T726">
        <f>F726-'DLC Buildup Factors'!L1074</f>
        <v>0</v>
      </c>
      <c r="U726">
        <f>G726-'DLC Buildup Factors'!M1074</f>
        <v>0</v>
      </c>
      <c r="V726">
        <f>H726-'DLC Buildup Factors'!N1074</f>
        <v>0</v>
      </c>
      <c r="W726">
        <f>I726-'DLC Buildup Factors'!O1074</f>
        <v>0</v>
      </c>
    </row>
    <row r="727" spans="1:23">
      <c r="A727" s="12">
        <v>3</v>
      </c>
      <c r="B727">
        <v>1.3260000000000001</v>
      </c>
      <c r="C727">
        <v>0.96799999999999997</v>
      </c>
      <c r="D727">
        <v>2.4E-2</v>
      </c>
      <c r="E727">
        <v>13.45</v>
      </c>
      <c r="F727">
        <v>-3.7199999999999997E-2</v>
      </c>
      <c r="G727">
        <v>3.2</v>
      </c>
      <c r="H727">
        <v>0.5</v>
      </c>
      <c r="I727">
        <v>1.17</v>
      </c>
      <c r="K727" t="str">
        <f t="shared" si="86"/>
        <v xml:space="preserve">    - 3.000</v>
      </c>
      <c r="L727" t="str">
        <f t="shared" si="87"/>
        <v xml:space="preserve">    - [1.326, 0.968, 0.024, 13.45, -0.0372]</v>
      </c>
      <c r="O727">
        <f>A727-'DLC Buildup Factors'!G1075</f>
        <v>0</v>
      </c>
      <c r="P727">
        <f>B727-'DLC Buildup Factors'!H1075</f>
        <v>0</v>
      </c>
      <c r="Q727">
        <f>C727-'DLC Buildup Factors'!I1075</f>
        <v>0</v>
      </c>
      <c r="R727">
        <f>D727-'DLC Buildup Factors'!J1075</f>
        <v>0</v>
      </c>
      <c r="S727">
        <f>E727-'DLC Buildup Factors'!K1075</f>
        <v>0</v>
      </c>
      <c r="T727">
        <f>F727-'DLC Buildup Factors'!L1075</f>
        <v>0</v>
      </c>
      <c r="U727">
        <f>G727-'DLC Buildup Factors'!M1075</f>
        <v>0</v>
      </c>
      <c r="V727">
        <f>H727-'DLC Buildup Factors'!N1075</f>
        <v>0</v>
      </c>
      <c r="W727">
        <f>I727-'DLC Buildup Factors'!O1075</f>
        <v>0</v>
      </c>
    </row>
    <row r="728" spans="1:23">
      <c r="A728" s="12">
        <v>4</v>
      </c>
      <c r="B728">
        <v>1.2989999999999999</v>
      </c>
      <c r="C728">
        <v>0.98399999999999999</v>
      </c>
      <c r="D728">
        <v>2.7E-2</v>
      </c>
      <c r="E728">
        <v>13.84</v>
      </c>
      <c r="F728">
        <v>-4.1799999999999997E-2</v>
      </c>
      <c r="G728">
        <v>3.5</v>
      </c>
      <c r="H728">
        <v>0.5</v>
      </c>
      <c r="I728">
        <v>1.28</v>
      </c>
      <c r="K728" t="str">
        <f t="shared" si="86"/>
        <v xml:space="preserve">    - 4.000</v>
      </c>
      <c r="L728" t="str">
        <f t="shared" si="87"/>
        <v xml:space="preserve">    - [1.299, 0.984, 0.027, 13.84, -0.0418]</v>
      </c>
      <c r="O728">
        <f>A728-'DLC Buildup Factors'!G1076</f>
        <v>0</v>
      </c>
      <c r="P728">
        <f>B728-'DLC Buildup Factors'!H1076</f>
        <v>0</v>
      </c>
      <c r="Q728">
        <f>C728-'DLC Buildup Factors'!I1076</f>
        <v>0</v>
      </c>
      <c r="R728">
        <f>D728-'DLC Buildup Factors'!J1076</f>
        <v>0</v>
      </c>
      <c r="S728">
        <f>E728-'DLC Buildup Factors'!K1076</f>
        <v>0</v>
      </c>
      <c r="T728">
        <f>F728-'DLC Buildup Factors'!L1076</f>
        <v>0</v>
      </c>
      <c r="U728">
        <f>G728-'DLC Buildup Factors'!M1076</f>
        <v>0</v>
      </c>
      <c r="V728">
        <f>H728-'DLC Buildup Factors'!N1076</f>
        <v>0</v>
      </c>
      <c r="W728">
        <f>I728-'DLC Buildup Factors'!O1076</f>
        <v>0</v>
      </c>
    </row>
    <row r="729" spans="1:23">
      <c r="A729" s="12">
        <v>5</v>
      </c>
      <c r="B729">
        <v>1.327</v>
      </c>
      <c r="C729">
        <v>0.93200000000000005</v>
      </c>
      <c r="D729">
        <v>5.1999999999999998E-2</v>
      </c>
      <c r="E729">
        <v>14.08</v>
      </c>
      <c r="F729">
        <v>-6.3799999999999996E-2</v>
      </c>
      <c r="G729">
        <v>5.0999999999999996</v>
      </c>
      <c r="H729">
        <v>0.5</v>
      </c>
      <c r="I729">
        <v>1.9</v>
      </c>
      <c r="K729" t="str">
        <f t="shared" si="86"/>
        <v xml:space="preserve">    - 5.000</v>
      </c>
      <c r="L729" t="str">
        <f t="shared" si="87"/>
        <v xml:space="preserve">    - [1.327, 0.932, 0.052, 14.08, -0.0638]</v>
      </c>
      <c r="O729">
        <f>A729-'DLC Buildup Factors'!G1077</f>
        <v>0</v>
      </c>
      <c r="P729">
        <f>B729-'DLC Buildup Factors'!H1077</f>
        <v>0</v>
      </c>
      <c r="Q729">
        <f>C729-'DLC Buildup Factors'!I1077</f>
        <v>0</v>
      </c>
      <c r="R729">
        <f>D729-'DLC Buildup Factors'!J1077</f>
        <v>0</v>
      </c>
      <c r="S729">
        <f>E729-'DLC Buildup Factors'!K1077</f>
        <v>0</v>
      </c>
      <c r="T729">
        <f>F729-'DLC Buildup Factors'!L1077</f>
        <v>0</v>
      </c>
      <c r="U729">
        <f>G729-'DLC Buildup Factors'!M1077</f>
        <v>0</v>
      </c>
      <c r="V729">
        <f>H729-'DLC Buildup Factors'!N1077</f>
        <v>0</v>
      </c>
      <c r="W729">
        <f>I729-'DLC Buildup Factors'!O1077</f>
        <v>0</v>
      </c>
    </row>
    <row r="730" spans="1:23">
      <c r="A730" s="12">
        <v>6</v>
      </c>
      <c r="B730">
        <v>1.339</v>
      </c>
      <c r="C730">
        <v>0.93500000000000005</v>
      </c>
      <c r="D730">
        <v>5.8000000000000003E-2</v>
      </c>
      <c r="E730">
        <v>14.53</v>
      </c>
      <c r="F730">
        <v>-6.7599999999999993E-2</v>
      </c>
      <c r="G730">
        <v>5.0999999999999996</v>
      </c>
      <c r="H730">
        <v>0.5</v>
      </c>
      <c r="I730">
        <v>1.98</v>
      </c>
      <c r="K730" t="str">
        <f t="shared" si="86"/>
        <v xml:space="preserve">    - 6.000</v>
      </c>
      <c r="L730" t="str">
        <f t="shared" si="87"/>
        <v xml:space="preserve">    - [1.339, 0.935, 0.058, 14.53, -0.0676]</v>
      </c>
      <c r="O730">
        <f>A730-'DLC Buildup Factors'!G1078</f>
        <v>0</v>
      </c>
      <c r="P730">
        <f>B730-'DLC Buildup Factors'!H1078</f>
        <v>0</v>
      </c>
      <c r="Q730">
        <f>C730-'DLC Buildup Factors'!I1078</f>
        <v>0</v>
      </c>
      <c r="R730">
        <f>D730-'DLC Buildup Factors'!J1078</f>
        <v>0</v>
      </c>
      <c r="S730">
        <f>E730-'DLC Buildup Factors'!K1078</f>
        <v>0</v>
      </c>
      <c r="T730">
        <f>F730-'DLC Buildup Factors'!L1078</f>
        <v>0</v>
      </c>
      <c r="U730">
        <f>G730-'DLC Buildup Factors'!M1078</f>
        <v>0</v>
      </c>
      <c r="V730">
        <f>H730-'DLC Buildup Factors'!N1078</f>
        <v>0</v>
      </c>
      <c r="W730">
        <f>I730-'DLC Buildup Factors'!O1078</f>
        <v>0</v>
      </c>
    </row>
    <row r="731" spans="1:23">
      <c r="A731" s="12">
        <v>8</v>
      </c>
      <c r="B731">
        <v>1.4219999999999999</v>
      </c>
      <c r="C731">
        <v>0.97299999999999998</v>
      </c>
      <c r="D731">
        <v>6.3E-2</v>
      </c>
      <c r="E731">
        <v>14.26</v>
      </c>
      <c r="F731">
        <v>-7.6100000000000001E-2</v>
      </c>
      <c r="G731">
        <v>5.3</v>
      </c>
      <c r="H731">
        <v>0.5</v>
      </c>
      <c r="I731">
        <v>2.19</v>
      </c>
      <c r="K731" t="str">
        <f t="shared" si="86"/>
        <v xml:space="preserve">    - 8.000</v>
      </c>
      <c r="L731" t="str">
        <f t="shared" si="87"/>
        <v xml:space="preserve">    - [1.422, 0.973, 0.063, 14.26, -0.0761]</v>
      </c>
      <c r="O731">
        <f>A731-'DLC Buildup Factors'!G1079</f>
        <v>0</v>
      </c>
      <c r="P731">
        <f>B731-'DLC Buildup Factors'!H1079</f>
        <v>0</v>
      </c>
      <c r="Q731">
        <f>C731-'DLC Buildup Factors'!I1079</f>
        <v>0</v>
      </c>
      <c r="R731">
        <f>D731-'DLC Buildup Factors'!J1079</f>
        <v>0</v>
      </c>
      <c r="S731">
        <f>E731-'DLC Buildup Factors'!K1079</f>
        <v>0</v>
      </c>
      <c r="T731">
        <f>F731-'DLC Buildup Factors'!L1079</f>
        <v>0</v>
      </c>
      <c r="U731">
        <f>G731-'DLC Buildup Factors'!M1079</f>
        <v>0</v>
      </c>
      <c r="V731">
        <f>H731-'DLC Buildup Factors'!N1079</f>
        <v>0</v>
      </c>
      <c r="W731">
        <f>I731-'DLC Buildup Factors'!O1079</f>
        <v>0</v>
      </c>
    </row>
    <row r="732" spans="1:23">
      <c r="A732" s="12">
        <v>10</v>
      </c>
      <c r="B732">
        <v>1.4510000000000001</v>
      </c>
      <c r="C732">
        <v>1.133</v>
      </c>
      <c r="D732">
        <v>3.2000000000000001E-2</v>
      </c>
      <c r="E732">
        <v>14.31</v>
      </c>
      <c r="F732">
        <f>-0.0502</f>
        <v>-5.0200000000000002E-2</v>
      </c>
      <c r="G732">
        <v>3.7</v>
      </c>
      <c r="H732">
        <v>0.5</v>
      </c>
      <c r="I732">
        <v>1.49</v>
      </c>
      <c r="K732" t="str">
        <f t="shared" si="86"/>
        <v xml:space="preserve">    - 10.000</v>
      </c>
      <c r="L732" t="str">
        <f t="shared" si="87"/>
        <v xml:space="preserve">    - [1.451, 1.133, 0.032, 14.31, -0.0502]</v>
      </c>
      <c r="O732">
        <f>A732-'DLC Buildup Factors'!G1080</f>
        <v>0</v>
      </c>
      <c r="P732">
        <f>B732-'DLC Buildup Factors'!H1080</f>
        <v>0</v>
      </c>
      <c r="Q732">
        <f>C732-'DLC Buildup Factors'!I1080</f>
        <v>0</v>
      </c>
      <c r="R732">
        <f>D732-'DLC Buildup Factors'!J1080</f>
        <v>0</v>
      </c>
      <c r="S732">
        <f>E732-'DLC Buildup Factors'!K1080</f>
        <v>0</v>
      </c>
      <c r="T732">
        <f>F732-'DLC Buildup Factors'!L1080</f>
        <v>0</v>
      </c>
      <c r="U732">
        <f>G732-'DLC Buildup Factors'!M1080</f>
        <v>0</v>
      </c>
      <c r="V732">
        <f>H732-'DLC Buildup Factors'!N1080</f>
        <v>0</v>
      </c>
      <c r="W732">
        <f>I732-'DLC Buildup Factors'!O1080</f>
        <v>0</v>
      </c>
    </row>
    <row r="733" spans="1:23">
      <c r="A733">
        <v>15</v>
      </c>
      <c r="B733">
        <v>1.5569999999999999</v>
      </c>
      <c r="C733">
        <v>1.3280000000000001</v>
      </c>
      <c r="D733">
        <v>1.4999999999999999E-2</v>
      </c>
      <c r="E733">
        <v>13.75</v>
      </c>
      <c r="F733">
        <v>-4.0500000000000001E-2</v>
      </c>
      <c r="G733">
        <v>3.6</v>
      </c>
      <c r="H733">
        <v>0.5</v>
      </c>
      <c r="I733">
        <v>1.57</v>
      </c>
      <c r="K733" t="str">
        <f t="shared" si="86"/>
        <v xml:space="preserve">    - 15.000</v>
      </c>
      <c r="L733" t="str">
        <f t="shared" si="87"/>
        <v xml:space="preserve">    - [1.557, 1.328, 0.015, 13.75, -0.0405]</v>
      </c>
      <c r="O733">
        <f>A733-'DLC Buildup Factors'!G1081</f>
        <v>0</v>
      </c>
      <c r="P733">
        <f>B733-'DLC Buildup Factors'!H1081</f>
        <v>0</v>
      </c>
      <c r="Q733">
        <f>C733-'DLC Buildup Factors'!I1081</f>
        <v>0</v>
      </c>
      <c r="R733">
        <f>D733-'DLC Buildup Factors'!J1081</f>
        <v>0</v>
      </c>
      <c r="S733">
        <f>E733-'DLC Buildup Factors'!K1081</f>
        <v>0</v>
      </c>
      <c r="T733">
        <f>F733-'DLC Buildup Factors'!L1081</f>
        <v>0</v>
      </c>
      <c r="U733">
        <f>G733-'DLC Buildup Factors'!M1081</f>
        <v>0</v>
      </c>
      <c r="V733">
        <f>H733-'DLC Buildup Factors'!N1081</f>
        <v>0</v>
      </c>
      <c r="W733">
        <f>I733-'DLC Buildup Factors'!O1081</f>
        <v>0</v>
      </c>
    </row>
    <row r="734" spans="1:23">
      <c r="A734" s="12"/>
    </row>
    <row r="735" spans="1:23">
      <c r="A735" s="10" t="s">
        <v>1548</v>
      </c>
    </row>
    <row r="736" spans="1:23">
      <c r="A736" s="10" t="s">
        <v>19</v>
      </c>
    </row>
    <row r="737" spans="1:23">
      <c r="A737" t="s">
        <v>0</v>
      </c>
      <c r="B737" t="s">
        <v>10</v>
      </c>
      <c r="C737" t="s">
        <v>11</v>
      </c>
      <c r="D737" t="s">
        <v>12</v>
      </c>
      <c r="E737" t="s">
        <v>15</v>
      </c>
      <c r="F737" t="s">
        <v>13</v>
      </c>
      <c r="G737" t="s">
        <v>16</v>
      </c>
      <c r="H737" t="s">
        <v>17</v>
      </c>
      <c r="I737" t="s">
        <v>14</v>
      </c>
    </row>
    <row r="738" spans="1:23">
      <c r="A738" s="10">
        <v>1.4999999999999999E-2</v>
      </c>
      <c r="B738">
        <v>1.1819999999999999</v>
      </c>
      <c r="C738">
        <v>0.46300000000000002</v>
      </c>
      <c r="D738">
        <v>0.17499999999999999</v>
      </c>
      <c r="E738">
        <v>14.23</v>
      </c>
      <c r="F738">
        <v>-9.0800000000000006E-2</v>
      </c>
      <c r="G738" s="2">
        <v>1.6899999999999998E-2</v>
      </c>
      <c r="H738">
        <v>0.5</v>
      </c>
      <c r="I738" s="2">
        <v>6.3400000000000001E-3</v>
      </c>
      <c r="K738" t="str">
        <f t="shared" ref="K738" si="88">CONCATENATE("    - ",TEXT(A738,"0.000"))</f>
        <v xml:space="preserve">    - 0.015</v>
      </c>
      <c r="L738" t="str">
        <f t="shared" ref="L738" si="89">CONCATENATE("    - [",TEXT(B738,"0.000"),", ",TEXT(C738,"0.000"),", ",TEXT(D738,"0.000"),", ",TEXT(E738,"0.00"),", ",TEXT(F738,"0.0000"),"]")</f>
        <v xml:space="preserve">    - [1.182, 0.463, 0.175, 14.23, -0.0908]</v>
      </c>
      <c r="O738">
        <f>A738-'DLC Buildup Factors'!G720</f>
        <v>0</v>
      </c>
      <c r="P738">
        <f>B738-'DLC Buildup Factors'!H720</f>
        <v>0</v>
      </c>
      <c r="Q738">
        <f>C738-'DLC Buildup Factors'!I720</f>
        <v>0</v>
      </c>
      <c r="R738">
        <f>D738-'DLC Buildup Factors'!J720</f>
        <v>0</v>
      </c>
      <c r="S738">
        <f>E738-'DLC Buildup Factors'!K720</f>
        <v>0</v>
      </c>
      <c r="T738">
        <f>F738-'DLC Buildup Factors'!L720</f>
        <v>0</v>
      </c>
      <c r="U738">
        <f>G738-'DLC Buildup Factors'!M720</f>
        <v>0</v>
      </c>
      <c r="V738">
        <f>H738-'DLC Buildup Factors'!N720</f>
        <v>0</v>
      </c>
      <c r="W738">
        <f>I738-'DLC Buildup Factors'!O720</f>
        <v>0</v>
      </c>
    </row>
    <row r="739" spans="1:23">
      <c r="A739" s="10">
        <v>0.02</v>
      </c>
      <c r="B739">
        <v>1.427</v>
      </c>
      <c r="C739">
        <v>0.54900000000000004</v>
      </c>
      <c r="D739">
        <v>0.14299999999999999</v>
      </c>
      <c r="E739">
        <v>14.86</v>
      </c>
      <c r="F739">
        <v>-7.0699999999999999E-2</v>
      </c>
      <c r="G739" s="2">
        <v>2.3099999999999999E-2</v>
      </c>
      <c r="H739">
        <v>0.5</v>
      </c>
      <c r="I739" s="2">
        <v>7.7999999999999996E-3</v>
      </c>
      <c r="K739" t="str">
        <f t="shared" ref="K739:K762" si="90">CONCATENATE("    - ",TEXT(A739,"0.000"))</f>
        <v xml:space="preserve">    - 0.020</v>
      </c>
      <c r="L739" t="str">
        <f t="shared" ref="L739:L762" si="91">CONCATENATE("    - [",TEXT(B739,"0.000"),", ",TEXT(C739,"0.000"),", ",TEXT(D739,"0.000"),", ",TEXT(E739,"0.00"),", ",TEXT(F739,"0.0000"),"]")</f>
        <v xml:space="preserve">    - [1.427, 0.549, 0.143, 14.86, -0.0707]</v>
      </c>
      <c r="O739">
        <f>A739-'DLC Buildup Factors'!G721</f>
        <v>0</v>
      </c>
      <c r="P739">
        <f>B739-'DLC Buildup Factors'!H721</f>
        <v>0</v>
      </c>
      <c r="Q739">
        <f>C739-'DLC Buildup Factors'!I721</f>
        <v>0</v>
      </c>
      <c r="R739">
        <f>D739-'DLC Buildup Factors'!J721</f>
        <v>0</v>
      </c>
      <c r="S739">
        <f>E739-'DLC Buildup Factors'!K721</f>
        <v>0</v>
      </c>
      <c r="T739">
        <f>F739-'DLC Buildup Factors'!L721</f>
        <v>0</v>
      </c>
      <c r="U739">
        <f>G739-'DLC Buildup Factors'!M721</f>
        <v>0</v>
      </c>
      <c r="V739">
        <f>H739-'DLC Buildup Factors'!N721</f>
        <v>0</v>
      </c>
      <c r="W739">
        <f>I739-'DLC Buildup Factors'!O721</f>
        <v>0</v>
      </c>
    </row>
    <row r="740" spans="1:23">
      <c r="A740" s="10">
        <v>0.03</v>
      </c>
      <c r="B740">
        <v>2.335</v>
      </c>
      <c r="C740">
        <v>0.73599999999999999</v>
      </c>
      <c r="D740">
        <v>8.6999999999999994E-2</v>
      </c>
      <c r="E740">
        <v>13.28</v>
      </c>
      <c r="F740">
        <v>-4.19E-2</v>
      </c>
      <c r="G740" s="2">
        <v>2.3400000000000001E-2</v>
      </c>
      <c r="H740">
        <v>0.5</v>
      </c>
      <c r="I740" s="2">
        <v>1.18E-2</v>
      </c>
      <c r="K740" t="str">
        <f t="shared" si="90"/>
        <v xml:space="preserve">    - 0.030</v>
      </c>
      <c r="L740" t="str">
        <f t="shared" si="91"/>
        <v xml:space="preserve">    - [2.335, 0.736, 0.087, 13.28, -0.0419]</v>
      </c>
      <c r="O740">
        <f>A740-'DLC Buildup Factors'!G722</f>
        <v>0</v>
      </c>
      <c r="P740">
        <f>B740-'DLC Buildup Factors'!H722</f>
        <v>0</v>
      </c>
      <c r="Q740">
        <f>C740-'DLC Buildup Factors'!I722</f>
        <v>0</v>
      </c>
      <c r="R740">
        <f>D740-'DLC Buildup Factors'!J722</f>
        <v>0</v>
      </c>
      <c r="S740">
        <f>E740-'DLC Buildup Factors'!K722</f>
        <v>0</v>
      </c>
      <c r="T740">
        <f>F740-'DLC Buildup Factors'!L722</f>
        <v>0</v>
      </c>
      <c r="U740">
        <f>G740-'DLC Buildup Factors'!M722</f>
        <v>0</v>
      </c>
      <c r="V740">
        <f>H740-'DLC Buildup Factors'!N722</f>
        <v>0</v>
      </c>
      <c r="W740">
        <f>I740-'DLC Buildup Factors'!O722</f>
        <v>0</v>
      </c>
    </row>
    <row r="741" spans="1:23">
      <c r="A741" s="10">
        <v>0.04</v>
      </c>
      <c r="B741">
        <v>3.4769999999999999</v>
      </c>
      <c r="C741">
        <v>1.117</v>
      </c>
      <c r="D741">
        <v>-1.9E-2</v>
      </c>
      <c r="E741">
        <v>11.67</v>
      </c>
      <c r="F741">
        <v>2.5999999999999999E-3</v>
      </c>
      <c r="G741" s="2">
        <v>8.8999999999999999E-3</v>
      </c>
      <c r="H741">
        <v>0.5</v>
      </c>
      <c r="I741" s="2">
        <v>2.98E-3</v>
      </c>
      <c r="K741" t="str">
        <f t="shared" si="90"/>
        <v xml:space="preserve">    - 0.040</v>
      </c>
      <c r="L741" t="str">
        <f t="shared" si="91"/>
        <v xml:space="preserve">    - [3.477, 1.117, -0.019, 11.67, 0.0026]</v>
      </c>
      <c r="O741">
        <f>A741-'DLC Buildup Factors'!G723</f>
        <v>0</v>
      </c>
      <c r="P741">
        <f>B741-'DLC Buildup Factors'!H723</f>
        <v>0</v>
      </c>
      <c r="Q741">
        <f>C741-'DLC Buildup Factors'!I723</f>
        <v>0</v>
      </c>
      <c r="R741">
        <f>D741-'DLC Buildup Factors'!J723</f>
        <v>0</v>
      </c>
      <c r="S741">
        <f>E741-'DLC Buildup Factors'!K723</f>
        <v>0</v>
      </c>
      <c r="T741">
        <f>F741-'DLC Buildup Factors'!L723</f>
        <v>0</v>
      </c>
      <c r="U741">
        <f>G741-'DLC Buildup Factors'!M723</f>
        <v>0</v>
      </c>
      <c r="V741">
        <f>H741-'DLC Buildup Factors'!N723</f>
        <v>0</v>
      </c>
      <c r="W741">
        <f>I741-'DLC Buildup Factors'!O723</f>
        <v>0</v>
      </c>
    </row>
    <row r="742" spans="1:23">
      <c r="A742" s="10">
        <v>0.05</v>
      </c>
      <c r="B742">
        <v>4.4610000000000003</v>
      </c>
      <c r="C742">
        <v>1.4570000000000001</v>
      </c>
      <c r="D742">
        <v>-8.4000000000000005E-2</v>
      </c>
      <c r="E742">
        <v>13.62</v>
      </c>
      <c r="F742">
        <v>3.4099999999999998E-2</v>
      </c>
      <c r="G742" s="2">
        <v>1.26E-2</v>
      </c>
      <c r="H742">
        <v>10</v>
      </c>
      <c r="I742" s="2">
        <v>8.5000000000000006E-3</v>
      </c>
      <c r="K742" t="str">
        <f t="shared" si="90"/>
        <v xml:space="preserve">    - 0.050</v>
      </c>
      <c r="L742" t="str">
        <f t="shared" si="91"/>
        <v xml:space="preserve">    - [4.461, 1.457, -0.084, 13.62, 0.0341]</v>
      </c>
      <c r="O742">
        <f>A742-'DLC Buildup Factors'!G724</f>
        <v>0</v>
      </c>
      <c r="P742">
        <f>B742-'DLC Buildup Factors'!H724</f>
        <v>0</v>
      </c>
      <c r="Q742">
        <f>C742-'DLC Buildup Factors'!I724</f>
        <v>0</v>
      </c>
      <c r="R742">
        <f>D742-'DLC Buildup Factors'!J724</f>
        <v>0</v>
      </c>
      <c r="S742">
        <f>E742-'DLC Buildup Factors'!K724</f>
        <v>0</v>
      </c>
      <c r="T742">
        <f>F742-'DLC Buildup Factors'!L724</f>
        <v>0</v>
      </c>
      <c r="U742">
        <f>G742-'DLC Buildup Factors'!M724</f>
        <v>0</v>
      </c>
      <c r="V742">
        <f>H742-'DLC Buildup Factors'!N724</f>
        <v>0</v>
      </c>
      <c r="W742">
        <f>I742-'DLC Buildup Factors'!O724</f>
        <v>0</v>
      </c>
    </row>
    <row r="743" spans="1:23">
      <c r="A743" s="10">
        <v>0.06</v>
      </c>
      <c r="B743">
        <v>4.9829999999999997</v>
      </c>
      <c r="C743">
        <v>1.73</v>
      </c>
      <c r="D743">
        <v>-0.126</v>
      </c>
      <c r="E743">
        <v>13.64</v>
      </c>
      <c r="F743">
        <v>5.6099999999999997E-2</v>
      </c>
      <c r="G743" s="2">
        <v>2.2200000000000001E-2</v>
      </c>
      <c r="H743">
        <v>10</v>
      </c>
      <c r="I743" s="2">
        <v>1.5630000000000002E-2</v>
      </c>
      <c r="K743" t="str">
        <f t="shared" si="90"/>
        <v xml:space="preserve">    - 0.060</v>
      </c>
      <c r="L743" t="str">
        <f t="shared" si="91"/>
        <v xml:space="preserve">    - [4.983, 1.730, -0.126, 13.64, 0.0561]</v>
      </c>
      <c r="O743">
        <f>A743-'DLC Buildup Factors'!G725</f>
        <v>0</v>
      </c>
      <c r="P743">
        <f>B743-'DLC Buildup Factors'!H725</f>
        <v>0</v>
      </c>
      <c r="Q743">
        <f>C743-'DLC Buildup Factors'!I725</f>
        <v>0</v>
      </c>
      <c r="R743">
        <f>D743-'DLC Buildup Factors'!J725</f>
        <v>0</v>
      </c>
      <c r="S743">
        <f>E743-'DLC Buildup Factors'!K725</f>
        <v>0</v>
      </c>
      <c r="T743">
        <f>F743-'DLC Buildup Factors'!L725</f>
        <v>0</v>
      </c>
      <c r="U743">
        <f>G743-'DLC Buildup Factors'!M725</f>
        <v>0</v>
      </c>
      <c r="V743">
        <f>H743-'DLC Buildup Factors'!N725</f>
        <v>0</v>
      </c>
      <c r="W743">
        <f>I743-'DLC Buildup Factors'!O725</f>
        <v>0</v>
      </c>
    </row>
    <row r="744" spans="1:23">
      <c r="A744" s="10">
        <v>0.08</v>
      </c>
      <c r="B744">
        <v>5.0590000000000002</v>
      </c>
      <c r="C744">
        <v>2.0590000000000002</v>
      </c>
      <c r="D744">
        <v>-0.16800000000000001</v>
      </c>
      <c r="E744">
        <v>13.67</v>
      </c>
      <c r="F744">
        <v>7.6999999999999999E-2</v>
      </c>
      <c r="G744" s="2">
        <v>2.9399999999999999E-2</v>
      </c>
      <c r="H744">
        <v>35</v>
      </c>
      <c r="I744" s="2">
        <v>1.9460000000000002E-2</v>
      </c>
      <c r="K744" t="str">
        <f t="shared" si="90"/>
        <v xml:space="preserve">    - 0.080</v>
      </c>
      <c r="L744" t="str">
        <f t="shared" si="91"/>
        <v xml:space="preserve">    - [5.059, 2.059, -0.168, 13.67, 0.0770]</v>
      </c>
      <c r="O744">
        <f>A744-'DLC Buildup Factors'!G726</f>
        <v>0</v>
      </c>
      <c r="P744">
        <f>B744-'DLC Buildup Factors'!H726</f>
        <v>0</v>
      </c>
      <c r="Q744">
        <f>C744-'DLC Buildup Factors'!I726</f>
        <v>0</v>
      </c>
      <c r="R744">
        <f>D744-'DLC Buildup Factors'!J726</f>
        <v>0</v>
      </c>
      <c r="S744">
        <f>E744-'DLC Buildup Factors'!K726</f>
        <v>0</v>
      </c>
      <c r="T744">
        <f>F744-'DLC Buildup Factors'!L726</f>
        <v>0</v>
      </c>
      <c r="U744">
        <f>G744-'DLC Buildup Factors'!M726</f>
        <v>0</v>
      </c>
      <c r="V744">
        <f>H744-'DLC Buildup Factors'!N726</f>
        <v>0</v>
      </c>
      <c r="W744">
        <f>I744-'DLC Buildup Factors'!O726</f>
        <v>0</v>
      </c>
    </row>
    <row r="745" spans="1:23">
      <c r="A745" s="10">
        <v>0.1</v>
      </c>
      <c r="B745">
        <v>4.6630000000000003</v>
      </c>
      <c r="C745">
        <v>2.2210000000000001</v>
      </c>
      <c r="D745">
        <v>-0.186</v>
      </c>
      <c r="E745">
        <v>13.33</v>
      </c>
      <c r="F745">
        <v>8.2600000000000007E-2</v>
      </c>
      <c r="G745" s="2">
        <v>3.0200000000000001E-2</v>
      </c>
      <c r="H745">
        <v>10</v>
      </c>
      <c r="I745" s="2">
        <v>1.925E-2</v>
      </c>
      <c r="K745" t="str">
        <f t="shared" si="90"/>
        <v xml:space="preserve">    - 0.100</v>
      </c>
      <c r="L745" t="str">
        <f t="shared" si="91"/>
        <v xml:space="preserve">    - [4.663, 2.221, -0.186, 13.33, 0.0826]</v>
      </c>
      <c r="O745">
        <f>A745-'DLC Buildup Factors'!G727</f>
        <v>0</v>
      </c>
      <c r="P745">
        <f>B745-'DLC Buildup Factors'!H727</f>
        <v>0</v>
      </c>
      <c r="Q745">
        <f>C745-'DLC Buildup Factors'!I727</f>
        <v>0</v>
      </c>
      <c r="R745">
        <f>D745-'DLC Buildup Factors'!J727</f>
        <v>0</v>
      </c>
      <c r="S745">
        <f>E745-'DLC Buildup Factors'!K727</f>
        <v>0</v>
      </c>
      <c r="T745">
        <f>F745-'DLC Buildup Factors'!L727</f>
        <v>0</v>
      </c>
      <c r="U745">
        <f>G745-'DLC Buildup Factors'!M727</f>
        <v>0</v>
      </c>
      <c r="V745">
        <f>H745-'DLC Buildup Factors'!N727</f>
        <v>0</v>
      </c>
      <c r="W745">
        <f>I745-'DLC Buildup Factors'!O727</f>
        <v>0</v>
      </c>
    </row>
    <row r="746" spans="1:23">
      <c r="A746" s="10">
        <v>0.15</v>
      </c>
      <c r="B746">
        <v>3.8969999999999998</v>
      </c>
      <c r="C746">
        <v>2.242</v>
      </c>
      <c r="D746">
        <v>-0.185</v>
      </c>
      <c r="E746">
        <v>14.19</v>
      </c>
      <c r="F746">
        <v>7.7700000000000005E-2</v>
      </c>
      <c r="G746" s="2">
        <v>2.5499999999999998E-2</v>
      </c>
      <c r="H746">
        <v>15</v>
      </c>
      <c r="I746" s="2">
        <v>1.584E-2</v>
      </c>
      <c r="K746" t="str">
        <f t="shared" si="90"/>
        <v xml:space="preserve">    - 0.150</v>
      </c>
      <c r="L746" t="str">
        <f t="shared" si="91"/>
        <v xml:space="preserve">    - [3.897, 2.242, -0.185, 14.19, 0.0777]</v>
      </c>
      <c r="O746">
        <f>A746-'DLC Buildup Factors'!G728</f>
        <v>0</v>
      </c>
      <c r="P746">
        <f>B746-'DLC Buildup Factors'!H728</f>
        <v>0</v>
      </c>
      <c r="Q746">
        <f>C746-'DLC Buildup Factors'!I728</f>
        <v>0</v>
      </c>
      <c r="R746">
        <f>D746-'DLC Buildup Factors'!J728</f>
        <v>0</v>
      </c>
      <c r="S746">
        <f>E746-'DLC Buildup Factors'!K728</f>
        <v>0</v>
      </c>
      <c r="T746">
        <f>F746-'DLC Buildup Factors'!L728</f>
        <v>0</v>
      </c>
      <c r="U746">
        <f>G746-'DLC Buildup Factors'!M728</f>
        <v>0</v>
      </c>
      <c r="V746">
        <f>H746-'DLC Buildup Factors'!N728</f>
        <v>0</v>
      </c>
      <c r="W746">
        <f>I746-'DLC Buildup Factors'!O728</f>
        <v>0</v>
      </c>
    </row>
    <row r="747" spans="1:23">
      <c r="A747" s="10">
        <v>0.2</v>
      </c>
      <c r="B747">
        <v>3.4780000000000002</v>
      </c>
      <c r="C747">
        <v>2.1539999999999999</v>
      </c>
      <c r="D747">
        <v>-0.17599999999999999</v>
      </c>
      <c r="E747">
        <v>14.5</v>
      </c>
      <c r="F747">
        <v>7.7399999999999997E-2</v>
      </c>
      <c r="G747" s="2">
        <v>2.5000000000000001E-2</v>
      </c>
      <c r="H747">
        <v>0.5</v>
      </c>
      <c r="I747" s="2">
        <v>1.4919999999999999E-2</v>
      </c>
      <c r="K747" t="str">
        <f t="shared" si="90"/>
        <v xml:space="preserve">    - 0.200</v>
      </c>
      <c r="L747" t="str">
        <f t="shared" si="91"/>
        <v xml:space="preserve">    - [3.478, 2.154, -0.176, 14.50, 0.0774]</v>
      </c>
      <c r="O747">
        <f>A747-'DLC Buildup Factors'!G729</f>
        <v>0</v>
      </c>
      <c r="P747">
        <f>B747-'DLC Buildup Factors'!H729</f>
        <v>0</v>
      </c>
      <c r="Q747">
        <f>C747-'DLC Buildup Factors'!I729</f>
        <v>0</v>
      </c>
      <c r="R747">
        <f>D747-'DLC Buildup Factors'!J729</f>
        <v>0</v>
      </c>
      <c r="S747">
        <f>E747-'DLC Buildup Factors'!K729</f>
        <v>0</v>
      </c>
      <c r="T747">
        <f>F747-'DLC Buildup Factors'!L729</f>
        <v>0</v>
      </c>
      <c r="U747">
        <f>G747-'DLC Buildup Factors'!M729</f>
        <v>0</v>
      </c>
      <c r="V747">
        <f>H747-'DLC Buildup Factors'!N729</f>
        <v>0</v>
      </c>
      <c r="W747">
        <f>I747-'DLC Buildup Factors'!O729</f>
        <v>0</v>
      </c>
    </row>
    <row r="748" spans="1:23">
      <c r="A748" s="10">
        <v>0.3</v>
      </c>
      <c r="B748">
        <v>2.92</v>
      </c>
      <c r="C748">
        <v>2.0219999999999998</v>
      </c>
      <c r="D748">
        <v>-0.16400000000000001</v>
      </c>
      <c r="E748">
        <v>14.21</v>
      </c>
      <c r="F748">
        <v>6.5500000000000003E-2</v>
      </c>
      <c r="G748" s="2">
        <v>2.46E-2</v>
      </c>
      <c r="H748">
        <v>1</v>
      </c>
      <c r="I748" s="2">
        <v>1.4710000000000001E-2</v>
      </c>
      <c r="K748" t="str">
        <f t="shared" si="90"/>
        <v xml:space="preserve">    - 0.300</v>
      </c>
      <c r="L748" t="str">
        <f t="shared" si="91"/>
        <v xml:space="preserve">    - [2.920, 2.022, -0.164, 14.21, 0.0655]</v>
      </c>
      <c r="O748">
        <f>A748-'DLC Buildup Factors'!G730</f>
        <v>0</v>
      </c>
      <c r="P748">
        <f>B748-'DLC Buildup Factors'!H730</f>
        <v>0</v>
      </c>
      <c r="Q748">
        <f>C748-'DLC Buildup Factors'!I730</f>
        <v>0</v>
      </c>
      <c r="R748">
        <f>D748-'DLC Buildup Factors'!J730</f>
        <v>0</v>
      </c>
      <c r="S748">
        <f>E748-'DLC Buildup Factors'!K730</f>
        <v>0</v>
      </c>
      <c r="T748">
        <f>F748-'DLC Buildup Factors'!L730</f>
        <v>0</v>
      </c>
      <c r="U748">
        <f>G748-'DLC Buildup Factors'!M730</f>
        <v>0</v>
      </c>
      <c r="V748">
        <f>H748-'DLC Buildup Factors'!N730</f>
        <v>0</v>
      </c>
      <c r="W748">
        <f>I748-'DLC Buildup Factors'!O730</f>
        <v>0</v>
      </c>
    </row>
    <row r="749" spans="1:23">
      <c r="A749" s="10">
        <v>0.4</v>
      </c>
      <c r="B749">
        <v>2.66</v>
      </c>
      <c r="C749">
        <v>1.8819999999999999</v>
      </c>
      <c r="D749">
        <v>-0.14899999999999999</v>
      </c>
      <c r="E749">
        <v>14.24</v>
      </c>
      <c r="F749">
        <v>5.9499999999999997E-2</v>
      </c>
      <c r="G749" s="2">
        <v>2.1700000000000001E-2</v>
      </c>
      <c r="H749">
        <v>35</v>
      </c>
      <c r="I749" s="2">
        <v>1.372E-2</v>
      </c>
      <c r="K749" t="str">
        <f t="shared" si="90"/>
        <v xml:space="preserve">    - 0.400</v>
      </c>
      <c r="L749" t="str">
        <f t="shared" si="91"/>
        <v xml:space="preserve">    - [2.660, 1.882, -0.149, 14.24, 0.0595]</v>
      </c>
      <c r="O749">
        <f>A749-'DLC Buildup Factors'!G731</f>
        <v>0</v>
      </c>
      <c r="P749">
        <f>B749-'DLC Buildup Factors'!H731</f>
        <v>0</v>
      </c>
      <c r="Q749">
        <f>C749-'DLC Buildup Factors'!I731</f>
        <v>0</v>
      </c>
      <c r="R749">
        <f>D749-'DLC Buildup Factors'!J731</f>
        <v>0</v>
      </c>
      <c r="S749">
        <f>E749-'DLC Buildup Factors'!K731</f>
        <v>0</v>
      </c>
      <c r="T749">
        <f>F749-'DLC Buildup Factors'!L731</f>
        <v>0</v>
      </c>
      <c r="U749">
        <f>G749-'DLC Buildup Factors'!M731</f>
        <v>0</v>
      </c>
      <c r="V749">
        <f>H749-'DLC Buildup Factors'!N731</f>
        <v>0</v>
      </c>
      <c r="W749">
        <f>I749-'DLC Buildup Factors'!O731</f>
        <v>0</v>
      </c>
    </row>
    <row r="750" spans="1:23">
      <c r="A750" s="10">
        <v>0.5</v>
      </c>
      <c r="B750">
        <v>2.5</v>
      </c>
      <c r="C750">
        <v>1.766</v>
      </c>
      <c r="D750">
        <v>-0.13500000000000001</v>
      </c>
      <c r="E750">
        <v>14.33</v>
      </c>
      <c r="F750">
        <v>5.4600000000000003E-2</v>
      </c>
      <c r="G750" s="2">
        <v>2.46E-2</v>
      </c>
      <c r="H750">
        <v>1</v>
      </c>
      <c r="I750" s="2">
        <v>1.38E-2</v>
      </c>
      <c r="K750" t="str">
        <f t="shared" si="90"/>
        <v xml:space="preserve">    - 0.500</v>
      </c>
      <c r="L750" t="str">
        <f t="shared" si="91"/>
        <v xml:space="preserve">    - [2.500, 1.766, -0.135, 14.33, 0.0546]</v>
      </c>
      <c r="O750">
        <f>A750-'DLC Buildup Factors'!G732</f>
        <v>0</v>
      </c>
      <c r="P750">
        <f>B750-'DLC Buildup Factors'!H732</f>
        <v>0</v>
      </c>
      <c r="Q750">
        <f>C750-'DLC Buildup Factors'!I732</f>
        <v>0</v>
      </c>
      <c r="R750">
        <f>D750-'DLC Buildup Factors'!J732</f>
        <v>0</v>
      </c>
      <c r="S750">
        <f>E750-'DLC Buildup Factors'!K732</f>
        <v>0</v>
      </c>
      <c r="T750">
        <f>F750-'DLC Buildup Factors'!L732</f>
        <v>0</v>
      </c>
      <c r="U750">
        <f>G750-'DLC Buildup Factors'!M732</f>
        <v>0</v>
      </c>
      <c r="V750">
        <f>H750-'DLC Buildup Factors'!N732</f>
        <v>0</v>
      </c>
      <c r="W750">
        <f>I750-'DLC Buildup Factors'!O732</f>
        <v>0</v>
      </c>
    </row>
    <row r="751" spans="1:23">
      <c r="A751" s="10">
        <v>0.6</v>
      </c>
      <c r="B751">
        <v>2.3769999999999998</v>
      </c>
      <c r="C751">
        <v>1.679</v>
      </c>
      <c r="D751">
        <v>-0.124</v>
      </c>
      <c r="E751">
        <v>14.23</v>
      </c>
      <c r="F751">
        <v>5.0299999999999997E-2</v>
      </c>
      <c r="G751" s="2">
        <v>2.0199999999999999E-2</v>
      </c>
      <c r="H751">
        <v>1</v>
      </c>
      <c r="I751" s="2">
        <v>1.265E-2</v>
      </c>
      <c r="K751" t="str">
        <f t="shared" si="90"/>
        <v xml:space="preserve">    - 0.600</v>
      </c>
      <c r="L751" t="str">
        <f t="shared" si="91"/>
        <v xml:space="preserve">    - [2.377, 1.679, -0.124, 14.23, 0.0503]</v>
      </c>
      <c r="O751">
        <f>A751-'DLC Buildup Factors'!G733</f>
        <v>0</v>
      </c>
      <c r="P751">
        <f>B751-'DLC Buildup Factors'!H733</f>
        <v>0</v>
      </c>
      <c r="Q751">
        <f>C751-'DLC Buildup Factors'!I733</f>
        <v>0</v>
      </c>
      <c r="R751">
        <f>D751-'DLC Buildup Factors'!J733</f>
        <v>0</v>
      </c>
      <c r="S751">
        <f>E751-'DLC Buildup Factors'!K733</f>
        <v>0</v>
      </c>
      <c r="T751">
        <f>F751-'DLC Buildup Factors'!L733</f>
        <v>0</v>
      </c>
      <c r="U751">
        <f>G751-'DLC Buildup Factors'!M733</f>
        <v>0</v>
      </c>
      <c r="V751">
        <f>H751-'DLC Buildup Factors'!N733</f>
        <v>0</v>
      </c>
      <c r="W751">
        <f>I751-'DLC Buildup Factors'!O733</f>
        <v>0</v>
      </c>
    </row>
    <row r="752" spans="1:23">
      <c r="A752" s="10">
        <v>0.8</v>
      </c>
      <c r="B752">
        <v>2.2120000000000002</v>
      </c>
      <c r="C752">
        <v>1.544</v>
      </c>
      <c r="D752">
        <v>-0.105</v>
      </c>
      <c r="E752">
        <v>14.36</v>
      </c>
      <c r="F752">
        <v>4.3700000000000003E-2</v>
      </c>
      <c r="G752" s="2">
        <v>1.9699999999999999E-2</v>
      </c>
      <c r="H752">
        <v>0.5</v>
      </c>
      <c r="I752" s="2">
        <v>1.1860000000000001E-2</v>
      </c>
      <c r="K752" t="str">
        <f t="shared" si="90"/>
        <v xml:space="preserve">    - 0.800</v>
      </c>
      <c r="L752" t="str">
        <f t="shared" si="91"/>
        <v xml:space="preserve">    - [2.212, 1.544, -0.105, 14.36, 0.0437]</v>
      </c>
      <c r="O752">
        <f>A752-'DLC Buildup Factors'!G734</f>
        <v>0</v>
      </c>
      <c r="P752">
        <f>B752-'DLC Buildup Factors'!H734</f>
        <v>0</v>
      </c>
      <c r="Q752">
        <f>C752-'DLC Buildup Factors'!I734</f>
        <v>0</v>
      </c>
      <c r="R752">
        <f>D752-'DLC Buildup Factors'!J734</f>
        <v>0</v>
      </c>
      <c r="S752">
        <f>E752-'DLC Buildup Factors'!K734</f>
        <v>0</v>
      </c>
      <c r="T752">
        <f>F752-'DLC Buildup Factors'!L734</f>
        <v>0</v>
      </c>
      <c r="U752">
        <f>G752-'DLC Buildup Factors'!M734</f>
        <v>0</v>
      </c>
      <c r="V752">
        <f>H752-'DLC Buildup Factors'!N734</f>
        <v>0</v>
      </c>
      <c r="W752">
        <f>I752-'DLC Buildup Factors'!O734</f>
        <v>0</v>
      </c>
    </row>
    <row r="753" spans="1:23">
      <c r="A753" s="10">
        <v>1</v>
      </c>
      <c r="B753">
        <v>2.1030000000000002</v>
      </c>
      <c r="C753">
        <v>1.4410000000000001</v>
      </c>
      <c r="D753">
        <v>-8.8999999999999996E-2</v>
      </c>
      <c r="E753">
        <v>14.22</v>
      </c>
      <c r="F753">
        <v>3.78E-2</v>
      </c>
      <c r="G753" s="2">
        <v>1.55E-2</v>
      </c>
      <c r="H753">
        <v>0.5</v>
      </c>
      <c r="I753" s="2">
        <v>8.9499999999999996E-3</v>
      </c>
      <c r="K753" t="str">
        <f t="shared" si="90"/>
        <v xml:space="preserve">    - 1.000</v>
      </c>
      <c r="L753" t="str">
        <f t="shared" si="91"/>
        <v xml:space="preserve">    - [2.103, 1.441, -0.089, 14.22, 0.0378]</v>
      </c>
      <c r="O753">
        <f>A753-'DLC Buildup Factors'!G735</f>
        <v>0</v>
      </c>
      <c r="P753">
        <f>B753-'DLC Buildup Factors'!H735</f>
        <v>0</v>
      </c>
      <c r="Q753">
        <f>C753-'DLC Buildup Factors'!I735</f>
        <v>0</v>
      </c>
      <c r="R753">
        <f>D753-'DLC Buildup Factors'!J735</f>
        <v>0</v>
      </c>
      <c r="S753">
        <f>E753-'DLC Buildup Factors'!K735</f>
        <v>0</v>
      </c>
      <c r="T753">
        <f>F753-'DLC Buildup Factors'!L735</f>
        <v>0</v>
      </c>
      <c r="U753">
        <f>G753-'DLC Buildup Factors'!M735</f>
        <v>0</v>
      </c>
      <c r="V753">
        <f>H753-'DLC Buildup Factors'!N735</f>
        <v>0</v>
      </c>
      <c r="W753">
        <f>I753-'DLC Buildup Factors'!O735</f>
        <v>0</v>
      </c>
    </row>
    <row r="754" spans="1:23">
      <c r="A754" s="10">
        <v>1.5</v>
      </c>
      <c r="B754">
        <v>1.9390000000000001</v>
      </c>
      <c r="C754">
        <v>1.2689999999999999</v>
      </c>
      <c r="D754">
        <v>-5.8000000000000003E-2</v>
      </c>
      <c r="E754">
        <v>14.52</v>
      </c>
      <c r="F754">
        <v>2.46E-2</v>
      </c>
      <c r="G754" s="2">
        <v>1.9099999999999999E-2</v>
      </c>
      <c r="H754">
        <v>0.5</v>
      </c>
      <c r="I754" s="2">
        <v>7.5700000000000003E-3</v>
      </c>
      <c r="K754" t="str">
        <f t="shared" si="90"/>
        <v xml:space="preserve">    - 1.500</v>
      </c>
      <c r="L754" t="str">
        <f t="shared" si="91"/>
        <v xml:space="preserve">    - [1.939, 1.269, -0.058, 14.52, 0.0246]</v>
      </c>
      <c r="O754">
        <f>A754-'DLC Buildup Factors'!G736</f>
        <v>0</v>
      </c>
      <c r="P754">
        <f>B754-'DLC Buildup Factors'!H736</f>
        <v>0</v>
      </c>
      <c r="Q754">
        <f>C754-'DLC Buildup Factors'!I736</f>
        <v>0</v>
      </c>
      <c r="R754">
        <f>D754-'DLC Buildup Factors'!J736</f>
        <v>0</v>
      </c>
      <c r="S754">
        <f>E754-'DLC Buildup Factors'!K736</f>
        <v>0</v>
      </c>
      <c r="T754">
        <f>F754-'DLC Buildup Factors'!L736</f>
        <v>0</v>
      </c>
      <c r="U754">
        <f>G754-'DLC Buildup Factors'!M736</f>
        <v>0</v>
      </c>
      <c r="V754">
        <f>H754-'DLC Buildup Factors'!N736</f>
        <v>0</v>
      </c>
      <c r="W754">
        <f>I754-'DLC Buildup Factors'!O736</f>
        <v>0</v>
      </c>
    </row>
    <row r="755" spans="1:23">
      <c r="A755" s="10">
        <v>2</v>
      </c>
      <c r="B755">
        <v>1.839</v>
      </c>
      <c r="C755">
        <v>1.173</v>
      </c>
      <c r="D755">
        <v>-3.9E-2</v>
      </c>
      <c r="E755">
        <v>14.07</v>
      </c>
      <c r="F755">
        <v>1.61E-2</v>
      </c>
      <c r="G755" s="2">
        <v>1.4500000000000001E-2</v>
      </c>
      <c r="H755">
        <v>0.5</v>
      </c>
      <c r="I755" s="2">
        <v>5.2199999999999998E-3</v>
      </c>
      <c r="K755" t="str">
        <f t="shared" si="90"/>
        <v xml:space="preserve">    - 2.000</v>
      </c>
      <c r="L755" t="str">
        <f t="shared" si="91"/>
        <v xml:space="preserve">    - [1.839, 1.173, -0.039, 14.07, 0.0161]</v>
      </c>
      <c r="O755">
        <f>A755-'DLC Buildup Factors'!G737</f>
        <v>0</v>
      </c>
      <c r="P755">
        <f>B755-'DLC Buildup Factors'!H737</f>
        <v>0</v>
      </c>
      <c r="Q755">
        <f>C755-'DLC Buildup Factors'!I737</f>
        <v>0</v>
      </c>
      <c r="R755">
        <f>D755-'DLC Buildup Factors'!J737</f>
        <v>0</v>
      </c>
      <c r="S755">
        <f>E755-'DLC Buildup Factors'!K737</f>
        <v>0</v>
      </c>
      <c r="T755">
        <f>F755-'DLC Buildup Factors'!L737</f>
        <v>0</v>
      </c>
      <c r="U755">
        <f>G755-'DLC Buildup Factors'!M737</f>
        <v>0</v>
      </c>
      <c r="V755">
        <f>H755-'DLC Buildup Factors'!N737</f>
        <v>0</v>
      </c>
      <c r="W755">
        <f>I755-'DLC Buildup Factors'!O737</f>
        <v>0</v>
      </c>
    </row>
    <row r="756" spans="1:23">
      <c r="A756" s="10">
        <v>3</v>
      </c>
      <c r="B756">
        <v>1.71</v>
      </c>
      <c r="C756">
        <v>1.056</v>
      </c>
      <c r="D756">
        <v>-1.2999999999999999E-2</v>
      </c>
      <c r="E756">
        <v>11.82</v>
      </c>
      <c r="F756">
        <v>4.7000000000000002E-3</v>
      </c>
      <c r="G756" s="2">
        <v>7.0000000000000001E-3</v>
      </c>
      <c r="H756">
        <v>0.5</v>
      </c>
      <c r="I756" s="2">
        <v>2.3900000000000002E-3</v>
      </c>
      <c r="K756" t="str">
        <f t="shared" si="90"/>
        <v xml:space="preserve">    - 3.000</v>
      </c>
      <c r="L756" t="str">
        <f t="shared" si="91"/>
        <v xml:space="preserve">    - [1.710, 1.056, -0.013, 11.82, 0.0047]</v>
      </c>
      <c r="O756">
        <f>A756-'DLC Buildup Factors'!G738</f>
        <v>0</v>
      </c>
      <c r="P756">
        <f>B756-'DLC Buildup Factors'!H738</f>
        <v>0</v>
      </c>
      <c r="Q756">
        <f>C756-'DLC Buildup Factors'!I738</f>
        <v>0</v>
      </c>
      <c r="R756">
        <f>D756-'DLC Buildup Factors'!J738</f>
        <v>0</v>
      </c>
      <c r="S756">
        <f>E756-'DLC Buildup Factors'!K738</f>
        <v>0</v>
      </c>
      <c r="T756">
        <f>F756-'DLC Buildup Factors'!L738</f>
        <v>0</v>
      </c>
      <c r="U756">
        <f>G756-'DLC Buildup Factors'!M738</f>
        <v>0</v>
      </c>
      <c r="V756">
        <f>H756-'DLC Buildup Factors'!N738</f>
        <v>0</v>
      </c>
      <c r="W756">
        <f>I756-'DLC Buildup Factors'!O738</f>
        <v>0</v>
      </c>
    </row>
    <row r="757" spans="1:23">
      <c r="A757" s="10">
        <v>4</v>
      </c>
      <c r="B757">
        <v>1.621</v>
      </c>
      <c r="C757">
        <v>0.98899999999999999</v>
      </c>
      <c r="D757">
        <v>4.0000000000000001E-3</v>
      </c>
      <c r="E757">
        <v>13.45</v>
      </c>
      <c r="F757">
        <v>-4.1000000000000003E-3</v>
      </c>
      <c r="G757" s="2">
        <v>5.4999999999999997E-3</v>
      </c>
      <c r="H757">
        <v>1</v>
      </c>
      <c r="I757" s="2">
        <v>2.1099999999999999E-3</v>
      </c>
      <c r="K757" t="str">
        <f t="shared" si="90"/>
        <v xml:space="preserve">    - 4.000</v>
      </c>
      <c r="L757" t="str">
        <f t="shared" si="91"/>
        <v xml:space="preserve">    - [1.621, 0.989, 0.004, 13.45, -0.0041]</v>
      </c>
      <c r="O757">
        <f>A757-'DLC Buildup Factors'!G739</f>
        <v>0</v>
      </c>
      <c r="P757">
        <f>B757-'DLC Buildup Factors'!H739</f>
        <v>0</v>
      </c>
      <c r="Q757">
        <f>C757-'DLC Buildup Factors'!I739</f>
        <v>0</v>
      </c>
      <c r="R757">
        <f>D757-'DLC Buildup Factors'!J739</f>
        <v>0</v>
      </c>
      <c r="S757">
        <f>E757-'DLC Buildup Factors'!K739</f>
        <v>0</v>
      </c>
      <c r="T757">
        <f>F757-'DLC Buildup Factors'!L739</f>
        <v>0</v>
      </c>
      <c r="U757">
        <f>G757-'DLC Buildup Factors'!M739</f>
        <v>0</v>
      </c>
      <c r="V757">
        <f>H757-'DLC Buildup Factors'!N739</f>
        <v>0</v>
      </c>
      <c r="W757">
        <f>I757-'DLC Buildup Factors'!O739</f>
        <v>0</v>
      </c>
    </row>
    <row r="758" spans="1:23">
      <c r="A758" s="10">
        <v>5</v>
      </c>
      <c r="B758">
        <v>1.554</v>
      </c>
      <c r="C758">
        <v>0.93899999999999995</v>
      </c>
      <c r="D758">
        <v>1.7999999999999999E-2</v>
      </c>
      <c r="E758">
        <v>13.55</v>
      </c>
      <c r="F758">
        <v>-1.2200000000000001E-2</v>
      </c>
      <c r="G758" s="2">
        <v>5.1000000000000004E-3</v>
      </c>
      <c r="H758">
        <v>30</v>
      </c>
      <c r="I758" s="2">
        <v>3.3300000000000001E-3</v>
      </c>
      <c r="K758" t="str">
        <f t="shared" si="90"/>
        <v xml:space="preserve">    - 5.000</v>
      </c>
      <c r="L758" t="str">
        <f t="shared" si="91"/>
        <v xml:space="preserve">    - [1.554, 0.939, 0.018, 13.55, -0.0122]</v>
      </c>
      <c r="O758">
        <f>A758-'DLC Buildup Factors'!G740</f>
        <v>0</v>
      </c>
      <c r="P758">
        <f>B758-'DLC Buildup Factors'!H740</f>
        <v>0</v>
      </c>
      <c r="Q758">
        <f>C758-'DLC Buildup Factors'!I740</f>
        <v>0</v>
      </c>
      <c r="R758">
        <f>D758-'DLC Buildup Factors'!J740</f>
        <v>0</v>
      </c>
      <c r="S758">
        <f>E758-'DLC Buildup Factors'!K740</f>
        <v>0</v>
      </c>
      <c r="T758">
        <f>F758-'DLC Buildup Factors'!L740</f>
        <v>0</v>
      </c>
      <c r="U758">
        <f>G758-'DLC Buildup Factors'!M740</f>
        <v>0</v>
      </c>
      <c r="V758">
        <f>H758-'DLC Buildup Factors'!N740</f>
        <v>0</v>
      </c>
      <c r="W758">
        <f>I758-'DLC Buildup Factors'!O740</f>
        <v>0</v>
      </c>
    </row>
    <row r="759" spans="1:23">
      <c r="A759" s="10">
        <v>6</v>
      </c>
      <c r="B759">
        <v>1.5069999999999999</v>
      </c>
      <c r="C759">
        <v>0.90300000000000002</v>
      </c>
      <c r="D759">
        <v>2.9000000000000001E-2</v>
      </c>
      <c r="E759">
        <v>16.13</v>
      </c>
      <c r="F759">
        <v>-2.7199999999999998E-2</v>
      </c>
      <c r="G759" s="2">
        <v>8.5000000000000006E-3</v>
      </c>
      <c r="H759">
        <v>25</v>
      </c>
      <c r="I759" s="2">
        <v>4.7499999999999999E-3</v>
      </c>
      <c r="K759" t="str">
        <f t="shared" si="90"/>
        <v xml:space="preserve">    - 6.000</v>
      </c>
      <c r="L759" t="str">
        <f t="shared" si="91"/>
        <v xml:space="preserve">    - [1.507, 0.903, 0.029, 16.13, -0.0272]</v>
      </c>
      <c r="O759">
        <f>A759-'DLC Buildup Factors'!G741</f>
        <v>0</v>
      </c>
      <c r="P759">
        <f>B759-'DLC Buildup Factors'!H741</f>
        <v>0</v>
      </c>
      <c r="Q759">
        <f>C759-'DLC Buildup Factors'!I741</f>
        <v>0</v>
      </c>
      <c r="R759">
        <f>D759-'DLC Buildup Factors'!J741</f>
        <v>0</v>
      </c>
      <c r="S759">
        <f>E759-'DLC Buildup Factors'!K741</f>
        <v>0</v>
      </c>
      <c r="T759">
        <f>F759-'DLC Buildup Factors'!L741</f>
        <v>0</v>
      </c>
      <c r="U759">
        <f>G759-'DLC Buildup Factors'!M741</f>
        <v>0</v>
      </c>
      <c r="V759">
        <f>H759-'DLC Buildup Factors'!N741</f>
        <v>0</v>
      </c>
      <c r="W759">
        <f>I759-'DLC Buildup Factors'!O741</f>
        <v>0</v>
      </c>
    </row>
    <row r="760" spans="1:23">
      <c r="A760" s="10">
        <v>8</v>
      </c>
      <c r="B760">
        <v>1.4219999999999999</v>
      </c>
      <c r="C760">
        <v>0.879</v>
      </c>
      <c r="D760">
        <v>3.5000000000000003E-2</v>
      </c>
      <c r="E760">
        <v>13.36</v>
      </c>
      <c r="F760">
        <v>-1.9099999999999999E-2</v>
      </c>
      <c r="G760" s="2">
        <v>8.8999999999999999E-3</v>
      </c>
      <c r="H760">
        <v>0.5</v>
      </c>
      <c r="I760" s="2">
        <v>4.45E-3</v>
      </c>
      <c r="K760" t="str">
        <f t="shared" si="90"/>
        <v xml:space="preserve">    - 8.000</v>
      </c>
      <c r="L760" t="str">
        <f t="shared" si="91"/>
        <v xml:space="preserve">    - [1.422, 0.879, 0.035, 13.36, -0.0191]</v>
      </c>
      <c r="O760">
        <f>A760-'DLC Buildup Factors'!G742</f>
        <v>0</v>
      </c>
      <c r="P760">
        <f>B760-'DLC Buildup Factors'!H742</f>
        <v>0</v>
      </c>
      <c r="Q760">
        <f>C760-'DLC Buildup Factors'!I742</f>
        <v>0</v>
      </c>
      <c r="R760">
        <f>D760-'DLC Buildup Factors'!J742</f>
        <v>0</v>
      </c>
      <c r="S760">
        <f>E760-'DLC Buildup Factors'!K742</f>
        <v>0</v>
      </c>
      <c r="T760">
        <f>F760-'DLC Buildup Factors'!L742</f>
        <v>0</v>
      </c>
      <c r="U760">
        <f>G760-'DLC Buildup Factors'!M742</f>
        <v>0</v>
      </c>
      <c r="V760">
        <f>H760-'DLC Buildup Factors'!N742</f>
        <v>0</v>
      </c>
      <c r="W760">
        <f>I760-'DLC Buildup Factors'!O742</f>
        <v>0</v>
      </c>
    </row>
    <row r="761" spans="1:23">
      <c r="A761" s="10">
        <v>10</v>
      </c>
      <c r="B761">
        <v>1.3620000000000001</v>
      </c>
      <c r="C761">
        <v>0.85899999999999999</v>
      </c>
      <c r="D761">
        <v>4.2000000000000003E-2</v>
      </c>
      <c r="E761">
        <v>13.37</v>
      </c>
      <c r="F761">
        <v>-2.47E-2</v>
      </c>
      <c r="G761" s="2">
        <v>8.9999999999999993E-3</v>
      </c>
      <c r="H761">
        <v>0.5</v>
      </c>
      <c r="I761" s="2">
        <v>4.5300000000000002E-3</v>
      </c>
      <c r="K761" t="str">
        <f t="shared" si="90"/>
        <v xml:space="preserve">    - 10.000</v>
      </c>
      <c r="L761" t="str">
        <f t="shared" si="91"/>
        <v xml:space="preserve">    - [1.362, 0.859, 0.042, 13.37, -0.0247]</v>
      </c>
      <c r="O761">
        <f>A761-'DLC Buildup Factors'!G743</f>
        <v>0</v>
      </c>
      <c r="P761">
        <f>B761-'DLC Buildup Factors'!H743</f>
        <v>0</v>
      </c>
      <c r="Q761">
        <f>C761-'DLC Buildup Factors'!I743</f>
        <v>0</v>
      </c>
      <c r="R761">
        <f>D761-'DLC Buildup Factors'!J743</f>
        <v>0</v>
      </c>
      <c r="S761">
        <f>E761-'DLC Buildup Factors'!K743</f>
        <v>0</v>
      </c>
      <c r="T761">
        <f>F761-'DLC Buildup Factors'!L743</f>
        <v>0</v>
      </c>
      <c r="U761">
        <f>G761-'DLC Buildup Factors'!M743</f>
        <v>0</v>
      </c>
      <c r="V761">
        <f>H761-'DLC Buildup Factors'!N743</f>
        <v>0</v>
      </c>
      <c r="W761">
        <f>I761-'DLC Buildup Factors'!O743</f>
        <v>0</v>
      </c>
    </row>
    <row r="762" spans="1:23">
      <c r="A762" s="10">
        <v>15</v>
      </c>
      <c r="B762">
        <v>1.2669999999999999</v>
      </c>
      <c r="C762">
        <v>0.84299999999999997</v>
      </c>
      <c r="D762">
        <v>4.7E-2</v>
      </c>
      <c r="E762">
        <v>15.08</v>
      </c>
      <c r="F762">
        <v>-3.3599999999999998E-2</v>
      </c>
      <c r="G762" s="2">
        <v>1.0200000000000001E-2</v>
      </c>
      <c r="H762">
        <v>1</v>
      </c>
      <c r="I762" s="2">
        <v>6.0400000000000002E-3</v>
      </c>
      <c r="K762" t="str">
        <f t="shared" si="90"/>
        <v xml:space="preserve">    - 15.000</v>
      </c>
      <c r="L762" t="str">
        <f t="shared" si="91"/>
        <v xml:space="preserve">    - [1.267, 0.843, 0.047, 15.08, -0.0336]</v>
      </c>
      <c r="O762">
        <f>A762-'DLC Buildup Factors'!G744</f>
        <v>0</v>
      </c>
      <c r="P762">
        <f>B762-'DLC Buildup Factors'!H744</f>
        <v>0</v>
      </c>
      <c r="Q762">
        <f>C762-'DLC Buildup Factors'!I744</f>
        <v>0</v>
      </c>
      <c r="R762">
        <f>D762-'DLC Buildup Factors'!J744</f>
        <v>0</v>
      </c>
      <c r="S762">
        <f>E762-'DLC Buildup Factors'!K744</f>
        <v>0</v>
      </c>
      <c r="T762">
        <f>F762-'DLC Buildup Factors'!L744</f>
        <v>0</v>
      </c>
      <c r="U762">
        <f>G762-'DLC Buildup Factors'!M744</f>
        <v>0</v>
      </c>
      <c r="V762">
        <f>H762-'DLC Buildup Factors'!N744</f>
        <v>0</v>
      </c>
      <c r="W762">
        <f>I762-'DLC Buildup Factors'!O744</f>
        <v>0</v>
      </c>
    </row>
    <row r="763" spans="1:23">
      <c r="A763" s="10"/>
    </row>
    <row r="764" spans="1:23">
      <c r="A764" s="10" t="s">
        <v>1526</v>
      </c>
    </row>
    <row r="765" spans="1:23">
      <c r="A765" s="10" t="s">
        <v>18</v>
      </c>
    </row>
    <row r="766" spans="1:23">
      <c r="A766" t="s">
        <v>0</v>
      </c>
      <c r="B766" t="s">
        <v>10</v>
      </c>
      <c r="C766" t="s">
        <v>11</v>
      </c>
      <c r="D766" t="s">
        <v>12</v>
      </c>
      <c r="E766" t="s">
        <v>15</v>
      </c>
      <c r="F766" t="s">
        <v>13</v>
      </c>
      <c r="G766" t="s">
        <v>16</v>
      </c>
      <c r="H766" t="s">
        <v>17</v>
      </c>
      <c r="I766" t="s">
        <v>14</v>
      </c>
    </row>
    <row r="767" spans="1:23">
      <c r="A767" s="10">
        <v>1.4999999999999999E-2</v>
      </c>
      <c r="B767">
        <v>1.17</v>
      </c>
      <c r="C767">
        <v>0.45900000000000002</v>
      </c>
      <c r="D767">
        <v>0.17499999999999999</v>
      </c>
      <c r="E767">
        <v>13.73</v>
      </c>
      <c r="F767">
        <v>-8.6199999999999999E-2</v>
      </c>
      <c r="G767" s="2">
        <v>1.4500000000000001E-2</v>
      </c>
      <c r="H767">
        <v>0.5</v>
      </c>
      <c r="I767" s="2">
        <v>5.1200000000000004E-3</v>
      </c>
      <c r="K767" t="str">
        <f t="shared" ref="K767" si="92">CONCATENATE("    - ",TEXT(A767,"0.000"))</f>
        <v xml:space="preserve">    - 0.015</v>
      </c>
      <c r="L767" t="str">
        <f t="shared" ref="L767" si="93">CONCATENATE("    - [",TEXT(B767,"0.000"),", ",TEXT(C767,"0.000"),", ",TEXT(D767,"0.000"),", ",TEXT(E767,"0.00"),", ",TEXT(F767,"0.0000"),"]")</f>
        <v xml:space="preserve">    - [1.170, 0.459, 0.175, 13.73, -0.0862]</v>
      </c>
      <c r="O767">
        <f>A767-'DLC Buildup Factors'!G782</f>
        <v>0</v>
      </c>
      <c r="P767">
        <f>B767-'DLC Buildup Factors'!H782</f>
        <v>0</v>
      </c>
      <c r="Q767">
        <f>C767-'DLC Buildup Factors'!I782</f>
        <v>0</v>
      </c>
      <c r="R767">
        <f>D767-'DLC Buildup Factors'!J782</f>
        <v>0</v>
      </c>
      <c r="S767">
        <f>E767-'DLC Buildup Factors'!K782</f>
        <v>0</v>
      </c>
      <c r="T767">
        <f>F767-'DLC Buildup Factors'!L782</f>
        <v>0</v>
      </c>
      <c r="U767">
        <f>G767-'DLC Buildup Factors'!M782</f>
        <v>0</v>
      </c>
      <c r="V767">
        <f>H767-'DLC Buildup Factors'!N782</f>
        <v>0</v>
      </c>
      <c r="W767">
        <f>I767-'DLC Buildup Factors'!O782</f>
        <v>0</v>
      </c>
    </row>
    <row r="768" spans="1:23">
      <c r="A768" s="10">
        <v>0.02</v>
      </c>
      <c r="B768">
        <v>1.407</v>
      </c>
      <c r="C768">
        <v>0.51200000000000001</v>
      </c>
      <c r="D768">
        <v>0.161</v>
      </c>
      <c r="E768">
        <v>14.4</v>
      </c>
      <c r="F768">
        <v>-8.1900000000000001E-2</v>
      </c>
      <c r="G768" s="2">
        <v>2.1499999999999998E-2</v>
      </c>
      <c r="H768">
        <v>0.5</v>
      </c>
      <c r="I768" s="2">
        <v>8.3000000000000001E-3</v>
      </c>
      <c r="K768" t="str">
        <f t="shared" ref="K768:K791" si="94">CONCATENATE("    - ",TEXT(A768,"0.000"))</f>
        <v xml:space="preserve">    - 0.020</v>
      </c>
      <c r="L768" t="str">
        <f t="shared" ref="L768:L791" si="95">CONCATENATE("    - [",TEXT(B768,"0.000"),", ",TEXT(C768,"0.000"),", ",TEXT(D768,"0.000"),", ",TEXT(E768,"0.00"),", ",TEXT(F768,"0.0000"),"]")</f>
        <v xml:space="preserve">    - [1.407, 0.512, 0.161, 14.40, -0.0819]</v>
      </c>
      <c r="O768">
        <f>A768-'DLC Buildup Factors'!G783</f>
        <v>0</v>
      </c>
      <c r="P768">
        <f>B768-'DLC Buildup Factors'!H783</f>
        <v>0</v>
      </c>
      <c r="Q768">
        <f>C768-'DLC Buildup Factors'!I783</f>
        <v>0</v>
      </c>
      <c r="R768">
        <f>D768-'DLC Buildup Factors'!J783</f>
        <v>0</v>
      </c>
      <c r="S768">
        <f>E768-'DLC Buildup Factors'!K783</f>
        <v>0</v>
      </c>
      <c r="T768">
        <f>F768-'DLC Buildup Factors'!L783</f>
        <v>0</v>
      </c>
      <c r="U768">
        <f>G768-'DLC Buildup Factors'!M783</f>
        <v>0</v>
      </c>
      <c r="V768">
        <f>H768-'DLC Buildup Factors'!N783</f>
        <v>0</v>
      </c>
      <c r="W768">
        <f>I768-'DLC Buildup Factors'!O783</f>
        <v>0</v>
      </c>
    </row>
    <row r="769" spans="1:23">
      <c r="A769" s="10">
        <v>0.03</v>
      </c>
      <c r="B769">
        <v>2.2919999999999998</v>
      </c>
      <c r="C769">
        <v>0.69299999999999995</v>
      </c>
      <c r="D769">
        <v>0.10199999999999999</v>
      </c>
      <c r="E769">
        <v>13.34</v>
      </c>
      <c r="F769">
        <v>-4.8399999999999999E-2</v>
      </c>
      <c r="G769" s="2">
        <v>2.4799999999999999E-2</v>
      </c>
      <c r="H769">
        <v>0.5</v>
      </c>
      <c r="I769" s="2">
        <v>1.24E-2</v>
      </c>
      <c r="K769" t="str">
        <f t="shared" si="94"/>
        <v xml:space="preserve">    - 0.030</v>
      </c>
      <c r="L769" t="str">
        <f t="shared" si="95"/>
        <v xml:space="preserve">    - [2.292, 0.693, 0.102, 13.34, -0.0484]</v>
      </c>
      <c r="O769">
        <f>A769-'DLC Buildup Factors'!G784</f>
        <v>0</v>
      </c>
      <c r="P769">
        <f>B769-'DLC Buildup Factors'!H784</f>
        <v>0</v>
      </c>
      <c r="Q769">
        <f>C769-'DLC Buildup Factors'!I784</f>
        <v>0</v>
      </c>
      <c r="R769">
        <f>D769-'DLC Buildup Factors'!J784</f>
        <v>0</v>
      </c>
      <c r="S769">
        <f>E769-'DLC Buildup Factors'!K784</f>
        <v>0</v>
      </c>
      <c r="T769">
        <f>F769-'DLC Buildup Factors'!L784</f>
        <v>0</v>
      </c>
      <c r="U769">
        <f>G769-'DLC Buildup Factors'!M784</f>
        <v>0</v>
      </c>
      <c r="V769">
        <f>H769-'DLC Buildup Factors'!N784</f>
        <v>0</v>
      </c>
      <c r="W769">
        <f>I769-'DLC Buildup Factors'!O784</f>
        <v>0</v>
      </c>
    </row>
    <row r="770" spans="1:23">
      <c r="A770" s="10">
        <v>0.04</v>
      </c>
      <c r="B770">
        <v>3.39</v>
      </c>
      <c r="C770">
        <v>1.052</v>
      </c>
      <c r="D770">
        <v>-4.0000000000000001E-3</v>
      </c>
      <c r="E770">
        <v>19.760000000000002</v>
      </c>
      <c r="F770">
        <v>-6.7999999999999996E-3</v>
      </c>
      <c r="G770" s="2">
        <v>9.4999999999999998E-3</v>
      </c>
      <c r="H770">
        <v>0.5</v>
      </c>
      <c r="I770" s="2">
        <v>3.8300000000000001E-3</v>
      </c>
      <c r="K770" t="str">
        <f t="shared" si="94"/>
        <v xml:space="preserve">    - 0.040</v>
      </c>
      <c r="L770" t="str">
        <f t="shared" si="95"/>
        <v xml:space="preserve">    - [3.390, 1.052, -0.004, 19.76, -0.0068]</v>
      </c>
      <c r="O770">
        <f>A770-'DLC Buildup Factors'!G785</f>
        <v>0</v>
      </c>
      <c r="P770">
        <f>B770-'DLC Buildup Factors'!H785</f>
        <v>0</v>
      </c>
      <c r="Q770">
        <f>C770-'DLC Buildup Factors'!I785</f>
        <v>0</v>
      </c>
      <c r="R770">
        <f>D770-'DLC Buildup Factors'!J785</f>
        <v>0</v>
      </c>
      <c r="S770">
        <f>E770-'DLC Buildup Factors'!K785</f>
        <v>0</v>
      </c>
      <c r="T770">
        <f>F770-'DLC Buildup Factors'!L785</f>
        <v>0</v>
      </c>
      <c r="U770">
        <f>G770-'DLC Buildup Factors'!M785</f>
        <v>0</v>
      </c>
      <c r="V770">
        <f>H770-'DLC Buildup Factors'!N785</f>
        <v>0</v>
      </c>
      <c r="W770">
        <f>I770-'DLC Buildup Factors'!O785</f>
        <v>0</v>
      </c>
    </row>
    <row r="771" spans="1:23">
      <c r="A771" s="10">
        <v>0.05</v>
      </c>
      <c r="B771">
        <v>4.3220000000000001</v>
      </c>
      <c r="C771">
        <v>1.383</v>
      </c>
      <c r="D771">
        <v>-7.0999999999999994E-2</v>
      </c>
      <c r="E771">
        <v>13.51</v>
      </c>
      <c r="F771">
        <v>2.7E-2</v>
      </c>
      <c r="G771" s="2">
        <v>1.1900000000000001E-2</v>
      </c>
      <c r="H771">
        <v>4</v>
      </c>
      <c r="I771" s="2">
        <v>7.8200000000000006E-3</v>
      </c>
      <c r="K771" t="str">
        <f t="shared" si="94"/>
        <v xml:space="preserve">    - 0.050</v>
      </c>
      <c r="L771" t="str">
        <f t="shared" si="95"/>
        <v xml:space="preserve">    - [4.322, 1.383, -0.071, 13.51, 0.0270]</v>
      </c>
      <c r="O771">
        <f>A771-'DLC Buildup Factors'!G786</f>
        <v>0</v>
      </c>
      <c r="P771">
        <f>B771-'DLC Buildup Factors'!H786</f>
        <v>0</v>
      </c>
      <c r="Q771">
        <f>C771-'DLC Buildup Factors'!I786</f>
        <v>0</v>
      </c>
      <c r="R771">
        <f>D771-'DLC Buildup Factors'!J786</f>
        <v>0</v>
      </c>
      <c r="S771">
        <f>E771-'DLC Buildup Factors'!K786</f>
        <v>0</v>
      </c>
      <c r="T771">
        <f>F771-'DLC Buildup Factors'!L786</f>
        <v>0</v>
      </c>
      <c r="U771">
        <f>G771-'DLC Buildup Factors'!M786</f>
        <v>0</v>
      </c>
      <c r="V771">
        <f>H771-'DLC Buildup Factors'!N786</f>
        <v>0</v>
      </c>
      <c r="W771">
        <f>I771-'DLC Buildup Factors'!O786</f>
        <v>0</v>
      </c>
    </row>
    <row r="772" spans="1:23">
      <c r="A772" s="10">
        <v>0.06</v>
      </c>
      <c r="B772">
        <v>4.8369999999999997</v>
      </c>
      <c r="C772">
        <v>1.653</v>
      </c>
      <c r="D772">
        <v>-0.115</v>
      </c>
      <c r="E772">
        <v>13.66</v>
      </c>
      <c r="F772">
        <v>5.11E-2</v>
      </c>
      <c r="G772" s="2">
        <v>2.3699999999999999E-2</v>
      </c>
      <c r="H772">
        <v>0.5</v>
      </c>
      <c r="I772" s="2">
        <v>1.422E-2</v>
      </c>
      <c r="K772" t="str">
        <f t="shared" si="94"/>
        <v xml:space="preserve">    - 0.060</v>
      </c>
      <c r="L772" t="str">
        <f t="shared" si="95"/>
        <v xml:space="preserve">    - [4.837, 1.653, -0.115, 13.66, 0.0511]</v>
      </c>
      <c r="O772">
        <f>A772-'DLC Buildup Factors'!G787</f>
        <v>0</v>
      </c>
      <c r="P772">
        <f>B772-'DLC Buildup Factors'!H787</f>
        <v>0</v>
      </c>
      <c r="Q772">
        <f>C772-'DLC Buildup Factors'!I787</f>
        <v>0</v>
      </c>
      <c r="R772">
        <f>D772-'DLC Buildup Factors'!J787</f>
        <v>0</v>
      </c>
      <c r="S772">
        <f>E772-'DLC Buildup Factors'!K787</f>
        <v>0</v>
      </c>
      <c r="T772">
        <f>F772-'DLC Buildup Factors'!L787</f>
        <v>0</v>
      </c>
      <c r="U772">
        <f>G772-'DLC Buildup Factors'!M787</f>
        <v>0</v>
      </c>
      <c r="V772">
        <f>H772-'DLC Buildup Factors'!N787</f>
        <v>0</v>
      </c>
      <c r="W772">
        <f>I772-'DLC Buildup Factors'!O787</f>
        <v>0</v>
      </c>
    </row>
    <row r="773" spans="1:23">
      <c r="A773" s="10">
        <v>0.08</v>
      </c>
      <c r="B773">
        <v>4.9290000000000003</v>
      </c>
      <c r="C773">
        <v>1.9830000000000001</v>
      </c>
      <c r="D773">
        <v>-0.159</v>
      </c>
      <c r="E773">
        <v>13.74</v>
      </c>
      <c r="F773">
        <v>7.2999999999999995E-2</v>
      </c>
      <c r="G773" s="2">
        <v>2.7300000000000001E-2</v>
      </c>
      <c r="H773">
        <v>10</v>
      </c>
      <c r="I773" s="2">
        <v>1.9089999999999999E-2</v>
      </c>
      <c r="K773" t="str">
        <f t="shared" si="94"/>
        <v xml:space="preserve">    - 0.080</v>
      </c>
      <c r="L773" t="str">
        <f t="shared" si="95"/>
        <v xml:space="preserve">    - [4.929, 1.983, -0.159, 13.74, 0.0730]</v>
      </c>
      <c r="O773">
        <f>A773-'DLC Buildup Factors'!G788</f>
        <v>0</v>
      </c>
      <c r="P773">
        <f>B773-'DLC Buildup Factors'!H788</f>
        <v>0</v>
      </c>
      <c r="Q773">
        <f>C773-'DLC Buildup Factors'!I788</f>
        <v>0</v>
      </c>
      <c r="R773">
        <f>D773-'DLC Buildup Factors'!J788</f>
        <v>0</v>
      </c>
      <c r="S773">
        <f>E773-'DLC Buildup Factors'!K788</f>
        <v>0</v>
      </c>
      <c r="T773">
        <f>F773-'DLC Buildup Factors'!L788</f>
        <v>0</v>
      </c>
      <c r="U773">
        <f>G773-'DLC Buildup Factors'!M788</f>
        <v>0</v>
      </c>
      <c r="V773">
        <f>H773-'DLC Buildup Factors'!N788</f>
        <v>0</v>
      </c>
      <c r="W773">
        <f>I773-'DLC Buildup Factors'!O788</f>
        <v>0</v>
      </c>
    </row>
    <row r="774" spans="1:23">
      <c r="A774" s="10">
        <v>0.1</v>
      </c>
      <c r="B774">
        <v>4.58</v>
      </c>
      <c r="C774">
        <v>2.1459999999999999</v>
      </c>
      <c r="D774">
        <v>-0.17799999999999999</v>
      </c>
      <c r="E774">
        <v>12.83</v>
      </c>
      <c r="F774">
        <v>7.5899999999999995E-2</v>
      </c>
      <c r="G774" s="2">
        <v>2.69E-2</v>
      </c>
      <c r="H774">
        <v>1</v>
      </c>
      <c r="I774" s="2">
        <v>1.7330000000000002E-2</v>
      </c>
      <c r="K774" t="str">
        <f t="shared" si="94"/>
        <v xml:space="preserve">    - 0.100</v>
      </c>
      <c r="L774" t="str">
        <f t="shared" si="95"/>
        <v xml:space="preserve">    - [4.580, 2.146, -0.178, 12.83, 0.0759]</v>
      </c>
      <c r="O774">
        <f>A774-'DLC Buildup Factors'!G789</f>
        <v>0</v>
      </c>
      <c r="P774">
        <f>B774-'DLC Buildup Factors'!H789</f>
        <v>0</v>
      </c>
      <c r="Q774">
        <f>C774-'DLC Buildup Factors'!I789</f>
        <v>0</v>
      </c>
      <c r="R774">
        <f>D774-'DLC Buildup Factors'!J789</f>
        <v>0</v>
      </c>
      <c r="S774">
        <f>E774-'DLC Buildup Factors'!K789</f>
        <v>0</v>
      </c>
      <c r="T774">
        <f>F774-'DLC Buildup Factors'!L789</f>
        <v>0</v>
      </c>
      <c r="U774">
        <f>G774-'DLC Buildup Factors'!M789</f>
        <v>0</v>
      </c>
      <c r="V774">
        <f>H774-'DLC Buildup Factors'!N789</f>
        <v>0</v>
      </c>
      <c r="W774">
        <f>I774-'DLC Buildup Factors'!O789</f>
        <v>0</v>
      </c>
    </row>
    <row r="775" spans="1:23">
      <c r="A775" s="10">
        <v>0.15</v>
      </c>
      <c r="B775">
        <v>3.8940000000000001</v>
      </c>
      <c r="C775">
        <v>2.1480000000000001</v>
      </c>
      <c r="D775">
        <v>-0.17299999999999999</v>
      </c>
      <c r="E775">
        <v>14.46</v>
      </c>
      <c r="F775">
        <v>6.9800000000000001E-2</v>
      </c>
      <c r="G775" s="2">
        <v>2.5100000000000001E-2</v>
      </c>
      <c r="H775">
        <v>35</v>
      </c>
      <c r="I775" s="2">
        <v>1.506E-2</v>
      </c>
      <c r="K775" t="str">
        <f t="shared" si="94"/>
        <v xml:space="preserve">    - 0.150</v>
      </c>
      <c r="L775" t="str">
        <f t="shared" si="95"/>
        <v xml:space="preserve">    - [3.894, 2.148, -0.173, 14.46, 0.0698]</v>
      </c>
      <c r="O775">
        <f>A775-'DLC Buildup Factors'!G790</f>
        <v>0</v>
      </c>
      <c r="P775">
        <f>B775-'DLC Buildup Factors'!H790</f>
        <v>0</v>
      </c>
      <c r="Q775">
        <f>C775-'DLC Buildup Factors'!I790</f>
        <v>0</v>
      </c>
      <c r="R775">
        <f>D775-'DLC Buildup Factors'!J790</f>
        <v>0</v>
      </c>
      <c r="S775">
        <f>E775-'DLC Buildup Factors'!K790</f>
        <v>0</v>
      </c>
      <c r="T775">
        <f>F775-'DLC Buildup Factors'!L790</f>
        <v>0</v>
      </c>
      <c r="U775">
        <f>G775-'DLC Buildup Factors'!M790</f>
        <v>0</v>
      </c>
      <c r="V775">
        <f>H775-'DLC Buildup Factors'!N790</f>
        <v>0</v>
      </c>
      <c r="W775">
        <f>I775-'DLC Buildup Factors'!O790</f>
        <v>0</v>
      </c>
    </row>
    <row r="776" spans="1:23">
      <c r="A776" s="10">
        <v>0.2</v>
      </c>
      <c r="B776">
        <v>3.3450000000000002</v>
      </c>
      <c r="C776">
        <v>2.1469999999999998</v>
      </c>
      <c r="D776">
        <v>-0.17599999999999999</v>
      </c>
      <c r="E776">
        <v>14.08</v>
      </c>
      <c r="F776">
        <v>7.1900000000000006E-2</v>
      </c>
      <c r="G776" s="2">
        <v>2.5100000000000001E-2</v>
      </c>
      <c r="H776">
        <v>35</v>
      </c>
      <c r="I776" s="2">
        <v>1.54E-2</v>
      </c>
      <c r="K776" t="str">
        <f t="shared" si="94"/>
        <v xml:space="preserve">    - 0.200</v>
      </c>
      <c r="L776" t="str">
        <f t="shared" si="95"/>
        <v xml:space="preserve">    - [3.345, 2.147, -0.176, 14.08, 0.0719]</v>
      </c>
      <c r="O776">
        <f>A776-'DLC Buildup Factors'!G791</f>
        <v>0</v>
      </c>
      <c r="P776">
        <f>B776-'DLC Buildup Factors'!H791</f>
        <v>0</v>
      </c>
      <c r="Q776">
        <f>C776-'DLC Buildup Factors'!I791</f>
        <v>0</v>
      </c>
      <c r="R776">
        <f>D776-'DLC Buildup Factors'!J791</f>
        <v>0</v>
      </c>
      <c r="S776">
        <f>E776-'DLC Buildup Factors'!K791</f>
        <v>0</v>
      </c>
      <c r="T776">
        <f>F776-'DLC Buildup Factors'!L791</f>
        <v>0</v>
      </c>
      <c r="U776">
        <f>G776-'DLC Buildup Factors'!M791</f>
        <v>0</v>
      </c>
      <c r="V776">
        <f>H776-'DLC Buildup Factors'!N791</f>
        <v>0</v>
      </c>
      <c r="W776">
        <f>I776-'DLC Buildup Factors'!O791</f>
        <v>0</v>
      </c>
    </row>
    <row r="777" spans="1:23">
      <c r="A777" s="10">
        <v>0.3</v>
      </c>
      <c r="B777">
        <v>2.887</v>
      </c>
      <c r="C777">
        <v>1.99</v>
      </c>
      <c r="D777">
        <v>-0.16</v>
      </c>
      <c r="E777">
        <v>14.13</v>
      </c>
      <c r="F777">
        <v>6.3299999999999995E-2</v>
      </c>
      <c r="G777" s="2">
        <v>2.29E-2</v>
      </c>
      <c r="H777">
        <v>25</v>
      </c>
      <c r="I777" s="2">
        <v>1.4500000000000001E-2</v>
      </c>
      <c r="K777" t="str">
        <f t="shared" si="94"/>
        <v xml:space="preserve">    - 0.300</v>
      </c>
      <c r="L777" t="str">
        <f t="shared" si="95"/>
        <v xml:space="preserve">    - [2.887, 1.990, -0.160, 14.13, 0.0633]</v>
      </c>
      <c r="O777">
        <f>A777-'DLC Buildup Factors'!G792</f>
        <v>0</v>
      </c>
      <c r="P777">
        <f>B777-'DLC Buildup Factors'!H792</f>
        <v>0</v>
      </c>
      <c r="Q777">
        <f>C777-'DLC Buildup Factors'!I792</f>
        <v>0</v>
      </c>
      <c r="R777">
        <f>D777-'DLC Buildup Factors'!J792</f>
        <v>0</v>
      </c>
      <c r="S777">
        <f>E777-'DLC Buildup Factors'!K792</f>
        <v>0</v>
      </c>
      <c r="T777">
        <f>F777-'DLC Buildup Factors'!L792</f>
        <v>0</v>
      </c>
      <c r="U777">
        <f>G777-'DLC Buildup Factors'!M792</f>
        <v>0</v>
      </c>
      <c r="V777">
        <f>H777-'DLC Buildup Factors'!N792</f>
        <v>0</v>
      </c>
      <c r="W777">
        <f>I777-'DLC Buildup Factors'!O792</f>
        <v>0</v>
      </c>
    </row>
    <row r="778" spans="1:23">
      <c r="A778" s="10">
        <v>0.4</v>
      </c>
      <c r="B778">
        <v>2.6349999999999998</v>
      </c>
      <c r="C778">
        <v>1.86</v>
      </c>
      <c r="D778">
        <v>-0.14599999999999999</v>
      </c>
      <c r="E778">
        <v>14.24</v>
      </c>
      <c r="F778">
        <v>5.8299999999999998E-2</v>
      </c>
      <c r="G778" s="2">
        <v>2.1700000000000001E-2</v>
      </c>
      <c r="H778">
        <v>35</v>
      </c>
      <c r="I778" s="2">
        <v>1.3769999999999999E-2</v>
      </c>
      <c r="K778" t="str">
        <f t="shared" si="94"/>
        <v xml:space="preserve">    - 0.400</v>
      </c>
      <c r="L778" t="str">
        <f t="shared" si="95"/>
        <v xml:space="preserve">    - [2.635, 1.860, -0.146, 14.24, 0.0583]</v>
      </c>
      <c r="O778">
        <f>A778-'DLC Buildup Factors'!G793</f>
        <v>0</v>
      </c>
      <c r="P778">
        <f>B778-'DLC Buildup Factors'!H793</f>
        <v>0</v>
      </c>
      <c r="Q778">
        <f>C778-'DLC Buildup Factors'!I793</f>
        <v>0</v>
      </c>
      <c r="R778">
        <f>D778-'DLC Buildup Factors'!J793</f>
        <v>0</v>
      </c>
      <c r="S778">
        <f>E778-'DLC Buildup Factors'!K793</f>
        <v>0</v>
      </c>
      <c r="T778">
        <f>F778-'DLC Buildup Factors'!L793</f>
        <v>0</v>
      </c>
      <c r="U778">
        <f>G778-'DLC Buildup Factors'!M793</f>
        <v>0</v>
      </c>
      <c r="V778">
        <f>H778-'DLC Buildup Factors'!N793</f>
        <v>0</v>
      </c>
      <c r="W778">
        <f>I778-'DLC Buildup Factors'!O793</f>
        <v>0</v>
      </c>
    </row>
    <row r="779" spans="1:23">
      <c r="A779" s="10">
        <v>0.5</v>
      </c>
      <c r="B779">
        <v>2.496</v>
      </c>
      <c r="C779">
        <v>1.736</v>
      </c>
      <c r="D779">
        <v>-0.13</v>
      </c>
      <c r="E779">
        <v>14.32</v>
      </c>
      <c r="F779">
        <v>5.0500000000000003E-2</v>
      </c>
      <c r="G779" s="2">
        <v>2.3E-2</v>
      </c>
      <c r="H779">
        <v>1</v>
      </c>
      <c r="I779" s="2">
        <v>1.2670000000000001E-2</v>
      </c>
      <c r="K779" t="str">
        <f t="shared" si="94"/>
        <v xml:space="preserve">    - 0.500</v>
      </c>
      <c r="L779" t="str">
        <f t="shared" si="95"/>
        <v xml:space="preserve">    - [2.496, 1.736, -0.130, 14.32, 0.0505]</v>
      </c>
      <c r="O779">
        <f>A779-'DLC Buildup Factors'!G794</f>
        <v>0</v>
      </c>
      <c r="P779">
        <f>B779-'DLC Buildup Factors'!H794</f>
        <v>0</v>
      </c>
      <c r="Q779">
        <f>C779-'DLC Buildup Factors'!I794</f>
        <v>0</v>
      </c>
      <c r="R779">
        <f>D779-'DLC Buildup Factors'!J794</f>
        <v>0</v>
      </c>
      <c r="S779">
        <f>E779-'DLC Buildup Factors'!K794</f>
        <v>0</v>
      </c>
      <c r="T779">
        <f>F779-'DLC Buildup Factors'!L794</f>
        <v>0</v>
      </c>
      <c r="U779">
        <f>G779-'DLC Buildup Factors'!M794</f>
        <v>0</v>
      </c>
      <c r="V779">
        <f>H779-'DLC Buildup Factors'!N794</f>
        <v>0</v>
      </c>
      <c r="W779">
        <f>I779-'DLC Buildup Factors'!O794</f>
        <v>0</v>
      </c>
    </row>
    <row r="780" spans="1:23">
      <c r="A780" s="10">
        <v>0.6</v>
      </c>
      <c r="B780">
        <v>2.371</v>
      </c>
      <c r="C780">
        <v>1.6559999999999999</v>
      </c>
      <c r="D780">
        <v>-0.12</v>
      </c>
      <c r="E780">
        <v>14.27</v>
      </c>
      <c r="F780">
        <v>4.7199999999999999E-2</v>
      </c>
      <c r="G780" s="2">
        <v>1.7999999999999999E-2</v>
      </c>
      <c r="H780">
        <v>25</v>
      </c>
      <c r="I780" s="2">
        <v>1.1979999999999999E-2</v>
      </c>
      <c r="K780" t="str">
        <f t="shared" si="94"/>
        <v xml:space="preserve">    - 0.600</v>
      </c>
      <c r="L780" t="str">
        <f t="shared" si="95"/>
        <v xml:space="preserve">    - [2.371, 1.656, -0.120, 14.27, 0.0472]</v>
      </c>
      <c r="O780">
        <f>A780-'DLC Buildup Factors'!G795</f>
        <v>0</v>
      </c>
      <c r="P780">
        <f>B780-'DLC Buildup Factors'!H795</f>
        <v>0</v>
      </c>
      <c r="Q780">
        <f>C780-'DLC Buildup Factors'!I795</f>
        <v>0</v>
      </c>
      <c r="R780">
        <f>D780-'DLC Buildup Factors'!J795</f>
        <v>0</v>
      </c>
      <c r="S780">
        <f>E780-'DLC Buildup Factors'!K795</f>
        <v>0</v>
      </c>
      <c r="T780">
        <f>F780-'DLC Buildup Factors'!L795</f>
        <v>0</v>
      </c>
      <c r="U780">
        <f>G780-'DLC Buildup Factors'!M795</f>
        <v>0</v>
      </c>
      <c r="V780">
        <f>H780-'DLC Buildup Factors'!N795</f>
        <v>0</v>
      </c>
      <c r="W780">
        <f>I780-'DLC Buildup Factors'!O795</f>
        <v>0</v>
      </c>
    </row>
    <row r="781" spans="1:23">
      <c r="A781" s="10">
        <v>0.8</v>
      </c>
      <c r="B781">
        <v>2.2069999999999999</v>
      </c>
      <c r="C781">
        <v>1.532</v>
      </c>
      <c r="D781">
        <v>-0.10299999999999999</v>
      </c>
      <c r="E781">
        <v>14.12</v>
      </c>
      <c r="F781">
        <v>4.2500000000000003E-2</v>
      </c>
      <c r="G781" s="2">
        <v>1.9199999999999998E-2</v>
      </c>
      <c r="H781">
        <v>0.5</v>
      </c>
      <c r="I781" s="2">
        <v>1.1310000000000001E-2</v>
      </c>
      <c r="K781" t="str">
        <f t="shared" si="94"/>
        <v xml:space="preserve">    - 0.800</v>
      </c>
      <c r="L781" t="str">
        <f t="shared" si="95"/>
        <v xml:space="preserve">    - [2.207, 1.532, -0.103, 14.12, 0.0425]</v>
      </c>
      <c r="O781">
        <f>A781-'DLC Buildup Factors'!G796</f>
        <v>0</v>
      </c>
      <c r="P781">
        <f>B781-'DLC Buildup Factors'!H796</f>
        <v>0</v>
      </c>
      <c r="Q781">
        <f>C781-'DLC Buildup Factors'!I796</f>
        <v>0</v>
      </c>
      <c r="R781">
        <f>D781-'DLC Buildup Factors'!J796</f>
        <v>0</v>
      </c>
      <c r="S781">
        <f>E781-'DLC Buildup Factors'!K796</f>
        <v>0</v>
      </c>
      <c r="T781">
        <f>F781-'DLC Buildup Factors'!L796</f>
        <v>0</v>
      </c>
      <c r="U781">
        <f>G781-'DLC Buildup Factors'!M796</f>
        <v>0</v>
      </c>
      <c r="V781">
        <f>H781-'DLC Buildup Factors'!N796</f>
        <v>0</v>
      </c>
      <c r="W781">
        <f>I781-'DLC Buildup Factors'!O796</f>
        <v>0</v>
      </c>
    </row>
    <row r="782" spans="1:23">
      <c r="A782" s="10">
        <v>1</v>
      </c>
      <c r="B782">
        <v>2.1019999999999999</v>
      </c>
      <c r="C782">
        <v>1.4279999999999999</v>
      </c>
      <c r="D782">
        <v>-8.5999999999999993E-2</v>
      </c>
      <c r="E782">
        <v>14.35</v>
      </c>
      <c r="F782">
        <v>3.44E-2</v>
      </c>
      <c r="G782" s="2">
        <v>1.6299999999999999E-2</v>
      </c>
      <c r="H782">
        <v>0.5</v>
      </c>
      <c r="I782" s="2">
        <v>8.5800000000000008E-3</v>
      </c>
      <c r="K782" t="str">
        <f t="shared" si="94"/>
        <v xml:space="preserve">    - 1.000</v>
      </c>
      <c r="L782" t="str">
        <f t="shared" si="95"/>
        <v xml:space="preserve">    - [2.102, 1.428, -0.086, 14.35, 0.0344]</v>
      </c>
      <c r="O782">
        <f>A782-'DLC Buildup Factors'!G797</f>
        <v>0</v>
      </c>
      <c r="P782">
        <f>B782-'DLC Buildup Factors'!H797</f>
        <v>0</v>
      </c>
      <c r="Q782">
        <f>C782-'DLC Buildup Factors'!I797</f>
        <v>0</v>
      </c>
      <c r="R782">
        <f>D782-'DLC Buildup Factors'!J797</f>
        <v>0</v>
      </c>
      <c r="S782">
        <f>E782-'DLC Buildup Factors'!K797</f>
        <v>0</v>
      </c>
      <c r="T782">
        <f>F782-'DLC Buildup Factors'!L797</f>
        <v>0</v>
      </c>
      <c r="U782">
        <f>G782-'DLC Buildup Factors'!M797</f>
        <v>0</v>
      </c>
      <c r="V782">
        <f>H782-'DLC Buildup Factors'!N797</f>
        <v>0</v>
      </c>
      <c r="W782">
        <f>I782-'DLC Buildup Factors'!O797</f>
        <v>0</v>
      </c>
    </row>
    <row r="783" spans="1:23">
      <c r="A783" s="10">
        <v>1.5</v>
      </c>
      <c r="B783">
        <v>1.9390000000000001</v>
      </c>
      <c r="C783">
        <v>1.2649999999999999</v>
      </c>
      <c r="D783">
        <v>-5.7000000000000002E-2</v>
      </c>
      <c r="E783">
        <v>14.24</v>
      </c>
      <c r="F783">
        <v>2.3199999999999998E-2</v>
      </c>
      <c r="G783" s="2">
        <v>1.2200000000000001E-2</v>
      </c>
      <c r="H783">
        <v>0.5</v>
      </c>
      <c r="I783" s="2">
        <v>6.1000000000000004E-3</v>
      </c>
      <c r="K783" t="str">
        <f t="shared" si="94"/>
        <v xml:space="preserve">    - 1.500</v>
      </c>
      <c r="L783" t="str">
        <f t="shared" si="95"/>
        <v xml:space="preserve">    - [1.939, 1.265, -0.057, 14.24, 0.0232]</v>
      </c>
      <c r="O783">
        <f>A783-'DLC Buildup Factors'!G798</f>
        <v>0</v>
      </c>
      <c r="P783">
        <f>B783-'DLC Buildup Factors'!H798</f>
        <v>0</v>
      </c>
      <c r="Q783">
        <f>C783-'DLC Buildup Factors'!I798</f>
        <v>0</v>
      </c>
      <c r="R783">
        <f>D783-'DLC Buildup Factors'!J798</f>
        <v>0</v>
      </c>
      <c r="S783">
        <f>E783-'DLC Buildup Factors'!K798</f>
        <v>0</v>
      </c>
      <c r="T783">
        <f>F783-'DLC Buildup Factors'!L798</f>
        <v>0</v>
      </c>
      <c r="U783">
        <f>G783-'DLC Buildup Factors'!M798</f>
        <v>0</v>
      </c>
      <c r="V783">
        <f>H783-'DLC Buildup Factors'!N798</f>
        <v>0</v>
      </c>
      <c r="W783">
        <f>I783-'DLC Buildup Factors'!O798</f>
        <v>0</v>
      </c>
    </row>
    <row r="784" spans="1:23">
      <c r="A784" s="10">
        <v>2</v>
      </c>
      <c r="B784">
        <v>1.835</v>
      </c>
      <c r="C784">
        <v>1.173</v>
      </c>
      <c r="D784">
        <v>-3.9E-2</v>
      </c>
      <c r="E784">
        <v>14.07</v>
      </c>
      <c r="F784">
        <v>1.61E-2</v>
      </c>
      <c r="G784" s="2">
        <v>1.3100000000000001E-2</v>
      </c>
      <c r="H784">
        <v>0.5</v>
      </c>
      <c r="I784" s="2">
        <v>5.3400000000000001E-3</v>
      </c>
      <c r="K784" t="str">
        <f t="shared" si="94"/>
        <v xml:space="preserve">    - 2.000</v>
      </c>
      <c r="L784" t="str">
        <f t="shared" si="95"/>
        <v xml:space="preserve">    - [1.835, 1.173, -0.039, 14.07, 0.0161]</v>
      </c>
      <c r="O784">
        <f>A784-'DLC Buildup Factors'!G799</f>
        <v>0</v>
      </c>
      <c r="P784">
        <f>B784-'DLC Buildup Factors'!H799</f>
        <v>0</v>
      </c>
      <c r="Q784">
        <f>C784-'DLC Buildup Factors'!I799</f>
        <v>0</v>
      </c>
      <c r="R784">
        <f>D784-'DLC Buildup Factors'!J799</f>
        <v>0</v>
      </c>
      <c r="S784">
        <f>E784-'DLC Buildup Factors'!K799</f>
        <v>0</v>
      </c>
      <c r="T784">
        <f>F784-'DLC Buildup Factors'!L799</f>
        <v>0</v>
      </c>
      <c r="U784">
        <f>G784-'DLC Buildup Factors'!M799</f>
        <v>0</v>
      </c>
      <c r="V784">
        <f>H784-'DLC Buildup Factors'!N799</f>
        <v>0</v>
      </c>
      <c r="W784">
        <f>I784-'DLC Buildup Factors'!O799</f>
        <v>0</v>
      </c>
    </row>
    <row r="785" spans="1:23">
      <c r="A785" s="10">
        <v>3</v>
      </c>
      <c r="B785">
        <v>1.712</v>
      </c>
      <c r="C785">
        <v>1.0509999999999999</v>
      </c>
      <c r="D785">
        <v>-1.0999999999999999E-2</v>
      </c>
      <c r="E785">
        <v>13.67</v>
      </c>
      <c r="F785">
        <v>2.3999999999999998E-3</v>
      </c>
      <c r="G785" s="2">
        <v>8.0999999999999996E-3</v>
      </c>
      <c r="H785">
        <v>0.5</v>
      </c>
      <c r="I785" s="2">
        <v>2.5400000000000002E-3</v>
      </c>
      <c r="K785" t="str">
        <f t="shared" si="94"/>
        <v xml:space="preserve">    - 3.000</v>
      </c>
      <c r="L785" t="str">
        <f t="shared" si="95"/>
        <v xml:space="preserve">    - [1.712, 1.051, -0.011, 13.67, 0.0024]</v>
      </c>
      <c r="O785">
        <f>A785-'DLC Buildup Factors'!G800</f>
        <v>0</v>
      </c>
      <c r="P785">
        <f>B785-'DLC Buildup Factors'!H800</f>
        <v>0</v>
      </c>
      <c r="Q785">
        <f>C785-'DLC Buildup Factors'!I800</f>
        <v>0</v>
      </c>
      <c r="R785">
        <f>D785-'DLC Buildup Factors'!J800</f>
        <v>0</v>
      </c>
      <c r="S785">
        <f>E785-'DLC Buildup Factors'!K800</f>
        <v>0</v>
      </c>
      <c r="T785">
        <f>F785-'DLC Buildup Factors'!L800</f>
        <v>0</v>
      </c>
      <c r="U785">
        <f>G785-'DLC Buildup Factors'!M800</f>
        <v>0</v>
      </c>
      <c r="V785">
        <f>H785-'DLC Buildup Factors'!N800</f>
        <v>0</v>
      </c>
      <c r="W785">
        <f>I785-'DLC Buildup Factors'!O800</f>
        <v>0</v>
      </c>
    </row>
    <row r="786" spans="1:23">
      <c r="A786" s="10">
        <v>4</v>
      </c>
      <c r="B786">
        <v>1.627</v>
      </c>
      <c r="C786">
        <v>0.98299999999999998</v>
      </c>
      <c r="D786">
        <v>6.0000000000000001E-3</v>
      </c>
      <c r="E786">
        <v>13.51</v>
      </c>
      <c r="F786">
        <v>-5.1000000000000004E-3</v>
      </c>
      <c r="G786" s="2">
        <v>4.4000000000000003E-3</v>
      </c>
      <c r="H786">
        <v>5</v>
      </c>
      <c r="I786" s="2">
        <v>2.5699999999999998E-3</v>
      </c>
      <c r="K786" t="str">
        <f t="shared" si="94"/>
        <v xml:space="preserve">    - 4.000</v>
      </c>
      <c r="L786" t="str">
        <f t="shared" si="95"/>
        <v xml:space="preserve">    - [1.627, 0.983, 0.006, 13.51, -0.0051]</v>
      </c>
      <c r="O786">
        <f>A786-'DLC Buildup Factors'!G801</f>
        <v>0</v>
      </c>
      <c r="P786">
        <f>B786-'DLC Buildup Factors'!H801</f>
        <v>0</v>
      </c>
      <c r="Q786">
        <f>C786-'DLC Buildup Factors'!I801</f>
        <v>0</v>
      </c>
      <c r="R786">
        <f>D786-'DLC Buildup Factors'!J801</f>
        <v>0</v>
      </c>
      <c r="S786">
        <f>E786-'DLC Buildup Factors'!K801</f>
        <v>0</v>
      </c>
      <c r="T786">
        <f>F786-'DLC Buildup Factors'!L801</f>
        <v>0</v>
      </c>
      <c r="U786">
        <f>G786-'DLC Buildup Factors'!M801</f>
        <v>0</v>
      </c>
      <c r="V786">
        <f>H786-'DLC Buildup Factors'!N801</f>
        <v>0</v>
      </c>
      <c r="W786">
        <f>I786-'DLC Buildup Factors'!O801</f>
        <v>0</v>
      </c>
    </row>
    <row r="787" spans="1:23">
      <c r="A787" s="10">
        <v>5</v>
      </c>
      <c r="B787">
        <v>1.5580000000000001</v>
      </c>
      <c r="C787">
        <v>0.94299999999999995</v>
      </c>
      <c r="D787">
        <v>1.7000000000000001E-2</v>
      </c>
      <c r="E787">
        <v>13.82</v>
      </c>
      <c r="F787">
        <v>-1.17E-2</v>
      </c>
      <c r="G787" s="2">
        <v>7.6E-3</v>
      </c>
      <c r="H787">
        <v>1</v>
      </c>
      <c r="I787" s="2">
        <v>3.7100000000000002E-3</v>
      </c>
      <c r="K787" t="str">
        <f t="shared" si="94"/>
        <v xml:space="preserve">    - 5.000</v>
      </c>
      <c r="L787" t="str">
        <f t="shared" si="95"/>
        <v xml:space="preserve">    - [1.558, 0.943, 0.017, 13.82, -0.0117]</v>
      </c>
      <c r="O787">
        <f>A787-'DLC Buildup Factors'!G802</f>
        <v>0</v>
      </c>
      <c r="P787">
        <f>B787-'DLC Buildup Factors'!H802</f>
        <v>0</v>
      </c>
      <c r="Q787">
        <f>C787-'DLC Buildup Factors'!I802</f>
        <v>0</v>
      </c>
      <c r="R787">
        <f>D787-'DLC Buildup Factors'!J802</f>
        <v>0</v>
      </c>
      <c r="S787">
        <f>E787-'DLC Buildup Factors'!K802</f>
        <v>0</v>
      </c>
      <c r="T787">
        <f>F787-'DLC Buildup Factors'!L802</f>
        <v>0</v>
      </c>
      <c r="U787">
        <f>G787-'DLC Buildup Factors'!M802</f>
        <v>0</v>
      </c>
      <c r="V787">
        <f>H787-'DLC Buildup Factors'!N802</f>
        <v>0</v>
      </c>
      <c r="W787">
        <f>I787-'DLC Buildup Factors'!O802</f>
        <v>0</v>
      </c>
    </row>
    <row r="788" spans="1:23">
      <c r="A788" s="10">
        <v>6</v>
      </c>
      <c r="B788">
        <v>1.5049999999999999</v>
      </c>
      <c r="C788">
        <v>0.91500000000000004</v>
      </c>
      <c r="D788">
        <v>2.5000000000000001E-2</v>
      </c>
      <c r="E788">
        <v>16.37</v>
      </c>
      <c r="F788">
        <v>-2.3099999999999999E-2</v>
      </c>
      <c r="G788" s="2">
        <v>9.9000000000000008E-3</v>
      </c>
      <c r="H788">
        <v>1</v>
      </c>
      <c r="I788" s="2">
        <v>5.13E-3</v>
      </c>
      <c r="K788" t="str">
        <f t="shared" si="94"/>
        <v xml:space="preserve">    - 6.000</v>
      </c>
      <c r="L788" t="str">
        <f t="shared" si="95"/>
        <v xml:space="preserve">    - [1.505, 0.915, 0.025, 16.37, -0.0231]</v>
      </c>
      <c r="O788">
        <f>A788-'DLC Buildup Factors'!G803</f>
        <v>0</v>
      </c>
      <c r="P788">
        <f>B788-'DLC Buildup Factors'!H803</f>
        <v>0</v>
      </c>
      <c r="Q788">
        <f>C788-'DLC Buildup Factors'!I803</f>
        <v>0</v>
      </c>
      <c r="R788">
        <f>D788-'DLC Buildup Factors'!J803</f>
        <v>0</v>
      </c>
      <c r="S788">
        <f>E788-'DLC Buildup Factors'!K803</f>
        <v>0</v>
      </c>
      <c r="T788">
        <f>F788-'DLC Buildup Factors'!L803</f>
        <v>0</v>
      </c>
      <c r="U788">
        <f>G788-'DLC Buildup Factors'!M803</f>
        <v>0</v>
      </c>
      <c r="V788">
        <f>H788-'DLC Buildup Factors'!N803</f>
        <v>0</v>
      </c>
      <c r="W788">
        <f>I788-'DLC Buildup Factors'!O803</f>
        <v>0</v>
      </c>
    </row>
    <row r="789" spans="1:23">
      <c r="A789" s="10">
        <v>8</v>
      </c>
      <c r="B789">
        <v>1.4179999999999999</v>
      </c>
      <c r="C789">
        <v>0.89100000000000001</v>
      </c>
      <c r="D789">
        <v>3.2000000000000001E-2</v>
      </c>
      <c r="E789">
        <v>12.06</v>
      </c>
      <c r="F789">
        <v>-1.67E-2</v>
      </c>
      <c r="G789" s="2">
        <v>1.12E-2</v>
      </c>
      <c r="H789">
        <v>0.5</v>
      </c>
      <c r="I789" s="2">
        <v>4.1799999999999997E-3</v>
      </c>
      <c r="K789" t="str">
        <f t="shared" si="94"/>
        <v xml:space="preserve">    - 8.000</v>
      </c>
      <c r="L789" t="str">
        <f t="shared" si="95"/>
        <v xml:space="preserve">    - [1.418, 0.891, 0.032, 12.06, -0.0167]</v>
      </c>
      <c r="O789">
        <f>A789-'DLC Buildup Factors'!G804</f>
        <v>0</v>
      </c>
      <c r="P789">
        <f>B789-'DLC Buildup Factors'!H804</f>
        <v>0</v>
      </c>
      <c r="Q789">
        <f>C789-'DLC Buildup Factors'!I804</f>
        <v>0</v>
      </c>
      <c r="R789">
        <f>D789-'DLC Buildup Factors'!J804</f>
        <v>0</v>
      </c>
      <c r="S789">
        <f>E789-'DLC Buildup Factors'!K804</f>
        <v>0</v>
      </c>
      <c r="T789">
        <f>F789-'DLC Buildup Factors'!L804</f>
        <v>0</v>
      </c>
      <c r="U789">
        <f>G789-'DLC Buildup Factors'!M804</f>
        <v>0</v>
      </c>
      <c r="V789">
        <f>H789-'DLC Buildup Factors'!N804</f>
        <v>0</v>
      </c>
      <c r="W789">
        <f>I789-'DLC Buildup Factors'!O804</f>
        <v>0</v>
      </c>
    </row>
    <row r="790" spans="1:23">
      <c r="A790" s="10">
        <v>10</v>
      </c>
      <c r="B790">
        <v>1.3580000000000001</v>
      </c>
      <c r="C790">
        <v>0.875</v>
      </c>
      <c r="D790">
        <v>3.6999999999999998E-2</v>
      </c>
      <c r="E790">
        <v>14.01</v>
      </c>
      <c r="F790">
        <v>-2.2599999999999999E-2</v>
      </c>
      <c r="G790" s="2">
        <v>1.1599999999999999E-2</v>
      </c>
      <c r="H790">
        <v>0.5</v>
      </c>
      <c r="I790" s="2">
        <v>5.47E-3</v>
      </c>
      <c r="K790" t="str">
        <f t="shared" si="94"/>
        <v xml:space="preserve">    - 10.000</v>
      </c>
      <c r="L790" t="str">
        <f t="shared" si="95"/>
        <v xml:space="preserve">    - [1.358, 0.875, 0.037, 14.01, -0.0226]</v>
      </c>
      <c r="O790">
        <f>A790-'DLC Buildup Factors'!G805</f>
        <v>0</v>
      </c>
      <c r="P790">
        <f>B790-'DLC Buildup Factors'!H805</f>
        <v>0</v>
      </c>
      <c r="Q790">
        <f>C790-'DLC Buildup Factors'!I805</f>
        <v>0</v>
      </c>
      <c r="R790">
        <f>D790-'DLC Buildup Factors'!J805</f>
        <v>0</v>
      </c>
      <c r="S790">
        <f>E790-'DLC Buildup Factors'!K805</f>
        <v>0</v>
      </c>
      <c r="T790">
        <f>F790-'DLC Buildup Factors'!L805</f>
        <v>0</v>
      </c>
      <c r="U790">
        <f>G790-'DLC Buildup Factors'!M805</f>
        <v>0</v>
      </c>
      <c r="V790">
        <f>H790-'DLC Buildup Factors'!N805</f>
        <v>0</v>
      </c>
      <c r="W790">
        <f>I790-'DLC Buildup Factors'!O805</f>
        <v>0</v>
      </c>
    </row>
    <row r="791" spans="1:23">
      <c r="A791" s="10">
        <v>15</v>
      </c>
      <c r="B791">
        <v>1.2669999999999999</v>
      </c>
      <c r="C791">
        <v>0.84399999999999997</v>
      </c>
      <c r="D791">
        <v>4.8000000000000001E-2</v>
      </c>
      <c r="E791">
        <v>14.55</v>
      </c>
      <c r="F791">
        <v>-3.44E-2</v>
      </c>
      <c r="G791" s="2">
        <v>1.0800000000000001E-2</v>
      </c>
      <c r="H791">
        <v>4</v>
      </c>
      <c r="I791" s="2">
        <v>6.5100000000000002E-3</v>
      </c>
      <c r="K791" t="str">
        <f t="shared" si="94"/>
        <v xml:space="preserve">    - 15.000</v>
      </c>
      <c r="L791" t="str">
        <f t="shared" si="95"/>
        <v xml:space="preserve">    - [1.267, 0.844, 0.048, 14.55, -0.0344]</v>
      </c>
      <c r="O791">
        <f>A791-'DLC Buildup Factors'!G806</f>
        <v>0</v>
      </c>
      <c r="P791">
        <f>B791-'DLC Buildup Factors'!H806</f>
        <v>0</v>
      </c>
      <c r="Q791">
        <f>C791-'DLC Buildup Factors'!I806</f>
        <v>0</v>
      </c>
      <c r="R791">
        <f>D791-'DLC Buildup Factors'!J806</f>
        <v>0</v>
      </c>
      <c r="S791">
        <f>E791-'DLC Buildup Factors'!K806</f>
        <v>0</v>
      </c>
      <c r="T791">
        <f>F791-'DLC Buildup Factors'!L806</f>
        <v>0</v>
      </c>
      <c r="U791">
        <f>G791-'DLC Buildup Factors'!M806</f>
        <v>0</v>
      </c>
      <c r="V791">
        <f>H791-'DLC Buildup Factors'!N806</f>
        <v>0</v>
      </c>
      <c r="W791">
        <f>I791-'DLC Buildup Factors'!O806</f>
        <v>0</v>
      </c>
    </row>
    <row r="792" spans="1:23">
      <c r="A792" s="10"/>
    </row>
    <row r="793" spans="1:23">
      <c r="A793" s="10" t="s">
        <v>1525</v>
      </c>
    </row>
    <row r="794" spans="1:23">
      <c r="A794" s="10" t="s">
        <v>20</v>
      </c>
    </row>
    <row r="795" spans="1:23">
      <c r="A795" t="s">
        <v>0</v>
      </c>
      <c r="B795" t="s">
        <v>10</v>
      </c>
      <c r="C795" t="s">
        <v>11</v>
      </c>
      <c r="D795" t="s">
        <v>12</v>
      </c>
      <c r="E795" t="s">
        <v>15</v>
      </c>
      <c r="F795" t="s">
        <v>13</v>
      </c>
      <c r="G795" t="s">
        <v>16</v>
      </c>
      <c r="H795" t="s">
        <v>17</v>
      </c>
      <c r="I795" t="s">
        <v>14</v>
      </c>
    </row>
    <row r="796" spans="1:23">
      <c r="A796" s="10">
        <v>1.4999999999999999E-2</v>
      </c>
      <c r="B796">
        <v>1.0289999999999999</v>
      </c>
      <c r="C796">
        <v>0.36399999999999999</v>
      </c>
      <c r="D796">
        <v>0.24</v>
      </c>
      <c r="E796">
        <v>14.12</v>
      </c>
      <c r="F796">
        <v>-0.1704</v>
      </c>
      <c r="G796" s="2">
        <v>4.5999999999999999E-3</v>
      </c>
      <c r="H796">
        <v>25</v>
      </c>
      <c r="I796" s="2">
        <v>2.3600000000000001E-3</v>
      </c>
      <c r="K796" t="str">
        <f t="shared" ref="K796" si="96">CONCATENATE("    - ",TEXT(A796,"0.000"))</f>
        <v xml:space="preserve">    - 0.015</v>
      </c>
      <c r="L796" t="str">
        <f t="shared" ref="L796" si="97">CONCATENATE("    - [",TEXT(B796,"0.000"),", ",TEXT(C796,"0.000"),", ",TEXT(D796,"0.000"),", ",TEXT(E796,"0.00"),", ",TEXT(F796,"0.0000"),"]")</f>
        <v xml:space="preserve">    - [1.029, 0.364, 0.240, 14.12, -0.1704]</v>
      </c>
      <c r="O796">
        <f>A796-'DLC Buildup Factors'!G751</f>
        <v>0</v>
      </c>
      <c r="P796">
        <f>B796-'DLC Buildup Factors'!H751</f>
        <v>0</v>
      </c>
      <c r="Q796">
        <f>C796-'DLC Buildup Factors'!I751</f>
        <v>0</v>
      </c>
      <c r="R796">
        <f>D796-'DLC Buildup Factors'!J751</f>
        <v>0</v>
      </c>
      <c r="S796">
        <f>E796-'DLC Buildup Factors'!K751</f>
        <v>0</v>
      </c>
      <c r="T796">
        <f>F796-'DLC Buildup Factors'!L751</f>
        <v>0</v>
      </c>
      <c r="U796">
        <f>G796-'DLC Buildup Factors'!M751</f>
        <v>0</v>
      </c>
      <c r="V796">
        <f>H796-'DLC Buildup Factors'!N751</f>
        <v>0</v>
      </c>
      <c r="W796">
        <f>I796-'DLC Buildup Factors'!O751</f>
        <v>0</v>
      </c>
    </row>
    <row r="797" spans="1:23">
      <c r="A797" s="10">
        <v>0.02</v>
      </c>
      <c r="B797">
        <v>1.0669999999999999</v>
      </c>
      <c r="C797">
        <v>0.38900000000000001</v>
      </c>
      <c r="D797">
        <v>0.214</v>
      </c>
      <c r="E797">
        <v>12.68</v>
      </c>
      <c r="F797">
        <v>-0.11260000000000001</v>
      </c>
      <c r="G797" s="2">
        <v>7.1999999999999998E-3</v>
      </c>
      <c r="H797">
        <v>0.5</v>
      </c>
      <c r="I797" s="2">
        <v>3.5899999999999999E-3</v>
      </c>
      <c r="K797" t="str">
        <f t="shared" ref="K797:K820" si="98">CONCATENATE("    - ",TEXT(A797,"0.000"))</f>
        <v xml:space="preserve">    - 0.020</v>
      </c>
      <c r="L797" t="str">
        <f t="shared" ref="L797:L820" si="99">CONCATENATE("    - [",TEXT(B797,"0.000"),", ",TEXT(C797,"0.000"),", ",TEXT(D797,"0.000"),", ",TEXT(E797,"0.00"),", ",TEXT(F797,"0.0000"),"]")</f>
        <v xml:space="preserve">    - [1.067, 0.389, 0.214, 12.68, -0.1126]</v>
      </c>
      <c r="O797">
        <f>A797-'DLC Buildup Factors'!G752</f>
        <v>0</v>
      </c>
      <c r="P797">
        <f>B797-'DLC Buildup Factors'!H752</f>
        <v>0</v>
      </c>
      <c r="Q797">
        <f>C797-'DLC Buildup Factors'!I752</f>
        <v>0</v>
      </c>
      <c r="R797">
        <f>D797-'DLC Buildup Factors'!J752</f>
        <v>0</v>
      </c>
      <c r="S797">
        <f>E797-'DLC Buildup Factors'!K752</f>
        <v>0</v>
      </c>
      <c r="T797">
        <f>F797-'DLC Buildup Factors'!L752</f>
        <v>0</v>
      </c>
      <c r="U797">
        <f>G797-'DLC Buildup Factors'!M752</f>
        <v>0</v>
      </c>
      <c r="V797">
        <f>H797-'DLC Buildup Factors'!N752</f>
        <v>0</v>
      </c>
      <c r="W797">
        <f>I797-'DLC Buildup Factors'!O752</f>
        <v>0</v>
      </c>
    </row>
    <row r="798" spans="1:23">
      <c r="A798" s="10">
        <v>0.03</v>
      </c>
      <c r="B798">
        <v>1.212</v>
      </c>
      <c r="C798">
        <v>0.42099999999999999</v>
      </c>
      <c r="D798">
        <v>0.20100000000000001</v>
      </c>
      <c r="E798">
        <v>14.12</v>
      </c>
      <c r="F798">
        <v>-0.1079</v>
      </c>
      <c r="G798" s="2">
        <v>1.5599999999999999E-2</v>
      </c>
      <c r="H798">
        <v>0.5</v>
      </c>
      <c r="I798" s="2">
        <v>6.1000000000000004E-3</v>
      </c>
      <c r="K798" t="str">
        <f t="shared" si="98"/>
        <v xml:space="preserve">    - 0.030</v>
      </c>
      <c r="L798" t="str">
        <f t="shared" si="99"/>
        <v xml:space="preserve">    - [1.212, 0.421, 0.201, 14.12, -0.1079]</v>
      </c>
      <c r="O798">
        <f>A798-'DLC Buildup Factors'!G753</f>
        <v>0</v>
      </c>
      <c r="P798">
        <f>B798-'DLC Buildup Factors'!H753</f>
        <v>0</v>
      </c>
      <c r="Q798">
        <f>C798-'DLC Buildup Factors'!I753</f>
        <v>0</v>
      </c>
      <c r="R798">
        <f>D798-'DLC Buildup Factors'!J753</f>
        <v>0</v>
      </c>
      <c r="S798">
        <f>E798-'DLC Buildup Factors'!K753</f>
        <v>0</v>
      </c>
      <c r="T798">
        <f>F798-'DLC Buildup Factors'!L753</f>
        <v>0</v>
      </c>
      <c r="U798">
        <f>G798-'DLC Buildup Factors'!M753</f>
        <v>0</v>
      </c>
      <c r="V798">
        <f>H798-'DLC Buildup Factors'!N753</f>
        <v>0</v>
      </c>
      <c r="W798">
        <f>I798-'DLC Buildup Factors'!O753</f>
        <v>0</v>
      </c>
    </row>
    <row r="799" spans="1:23">
      <c r="A799" s="10">
        <v>0.04</v>
      </c>
      <c r="B799">
        <v>1.4550000000000001</v>
      </c>
      <c r="C799">
        <v>0.49299999999999999</v>
      </c>
      <c r="D799">
        <v>0.17100000000000001</v>
      </c>
      <c r="E799">
        <v>14.53</v>
      </c>
      <c r="F799">
        <v>-9.2499999999999999E-2</v>
      </c>
      <c r="G799" s="2">
        <v>2.01E-2</v>
      </c>
      <c r="H799">
        <v>0.5</v>
      </c>
      <c r="I799" s="2">
        <v>8.3099999999999997E-3</v>
      </c>
      <c r="K799" t="str">
        <f t="shared" si="98"/>
        <v xml:space="preserve">    - 0.040</v>
      </c>
      <c r="L799" t="str">
        <f t="shared" si="99"/>
        <v xml:space="preserve">    - [1.455, 0.493, 0.171, 14.53, -0.0925]</v>
      </c>
      <c r="O799">
        <f>A799-'DLC Buildup Factors'!G754</f>
        <v>0</v>
      </c>
      <c r="P799">
        <f>B799-'DLC Buildup Factors'!H754</f>
        <v>0</v>
      </c>
      <c r="Q799">
        <f>C799-'DLC Buildup Factors'!I754</f>
        <v>0</v>
      </c>
      <c r="R799">
        <f>D799-'DLC Buildup Factors'!J754</f>
        <v>0</v>
      </c>
      <c r="S799">
        <f>E799-'DLC Buildup Factors'!K754</f>
        <v>0</v>
      </c>
      <c r="T799">
        <f>F799-'DLC Buildup Factors'!L754</f>
        <v>0</v>
      </c>
      <c r="U799">
        <f>G799-'DLC Buildup Factors'!M754</f>
        <v>0</v>
      </c>
      <c r="V799">
        <f>H799-'DLC Buildup Factors'!N754</f>
        <v>0</v>
      </c>
      <c r="W799">
        <f>I799-'DLC Buildup Factors'!O754</f>
        <v>0</v>
      </c>
    </row>
    <row r="800" spans="1:23">
      <c r="A800" s="10">
        <v>0.05</v>
      </c>
      <c r="B800">
        <v>1.7370000000000001</v>
      </c>
      <c r="C800">
        <v>0.628</v>
      </c>
      <c r="D800">
        <v>0.115</v>
      </c>
      <c r="E800">
        <v>15.82</v>
      </c>
      <c r="F800">
        <v>-0.06</v>
      </c>
      <c r="G800" s="2">
        <v>9.7000000000000003E-3</v>
      </c>
      <c r="H800">
        <v>2</v>
      </c>
      <c r="I800" s="2">
        <v>4.9899999999999996E-3</v>
      </c>
      <c r="K800" t="str">
        <f t="shared" si="98"/>
        <v xml:space="preserve">    - 0.050</v>
      </c>
      <c r="L800" t="str">
        <f t="shared" si="99"/>
        <v xml:space="preserve">    - [1.737, 0.628, 0.115, 15.82, -0.0600]</v>
      </c>
      <c r="O800">
        <f>A800-'DLC Buildup Factors'!G755</f>
        <v>0</v>
      </c>
      <c r="P800">
        <f>B800-'DLC Buildup Factors'!H755</f>
        <v>0</v>
      </c>
      <c r="Q800">
        <f>C800-'DLC Buildup Factors'!I755</f>
        <v>0</v>
      </c>
      <c r="R800">
        <f>D800-'DLC Buildup Factors'!J755</f>
        <v>0</v>
      </c>
      <c r="S800">
        <f>E800-'DLC Buildup Factors'!K755</f>
        <v>0</v>
      </c>
      <c r="T800">
        <f>F800-'DLC Buildup Factors'!L755</f>
        <v>0</v>
      </c>
      <c r="U800">
        <f>G800-'DLC Buildup Factors'!M755</f>
        <v>0</v>
      </c>
      <c r="V800">
        <f>H800-'DLC Buildup Factors'!N755</f>
        <v>0</v>
      </c>
      <c r="W800">
        <f>I800-'DLC Buildup Factors'!O755</f>
        <v>0</v>
      </c>
    </row>
    <row r="801" spans="1:23">
      <c r="A801" s="10">
        <v>0.06</v>
      </c>
      <c r="B801">
        <v>2.125</v>
      </c>
      <c r="C801">
        <v>0.66400000000000003</v>
      </c>
      <c r="D801">
        <v>0.11799999999999999</v>
      </c>
      <c r="E801">
        <v>11.9</v>
      </c>
      <c r="F801">
        <v>-6.1499999999999999E-2</v>
      </c>
      <c r="G801" s="2">
        <v>2.9000000000000001E-2</v>
      </c>
      <c r="H801">
        <v>0.5</v>
      </c>
      <c r="I801" s="2">
        <v>1.389E-2</v>
      </c>
      <c r="K801" t="str">
        <f t="shared" si="98"/>
        <v xml:space="preserve">    - 0.060</v>
      </c>
      <c r="L801" t="str">
        <f t="shared" si="99"/>
        <v xml:space="preserve">    - [2.125, 0.664, 0.118, 11.90, -0.0615]</v>
      </c>
      <c r="O801">
        <f>A801-'DLC Buildup Factors'!G756</f>
        <v>0</v>
      </c>
      <c r="P801">
        <f>B801-'DLC Buildup Factors'!H756</f>
        <v>0</v>
      </c>
      <c r="Q801">
        <f>C801-'DLC Buildup Factors'!I756</f>
        <v>0</v>
      </c>
      <c r="R801">
        <f>D801-'DLC Buildup Factors'!J756</f>
        <v>0</v>
      </c>
      <c r="S801">
        <f>E801-'DLC Buildup Factors'!K756</f>
        <v>0</v>
      </c>
      <c r="T801">
        <f>F801-'DLC Buildup Factors'!L756</f>
        <v>0</v>
      </c>
      <c r="U801">
        <f>G801-'DLC Buildup Factors'!M756</f>
        <v>0</v>
      </c>
      <c r="V801">
        <f>H801-'DLC Buildup Factors'!N756</f>
        <v>0</v>
      </c>
      <c r="W801">
        <f>I801-'DLC Buildup Factors'!O756</f>
        <v>0</v>
      </c>
    </row>
    <row r="802" spans="1:23">
      <c r="A802" s="10">
        <v>0.08</v>
      </c>
      <c r="B802">
        <v>2.5569999999999999</v>
      </c>
      <c r="C802">
        <v>0.89500000000000002</v>
      </c>
      <c r="D802">
        <v>4.2000000000000003E-2</v>
      </c>
      <c r="E802">
        <v>14.37</v>
      </c>
      <c r="F802">
        <v>-4.1300000000000003E-2</v>
      </c>
      <c r="G802" s="2">
        <v>1.8599999999999998E-2</v>
      </c>
      <c r="H802">
        <v>0.5</v>
      </c>
      <c r="I802" s="2">
        <v>9.58E-3</v>
      </c>
      <c r="K802" t="str">
        <f t="shared" si="98"/>
        <v xml:space="preserve">    - 0.080</v>
      </c>
      <c r="L802" t="str">
        <f t="shared" si="99"/>
        <v xml:space="preserve">    - [2.557, 0.895, 0.042, 14.37, -0.0413]</v>
      </c>
      <c r="O802">
        <f>A802-'DLC Buildup Factors'!G757</f>
        <v>0</v>
      </c>
      <c r="P802">
        <f>B802-'DLC Buildup Factors'!H757</f>
        <v>0</v>
      </c>
      <c r="Q802">
        <f>C802-'DLC Buildup Factors'!I757</f>
        <v>0</v>
      </c>
      <c r="R802">
        <f>D802-'DLC Buildup Factors'!J757</f>
        <v>0</v>
      </c>
      <c r="S802">
        <f>E802-'DLC Buildup Factors'!K757</f>
        <v>0</v>
      </c>
      <c r="T802">
        <f>F802-'DLC Buildup Factors'!L757</f>
        <v>0</v>
      </c>
      <c r="U802">
        <f>G802-'DLC Buildup Factors'!M757</f>
        <v>0</v>
      </c>
      <c r="V802">
        <f>H802-'DLC Buildup Factors'!N757</f>
        <v>0</v>
      </c>
      <c r="W802">
        <f>I802-'DLC Buildup Factors'!O757</f>
        <v>0</v>
      </c>
    </row>
    <row r="803" spans="1:23">
      <c r="A803" s="10">
        <v>0.1</v>
      </c>
      <c r="B803">
        <v>2.766</v>
      </c>
      <c r="C803">
        <v>1.069</v>
      </c>
      <c r="D803">
        <v>1E-3</v>
      </c>
      <c r="E803">
        <v>12.64</v>
      </c>
      <c r="F803">
        <v>-2.5100000000000001E-2</v>
      </c>
      <c r="G803" s="2">
        <v>1.14E-2</v>
      </c>
      <c r="H803">
        <v>35</v>
      </c>
      <c r="I803" s="2">
        <v>6.2300000000000003E-3</v>
      </c>
      <c r="K803" t="str">
        <f t="shared" si="98"/>
        <v xml:space="preserve">    - 0.100</v>
      </c>
      <c r="L803" t="str">
        <f t="shared" si="99"/>
        <v xml:space="preserve">    - [2.766, 1.069, 0.001, 12.64, -0.0251]</v>
      </c>
      <c r="O803">
        <f>A803-'DLC Buildup Factors'!G758</f>
        <v>0</v>
      </c>
      <c r="P803">
        <f>B803-'DLC Buildup Factors'!H758</f>
        <v>0</v>
      </c>
      <c r="Q803">
        <f>C803-'DLC Buildup Factors'!I758</f>
        <v>0</v>
      </c>
      <c r="R803">
        <f>D803-'DLC Buildup Factors'!J758</f>
        <v>0</v>
      </c>
      <c r="S803">
        <f>E803-'DLC Buildup Factors'!K758</f>
        <v>0</v>
      </c>
      <c r="T803">
        <f>F803-'DLC Buildup Factors'!L758</f>
        <v>0</v>
      </c>
      <c r="U803">
        <f>G803-'DLC Buildup Factors'!M758</f>
        <v>0</v>
      </c>
      <c r="V803">
        <f>H803-'DLC Buildup Factors'!N758</f>
        <v>0</v>
      </c>
      <c r="W803">
        <f>I803-'DLC Buildup Factors'!O758</f>
        <v>0</v>
      </c>
    </row>
    <row r="804" spans="1:23">
      <c r="A804" s="10">
        <v>0.15</v>
      </c>
      <c r="B804">
        <v>2.8239999999999998</v>
      </c>
      <c r="C804">
        <v>1.3149999999999999</v>
      </c>
      <c r="D804">
        <v>-4.9000000000000002E-2</v>
      </c>
      <c r="E804">
        <v>8.66</v>
      </c>
      <c r="F804">
        <v>-4.7999999999999996E-3</v>
      </c>
      <c r="G804" s="2">
        <v>3.5999999999999999E-3</v>
      </c>
      <c r="H804">
        <v>30</v>
      </c>
      <c r="I804" s="2">
        <v>1.75E-3</v>
      </c>
      <c r="J804" s="15" t="s">
        <v>1549</v>
      </c>
      <c r="K804" t="str">
        <f t="shared" si="98"/>
        <v xml:space="preserve">    - 0.150</v>
      </c>
      <c r="L804" t="str">
        <f t="shared" si="99"/>
        <v xml:space="preserve">    - [2.824, 1.315, -0.049, 8.66, -0.0048]</v>
      </c>
      <c r="M804" s="25"/>
      <c r="N804" s="25"/>
      <c r="O804">
        <f>A804-'DLC Buildup Factors'!G759</f>
        <v>0</v>
      </c>
      <c r="P804">
        <f>B804-'DLC Buildup Factors'!H759</f>
        <v>1.2000000000000011E-2</v>
      </c>
      <c r="Q804">
        <f>C804-'DLC Buildup Factors'!I759</f>
        <v>-4.0000000000000036E-3</v>
      </c>
      <c r="R804">
        <f>D804-'DLC Buildup Factors'!J759</f>
        <v>1.0000000000000009E-3</v>
      </c>
      <c r="S804">
        <f>E804-'DLC Buildup Factors'!K759</f>
        <v>-8.9999999999999858E-2</v>
      </c>
      <c r="T804">
        <f>F804-'DLC Buildup Factors'!L759</f>
        <v>-7.999999999999995E-4</v>
      </c>
      <c r="U804">
        <f>G804-'DLC Buildup Factors'!M759</f>
        <v>-5.0000000000000044E-4</v>
      </c>
      <c r="V804">
        <f>H804-'DLC Buildup Factors'!N759</f>
        <v>25</v>
      </c>
      <c r="W804">
        <f>I804-'DLC Buildup Factors'!O759</f>
        <v>-9.4000000000000008E-4</v>
      </c>
    </row>
    <row r="805" spans="1:23">
      <c r="A805" s="10">
        <v>0.2</v>
      </c>
      <c r="B805">
        <v>2.7160000000000002</v>
      </c>
      <c r="C805">
        <v>1.43</v>
      </c>
      <c r="D805">
        <v>-7.0000000000000007E-2</v>
      </c>
      <c r="E805">
        <v>18.52</v>
      </c>
      <c r="F805">
        <v>1.0800000000000001E-2</v>
      </c>
      <c r="G805" s="2">
        <v>5.0000000000000001E-3</v>
      </c>
      <c r="H805">
        <v>0.5</v>
      </c>
      <c r="I805" s="2">
        <v>1.64E-3</v>
      </c>
      <c r="K805" t="str">
        <f t="shared" si="98"/>
        <v xml:space="preserve">    - 0.200</v>
      </c>
      <c r="L805" t="str">
        <f t="shared" si="99"/>
        <v xml:space="preserve">    - [2.716, 1.430, -0.070, 18.52, 0.0108]</v>
      </c>
      <c r="O805">
        <f>A805-'DLC Buildup Factors'!G760</f>
        <v>0</v>
      </c>
      <c r="P805">
        <f>B805-'DLC Buildup Factors'!H760</f>
        <v>0</v>
      </c>
      <c r="Q805">
        <f>C805-'DLC Buildup Factors'!I760</f>
        <v>0</v>
      </c>
      <c r="R805">
        <f>D805-'DLC Buildup Factors'!J760</f>
        <v>0</v>
      </c>
      <c r="S805">
        <f>E805-'DLC Buildup Factors'!K760</f>
        <v>0</v>
      </c>
      <c r="T805">
        <f>F805-'DLC Buildup Factors'!L760</f>
        <v>0</v>
      </c>
      <c r="U805">
        <f>G805-'DLC Buildup Factors'!M760</f>
        <v>0</v>
      </c>
      <c r="V805">
        <f>H805-'DLC Buildup Factors'!N760</f>
        <v>0</v>
      </c>
      <c r="W805">
        <f>I805-'DLC Buildup Factors'!O760</f>
        <v>0</v>
      </c>
    </row>
    <row r="806" spans="1:23">
      <c r="A806" s="10">
        <v>0.3</v>
      </c>
      <c r="B806">
        <v>2.5219999999999998</v>
      </c>
      <c r="C806">
        <v>1.492</v>
      </c>
      <c r="D806">
        <v>-8.2000000000000003E-2</v>
      </c>
      <c r="E806">
        <v>16.59</v>
      </c>
      <c r="F806">
        <v>1.61E-2</v>
      </c>
      <c r="G806" s="2">
        <v>4.8999999999999998E-3</v>
      </c>
      <c r="H806">
        <v>40</v>
      </c>
      <c r="I806" s="2">
        <v>2.4599999999999999E-3</v>
      </c>
      <c r="K806" t="str">
        <f t="shared" si="98"/>
        <v xml:space="preserve">    - 0.300</v>
      </c>
      <c r="L806" t="str">
        <f t="shared" si="99"/>
        <v xml:space="preserve">    - [2.522, 1.492, -0.082, 16.59, 0.0161]</v>
      </c>
      <c r="O806">
        <f>A806-'DLC Buildup Factors'!G761</f>
        <v>0</v>
      </c>
      <c r="P806">
        <f>B806-'DLC Buildup Factors'!H761</f>
        <v>0</v>
      </c>
      <c r="Q806">
        <f>C806-'DLC Buildup Factors'!I761</f>
        <v>0</v>
      </c>
      <c r="R806">
        <f>D806-'DLC Buildup Factors'!J761</f>
        <v>0</v>
      </c>
      <c r="S806">
        <f>E806-'DLC Buildup Factors'!K761</f>
        <v>0</v>
      </c>
      <c r="T806">
        <f>F806-'DLC Buildup Factors'!L761</f>
        <v>0</v>
      </c>
      <c r="U806">
        <f>G806-'DLC Buildup Factors'!M761</f>
        <v>0</v>
      </c>
      <c r="V806">
        <f>H806-'DLC Buildup Factors'!N761</f>
        <v>0</v>
      </c>
      <c r="W806">
        <f>I806-'DLC Buildup Factors'!O761</f>
        <v>0</v>
      </c>
    </row>
    <row r="807" spans="1:23">
      <c r="A807" s="10">
        <v>0.4</v>
      </c>
      <c r="B807">
        <v>2.3719999999999999</v>
      </c>
      <c r="C807">
        <v>1.494</v>
      </c>
      <c r="D807">
        <v>-8.5000000000000006E-2</v>
      </c>
      <c r="E807">
        <v>15.96</v>
      </c>
      <c r="F807">
        <v>1.9400000000000001E-2</v>
      </c>
      <c r="G807" s="2">
        <v>4.0000000000000001E-3</v>
      </c>
      <c r="H807">
        <v>25</v>
      </c>
      <c r="I807" s="2">
        <v>1.9499999999999999E-3</v>
      </c>
      <c r="K807" t="str">
        <f t="shared" si="98"/>
        <v xml:space="preserve">    - 0.400</v>
      </c>
      <c r="L807" t="str">
        <f t="shared" si="99"/>
        <v xml:space="preserve">    - [2.372, 1.494, -0.085, 15.96, 0.0194]</v>
      </c>
      <c r="O807">
        <f>A807-'DLC Buildup Factors'!G762</f>
        <v>0</v>
      </c>
      <c r="P807">
        <f>B807-'DLC Buildup Factors'!H762</f>
        <v>0</v>
      </c>
      <c r="Q807">
        <f>C807-'DLC Buildup Factors'!I762</f>
        <v>0</v>
      </c>
      <c r="R807">
        <f>D807-'DLC Buildup Factors'!J762</f>
        <v>0</v>
      </c>
      <c r="S807">
        <f>E807-'DLC Buildup Factors'!K762</f>
        <v>0</v>
      </c>
      <c r="T807">
        <f>F807-'DLC Buildup Factors'!L762</f>
        <v>0</v>
      </c>
      <c r="U807">
        <f>G807-'DLC Buildup Factors'!M762</f>
        <v>0</v>
      </c>
      <c r="V807">
        <f>H807-'DLC Buildup Factors'!N762</f>
        <v>0</v>
      </c>
      <c r="W807">
        <f>I807-'DLC Buildup Factors'!O762</f>
        <v>0</v>
      </c>
    </row>
    <row r="808" spans="1:23">
      <c r="A808" s="10">
        <v>0.5</v>
      </c>
      <c r="B808">
        <v>2.2709999999999999</v>
      </c>
      <c r="C808">
        <v>1.466</v>
      </c>
      <c r="D808">
        <v>-8.2000000000000003E-2</v>
      </c>
      <c r="E808">
        <v>16.25</v>
      </c>
      <c r="F808">
        <v>1.95E-2</v>
      </c>
      <c r="G808" s="2">
        <v>2.8E-3</v>
      </c>
      <c r="H808">
        <v>15</v>
      </c>
      <c r="I808" s="2">
        <v>1.6299999999999999E-3</v>
      </c>
      <c r="K808" t="str">
        <f t="shared" si="98"/>
        <v xml:space="preserve">    - 0.500</v>
      </c>
      <c r="L808" t="str">
        <f t="shared" si="99"/>
        <v xml:space="preserve">    - [2.271, 1.466, -0.082, 16.25, 0.0195]</v>
      </c>
      <c r="O808">
        <f>A808-'DLC Buildup Factors'!G763</f>
        <v>0</v>
      </c>
      <c r="P808">
        <f>B808-'DLC Buildup Factors'!H763</f>
        <v>0</v>
      </c>
      <c r="Q808">
        <f>C808-'DLC Buildup Factors'!I763</f>
        <v>0</v>
      </c>
      <c r="R808">
        <f>D808-'DLC Buildup Factors'!J763</f>
        <v>0</v>
      </c>
      <c r="S808">
        <f>E808-'DLC Buildup Factors'!K763</f>
        <v>0</v>
      </c>
      <c r="T808">
        <f>F808-'DLC Buildup Factors'!L763</f>
        <v>0</v>
      </c>
      <c r="U808">
        <f>G808-'DLC Buildup Factors'!M763</f>
        <v>0</v>
      </c>
      <c r="V808">
        <f>H808-'DLC Buildup Factors'!N763</f>
        <v>0</v>
      </c>
      <c r="W808">
        <f>I808-'DLC Buildup Factors'!O763</f>
        <v>0</v>
      </c>
    </row>
    <row r="809" spans="1:23">
      <c r="A809" s="10">
        <v>0.6</v>
      </c>
      <c r="B809">
        <v>2.1920000000000002</v>
      </c>
      <c r="C809">
        <v>1.4339999999999999</v>
      </c>
      <c r="D809">
        <v>-7.8E-2</v>
      </c>
      <c r="E809">
        <v>17.02</v>
      </c>
      <c r="F809">
        <v>1.9900000000000001E-2</v>
      </c>
      <c r="G809" s="2">
        <v>5.4999999999999997E-3</v>
      </c>
      <c r="H809">
        <v>1</v>
      </c>
      <c r="I809" s="2">
        <v>2.4199999999999998E-3</v>
      </c>
      <c r="K809" t="str">
        <f t="shared" si="98"/>
        <v xml:space="preserve">    - 0.600</v>
      </c>
      <c r="L809" t="str">
        <f t="shared" si="99"/>
        <v xml:space="preserve">    - [2.192, 1.434, -0.078, 17.02, 0.0199]</v>
      </c>
      <c r="O809">
        <f>A809-'DLC Buildup Factors'!G764</f>
        <v>0</v>
      </c>
      <c r="P809">
        <f>B809-'DLC Buildup Factors'!H764</f>
        <v>0</v>
      </c>
      <c r="Q809">
        <f>C809-'DLC Buildup Factors'!I764</f>
        <v>0</v>
      </c>
      <c r="R809">
        <f>D809-'DLC Buildup Factors'!J764</f>
        <v>0</v>
      </c>
      <c r="S809">
        <f>E809-'DLC Buildup Factors'!K764</f>
        <v>0</v>
      </c>
      <c r="T809">
        <f>F809-'DLC Buildup Factors'!L764</f>
        <v>0</v>
      </c>
      <c r="U809">
        <f>G809-'DLC Buildup Factors'!M764</f>
        <v>0</v>
      </c>
      <c r="V809">
        <f>H809-'DLC Buildup Factors'!N764</f>
        <v>0</v>
      </c>
      <c r="W809">
        <f>I809-'DLC Buildup Factors'!O764</f>
        <v>0</v>
      </c>
    </row>
    <row r="810" spans="1:23">
      <c r="A810" s="10">
        <v>0.8</v>
      </c>
      <c r="B810">
        <v>2.0659999999999998</v>
      </c>
      <c r="C810">
        <v>1.3859999999999999</v>
      </c>
      <c r="D810">
        <v>-7.2999999999999995E-2</v>
      </c>
      <c r="E810">
        <v>15.07</v>
      </c>
      <c r="F810">
        <v>2.0199999999999999E-2</v>
      </c>
      <c r="G810" s="2">
        <v>6.7999999999999996E-3</v>
      </c>
      <c r="H810">
        <v>35</v>
      </c>
      <c r="I810" s="2">
        <v>2.96E-3</v>
      </c>
      <c r="K810" t="str">
        <f t="shared" si="98"/>
        <v xml:space="preserve">    - 0.800</v>
      </c>
      <c r="L810" t="str">
        <f t="shared" si="99"/>
        <v xml:space="preserve">    - [2.066, 1.386, -0.073, 15.07, 0.0202]</v>
      </c>
      <c r="O810">
        <f>A810-'DLC Buildup Factors'!G765</f>
        <v>0</v>
      </c>
      <c r="P810">
        <f>B810-'DLC Buildup Factors'!H765</f>
        <v>0</v>
      </c>
      <c r="Q810">
        <f>C810-'DLC Buildup Factors'!I765</f>
        <v>0</v>
      </c>
      <c r="R810">
        <f>D810-'DLC Buildup Factors'!J765</f>
        <v>0</v>
      </c>
      <c r="S810">
        <f>E810-'DLC Buildup Factors'!K765</f>
        <v>0</v>
      </c>
      <c r="T810">
        <f>F810-'DLC Buildup Factors'!L765</f>
        <v>0</v>
      </c>
      <c r="U810">
        <f>G810-'DLC Buildup Factors'!M765</f>
        <v>0</v>
      </c>
      <c r="V810">
        <f>H810-'DLC Buildup Factors'!N765</f>
        <v>0</v>
      </c>
      <c r="W810">
        <f>I810-'DLC Buildup Factors'!O765</f>
        <v>0</v>
      </c>
    </row>
    <row r="811" spans="1:23">
      <c r="A811" s="10">
        <v>1</v>
      </c>
      <c r="B811">
        <v>1.982</v>
      </c>
      <c r="C811">
        <v>1.3320000000000001</v>
      </c>
      <c r="D811">
        <v>-6.5000000000000002E-2</v>
      </c>
      <c r="E811">
        <v>15.38</v>
      </c>
      <c r="F811">
        <v>1.9300000000000001E-2</v>
      </c>
      <c r="G811" s="2">
        <v>4.5999999999999999E-3</v>
      </c>
      <c r="H811">
        <v>35</v>
      </c>
      <c r="I811" s="2">
        <v>1.89E-3</v>
      </c>
      <c r="K811" t="str">
        <f t="shared" si="98"/>
        <v xml:space="preserve">    - 1.000</v>
      </c>
      <c r="L811" t="str">
        <f t="shared" si="99"/>
        <v xml:space="preserve">    - [1.982, 1.332, -0.065, 15.38, 0.0193]</v>
      </c>
      <c r="O811">
        <f>A811-'DLC Buildup Factors'!G766</f>
        <v>0</v>
      </c>
      <c r="P811">
        <f>B811-'DLC Buildup Factors'!H766</f>
        <v>0</v>
      </c>
      <c r="Q811">
        <f>C811-'DLC Buildup Factors'!I766</f>
        <v>0</v>
      </c>
      <c r="R811">
        <f>D811-'DLC Buildup Factors'!J766</f>
        <v>0</v>
      </c>
      <c r="S811">
        <f>E811-'DLC Buildup Factors'!K766</f>
        <v>0</v>
      </c>
      <c r="T811">
        <f>F811-'DLC Buildup Factors'!L766</f>
        <v>0</v>
      </c>
      <c r="U811">
        <f>G811-'DLC Buildup Factors'!M766</f>
        <v>0</v>
      </c>
      <c r="V811">
        <f>H811-'DLC Buildup Factors'!N766</f>
        <v>0</v>
      </c>
      <c r="W811">
        <f>I811-'DLC Buildup Factors'!O766</f>
        <v>0</v>
      </c>
    </row>
    <row r="812" spans="1:23">
      <c r="A812" s="10">
        <v>1.5</v>
      </c>
      <c r="B812">
        <v>1.8480000000000001</v>
      </c>
      <c r="C812">
        <v>1.2270000000000001</v>
      </c>
      <c r="D812">
        <v>-4.7E-2</v>
      </c>
      <c r="E812">
        <v>16.41</v>
      </c>
      <c r="F812">
        <v>1.6E-2</v>
      </c>
      <c r="G812" s="2">
        <v>6.4000000000000003E-3</v>
      </c>
      <c r="H812">
        <v>0.5</v>
      </c>
      <c r="I812" s="2">
        <v>3.1700000000000001E-3</v>
      </c>
      <c r="K812" t="str">
        <f t="shared" si="98"/>
        <v xml:space="preserve">    - 1.500</v>
      </c>
      <c r="L812" t="str">
        <f t="shared" si="99"/>
        <v xml:space="preserve">    - [1.848, 1.227, -0.047, 16.41, 0.0160]</v>
      </c>
      <c r="O812">
        <f>A812-'DLC Buildup Factors'!G767</f>
        <v>0</v>
      </c>
      <c r="P812">
        <f>B812-'DLC Buildup Factors'!H767</f>
        <v>0</v>
      </c>
      <c r="Q812">
        <f>C812-'DLC Buildup Factors'!I767</f>
        <v>0</v>
      </c>
      <c r="R812">
        <f>D812-'DLC Buildup Factors'!J767</f>
        <v>0</v>
      </c>
      <c r="S812">
        <f>E812-'DLC Buildup Factors'!K767</f>
        <v>0</v>
      </c>
      <c r="T812">
        <f>F812-'DLC Buildup Factors'!L767</f>
        <v>0</v>
      </c>
      <c r="U812">
        <f>G812-'DLC Buildup Factors'!M767</f>
        <v>0</v>
      </c>
      <c r="V812">
        <f>H812-'DLC Buildup Factors'!N767</f>
        <v>0</v>
      </c>
      <c r="W812">
        <f>I812-'DLC Buildup Factors'!O767</f>
        <v>0</v>
      </c>
    </row>
    <row r="813" spans="1:23">
      <c r="A813" s="10">
        <v>2</v>
      </c>
      <c r="B813">
        <v>1.7749999999999999</v>
      </c>
      <c r="C813">
        <v>1.1539999999999999</v>
      </c>
      <c r="D813">
        <v>-3.3000000000000002E-2</v>
      </c>
      <c r="E813">
        <v>14.35</v>
      </c>
      <c r="F813">
        <v>0.01</v>
      </c>
      <c r="G813" s="2">
        <v>6.4000000000000003E-3</v>
      </c>
      <c r="H813">
        <v>40</v>
      </c>
      <c r="I813" s="2">
        <v>1.9400000000000001E-3</v>
      </c>
      <c r="K813" t="str">
        <f t="shared" si="98"/>
        <v xml:space="preserve">    - 2.000</v>
      </c>
      <c r="L813" t="str">
        <f t="shared" si="99"/>
        <v xml:space="preserve">    - [1.775, 1.154, -0.033, 14.35, 0.0100]</v>
      </c>
      <c r="O813">
        <f>A813-'DLC Buildup Factors'!G768</f>
        <v>0</v>
      </c>
      <c r="P813">
        <f>B813-'DLC Buildup Factors'!H768</f>
        <v>0</v>
      </c>
      <c r="Q813">
        <f>C813-'DLC Buildup Factors'!I768</f>
        <v>0</v>
      </c>
      <c r="R813">
        <f>D813-'DLC Buildup Factors'!J768</f>
        <v>0</v>
      </c>
      <c r="S813">
        <f>E813-'DLC Buildup Factors'!K768</f>
        <v>0</v>
      </c>
      <c r="T813">
        <f>F813-'DLC Buildup Factors'!L768</f>
        <v>0</v>
      </c>
      <c r="U813">
        <f>G813-'DLC Buildup Factors'!M768</f>
        <v>0</v>
      </c>
      <c r="V813">
        <f>H813-'DLC Buildup Factors'!N768</f>
        <v>0</v>
      </c>
      <c r="W813">
        <f>I813-'DLC Buildup Factors'!O768</f>
        <v>0</v>
      </c>
    </row>
    <row r="814" spans="1:23">
      <c r="A814" s="10">
        <v>3</v>
      </c>
      <c r="B814">
        <v>1.671</v>
      </c>
      <c r="C814">
        <v>1.054</v>
      </c>
      <c r="D814">
        <v>-0.01</v>
      </c>
      <c r="E814">
        <v>10.47</v>
      </c>
      <c r="F814">
        <v>-8.0000000000000004E-4</v>
      </c>
      <c r="G814" s="2">
        <v>3.0999999999999999E-3</v>
      </c>
      <c r="H814">
        <v>3</v>
      </c>
      <c r="I814" s="2">
        <v>1.5200000000000001E-3</v>
      </c>
      <c r="K814" t="str">
        <f t="shared" si="98"/>
        <v xml:space="preserve">    - 3.000</v>
      </c>
      <c r="L814" t="str">
        <f t="shared" si="99"/>
        <v xml:space="preserve">    - [1.671, 1.054, -0.010, 10.47, -0.0008]</v>
      </c>
      <c r="O814">
        <f>A814-'DLC Buildup Factors'!G769</f>
        <v>0</v>
      </c>
      <c r="P814">
        <f>B814-'DLC Buildup Factors'!H769</f>
        <v>0</v>
      </c>
      <c r="Q814">
        <f>C814-'DLC Buildup Factors'!I769</f>
        <v>0</v>
      </c>
      <c r="R814">
        <f>D814-'DLC Buildup Factors'!J769</f>
        <v>0</v>
      </c>
      <c r="S814">
        <f>E814-'DLC Buildup Factors'!K769</f>
        <v>0</v>
      </c>
      <c r="T814">
        <f>F814-'DLC Buildup Factors'!L769</f>
        <v>0</v>
      </c>
      <c r="U814">
        <f>G814-'DLC Buildup Factors'!M769</f>
        <v>0</v>
      </c>
      <c r="V814">
        <f>H814-'DLC Buildup Factors'!N769</f>
        <v>0</v>
      </c>
      <c r="W814">
        <f>I814-'DLC Buildup Factors'!O769</f>
        <v>0</v>
      </c>
    </row>
    <row r="815" spans="1:23">
      <c r="A815" s="10">
        <v>4</v>
      </c>
      <c r="B815">
        <v>1.597</v>
      </c>
      <c r="C815">
        <v>0.98799999999999999</v>
      </c>
      <c r="D815">
        <v>8.0000000000000002E-3</v>
      </c>
      <c r="E815">
        <v>12.53</v>
      </c>
      <c r="F815">
        <v>-1.15E-2</v>
      </c>
      <c r="G815" s="2">
        <v>8.0999999999999996E-3</v>
      </c>
      <c r="H815">
        <v>1</v>
      </c>
      <c r="I815" s="2">
        <v>4.3299999999999996E-3</v>
      </c>
      <c r="K815" t="str">
        <f t="shared" si="98"/>
        <v xml:space="preserve">    - 4.000</v>
      </c>
      <c r="L815" t="str">
        <f t="shared" si="99"/>
        <v xml:space="preserve">    - [1.597, 0.988, 0.008, 12.53, -0.0115]</v>
      </c>
      <c r="O815">
        <f>A815-'DLC Buildup Factors'!G770</f>
        <v>0</v>
      </c>
      <c r="P815">
        <f>B815-'DLC Buildup Factors'!H770</f>
        <v>0</v>
      </c>
      <c r="Q815">
        <f>C815-'DLC Buildup Factors'!I770</f>
        <v>0</v>
      </c>
      <c r="R815">
        <f>D815-'DLC Buildup Factors'!J770</f>
        <v>0</v>
      </c>
      <c r="S815">
        <f>E815-'DLC Buildup Factors'!K770</f>
        <v>0</v>
      </c>
      <c r="T815">
        <f>F815-'DLC Buildup Factors'!L770</f>
        <v>0</v>
      </c>
      <c r="U815">
        <f>G815-'DLC Buildup Factors'!M770</f>
        <v>0</v>
      </c>
      <c r="V815">
        <f>H815-'DLC Buildup Factors'!N770</f>
        <v>0</v>
      </c>
      <c r="W815">
        <f>I815-'DLC Buildup Factors'!O770</f>
        <v>0</v>
      </c>
    </row>
    <row r="816" spans="1:23">
      <c r="A816" s="10">
        <v>5</v>
      </c>
      <c r="B816">
        <v>1.5269999999999999</v>
      </c>
      <c r="C816">
        <v>0.95099999999999996</v>
      </c>
      <c r="D816">
        <v>0.02</v>
      </c>
      <c r="E816">
        <v>9.99</v>
      </c>
      <c r="F816">
        <v>-1.84E-2</v>
      </c>
      <c r="G816" s="2">
        <v>7.1000000000000004E-3</v>
      </c>
      <c r="H816">
        <v>40</v>
      </c>
      <c r="I816" s="2">
        <v>3.5200000000000001E-3</v>
      </c>
      <c r="J816" s="15" t="s">
        <v>1549</v>
      </c>
      <c r="K816" t="str">
        <f t="shared" si="98"/>
        <v xml:space="preserve">    - 5.000</v>
      </c>
      <c r="L816" t="str">
        <f t="shared" si="99"/>
        <v xml:space="preserve">    - [1.527, 0.951, 0.020, 9.99, -0.0184]</v>
      </c>
      <c r="M816" s="25"/>
      <c r="N816" s="25"/>
      <c r="O816">
        <f>A816-'DLC Buildup Factors'!G771</f>
        <v>0</v>
      </c>
      <c r="P816">
        <f>B816-'DLC Buildup Factors'!H771</f>
        <v>-4.0000000000000036E-3</v>
      </c>
      <c r="Q816">
        <f>C816-'DLC Buildup Factors'!I771</f>
        <v>6.0000000000000053E-3</v>
      </c>
      <c r="R816">
        <f>D816-'DLC Buildup Factors'!J771</f>
        <v>-1.9999999999999983E-3</v>
      </c>
      <c r="S816">
        <f>E816-'DLC Buildup Factors'!K771</f>
        <v>-0.26999999999999957</v>
      </c>
      <c r="T816">
        <f>F816-'DLC Buildup Factors'!L771</f>
        <v>1.5000000000000013E-3</v>
      </c>
      <c r="U816">
        <f>G816-'DLC Buildup Factors'!M771</f>
        <v>1.2000000000000005E-3</v>
      </c>
      <c r="V816">
        <f>H816-'DLC Buildup Factors'!N771</f>
        <v>0</v>
      </c>
      <c r="W816">
        <f>I816-'DLC Buildup Factors'!O771</f>
        <v>1.7000000000000001E-4</v>
      </c>
    </row>
    <row r="817" spans="1:23">
      <c r="A817" s="10">
        <v>6</v>
      </c>
      <c r="B817">
        <v>1.478</v>
      </c>
      <c r="C817">
        <v>0.94</v>
      </c>
      <c r="D817">
        <v>2.1000000000000001E-2</v>
      </c>
      <c r="E817">
        <v>13.11</v>
      </c>
      <c r="F817">
        <v>-1.6299999999999999E-2</v>
      </c>
      <c r="G817" s="2">
        <v>1.2999999999999999E-2</v>
      </c>
      <c r="H817">
        <v>0.5</v>
      </c>
      <c r="I817" s="2">
        <v>5.5999999999999999E-3</v>
      </c>
      <c r="K817" t="str">
        <f t="shared" si="98"/>
        <v xml:space="preserve">    - 6.000</v>
      </c>
      <c r="L817" t="str">
        <f t="shared" si="99"/>
        <v xml:space="preserve">    - [1.478, 0.940, 0.021, 13.11, -0.0163]</v>
      </c>
      <c r="O817">
        <f>A817-'DLC Buildup Factors'!G772</f>
        <v>0</v>
      </c>
      <c r="P817">
        <f>B817-'DLC Buildup Factors'!H772</f>
        <v>0</v>
      </c>
      <c r="Q817">
        <f>C817-'DLC Buildup Factors'!I772</f>
        <v>0</v>
      </c>
      <c r="R817">
        <f>D817-'DLC Buildup Factors'!J772</f>
        <v>0</v>
      </c>
      <c r="S817">
        <f>E817-'DLC Buildup Factors'!K772</f>
        <v>0</v>
      </c>
      <c r="T817">
        <f>F817-'DLC Buildup Factors'!L772</f>
        <v>0</v>
      </c>
      <c r="U817">
        <f>G817-'DLC Buildup Factors'!M772</f>
        <v>0</v>
      </c>
      <c r="V817">
        <f>H817-'DLC Buildup Factors'!N772</f>
        <v>0</v>
      </c>
      <c r="W817">
        <f>I817-'DLC Buildup Factors'!O772</f>
        <v>0</v>
      </c>
    </row>
    <row r="818" spans="1:23">
      <c r="A818" s="10">
        <v>8</v>
      </c>
      <c r="B818">
        <v>1.395</v>
      </c>
      <c r="C818">
        <v>0.91700000000000004</v>
      </c>
      <c r="D818">
        <v>2.8000000000000001E-2</v>
      </c>
      <c r="E818">
        <v>13.45</v>
      </c>
      <c r="F818">
        <v>-2.1299999999999999E-2</v>
      </c>
      <c r="G818" s="2">
        <v>1.4200000000000001E-2</v>
      </c>
      <c r="H818">
        <v>0.5</v>
      </c>
      <c r="I818" s="2">
        <v>6.0400000000000002E-3</v>
      </c>
      <c r="K818" t="str">
        <f t="shared" si="98"/>
        <v xml:space="preserve">    - 8.000</v>
      </c>
      <c r="L818" t="str">
        <f t="shared" si="99"/>
        <v xml:space="preserve">    - [1.395, 0.917, 0.028, 13.45, -0.0213]</v>
      </c>
      <c r="O818">
        <f>A818-'DLC Buildup Factors'!G773</f>
        <v>0</v>
      </c>
      <c r="P818">
        <f>B818-'DLC Buildup Factors'!H773</f>
        <v>0</v>
      </c>
      <c r="Q818">
        <f>C818-'DLC Buildup Factors'!I773</f>
        <v>0</v>
      </c>
      <c r="R818">
        <f>D818-'DLC Buildup Factors'!J773</f>
        <v>0</v>
      </c>
      <c r="S818">
        <f>E818-'DLC Buildup Factors'!K773</f>
        <v>0</v>
      </c>
      <c r="T818">
        <f>F818-'DLC Buildup Factors'!L773</f>
        <v>0</v>
      </c>
      <c r="U818">
        <f>G818-'DLC Buildup Factors'!M773</f>
        <v>0</v>
      </c>
      <c r="V818">
        <f>H818-'DLC Buildup Factors'!N773</f>
        <v>0</v>
      </c>
      <c r="W818">
        <f>I818-'DLC Buildup Factors'!O773</f>
        <v>0</v>
      </c>
    </row>
    <row r="819" spans="1:23">
      <c r="A819" s="10">
        <v>10</v>
      </c>
      <c r="B819">
        <v>1.3340000000000001</v>
      </c>
      <c r="C819">
        <v>0.90100000000000002</v>
      </c>
      <c r="D819">
        <v>3.5000000000000003E-2</v>
      </c>
      <c r="E819">
        <v>12.56</v>
      </c>
      <c r="F819">
        <v>-2.6700000000000002E-2</v>
      </c>
      <c r="G819" s="2">
        <v>1.4800000000000001E-2</v>
      </c>
      <c r="H819">
        <v>0.5</v>
      </c>
      <c r="I819" s="2">
        <v>6.2300000000000003E-3</v>
      </c>
      <c r="K819" t="str">
        <f t="shared" si="98"/>
        <v xml:space="preserve">    - 10.000</v>
      </c>
      <c r="L819" t="str">
        <f t="shared" si="99"/>
        <v xml:space="preserve">    - [1.334, 0.901, 0.035, 12.56, -0.0267]</v>
      </c>
      <c r="O819">
        <f>A819-'DLC Buildup Factors'!G774</f>
        <v>0</v>
      </c>
      <c r="P819">
        <f>B819-'DLC Buildup Factors'!H774</f>
        <v>0</v>
      </c>
      <c r="Q819">
        <f>C819-'DLC Buildup Factors'!I774</f>
        <v>0</v>
      </c>
      <c r="R819">
        <f>D819-'DLC Buildup Factors'!J774</f>
        <v>0</v>
      </c>
      <c r="S819">
        <f>E819-'DLC Buildup Factors'!K774</f>
        <v>0</v>
      </c>
      <c r="T819">
        <f>F819-'DLC Buildup Factors'!L774</f>
        <v>0</v>
      </c>
      <c r="U819">
        <f>G819-'DLC Buildup Factors'!M774</f>
        <v>0</v>
      </c>
      <c r="V819">
        <f>H819-'DLC Buildup Factors'!N774</f>
        <v>0</v>
      </c>
      <c r="W819">
        <f>I819-'DLC Buildup Factors'!O774</f>
        <v>0</v>
      </c>
    </row>
    <row r="820" spans="1:23">
      <c r="A820" s="10">
        <v>15</v>
      </c>
      <c r="B820">
        <v>1.26</v>
      </c>
      <c r="C820">
        <v>0.82299999999999995</v>
      </c>
      <c r="D820">
        <v>6.5000000000000002E-2</v>
      </c>
      <c r="E820">
        <v>14.28</v>
      </c>
      <c r="F820">
        <v>-5.8099999999999999E-2</v>
      </c>
      <c r="G820" s="2">
        <v>1.9599999999999999E-2</v>
      </c>
      <c r="H820">
        <v>3</v>
      </c>
      <c r="I820" s="2">
        <v>1.1509999999999999E-2</v>
      </c>
      <c r="K820" t="str">
        <f t="shared" si="98"/>
        <v xml:space="preserve">    - 15.000</v>
      </c>
      <c r="L820" t="str">
        <f t="shared" si="99"/>
        <v xml:space="preserve">    - [1.260, 0.823, 0.065, 14.28, -0.0581]</v>
      </c>
      <c r="O820">
        <f>A820-'DLC Buildup Factors'!G775</f>
        <v>0</v>
      </c>
      <c r="P820">
        <f>B820-'DLC Buildup Factors'!H775</f>
        <v>0</v>
      </c>
      <c r="Q820">
        <f>C820-'DLC Buildup Factors'!I775</f>
        <v>0</v>
      </c>
      <c r="R820">
        <f>D820-'DLC Buildup Factors'!J775</f>
        <v>0</v>
      </c>
      <c r="S820">
        <f>E820-'DLC Buildup Factors'!K775</f>
        <v>0</v>
      </c>
      <c r="T820">
        <f>F820-'DLC Buildup Factors'!L775</f>
        <v>0</v>
      </c>
      <c r="U820">
        <f>G820-'DLC Buildup Factors'!M775</f>
        <v>0</v>
      </c>
      <c r="V820">
        <f>H820-'DLC Buildup Factors'!N775</f>
        <v>0</v>
      </c>
      <c r="W820">
        <f>I820-'DLC Buildup Factors'!O775</f>
        <v>0</v>
      </c>
    </row>
  </sheetData>
  <conditionalFormatting sqref="O18:W42">
    <cfRule type="cellIs" dxfId="26" priority="26" operator="equal">
      <formula>0</formula>
    </cfRule>
  </conditionalFormatting>
  <conditionalFormatting sqref="O47:W71">
    <cfRule type="cellIs" dxfId="25" priority="25" operator="equal">
      <formula>0</formula>
    </cfRule>
  </conditionalFormatting>
  <conditionalFormatting sqref="O76:W100">
    <cfRule type="cellIs" dxfId="24" priority="24" operator="equal">
      <formula>0</formula>
    </cfRule>
  </conditionalFormatting>
  <conditionalFormatting sqref="O105:W129">
    <cfRule type="cellIs" dxfId="23" priority="23" operator="equal">
      <formula>0</formula>
    </cfRule>
  </conditionalFormatting>
  <conditionalFormatting sqref="O134:W158">
    <cfRule type="cellIs" dxfId="22" priority="22" operator="equal">
      <formula>0</formula>
    </cfRule>
  </conditionalFormatting>
  <conditionalFormatting sqref="O163:W187">
    <cfRule type="cellIs" dxfId="21" priority="21" operator="equal">
      <formula>0</formula>
    </cfRule>
  </conditionalFormatting>
  <conditionalFormatting sqref="O192:W216">
    <cfRule type="cellIs" dxfId="20" priority="20" operator="equal">
      <formula>0</formula>
    </cfRule>
  </conditionalFormatting>
  <conditionalFormatting sqref="O221:W245">
    <cfRule type="cellIs" dxfId="19" priority="19" operator="equal">
      <formula>0</formula>
    </cfRule>
  </conditionalFormatting>
  <conditionalFormatting sqref="O250:W274">
    <cfRule type="cellIs" dxfId="18" priority="18" operator="equal">
      <formula>0</formula>
    </cfRule>
  </conditionalFormatting>
  <conditionalFormatting sqref="O279:W303">
    <cfRule type="cellIs" dxfId="17" priority="17" operator="equal">
      <formula>0</formula>
    </cfRule>
  </conditionalFormatting>
  <conditionalFormatting sqref="O308:W332">
    <cfRule type="cellIs" dxfId="16" priority="16" operator="equal">
      <formula>0</formula>
    </cfRule>
  </conditionalFormatting>
  <conditionalFormatting sqref="O337:W361">
    <cfRule type="cellIs" dxfId="15" priority="15" operator="equal">
      <formula>0</formula>
    </cfRule>
  </conditionalFormatting>
  <conditionalFormatting sqref="O366:W390">
    <cfRule type="cellIs" dxfId="14" priority="14" operator="equal">
      <formula>0</formula>
    </cfRule>
  </conditionalFormatting>
  <conditionalFormatting sqref="O395:W419">
    <cfRule type="cellIs" dxfId="13" priority="13" operator="equal">
      <formula>0</formula>
    </cfRule>
  </conditionalFormatting>
  <conditionalFormatting sqref="O424:W448">
    <cfRule type="cellIs" dxfId="12" priority="12" operator="equal">
      <formula>0</formula>
    </cfRule>
  </conditionalFormatting>
  <conditionalFormatting sqref="O453:W477">
    <cfRule type="cellIs" dxfId="11" priority="11" operator="equal">
      <formula>0</formula>
    </cfRule>
  </conditionalFormatting>
  <conditionalFormatting sqref="O482:W513">
    <cfRule type="cellIs" dxfId="10" priority="10" operator="equal">
      <formula>0</formula>
    </cfRule>
  </conditionalFormatting>
  <conditionalFormatting sqref="O518:W548">
    <cfRule type="cellIs" dxfId="9" priority="9" operator="equal">
      <formula>0</formula>
    </cfRule>
  </conditionalFormatting>
  <conditionalFormatting sqref="O553:W586">
    <cfRule type="cellIs" dxfId="8" priority="8" operator="equal">
      <formula>0</formula>
    </cfRule>
  </conditionalFormatting>
  <conditionalFormatting sqref="O591:W624">
    <cfRule type="cellIs" dxfId="7" priority="7" operator="equal">
      <formula>0</formula>
    </cfRule>
  </conditionalFormatting>
  <conditionalFormatting sqref="O629:W661">
    <cfRule type="cellIs" dxfId="6" priority="6" operator="equal">
      <formula>0</formula>
    </cfRule>
  </conditionalFormatting>
  <conditionalFormatting sqref="O666:W696">
    <cfRule type="cellIs" dxfId="5" priority="5" operator="equal">
      <formula>0</formula>
    </cfRule>
  </conditionalFormatting>
  <conditionalFormatting sqref="O701:W733">
    <cfRule type="cellIs" dxfId="4" priority="4" operator="equal">
      <formula>0</formula>
    </cfRule>
  </conditionalFormatting>
  <conditionalFormatting sqref="O738:W762">
    <cfRule type="cellIs" dxfId="3" priority="3" operator="equal">
      <formula>0</formula>
    </cfRule>
  </conditionalFormatting>
  <conditionalFormatting sqref="O767:W791">
    <cfRule type="cellIs" dxfId="2" priority="2" operator="equal">
      <formula>0</formula>
    </cfRule>
  </conditionalFormatting>
  <conditionalFormatting sqref="O796:W820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DF310-BD92-1841-B530-54143D956E2F}">
  <sheetPr codeName="Sheet6"/>
  <dimension ref="B2:J52"/>
  <sheetViews>
    <sheetView tabSelected="1" topLeftCell="A2" zoomScale="160" zoomScaleNormal="160" workbookViewId="0">
      <selection activeCell="E36" sqref="E36"/>
    </sheetView>
  </sheetViews>
  <sheetFormatPr baseColWidth="10" defaultRowHeight="15"/>
  <sheetData>
    <row r="2" spans="2:10">
      <c r="B2" t="str">
        <f>'ANSI Buildup Factors'!A189</f>
        <v>G-P Exposure Buildup Factor Coefficients</v>
      </c>
    </row>
    <row r="3" spans="2:10">
      <c r="B3" t="str">
        <f>'ANSI Buildup Factors'!A190</f>
        <v>Magnesium</v>
      </c>
    </row>
    <row r="4" spans="2:10">
      <c r="B4" t="str">
        <f>'ANSI Buildup Factors'!A191</f>
        <v>E(MeV)</v>
      </c>
      <c r="C4" t="str">
        <f>'ANSI Buildup Factors'!B191</f>
        <v>b</v>
      </c>
      <c r="D4" t="str">
        <f>'ANSI Buildup Factors'!C191</f>
        <v>c</v>
      </c>
      <c r="E4" t="str">
        <f>'ANSI Buildup Factors'!D191</f>
        <v>a</v>
      </c>
      <c r="F4" t="str">
        <f>'ANSI Buildup Factors'!E191</f>
        <v>Xk</v>
      </c>
      <c r="G4" t="str">
        <f>'ANSI Buildup Factors'!F191</f>
        <v>d</v>
      </c>
      <c r="H4" t="str">
        <f>'ANSI Buildup Factors'!G191</f>
        <v>Max. Dev.</v>
      </c>
      <c r="I4" t="str">
        <f>'ANSI Buildup Factors'!H191</f>
        <v>Xmax</v>
      </c>
      <c r="J4" t="str">
        <f>'ANSI Buildup Factors'!I191</f>
        <v>St. Dev.</v>
      </c>
    </row>
    <row r="5" spans="2:10">
      <c r="B5">
        <f>'ANSI Buildup Factors'!A192</f>
        <v>1.4999999999999999E-2</v>
      </c>
      <c r="C5">
        <f>'ANSI Buildup Factors'!B192</f>
        <v>1.0369999999999999</v>
      </c>
      <c r="D5">
        <f>'ANSI Buildup Factors'!C192</f>
        <v>0.40100000000000002</v>
      </c>
      <c r="E5">
        <f>'ANSI Buildup Factors'!D192</f>
        <v>0.21099999999999999</v>
      </c>
      <c r="F5">
        <f>'ANSI Buildup Factors'!E192</f>
        <v>13.33</v>
      </c>
      <c r="G5">
        <f>'ANSI Buildup Factors'!F192</f>
        <v>-0.13320000000000001</v>
      </c>
      <c r="H5">
        <f>'ANSI Buildup Factors'!G192</f>
        <v>6.4999999999999997E-3</v>
      </c>
      <c r="I5">
        <f>'ANSI Buildup Factors'!H192</f>
        <v>0.5</v>
      </c>
      <c r="J5">
        <f>'ANSI Buildup Factors'!I192</f>
        <v>3.3E-3</v>
      </c>
    </row>
    <row r="6" spans="2:10">
      <c r="B6">
        <f>'ANSI Buildup Factors'!A193</f>
        <v>0.02</v>
      </c>
      <c r="C6">
        <f>'ANSI Buildup Factors'!B193</f>
        <v>1.085</v>
      </c>
      <c r="D6">
        <f>'ANSI Buildup Factors'!C193</f>
        <v>0.439</v>
      </c>
      <c r="E6">
        <f>'ANSI Buildup Factors'!D193</f>
        <v>0.17799999999999999</v>
      </c>
      <c r="F6">
        <f>'ANSI Buildup Factors'!E193</f>
        <v>14.34</v>
      </c>
      <c r="G6">
        <f>'ANSI Buildup Factors'!F193</f>
        <v>-9.0999999999999998E-2</v>
      </c>
      <c r="H6">
        <f>'ANSI Buildup Factors'!G193</f>
        <v>7.1999999999999998E-3</v>
      </c>
      <c r="I6">
        <f>'ANSI Buildup Factors'!H193</f>
        <v>0.5</v>
      </c>
      <c r="J6">
        <f>'ANSI Buildup Factors'!I193</f>
        <v>3.79E-3</v>
      </c>
    </row>
    <row r="7" spans="2:10">
      <c r="B7">
        <f>'ANSI Buildup Factors'!A194</f>
        <v>0.03</v>
      </c>
      <c r="C7">
        <f>'ANSI Buildup Factors'!B194</f>
        <v>1.288</v>
      </c>
      <c r="D7">
        <f>'ANSI Buildup Factors'!C194</f>
        <v>0.44900000000000001</v>
      </c>
      <c r="E7">
        <f>'ANSI Buildup Factors'!D194</f>
        <v>0.189</v>
      </c>
      <c r="F7">
        <f>'ANSI Buildup Factors'!E194</f>
        <v>14.38</v>
      </c>
      <c r="G7">
        <f>'ANSI Buildup Factors'!F194</f>
        <v>-0.10199999999999999</v>
      </c>
      <c r="H7">
        <f>'ANSI Buildup Factors'!G194</f>
        <v>1.9199999999999998E-2</v>
      </c>
      <c r="I7">
        <f>'ANSI Buildup Factors'!H194</f>
        <v>0.5</v>
      </c>
      <c r="J7">
        <f>'ANSI Buildup Factors'!I194</f>
        <v>7.5599999999999999E-3</v>
      </c>
    </row>
    <row r="8" spans="2:10">
      <c r="B8">
        <f>'ANSI Buildup Factors'!A195</f>
        <v>0.04</v>
      </c>
      <c r="C8">
        <f>'ANSI Buildup Factors'!B195</f>
        <v>1.617</v>
      </c>
      <c r="D8">
        <f>'ANSI Buildup Factors'!C195</f>
        <v>0.55700000000000005</v>
      </c>
      <c r="E8">
        <f>'ANSI Buildup Factors'!D195</f>
        <v>0.14299999999999999</v>
      </c>
      <c r="F8">
        <f>'ANSI Buildup Factors'!E195</f>
        <v>15.17</v>
      </c>
      <c r="G8">
        <f>'ANSI Buildup Factors'!F195</f>
        <v>-7.5700000000000003E-2</v>
      </c>
      <c r="H8">
        <f>'ANSI Buildup Factors'!G195</f>
        <v>1.3899999999999999E-2</v>
      </c>
      <c r="I8">
        <f>'ANSI Buildup Factors'!H195</f>
        <v>0.5</v>
      </c>
      <c r="J8">
        <f>'ANSI Buildup Factors'!I195</f>
        <v>6.3200000000000001E-3</v>
      </c>
    </row>
    <row r="9" spans="2:10">
      <c r="B9">
        <f>'ANSI Buildup Factors'!A196</f>
        <v>0.05</v>
      </c>
      <c r="C9">
        <f>'ANSI Buildup Factors'!B196</f>
        <v>2.0990000000000002</v>
      </c>
      <c r="D9">
        <f>'ANSI Buildup Factors'!C196</f>
        <v>0.63300000000000001</v>
      </c>
      <c r="E9">
        <f>'ANSI Buildup Factors'!D196</f>
        <v>0.125</v>
      </c>
      <c r="F9">
        <f>'ANSI Buildup Factors'!E196</f>
        <v>14.15</v>
      </c>
      <c r="G9">
        <f>'ANSI Buildup Factors'!F196</f>
        <v>-6.5699999999999995E-2</v>
      </c>
      <c r="H9">
        <f>'ANSI Buildup Factors'!G196</f>
        <v>2.7699999999999999E-2</v>
      </c>
      <c r="I9">
        <f>'ANSI Buildup Factors'!H196</f>
        <v>0.5</v>
      </c>
      <c r="J9">
        <f>'ANSI Buildup Factors'!I196</f>
        <v>1.542E-2</v>
      </c>
    </row>
    <row r="10" spans="2:10">
      <c r="B10">
        <f>'ANSI Buildup Factors'!A197</f>
        <v>0.06</v>
      </c>
      <c r="C10">
        <f>'ANSI Buildup Factors'!B197</f>
        <v>2.4670000000000001</v>
      </c>
      <c r="D10">
        <f>'ANSI Buildup Factors'!C197</f>
        <v>0.79400000000000004</v>
      </c>
      <c r="E10">
        <f>'ANSI Buildup Factors'!D197</f>
        <v>7.0999999999999994E-2</v>
      </c>
      <c r="F10">
        <f>'ANSI Buildup Factors'!E197</f>
        <v>14.91</v>
      </c>
      <c r="G10">
        <f>'ANSI Buildup Factors'!F197</f>
        <v>-5.6300000000000003E-2</v>
      </c>
      <c r="H10">
        <f>'ANSI Buildup Factors'!G197</f>
        <v>2.47E-2</v>
      </c>
      <c r="I10">
        <f>'ANSI Buildup Factors'!H197</f>
        <v>0.5</v>
      </c>
      <c r="J10">
        <f>'ANSI Buildup Factors'!I197</f>
        <v>1.0880000000000001E-2</v>
      </c>
    </row>
    <row r="11" spans="2:10">
      <c r="B11">
        <f>'ANSI Buildup Factors'!A198</f>
        <v>0.08</v>
      </c>
      <c r="C11">
        <f>'ANSI Buildup Factors'!B198</f>
        <v>2.95</v>
      </c>
      <c r="D11">
        <f>'ANSI Buildup Factors'!C198</f>
        <v>1.0389999999999999</v>
      </c>
      <c r="E11">
        <f>'ANSI Buildup Factors'!D198</f>
        <v>5.0000000000000001E-3</v>
      </c>
      <c r="F11">
        <f>'ANSI Buildup Factors'!E198</f>
        <v>13.7</v>
      </c>
      <c r="G11">
        <f>'ANSI Buildup Factors'!F198</f>
        <v>-2.01E-2</v>
      </c>
      <c r="H11">
        <f>'ANSI Buildup Factors'!G198</f>
        <v>7.1999999999999998E-3</v>
      </c>
      <c r="I11">
        <f>'ANSI Buildup Factors'!H198</f>
        <v>10</v>
      </c>
      <c r="J11">
        <f>'ANSI Buildup Factors'!I198</f>
        <v>4.5399999999999998E-3</v>
      </c>
    </row>
    <row r="12" spans="2:10">
      <c r="B12">
        <f>'ANSI Buildup Factors'!A199</f>
        <v>0.1</v>
      </c>
      <c r="C12">
        <f>'ANSI Buildup Factors'!B199</f>
        <v>3.1019999999999999</v>
      </c>
      <c r="D12">
        <f>'ANSI Buildup Factors'!C199</f>
        <v>1.2290000000000001</v>
      </c>
      <c r="E12">
        <f>'ANSI Buildup Factors'!D199</f>
        <v>-3.5000000000000003E-2</v>
      </c>
      <c r="F12">
        <f>'ANSI Buildup Factors'!E199</f>
        <v>12.29</v>
      </c>
      <c r="G12">
        <f>'ANSI Buildup Factors'!F199</f>
        <v>-3.7000000000000002E-3</v>
      </c>
      <c r="H12">
        <f>'ANSI Buildup Factors'!G199</f>
        <v>4.8999999999999998E-3</v>
      </c>
      <c r="I12">
        <f>'ANSI Buildup Factors'!H199</f>
        <v>6</v>
      </c>
      <c r="J12">
        <f>'ANSI Buildup Factors'!I199</f>
        <v>2.0200000000000001E-3</v>
      </c>
    </row>
    <row r="13" spans="2:10">
      <c r="B13">
        <f>'ANSI Buildup Factors'!A200</f>
        <v>0.15</v>
      </c>
      <c r="C13">
        <f>'ANSI Buildup Factors'!B200</f>
        <v>3.032</v>
      </c>
      <c r="D13">
        <f>'ANSI Buildup Factors'!C200</f>
        <v>1.454</v>
      </c>
      <c r="E13">
        <f>'ANSI Buildup Factors'!D200</f>
        <v>-7.4999999999999997E-2</v>
      </c>
      <c r="F13">
        <f>'ANSI Buildup Factors'!E200</f>
        <v>15.08</v>
      </c>
      <c r="G13">
        <f>'ANSI Buildup Factors'!F200</f>
        <v>1.38E-2</v>
      </c>
      <c r="H13">
        <f>'ANSI Buildup Factors'!G200</f>
        <v>7.3000000000000001E-3</v>
      </c>
      <c r="I13">
        <f>'ANSI Buildup Factors'!H200</f>
        <v>1</v>
      </c>
      <c r="J13">
        <f>'ANSI Buildup Factors'!I200</f>
        <v>3.14E-3</v>
      </c>
    </row>
    <row r="14" spans="2:10">
      <c r="B14">
        <f>'ANSI Buildup Factors'!A201</f>
        <v>0.2</v>
      </c>
      <c r="C14">
        <f>'ANSI Buildup Factors'!B201</f>
        <v>2.8559999999999999</v>
      </c>
      <c r="D14">
        <f>'ANSI Buildup Factors'!C201</f>
        <v>1.5369999999999999</v>
      </c>
      <c r="E14">
        <f>'ANSI Buildup Factors'!D201</f>
        <v>-8.7999999999999995E-2</v>
      </c>
      <c r="F14">
        <f>'ANSI Buildup Factors'!E201</f>
        <v>15.99</v>
      </c>
      <c r="G14">
        <f>'ANSI Buildup Factors'!F201</f>
        <v>0.02</v>
      </c>
      <c r="H14">
        <f>'ANSI Buildup Factors'!G201</f>
        <v>7.7999999999999996E-3</v>
      </c>
      <c r="I14">
        <f>'ANSI Buildup Factors'!H201</f>
        <v>4</v>
      </c>
      <c r="J14">
        <f>'ANSI Buildup Factors'!I201</f>
        <v>4.1099999999999999E-3</v>
      </c>
    </row>
    <row r="15" spans="2:10">
      <c r="B15">
        <f>'ANSI Buildup Factors'!A202</f>
        <v>0.3</v>
      </c>
      <c r="C15">
        <f>'ANSI Buildup Factors'!B202</f>
        <v>2.5990000000000002</v>
      </c>
      <c r="D15">
        <f>'ANSI Buildup Factors'!C202</f>
        <v>1.5640000000000001</v>
      </c>
      <c r="E15">
        <f>'ANSI Buildup Factors'!D202</f>
        <v>-9.4E-2</v>
      </c>
      <c r="F15">
        <f>'ANSI Buildup Factors'!E202</f>
        <v>15.96</v>
      </c>
      <c r="G15">
        <f>'ANSI Buildup Factors'!F202</f>
        <v>2.2800000000000001E-2</v>
      </c>
      <c r="H15">
        <f>'ANSI Buildup Factors'!G202</f>
        <v>8.8999999999999999E-3</v>
      </c>
      <c r="I15">
        <f>'ANSI Buildup Factors'!H202</f>
        <v>15</v>
      </c>
      <c r="J15">
        <f>'ANSI Buildup Factors'!I202</f>
        <v>3.7299999999999998E-3</v>
      </c>
    </row>
    <row r="16" spans="2:10">
      <c r="B16">
        <f>'ANSI Buildup Factors'!A203</f>
        <v>0.4</v>
      </c>
      <c r="C16">
        <f>'ANSI Buildup Factors'!B203</f>
        <v>2.4369999999999998</v>
      </c>
      <c r="D16">
        <f>'ANSI Buildup Factors'!C203</f>
        <v>1.5409999999999999</v>
      </c>
      <c r="E16">
        <f>'ANSI Buildup Factors'!D203</f>
        <v>-9.2999999999999999E-2</v>
      </c>
      <c r="F16">
        <f>'ANSI Buildup Factors'!E203</f>
        <v>15.45</v>
      </c>
      <c r="G16">
        <f>'ANSI Buildup Factors'!F203</f>
        <v>2.3599999999999999E-2</v>
      </c>
      <c r="H16">
        <f>'ANSI Buildup Factors'!G203</f>
        <v>7.0000000000000001E-3</v>
      </c>
      <c r="I16">
        <f>'ANSI Buildup Factors'!H203</f>
        <v>1</v>
      </c>
      <c r="J16">
        <f>'ANSI Buildup Factors'!I203</f>
        <v>3.32E-3</v>
      </c>
    </row>
    <row r="17" spans="2:10">
      <c r="B17">
        <f>'ANSI Buildup Factors'!A204</f>
        <v>0.5</v>
      </c>
      <c r="C17">
        <f>'ANSI Buildup Factors'!B204</f>
        <v>2.3149999999999999</v>
      </c>
      <c r="D17">
        <f>'ANSI Buildup Factors'!C204</f>
        <v>1.5049999999999999</v>
      </c>
      <c r="E17">
        <f>'ANSI Buildup Factors'!D204</f>
        <v>-8.8999999999999996E-2</v>
      </c>
      <c r="F17">
        <f>'ANSI Buildup Factors'!E204</f>
        <v>16</v>
      </c>
      <c r="G17">
        <f>'ANSI Buildup Factors'!F204</f>
        <v>2.3599999999999999E-2</v>
      </c>
      <c r="H17">
        <f>'ANSI Buildup Factors'!G204</f>
        <v>6.4000000000000003E-3</v>
      </c>
      <c r="I17">
        <f>'ANSI Buildup Factors'!H204</f>
        <v>15</v>
      </c>
      <c r="J17">
        <f>'ANSI Buildup Factors'!I204</f>
        <v>2.8400000000000001E-3</v>
      </c>
    </row>
    <row r="18" spans="2:10">
      <c r="B18">
        <f>'ANSI Buildup Factors'!A205</f>
        <v>0.6</v>
      </c>
      <c r="C18">
        <f>'ANSI Buildup Factors'!B205</f>
        <v>2.2210000000000001</v>
      </c>
      <c r="D18">
        <f>'ANSI Buildup Factors'!C205</f>
        <v>1.4730000000000001</v>
      </c>
      <c r="E18">
        <f>'ANSI Buildup Factors'!D205</f>
        <v>-8.5999999999999993E-2</v>
      </c>
      <c r="F18">
        <f>'ANSI Buildup Factors'!E205</f>
        <v>15.28</v>
      </c>
      <c r="G18">
        <f>'ANSI Buildup Factors'!F205</f>
        <v>2.46E-2</v>
      </c>
      <c r="H18">
        <f>'ANSI Buildup Factors'!G205</f>
        <v>6.8999999999999999E-3</v>
      </c>
      <c r="I18">
        <f>'ANSI Buildup Factors'!H205</f>
        <v>35</v>
      </c>
      <c r="J18">
        <f>'ANSI Buildup Factors'!I205</f>
        <v>2.9099999999999998E-3</v>
      </c>
    </row>
    <row r="19" spans="2:10">
      <c r="B19">
        <f>'ANSI Buildup Factors'!A206</f>
        <v>0.8</v>
      </c>
      <c r="C19">
        <f>'ANSI Buildup Factors'!B206</f>
        <v>2.1</v>
      </c>
      <c r="D19">
        <f>'ANSI Buildup Factors'!C206</f>
        <v>1.401</v>
      </c>
      <c r="E19">
        <f>'ANSI Buildup Factors'!D206</f>
        <v>-7.5999999999999998E-2</v>
      </c>
      <c r="F19">
        <f>'ANSI Buildup Factors'!E206</f>
        <v>15.64</v>
      </c>
      <c r="G19">
        <f>'ANSI Buildup Factors'!F206</f>
        <v>2.3300000000000001E-2</v>
      </c>
      <c r="H19">
        <f>'ANSI Buildup Factors'!G206</f>
        <v>4.7999999999999996E-3</v>
      </c>
      <c r="I19">
        <f>'ANSI Buildup Factors'!H206</f>
        <v>1</v>
      </c>
      <c r="J19">
        <f>'ANSI Buildup Factors'!I206</f>
        <v>2.47E-3</v>
      </c>
    </row>
    <row r="20" spans="2:10">
      <c r="B20">
        <f>'ANSI Buildup Factors'!A207</f>
        <v>1</v>
      </c>
      <c r="C20">
        <f>'ANSI Buildup Factors'!B207</f>
        <v>2.004</v>
      </c>
      <c r="D20">
        <f>'ANSI Buildup Factors'!C207</f>
        <v>1.35</v>
      </c>
      <c r="E20">
        <f>'ANSI Buildup Factors'!D207</f>
        <v>-6.9000000000000006E-2</v>
      </c>
      <c r="F20">
        <f>'ANSI Buildup Factors'!E207</f>
        <v>15.69</v>
      </c>
      <c r="G20">
        <f>'ANSI Buildup Factors'!F207</f>
        <v>2.35E-2</v>
      </c>
      <c r="H20">
        <f>'ANSI Buildup Factors'!G207</f>
        <v>7.0000000000000001E-3</v>
      </c>
      <c r="I20">
        <f>'ANSI Buildup Factors'!H207</f>
        <v>15</v>
      </c>
      <c r="J20">
        <f>'ANSI Buildup Factors'!I207</f>
        <v>3.3E-3</v>
      </c>
    </row>
    <row r="21" spans="2:10">
      <c r="B21">
        <f>'ANSI Buildup Factors'!A208</f>
        <v>1.5</v>
      </c>
      <c r="C21">
        <f>'ANSI Buildup Factors'!B208</f>
        <v>1.867</v>
      </c>
      <c r="D21">
        <f>'ANSI Buildup Factors'!C208</f>
        <v>1.2330000000000001</v>
      </c>
      <c r="E21">
        <f>'ANSI Buildup Factors'!D208</f>
        <v>-4.9000000000000002E-2</v>
      </c>
      <c r="F21">
        <f>'ANSI Buildup Factors'!E208</f>
        <v>14.52</v>
      </c>
      <c r="G21">
        <f>'ANSI Buildup Factors'!F208</f>
        <v>1.6799999999999999E-2</v>
      </c>
      <c r="H21">
        <f>'ANSI Buildup Factors'!G208</f>
        <v>5.1000000000000004E-3</v>
      </c>
      <c r="I21">
        <f>'ANSI Buildup Factors'!H208</f>
        <v>0.5</v>
      </c>
      <c r="J21">
        <f>'ANSI Buildup Factors'!I208</f>
        <v>2.9199999999999999E-3</v>
      </c>
    </row>
    <row r="22" spans="2:10">
      <c r="B22">
        <f>'ANSI Buildup Factors'!A209</f>
        <v>2</v>
      </c>
      <c r="C22">
        <f>'ANSI Buildup Factors'!B209</f>
        <v>1.7869999999999999</v>
      </c>
      <c r="D22">
        <f>'ANSI Buildup Factors'!C209</f>
        <v>1.155</v>
      </c>
      <c r="E22">
        <f>'ANSI Buildup Factors'!D209</f>
        <v>-3.3000000000000002E-2</v>
      </c>
      <c r="F22">
        <f>'ANSI Buildup Factors'!E209</f>
        <v>16.11</v>
      </c>
      <c r="G22">
        <f>'ANSI Buildup Factors'!F209</f>
        <v>1.0800000000000001E-2</v>
      </c>
      <c r="H22">
        <f>'ANSI Buildup Factors'!G209</f>
        <v>5.1999999999999998E-3</v>
      </c>
      <c r="I22">
        <f>'ANSI Buildup Factors'!H209</f>
        <v>0.5</v>
      </c>
      <c r="J22">
        <f>'ANSI Buildup Factors'!I209</f>
        <v>2.48E-3</v>
      </c>
    </row>
    <row r="23" spans="2:10">
      <c r="B23">
        <f>'ANSI Buildup Factors'!A210</f>
        <v>3</v>
      </c>
      <c r="C23">
        <f>'ANSI Buildup Factors'!B210</f>
        <v>1.6739999999999999</v>
      </c>
      <c r="D23">
        <f>'ANSI Buildup Factors'!C210</f>
        <v>1.0640000000000001</v>
      </c>
      <c r="E23">
        <f>'ANSI Buildup Factors'!D210</f>
        <v>-1.2999999999999999E-2</v>
      </c>
      <c r="F23">
        <f>'ANSI Buildup Factors'!E210</f>
        <v>16.489999999999998</v>
      </c>
      <c r="G23">
        <f>'ANSI Buildup Factors'!F210</f>
        <v>2.2000000000000001E-3</v>
      </c>
      <c r="H23">
        <f>'ANSI Buildup Factors'!G210</f>
        <v>3.5999999999999999E-3</v>
      </c>
      <c r="I23">
        <f>'ANSI Buildup Factors'!H210</f>
        <v>1</v>
      </c>
      <c r="J23">
        <f>'ANSI Buildup Factors'!I210</f>
        <v>1.5E-3</v>
      </c>
    </row>
    <row r="24" spans="2:10">
      <c r="B24">
        <f>'ANSI Buildup Factors'!A211</f>
        <v>4</v>
      </c>
      <c r="C24">
        <f>'ANSI Buildup Factors'!B211</f>
        <v>1.5980000000000001</v>
      </c>
      <c r="D24">
        <f>'ANSI Buildup Factors'!C211</f>
        <v>0.997</v>
      </c>
      <c r="E24">
        <f>'ANSI Buildup Factors'!D211</f>
        <v>5.0000000000000001E-3</v>
      </c>
      <c r="F24">
        <f>'ANSI Buildup Factors'!E211</f>
        <v>13.02</v>
      </c>
      <c r="G24">
        <f>'ANSI Buildup Factors'!F211</f>
        <v>-9.1000000000000004E-3</v>
      </c>
      <c r="H24">
        <f>'ANSI Buildup Factors'!G211</f>
        <v>8.0000000000000002E-3</v>
      </c>
      <c r="I24">
        <f>'ANSI Buildup Factors'!H211</f>
        <v>0.5</v>
      </c>
      <c r="J24">
        <f>'ANSI Buildup Factors'!I211</f>
        <v>3.82E-3</v>
      </c>
    </row>
    <row r="25" spans="2:10">
      <c r="B25">
        <f>'ANSI Buildup Factors'!A212</f>
        <v>5</v>
      </c>
      <c r="C25">
        <f>'ANSI Buildup Factors'!B212</f>
        <v>1.538</v>
      </c>
      <c r="D25">
        <f>'ANSI Buildup Factors'!C212</f>
        <v>0.94099999999999995</v>
      </c>
      <c r="E25">
        <f>'ANSI Buildup Factors'!D212</f>
        <v>2.4E-2</v>
      </c>
      <c r="F25">
        <f>'ANSI Buildup Factors'!E212</f>
        <v>10.17</v>
      </c>
      <c r="G25">
        <f>'ANSI Buildup Factors'!F212</f>
        <v>-2.1600000000000001E-2</v>
      </c>
      <c r="H25">
        <f>'ANSI Buildup Factors'!G212</f>
        <v>5.1000000000000004E-3</v>
      </c>
      <c r="I25">
        <f>'ANSI Buildup Factors'!H212</f>
        <v>30</v>
      </c>
      <c r="J25">
        <f>'ANSI Buildup Factors'!I212</f>
        <v>3.3800000000000002E-3</v>
      </c>
    </row>
    <row r="26" spans="2:10">
      <c r="B26">
        <f>'ANSI Buildup Factors'!A213</f>
        <v>6</v>
      </c>
      <c r="C26">
        <f>'ANSI Buildup Factors'!B213</f>
        <v>1.484</v>
      </c>
      <c r="D26">
        <f>'ANSI Buildup Factors'!C213</f>
        <v>0.93400000000000005</v>
      </c>
      <c r="E26">
        <f>'ANSI Buildup Factors'!D213</f>
        <v>2.4E-2</v>
      </c>
      <c r="F26">
        <f>'ANSI Buildup Factors'!E213</f>
        <v>12.01</v>
      </c>
      <c r="G26">
        <f>'ANSI Buildup Factors'!F213</f>
        <v>-1.9199999999999998E-2</v>
      </c>
      <c r="H26">
        <f>'ANSI Buildup Factors'!G213</f>
        <v>1.0200000000000001E-2</v>
      </c>
      <c r="I26">
        <f>'ANSI Buildup Factors'!H213</f>
        <v>0.5</v>
      </c>
      <c r="J26">
        <f>'ANSI Buildup Factors'!I213</f>
        <v>4.47E-3</v>
      </c>
    </row>
    <row r="27" spans="2:10">
      <c r="B27">
        <f>'ANSI Buildup Factors'!A214</f>
        <v>8</v>
      </c>
      <c r="C27">
        <f>'ANSI Buildup Factors'!B214</f>
        <v>1.405</v>
      </c>
      <c r="D27">
        <f>'ANSI Buildup Factors'!C214</f>
        <v>0.90200000000000002</v>
      </c>
      <c r="E27">
        <f>'ANSI Buildup Factors'!D214</f>
        <v>3.4000000000000002E-2</v>
      </c>
      <c r="F27">
        <f>'ANSI Buildup Factors'!E214</f>
        <v>13.85</v>
      </c>
      <c r="G27">
        <f>'ANSI Buildup Factors'!F214</f>
        <v>-2.8500000000000001E-2</v>
      </c>
      <c r="H27">
        <f>'ANSI Buildup Factors'!G214</f>
        <v>1.06E-2</v>
      </c>
      <c r="I27">
        <f>'ANSI Buildup Factors'!H214</f>
        <v>1</v>
      </c>
      <c r="J27">
        <f>'ANSI Buildup Factors'!I214</f>
        <v>6.8399999999999997E-3</v>
      </c>
    </row>
    <row r="28" spans="2:10">
      <c r="B28">
        <f>'ANSI Buildup Factors'!A215</f>
        <v>10</v>
      </c>
      <c r="C28">
        <f>'ANSI Buildup Factors'!B215</f>
        <v>1.3420000000000001</v>
      </c>
      <c r="D28">
        <f>'ANSI Buildup Factors'!C215</f>
        <v>0.88600000000000001</v>
      </c>
      <c r="E28">
        <f>'ANSI Buildup Factors'!D215</f>
        <v>4.1000000000000002E-2</v>
      </c>
      <c r="F28">
        <f>'ANSI Buildup Factors'!E215</f>
        <v>13.09</v>
      </c>
      <c r="G28">
        <f>'ANSI Buildup Factors'!F215</f>
        <v>-3.32E-2</v>
      </c>
      <c r="H28">
        <f>'ANSI Buildup Factors'!G215</f>
        <v>1.8800000000000001E-2</v>
      </c>
      <c r="I28">
        <f>'ANSI Buildup Factors'!H215</f>
        <v>0.5</v>
      </c>
      <c r="J28">
        <f>'ANSI Buildup Factors'!I215</f>
        <v>8.2799999999999992E-3</v>
      </c>
    </row>
    <row r="29" spans="2:10">
      <c r="B29">
        <f>'ANSI Buildup Factors'!A216</f>
        <v>15</v>
      </c>
      <c r="C29">
        <f>'ANSI Buildup Factors'!B216</f>
        <v>1.2529999999999999</v>
      </c>
      <c r="D29">
        <f>'ANSI Buildup Factors'!C216</f>
        <v>0.84699999999999998</v>
      </c>
      <c r="E29">
        <f>'ANSI Buildup Factors'!D216</f>
        <v>5.7000000000000002E-2</v>
      </c>
      <c r="F29">
        <f>'ANSI Buildup Factors'!E216</f>
        <v>14.24</v>
      </c>
      <c r="G29">
        <f>'ANSI Buildup Factors'!F216</f>
        <v>-5.11E-2</v>
      </c>
      <c r="H29">
        <f>'ANSI Buildup Factors'!G216</f>
        <v>1.6899999999999998E-2</v>
      </c>
      <c r="I29">
        <f>'ANSI Buildup Factors'!H216</f>
        <v>4</v>
      </c>
      <c r="J29">
        <f>'ANSI Buildup Factors'!I216</f>
        <v>1.093E-2</v>
      </c>
    </row>
    <row r="32" spans="2:10">
      <c r="B32" t="s">
        <v>1898</v>
      </c>
    </row>
    <row r="33" spans="2:5">
      <c r="B33" t="s">
        <v>1899</v>
      </c>
    </row>
    <row r="34" spans="2:5">
      <c r="B34" t="s">
        <v>1900</v>
      </c>
    </row>
    <row r="36" spans="2:5">
      <c r="B36" t="s">
        <v>1901</v>
      </c>
      <c r="C36" t="s">
        <v>1902</v>
      </c>
      <c r="D36" t="s">
        <v>1903</v>
      </c>
      <c r="E36" t="s">
        <v>1904</v>
      </c>
    </row>
    <row r="37" spans="2:5">
      <c r="B37">
        <v>0.5</v>
      </c>
      <c r="C37">
        <v>1.33</v>
      </c>
      <c r="D37" s="41" cm="1">
        <f t="array" ref="D37">gp(B37,$E$23,$C$23,$D$23,$G$23,$F$23)</f>
        <v>1.3310147843743161</v>
      </c>
      <c r="E37" s="41" cm="1">
        <f t="array" ref="E37">gp(B37,-$E$23,$C$23,$D$23,-$G$23,$F$23)</f>
        <v>1.3325331468218331</v>
      </c>
    </row>
    <row r="38" spans="2:5">
      <c r="B38">
        <v>1</v>
      </c>
      <c r="C38">
        <v>1.68</v>
      </c>
      <c r="D38" s="41" cm="1">
        <f t="array" ref="D38">gp(B38,$E$23,$C$23,$D$23,$G$23,$F$23)</f>
        <v>1.6739999999999999</v>
      </c>
      <c r="E38" s="41" cm="1">
        <f t="array" ref="E38">gp(B38,-$E$23,$C$23,$D$23,-$G$23,$F$23)</f>
        <v>1.6739999999999999</v>
      </c>
    </row>
    <row r="39" spans="2:5">
      <c r="B39">
        <v>2</v>
      </c>
      <c r="C39">
        <v>2.39</v>
      </c>
      <c r="D39" s="41" cm="1">
        <f t="array" ref="D39">gp(B39,$E$23,$C$23,$D$23,$G$23,$F$23)</f>
        <v>2.3847102623981593</v>
      </c>
      <c r="E39" s="41" cm="1">
        <f t="array" ref="E39">gp(B39,-$E$23,$C$23,$D$23,-$G$23,$F$23)</f>
        <v>2.3976199669716287</v>
      </c>
    </row>
    <row r="40" spans="2:5">
      <c r="B40">
        <v>3</v>
      </c>
      <c r="C40">
        <v>3.12</v>
      </c>
      <c r="D40" s="41" cm="1">
        <f t="array" ref="D40">gp(B40,$E$23,$C$23,$D$23,$G$23,$F$23)</f>
        <v>3.1225484940221961</v>
      </c>
      <c r="E40" s="41" cm="1">
        <f t="array" ref="E40">gp(B40,-$E$23,$C$23,$D$23,-$G$23,$F$23)</f>
        <v>3.1865570871302613</v>
      </c>
    </row>
    <row r="41" spans="2:5">
      <c r="B41">
        <v>4</v>
      </c>
      <c r="C41">
        <v>3.88</v>
      </c>
      <c r="D41" s="41" cm="1">
        <f t="array" ref="D41">gp(B41,$E$23,$C$23,$D$23,$G$23,$F$23)</f>
        <v>3.883590764050489</v>
      </c>
      <c r="E41" s="41" cm="1">
        <f t="array" ref="E41">gp(B41,-$E$23,$C$23,$D$23,-$G$23,$F$23)</f>
        <v>4.052072991759494</v>
      </c>
    </row>
    <row r="42" spans="2:5">
      <c r="B42">
        <v>5</v>
      </c>
      <c r="C42">
        <v>4.66</v>
      </c>
      <c r="D42" s="41" cm="1">
        <f t="array" ref="D42">gp(B42,$E$23,$C$23,$D$23,$G$23,$F$23)</f>
        <v>4.6652360403215134</v>
      </c>
      <c r="E42" s="41" cm="1">
        <f t="array" ref="E42">gp(B42,-$E$23,$C$23,$D$23,-$G$23,$F$23)</f>
        <v>5.005369882157134</v>
      </c>
    </row>
    <row r="43" spans="2:5">
      <c r="B43">
        <v>6</v>
      </c>
      <c r="C43">
        <v>5.46</v>
      </c>
      <c r="D43" s="41" cm="1">
        <f t="array" ref="D43">gp(B43,$E$23,$C$23,$D$23,$G$23,$F$23)</f>
        <v>5.4655079245986427</v>
      </c>
      <c r="E43" s="41" cm="1">
        <f t="array" ref="E43">gp(B43,-$E$23,$C$23,$D$23,-$G$23,$F$23)</f>
        <v>6.0583704259284126</v>
      </c>
    </row>
    <row r="44" spans="2:5">
      <c r="B44">
        <v>7</v>
      </c>
      <c r="C44">
        <v>6.28</v>
      </c>
      <c r="D44" s="41" cm="1">
        <f t="array" ref="D44">gp(B44,$E$23,$C$23,$D$23,$G$23,$F$23)</f>
        <v>6.2827950707442026</v>
      </c>
      <c r="E44" s="41" cm="1">
        <f t="array" ref="E44">gp(B44,-$E$23,$C$23,$D$23,-$G$23,$F$23)</f>
        <v>7.2240996686004175</v>
      </c>
    </row>
    <row r="45" spans="2:5">
      <c r="B45">
        <v>8</v>
      </c>
      <c r="C45">
        <v>7.12</v>
      </c>
      <c r="D45" s="41" cm="1">
        <f t="array" ref="D45">gp(B45,$E$23,$C$23,$D$23,$G$23,$F$23)</f>
        <v>7.1157270941576289</v>
      </c>
      <c r="E45" s="41" cm="1">
        <f t="array" ref="E45">gp(B45,-$E$23,$C$23,$D$23,-$G$23,$F$23)</f>
        <v>8.5169626614181038</v>
      </c>
    </row>
    <row r="46" spans="2:5">
      <c r="B46">
        <v>10</v>
      </c>
      <c r="C46">
        <v>8.84</v>
      </c>
      <c r="D46" s="41" cm="1">
        <f t="array" ref="D46">gp(B46,$E$23,$C$23,$D$23,$G$23,$F$23)</f>
        <v>8.8238678132937149</v>
      </c>
      <c r="E46" s="41" cm="1">
        <f t="array" ref="E46">gp(B46,-$E$23,$C$23,$D$23,-$G$23,$F$23)</f>
        <v>11.550111441023622</v>
      </c>
    </row>
    <row r="47" spans="2:5">
      <c r="B47">
        <v>15</v>
      </c>
      <c r="C47">
        <v>13.3</v>
      </c>
      <c r="D47" s="41" cm="1">
        <f t="array" ref="D47">gp(B47,$E$23,$C$23,$D$23,$G$23,$F$23)</f>
        <v>13.297748047956262</v>
      </c>
      <c r="E47" s="41" cm="1">
        <f t="array" ref="E47">gp(B47,-$E$23,$C$23,$D$23,-$G$23,$F$23)</f>
        <v>22.746470619845621</v>
      </c>
    </row>
    <row r="48" spans="2:5">
      <c r="B48">
        <v>20</v>
      </c>
      <c r="C48">
        <v>18</v>
      </c>
      <c r="D48" s="41" cm="1">
        <f t="array" ref="D48">gp(B48,$E$23,$C$23,$D$23,$G$23,$F$23)</f>
        <v>17.994203114151642</v>
      </c>
      <c r="E48" s="41" cm="1">
        <f t="array" ref="E48">gp(B48,-$E$23,$C$23,$D$23,-$G$23,$F$23)</f>
        <v>42.292345137707279</v>
      </c>
    </row>
    <row r="49" spans="2:5">
      <c r="B49">
        <v>25</v>
      </c>
      <c r="C49">
        <v>22.9</v>
      </c>
      <c r="D49" s="41" cm="1">
        <f t="array" ref="D49">gp(B49,$E$23,$C$23,$D$23,$G$23,$F$23)</f>
        <v>22.858349618245303</v>
      </c>
      <c r="E49" s="41" cm="1">
        <f t="array" ref="E49">gp(B49,-$E$23,$C$23,$D$23,-$G$23,$F$23)</f>
        <v>76.825389027254161</v>
      </c>
    </row>
    <row r="50" spans="2:5">
      <c r="B50">
        <v>30</v>
      </c>
      <c r="C50">
        <v>27.9</v>
      </c>
      <c r="D50" s="41" cm="1">
        <f t="array" ref="D50">gp(B50,$E$23,$C$23,$D$23,$G$23,$F$23)</f>
        <v>27.859640901654448</v>
      </c>
      <c r="E50" s="41" cm="1">
        <f t="array" ref="E50">gp(B50,-$E$23,$C$23,$D$23,-$G$23,$F$23)</f>
        <v>138.3201161728602</v>
      </c>
    </row>
    <row r="51" spans="2:5">
      <c r="B51">
        <v>35</v>
      </c>
      <c r="C51">
        <v>33</v>
      </c>
      <c r="D51" s="41" cm="1">
        <f t="array" ref="D51">gp(B51,$E$23,$C$23,$D$23,$G$23,$F$23)</f>
        <v>32.968522155590321</v>
      </c>
      <c r="E51" s="41" cm="1">
        <f t="array" ref="E51">gp(B51,-$E$23,$C$23,$D$23,-$G$23,$F$23)</f>
        <v>248.58043310714024</v>
      </c>
    </row>
    <row r="52" spans="2:5">
      <c r="B52">
        <v>40</v>
      </c>
      <c r="C52">
        <v>38.200000000000003</v>
      </c>
      <c r="D52" s="41" cm="1">
        <f t="array" ref="D52">gp(B52,$E$23,$C$23,$D$23,$G$23,$F$23)</f>
        <v>38.130606745417154</v>
      </c>
      <c r="E52" s="41" cm="1">
        <f t="array" ref="E52">gp(B52,-$E$23,$C$23,$D$23,-$G$23,$F$23)</f>
        <v>447.8821166188755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5FFE3-A4FB-CD4D-92AC-0C23518E7AD9}">
  <sheetPr codeName="Sheet10"/>
  <dimension ref="A2:O1082"/>
  <sheetViews>
    <sheetView zoomScale="150" zoomScaleNormal="150" workbookViewId="0">
      <selection activeCell="G1043" sqref="G1043"/>
    </sheetView>
  </sheetViews>
  <sheetFormatPr baseColWidth="10" defaultRowHeight="15"/>
  <sheetData>
    <row r="2" spans="1:15" ht="21">
      <c r="A2" s="9" t="s">
        <v>607</v>
      </c>
    </row>
    <row r="3" spans="1:15">
      <c r="A3" t="s">
        <v>612</v>
      </c>
      <c r="G3" t="str">
        <f>A3</f>
        <v xml:space="preserve">                  BERYLLIUM MEDIUM, AIR RESPONSE</v>
      </c>
    </row>
    <row r="5" spans="1:15">
      <c r="A5" t="s">
        <v>610</v>
      </c>
      <c r="G5" t="str" cm="1">
        <f t="array" ref="G5:O5">_xlfn.TEXTSPLIT(TRIM(A5)," ")</f>
        <v>E(MEV)</v>
      </c>
      <c r="H5" t="str">
        <v>B</v>
      </c>
      <c r="I5" t="str">
        <v>C</v>
      </c>
      <c r="J5" t="str">
        <v>A</v>
      </c>
      <c r="K5" t="str">
        <v>XK</v>
      </c>
      <c r="L5" t="str">
        <v>D</v>
      </c>
      <c r="M5" t="str">
        <v>MAX.D</v>
      </c>
      <c r="N5" t="str">
        <v>XMAX</v>
      </c>
      <c r="O5" t="str">
        <v>S.D</v>
      </c>
    </row>
    <row r="6" spans="1:15">
      <c r="A6" t="s">
        <v>611</v>
      </c>
      <c r="G6" s="6" t="s">
        <v>1289</v>
      </c>
      <c r="H6" s="6" t="s">
        <v>1289</v>
      </c>
      <c r="I6" s="6" t="s">
        <v>1289</v>
      </c>
      <c r="J6" s="6" t="s">
        <v>1289</v>
      </c>
      <c r="K6" s="6" t="s">
        <v>1289</v>
      </c>
      <c r="L6" s="6" t="s">
        <v>1289</v>
      </c>
      <c r="M6" s="6" t="s">
        <v>1289</v>
      </c>
      <c r="N6" s="6" t="s">
        <v>1289</v>
      </c>
      <c r="O6" s="6" t="s">
        <v>1289</v>
      </c>
    </row>
    <row r="7" spans="1:15">
      <c r="A7" t="s">
        <v>613</v>
      </c>
      <c r="G7" cm="1">
        <f t="array" ref="G7:O7">VALUE(_xlfn.TEXTSPLIT(SUBSTITUTE(TRIM(A7),"0.0 %","0.0%")," "))</f>
        <v>1.4999999999999999E-2</v>
      </c>
      <c r="H7">
        <v>2.5270000000000001</v>
      </c>
      <c r="I7">
        <v>0.95699999999999996</v>
      </c>
      <c r="J7">
        <v>2.3E-2</v>
      </c>
      <c r="K7">
        <v>12.01</v>
      </c>
      <c r="L7">
        <v>-2.1600000000000001E-2</v>
      </c>
      <c r="M7">
        <v>3.0099999999999998E-2</v>
      </c>
      <c r="N7">
        <v>0.5</v>
      </c>
      <c r="O7">
        <v>1.2370000000000001E-2</v>
      </c>
    </row>
    <row r="8" spans="1:15">
      <c r="A8" t="s">
        <v>614</v>
      </c>
      <c r="G8" cm="1">
        <f t="array" ref="G8:O8">VALUE(_xlfn.TEXTSPLIT(SUBSTITUTE(TRIM(A8),"0.0 %","0.0%")," "))</f>
        <v>0.02</v>
      </c>
      <c r="H8">
        <v>3.8340000000000001</v>
      </c>
      <c r="I8">
        <v>1.5169999999999999</v>
      </c>
      <c r="J8">
        <v>-8.8999999999999996E-2</v>
      </c>
      <c r="K8">
        <v>16.27</v>
      </c>
      <c r="L8">
        <v>0.03</v>
      </c>
      <c r="M8">
        <v>2.2499999999999999E-2</v>
      </c>
      <c r="N8">
        <v>0.5</v>
      </c>
      <c r="O8">
        <v>7.8799999999999999E-3</v>
      </c>
    </row>
    <row r="9" spans="1:15">
      <c r="A9" t="s">
        <v>615</v>
      </c>
      <c r="G9" cm="1">
        <f t="array" ref="G9:O9">VALUE(_xlfn.TEXTSPLIT(SUBSTITUTE(TRIM(A9),"0.0 %","0.0%")," "))</f>
        <v>0.03</v>
      </c>
      <c r="H9">
        <v>6.5430000000000001</v>
      </c>
      <c r="I9">
        <v>2.464</v>
      </c>
      <c r="J9">
        <v>-0.20399999999999999</v>
      </c>
      <c r="K9">
        <v>14.71</v>
      </c>
      <c r="L9">
        <v>7.7399999999999997E-2</v>
      </c>
      <c r="M9">
        <v>2.52E-2</v>
      </c>
      <c r="N9">
        <v>25</v>
      </c>
      <c r="O9">
        <v>1.4710000000000001E-2</v>
      </c>
    </row>
    <row r="10" spans="1:15">
      <c r="A10" t="s">
        <v>616</v>
      </c>
      <c r="G10" cm="1">
        <f t="array" ref="G10:O10">VALUE(_xlfn.TEXTSPLIT(SUBSTITUTE(TRIM(A10),"0.0 %","0.0%")," "))</f>
        <v>0.04</v>
      </c>
      <c r="H10">
        <v>8.6720000000000006</v>
      </c>
      <c r="I10">
        <v>3.15</v>
      </c>
      <c r="J10">
        <v>-0.26</v>
      </c>
      <c r="K10">
        <v>14.2</v>
      </c>
      <c r="L10">
        <v>0.10680000000000001</v>
      </c>
      <c r="M10">
        <v>3.5900000000000001E-2</v>
      </c>
      <c r="N10">
        <v>10</v>
      </c>
      <c r="O10">
        <v>2.3480000000000001E-2</v>
      </c>
    </row>
    <row r="11" spans="1:15">
      <c r="A11" t="s">
        <v>617</v>
      </c>
      <c r="G11" cm="1">
        <f t="array" ref="G11:O11">VALUE(_xlfn.TEXTSPLIT(SUBSTITUTE(TRIM(A11),"0.0 %","0.0%")," "))</f>
        <v>0.05</v>
      </c>
      <c r="H11">
        <v>9.77</v>
      </c>
      <c r="I11">
        <v>3.613</v>
      </c>
      <c r="J11">
        <v>-0.29199999999999998</v>
      </c>
      <c r="K11">
        <v>14.02</v>
      </c>
      <c r="L11">
        <v>0.12379999999999999</v>
      </c>
      <c r="M11">
        <v>4.4900000000000002E-2</v>
      </c>
      <c r="N11">
        <v>10</v>
      </c>
      <c r="O11">
        <v>2.8469999999999999E-2</v>
      </c>
    </row>
    <row r="12" spans="1:15">
      <c r="A12" t="s">
        <v>618</v>
      </c>
      <c r="G12" cm="1">
        <f t="array" ref="G12:O12">VALUE(_xlfn.TEXTSPLIT(SUBSTITUTE(TRIM(A12),"0.0 %","0.0%")," "))</f>
        <v>0.06</v>
      </c>
      <c r="H12">
        <v>9.8230000000000004</v>
      </c>
      <c r="I12">
        <v>3.9159999999999999</v>
      </c>
      <c r="J12">
        <v>-0.311</v>
      </c>
      <c r="K12">
        <v>13.93</v>
      </c>
      <c r="L12">
        <v>0.13339999999999999</v>
      </c>
      <c r="M12">
        <v>4.8500000000000001E-2</v>
      </c>
      <c r="N12">
        <v>10</v>
      </c>
      <c r="O12">
        <v>3.1329999999999997E-2</v>
      </c>
    </row>
    <row r="13" spans="1:15">
      <c r="A13" t="s">
        <v>619</v>
      </c>
      <c r="G13" cm="1">
        <f t="array" ref="G13:O13">VALUE(_xlfn.TEXTSPLIT(SUBSTITUTE(TRIM(A13),"0.0 %","0.0%")," "))</f>
        <v>0.08</v>
      </c>
      <c r="H13">
        <v>8.5820000000000007</v>
      </c>
      <c r="I13">
        <v>4.2</v>
      </c>
      <c r="J13">
        <v>-0.32800000000000001</v>
      </c>
      <c r="K13">
        <v>14.01</v>
      </c>
      <c r="L13">
        <v>0.13980000000000001</v>
      </c>
      <c r="M13">
        <v>4.9799999999999997E-2</v>
      </c>
      <c r="N13">
        <v>25</v>
      </c>
      <c r="O13">
        <v>3.1449999999999999E-2</v>
      </c>
    </row>
    <row r="14" spans="1:15">
      <c r="A14" t="s">
        <v>620</v>
      </c>
      <c r="G14" cm="1">
        <f t="array" ref="G14:O14">VALUE(_xlfn.TEXTSPLIT(SUBSTITUTE(TRIM(A14),"0.0 %","0.0%")," "))</f>
        <v>0.1</v>
      </c>
      <c r="H14">
        <v>7.3029999999999999</v>
      </c>
      <c r="I14">
        <v>4.2519999999999998</v>
      </c>
      <c r="J14">
        <v>-0.33300000000000002</v>
      </c>
      <c r="K14">
        <v>14.11</v>
      </c>
      <c r="L14">
        <v>0.1406</v>
      </c>
      <c r="M14">
        <v>4.6399999999999997E-2</v>
      </c>
      <c r="N14">
        <v>25</v>
      </c>
      <c r="O14">
        <v>2.9960000000000001E-2</v>
      </c>
    </row>
    <row r="15" spans="1:15">
      <c r="A15" t="s">
        <v>621</v>
      </c>
      <c r="G15" cm="1">
        <f t="array" ref="G15:O15">VALUE(_xlfn.TEXTSPLIT(SUBSTITUTE(TRIM(A15),"0.0 %","0.0%")," "))</f>
        <v>0.15</v>
      </c>
      <c r="H15">
        <v>4.9829999999999997</v>
      </c>
      <c r="I15">
        <v>4.1360000000000001</v>
      </c>
      <c r="J15">
        <v>-0.33100000000000002</v>
      </c>
      <c r="K15">
        <v>14.43</v>
      </c>
      <c r="L15">
        <v>0.1391</v>
      </c>
      <c r="M15">
        <v>4.2799999999999998E-2</v>
      </c>
      <c r="N15">
        <v>35</v>
      </c>
      <c r="O15">
        <v>2.596E-2</v>
      </c>
    </row>
    <row r="16" spans="1:15">
      <c r="A16" t="s">
        <v>622</v>
      </c>
      <c r="G16" cm="1">
        <f t="array" ref="G16:O16">VALUE(_xlfn.TEXTSPLIT(SUBSTITUTE(TRIM(A16),"0.0 %","0.0%")," "))</f>
        <v>0.2</v>
      </c>
      <c r="H16">
        <v>4.3959999999999999</v>
      </c>
      <c r="I16">
        <v>3.8769999999999998</v>
      </c>
      <c r="J16">
        <v>-0.32300000000000001</v>
      </c>
      <c r="K16">
        <v>14.44</v>
      </c>
      <c r="L16">
        <v>0.14249999999999999</v>
      </c>
      <c r="M16">
        <v>4.4499999999999998E-2</v>
      </c>
      <c r="N16">
        <v>35</v>
      </c>
      <c r="O16">
        <v>2.6120000000000001E-2</v>
      </c>
    </row>
    <row r="17" spans="1:15">
      <c r="A17" t="s">
        <v>623</v>
      </c>
      <c r="G17" cm="1">
        <f t="array" ref="G17:O17">VALUE(_xlfn.TEXTSPLIT(SUBSTITUTE(TRIM(A17),"0.0 %","0.0%")," "))</f>
        <v>0.3</v>
      </c>
      <c r="H17">
        <v>3.448</v>
      </c>
      <c r="I17">
        <v>3.4420000000000002</v>
      </c>
      <c r="J17">
        <v>-0.30399999999999999</v>
      </c>
      <c r="K17">
        <v>14.2</v>
      </c>
      <c r="L17">
        <v>0.14219999999999999</v>
      </c>
      <c r="M17">
        <v>4.8000000000000001E-2</v>
      </c>
      <c r="N17">
        <v>25</v>
      </c>
      <c r="O17">
        <v>2.8330000000000001E-2</v>
      </c>
    </row>
    <row r="18" spans="1:15">
      <c r="A18" t="s">
        <v>624</v>
      </c>
      <c r="G18" cm="1">
        <f t="array" ref="G18:O18">VALUE(_xlfn.TEXTSPLIT(SUBSTITUTE(TRIM(A18),"0.0 %","0.0%")," "))</f>
        <v>0.4</v>
      </c>
      <c r="H18">
        <v>3.218</v>
      </c>
      <c r="I18">
        <v>3.0459999999999998</v>
      </c>
      <c r="J18">
        <v>-0.28000000000000003</v>
      </c>
      <c r="K18">
        <v>14.18</v>
      </c>
      <c r="L18">
        <v>0.13700000000000001</v>
      </c>
      <c r="M18">
        <v>4.3700000000000003E-2</v>
      </c>
      <c r="N18">
        <v>15</v>
      </c>
      <c r="O18">
        <v>2.6519999999999998E-2</v>
      </c>
    </row>
    <row r="19" spans="1:15">
      <c r="A19" t="s">
        <v>625</v>
      </c>
      <c r="G19" cm="1">
        <f t="array" ref="G19:O19">VALUE(_xlfn.TEXTSPLIT(SUBSTITUTE(TRIM(A19),"0.0 %","0.0%")," "))</f>
        <v>0.5</v>
      </c>
      <c r="H19">
        <v>2.7930000000000001</v>
      </c>
      <c r="I19">
        <v>2.9340000000000002</v>
      </c>
      <c r="J19">
        <v>-0.28100000000000003</v>
      </c>
      <c r="K19">
        <v>13.44</v>
      </c>
      <c r="L19">
        <v>0.14940000000000001</v>
      </c>
      <c r="M19">
        <v>5.9200000000000003E-2</v>
      </c>
      <c r="N19">
        <v>35</v>
      </c>
      <c r="O19">
        <v>3.8260000000000002E-2</v>
      </c>
    </row>
    <row r="20" spans="1:15">
      <c r="A20" t="s">
        <v>626</v>
      </c>
      <c r="G20" cm="1">
        <f t="array" ref="G20:O20">VALUE(_xlfn.TEXTSPLIT(SUBSTITUTE(TRIM(A20),"0.0 %","0.0%")," "))</f>
        <v>0.6</v>
      </c>
      <c r="H20">
        <v>2.6539999999999999</v>
      </c>
      <c r="I20">
        <v>2.6720000000000002</v>
      </c>
      <c r="J20">
        <v>-0.26100000000000001</v>
      </c>
      <c r="K20">
        <v>13.2</v>
      </c>
      <c r="L20">
        <v>0.14349999999999999</v>
      </c>
      <c r="M20">
        <v>5.8200000000000002E-2</v>
      </c>
      <c r="N20">
        <v>10</v>
      </c>
      <c r="O20">
        <v>3.7470000000000003E-2</v>
      </c>
    </row>
    <row r="21" spans="1:15">
      <c r="A21" t="s">
        <v>627</v>
      </c>
      <c r="G21" cm="1">
        <f t="array" ref="G21:O21">VALUE(_xlfn.TEXTSPLIT(SUBSTITUTE(TRIM(A21),"0.0 %","0.0%")," "))</f>
        <v>0.8</v>
      </c>
      <c r="H21">
        <v>2.5049999999999999</v>
      </c>
      <c r="I21">
        <v>2.2250000000000001</v>
      </c>
      <c r="J21">
        <v>-0.215</v>
      </c>
      <c r="K21">
        <v>13.24</v>
      </c>
      <c r="L21">
        <v>0.1211</v>
      </c>
      <c r="M21">
        <v>6.1400000000000003E-2</v>
      </c>
      <c r="N21">
        <v>1</v>
      </c>
      <c r="O21">
        <v>3.848E-2</v>
      </c>
    </row>
    <row r="22" spans="1:15">
      <c r="A22" t="s">
        <v>628</v>
      </c>
      <c r="G22" cm="1">
        <f t="array" ref="G22:O22">VALUE(_xlfn.TEXTSPLIT(SUBSTITUTE(TRIM(A22),"0.0 %","0.0%")," "))</f>
        <v>1</v>
      </c>
      <c r="H22">
        <v>2.33</v>
      </c>
      <c r="I22">
        <v>1.9970000000000001</v>
      </c>
      <c r="J22">
        <v>-0.19</v>
      </c>
      <c r="K22">
        <v>12.98</v>
      </c>
      <c r="L22">
        <v>0.1115</v>
      </c>
      <c r="M22">
        <v>7.3700000000000002E-2</v>
      </c>
      <c r="N22">
        <v>1</v>
      </c>
      <c r="O22">
        <v>4.3659999999999997E-2</v>
      </c>
    </row>
    <row r="23" spans="1:15">
      <c r="A23" t="s">
        <v>629</v>
      </c>
      <c r="G23" cm="1">
        <f t="array" ref="G23:O23">VALUE(_xlfn.TEXTSPLIT(SUBSTITUTE(TRIM(A23),"0.0 %","0.0%")," "))</f>
        <v>1.5</v>
      </c>
      <c r="H23">
        <v>2.15</v>
      </c>
      <c r="I23">
        <v>1.5489999999999999</v>
      </c>
      <c r="J23">
        <v>-0.122</v>
      </c>
      <c r="K23">
        <v>13</v>
      </c>
      <c r="L23">
        <v>7.5700000000000003E-2</v>
      </c>
      <c r="M23">
        <v>6.4100000000000004E-2</v>
      </c>
      <c r="N23">
        <v>0.5</v>
      </c>
      <c r="O23">
        <v>3.2599999999999997E-2</v>
      </c>
    </row>
    <row r="24" spans="1:15">
      <c r="A24" t="s">
        <v>630</v>
      </c>
      <c r="G24" cm="1">
        <f t="array" ref="G24:O24">VALUE(_xlfn.TEXTSPLIT(SUBSTITUTE(TRIM(A24),"0.0 %","0.0%")," "))</f>
        <v>2</v>
      </c>
      <c r="H24">
        <v>2.0609999999999999</v>
      </c>
      <c r="I24">
        <v>1.284</v>
      </c>
      <c r="J24">
        <v>-6.9000000000000006E-2</v>
      </c>
      <c r="K24">
        <v>13.26</v>
      </c>
      <c r="L24">
        <v>4.3400000000000001E-2</v>
      </c>
      <c r="M24">
        <v>4.2700000000000002E-2</v>
      </c>
      <c r="N24">
        <v>0.5</v>
      </c>
      <c r="O24">
        <v>1.857E-2</v>
      </c>
    </row>
    <row r="25" spans="1:15">
      <c r="A25" t="s">
        <v>631</v>
      </c>
      <c r="G25" cm="1">
        <f t="array" ref="G25:O25">VALUE(_xlfn.TEXTSPLIT(SUBSTITUTE(TRIM(A25),"0.0 %","0.0%")," "))</f>
        <v>3</v>
      </c>
      <c r="H25">
        <v>1.863</v>
      </c>
      <c r="I25">
        <v>1.087</v>
      </c>
      <c r="J25">
        <v>-2.4E-2</v>
      </c>
      <c r="K25">
        <v>13.06</v>
      </c>
      <c r="L25">
        <v>1.6799999999999999E-2</v>
      </c>
      <c r="M25">
        <v>2.9499999999999998E-2</v>
      </c>
      <c r="N25">
        <v>0.5</v>
      </c>
      <c r="O25">
        <v>1.072E-2</v>
      </c>
    </row>
    <row r="26" spans="1:15">
      <c r="A26" t="s">
        <v>632</v>
      </c>
      <c r="G26" cm="1">
        <f t="array" ref="G26:O26">VALUE(_xlfn.TEXTSPLIT(SUBSTITUTE(TRIM(A26),"0.0 %","0.0%")," "))</f>
        <v>4</v>
      </c>
      <c r="H26">
        <v>1.74</v>
      </c>
      <c r="I26">
        <v>0.98599999999999999</v>
      </c>
      <c r="J26">
        <v>2E-3</v>
      </c>
      <c r="K26">
        <v>9.42</v>
      </c>
      <c r="L26">
        <v>2.2000000000000001E-3</v>
      </c>
      <c r="M26">
        <v>1.5900000000000001E-2</v>
      </c>
      <c r="N26">
        <v>0.5</v>
      </c>
      <c r="O26">
        <v>5.9300000000000004E-3</v>
      </c>
    </row>
    <row r="27" spans="1:15">
      <c r="A27" t="s">
        <v>633</v>
      </c>
      <c r="G27" cm="1">
        <f t="array" ref="G27:O27">VALUE(_xlfn.TEXTSPLIT(SUBSTITUTE(TRIM(A27),"0.0 %","0.0%")," "))</f>
        <v>5</v>
      </c>
      <c r="H27">
        <v>1.641</v>
      </c>
      <c r="I27">
        <v>0.93200000000000005</v>
      </c>
      <c r="J27">
        <v>1.7000000000000001E-2</v>
      </c>
      <c r="K27">
        <v>17.21</v>
      </c>
      <c r="L27">
        <v>-8.5000000000000006E-3</v>
      </c>
      <c r="M27">
        <v>1.2999999999999999E-2</v>
      </c>
      <c r="N27">
        <v>0.5</v>
      </c>
      <c r="O27">
        <v>4.8700000000000002E-3</v>
      </c>
    </row>
    <row r="28" spans="1:15">
      <c r="A28" t="s">
        <v>634</v>
      </c>
      <c r="G28" cm="1">
        <f t="array" ref="G28:O28">VALUE(_xlfn.TEXTSPLIT(SUBSTITUTE(TRIM(A28),"0.0 %","0.0%")," "))</f>
        <v>6</v>
      </c>
      <c r="H28">
        <v>1.5840000000000001</v>
      </c>
      <c r="I28">
        <v>0.88600000000000001</v>
      </c>
      <c r="J28">
        <v>3.1E-2</v>
      </c>
      <c r="K28">
        <v>14.51</v>
      </c>
      <c r="L28">
        <v>-1.5900000000000001E-2</v>
      </c>
      <c r="M28">
        <v>9.5999999999999992E-3</v>
      </c>
      <c r="N28">
        <v>0.5</v>
      </c>
      <c r="O28">
        <v>4.4999999999999997E-3</v>
      </c>
    </row>
    <row r="29" spans="1:15">
      <c r="A29" t="s">
        <v>635</v>
      </c>
      <c r="G29" cm="1">
        <f t="array" ref="G29:O29">VALUE(_xlfn.TEXTSPLIT(SUBSTITUTE(TRIM(A29),"0.0 %","0.0%")," "))</f>
        <v>8</v>
      </c>
      <c r="H29">
        <v>1.48</v>
      </c>
      <c r="I29">
        <v>0.85099999999999998</v>
      </c>
      <c r="J29">
        <v>4.1000000000000002E-2</v>
      </c>
      <c r="K29">
        <v>14.63</v>
      </c>
      <c r="L29">
        <v>-2.07E-2</v>
      </c>
      <c r="M29">
        <v>6.8999999999999999E-3</v>
      </c>
      <c r="N29">
        <v>25</v>
      </c>
      <c r="O29">
        <v>3.9300000000000003E-3</v>
      </c>
    </row>
    <row r="30" spans="1:15">
      <c r="A30" t="s">
        <v>636</v>
      </c>
      <c r="G30" cm="1">
        <f t="array" ref="G30:O30">VALUE(_xlfn.TEXTSPLIT(SUBSTITUTE(TRIM(A30),"0.0 %","0.0%")," "))</f>
        <v>10</v>
      </c>
      <c r="H30">
        <v>1.4370000000000001</v>
      </c>
      <c r="I30">
        <v>0.77200000000000002</v>
      </c>
      <c r="J30">
        <v>7.0999999999999994E-2</v>
      </c>
      <c r="K30">
        <v>14.24</v>
      </c>
      <c r="L30">
        <v>-4.6899999999999997E-2</v>
      </c>
      <c r="M30">
        <v>3.49E-2</v>
      </c>
      <c r="N30">
        <v>0.5</v>
      </c>
      <c r="O30">
        <v>1.311E-2</v>
      </c>
    </row>
    <row r="31" spans="1:15">
      <c r="A31" t="s">
        <v>637</v>
      </c>
      <c r="G31" cm="1">
        <f t="array" ref="G31:O31">VALUE(_xlfn.TEXTSPLIT(SUBSTITUTE(TRIM(A31),"0.0 %","0.0%")," "))</f>
        <v>15</v>
      </c>
      <c r="H31">
        <v>1.306</v>
      </c>
      <c r="I31">
        <v>0.80200000000000005</v>
      </c>
      <c r="J31">
        <v>5.7000000000000002E-2</v>
      </c>
      <c r="K31">
        <v>12.34</v>
      </c>
      <c r="L31">
        <v>-2.47E-2</v>
      </c>
      <c r="M31">
        <v>8.3000000000000001E-3</v>
      </c>
      <c r="N31">
        <v>35</v>
      </c>
      <c r="O31">
        <v>4.45E-3</v>
      </c>
    </row>
    <row r="34" spans="1:15">
      <c r="A34" t="s">
        <v>638</v>
      </c>
      <c r="G34" t="str">
        <f>A34</f>
        <v xml:space="preserve">                  BORON MEDIUM, AIR RESPONSE</v>
      </c>
    </row>
    <row r="36" spans="1:15">
      <c r="A36" t="s">
        <v>610</v>
      </c>
      <c r="G36" t="str" cm="1">
        <f t="array" ref="G36:O36">_xlfn.TEXTSPLIT(TRIM(A36)," ")</f>
        <v>E(MEV)</v>
      </c>
      <c r="H36" t="str">
        <v>B</v>
      </c>
      <c r="I36" t="str">
        <v>C</v>
      </c>
      <c r="J36" t="str">
        <v>A</v>
      </c>
      <c r="K36" t="str">
        <v>XK</v>
      </c>
      <c r="L36" t="str">
        <v>D</v>
      </c>
      <c r="M36" t="str">
        <v>MAX.D</v>
      </c>
      <c r="N36" t="str">
        <v>XMAX</v>
      </c>
      <c r="O36" t="str">
        <v>S.D</v>
      </c>
    </row>
    <row r="37" spans="1:15">
      <c r="A37" t="s">
        <v>611</v>
      </c>
      <c r="G37" s="6" t="s">
        <v>1289</v>
      </c>
      <c r="H37" s="6" t="s">
        <v>1289</v>
      </c>
      <c r="I37" s="6" t="s">
        <v>1289</v>
      </c>
      <c r="J37" s="6" t="s">
        <v>1289</v>
      </c>
      <c r="K37" s="6" t="s">
        <v>1289</v>
      </c>
      <c r="L37" s="6" t="s">
        <v>1289</v>
      </c>
      <c r="M37" s="6" t="s">
        <v>1289</v>
      </c>
      <c r="N37" s="6" t="s">
        <v>1289</v>
      </c>
      <c r="O37" s="6" t="s">
        <v>1289</v>
      </c>
    </row>
    <row r="38" spans="1:15">
      <c r="A38" t="s">
        <v>639</v>
      </c>
      <c r="G38" cm="1">
        <f t="array" ref="G38:O38">VALUE(_xlfn.TEXTSPLIT(SUBSTITUTE(TRIM(A38),"0.0 %","0.0%")," "))</f>
        <v>1.4999999999999999E-2</v>
      </c>
      <c r="H38">
        <v>1.728</v>
      </c>
      <c r="I38">
        <v>0.68300000000000005</v>
      </c>
      <c r="J38">
        <v>9.5000000000000001E-2</v>
      </c>
      <c r="K38">
        <v>15.02</v>
      </c>
      <c r="L38">
        <v>-4.5999999999999999E-2</v>
      </c>
      <c r="M38">
        <v>1.78E-2</v>
      </c>
      <c r="N38">
        <v>0.5</v>
      </c>
      <c r="O38">
        <v>7.4000000000000003E-3</v>
      </c>
    </row>
    <row r="39" spans="1:15">
      <c r="A39" t="s">
        <v>640</v>
      </c>
      <c r="G39" cm="1">
        <f t="array" ref="G39:O39">VALUE(_xlfn.TEXTSPLIT(SUBSTITUTE(TRIM(A39),"0.0 %","0.0%")," "))</f>
        <v>0.02</v>
      </c>
      <c r="H39">
        <v>2.629</v>
      </c>
      <c r="I39">
        <v>0.95899999999999996</v>
      </c>
      <c r="J39">
        <v>2.1000000000000001E-2</v>
      </c>
      <c r="K39">
        <v>13.74</v>
      </c>
      <c r="L39">
        <v>-1.7899999999999999E-2</v>
      </c>
      <c r="M39">
        <v>2.87E-2</v>
      </c>
      <c r="N39">
        <v>0.5</v>
      </c>
      <c r="O39">
        <v>1.125E-2</v>
      </c>
    </row>
    <row r="40" spans="1:15">
      <c r="A40" t="s">
        <v>641</v>
      </c>
      <c r="G40" cm="1">
        <f t="array" ref="G40:O40">VALUE(_xlfn.TEXTSPLIT(SUBSTITUTE(TRIM(A40),"0.0 %","0.0%")," "))</f>
        <v>0.03</v>
      </c>
      <c r="H40">
        <v>4.6989999999999998</v>
      </c>
      <c r="I40">
        <v>1.665</v>
      </c>
      <c r="J40">
        <v>-0.11700000000000001</v>
      </c>
      <c r="K40">
        <v>14.48</v>
      </c>
      <c r="L40">
        <v>4.9700000000000001E-2</v>
      </c>
      <c r="M40">
        <v>1.44E-2</v>
      </c>
      <c r="N40">
        <v>35</v>
      </c>
      <c r="O40">
        <v>8.5400000000000007E-3</v>
      </c>
    </row>
    <row r="41" spans="1:15">
      <c r="A41" t="s">
        <v>642</v>
      </c>
      <c r="G41" cm="1">
        <f t="array" ref="G41:O41">VALUE(_xlfn.TEXTSPLIT(SUBSTITUTE(TRIM(A41),"0.0 %","0.0%")," "))</f>
        <v>0.04</v>
      </c>
      <c r="H41">
        <v>6.9059999999999997</v>
      </c>
      <c r="I41">
        <v>2.2429999999999999</v>
      </c>
      <c r="J41">
        <v>-0.184</v>
      </c>
      <c r="K41">
        <v>14.61</v>
      </c>
      <c r="L41">
        <v>7.8799999999999995E-2</v>
      </c>
      <c r="M41">
        <v>2.3199999999999998E-2</v>
      </c>
      <c r="N41">
        <v>35</v>
      </c>
      <c r="O41">
        <v>1.257E-2</v>
      </c>
    </row>
    <row r="42" spans="1:15">
      <c r="A42" t="s">
        <v>643</v>
      </c>
      <c r="G42" cm="1">
        <f t="array" ref="G42:O42">VALUE(_xlfn.TEXTSPLIT(SUBSTITUTE(TRIM(A42),"0.0 %","0.0%")," "))</f>
        <v>0.05</v>
      </c>
      <c r="H42">
        <v>8.2469999999999999</v>
      </c>
      <c r="I42">
        <v>2.657</v>
      </c>
      <c r="J42">
        <v>-0.223</v>
      </c>
      <c r="K42">
        <v>14.47</v>
      </c>
      <c r="L42">
        <v>9.7199999999999995E-2</v>
      </c>
      <c r="M42">
        <v>2.8299999999999999E-2</v>
      </c>
      <c r="N42">
        <v>25</v>
      </c>
      <c r="O42">
        <v>1.6109999999999999E-2</v>
      </c>
    </row>
    <row r="43" spans="1:15">
      <c r="A43" t="s">
        <v>644</v>
      </c>
      <c r="G43" cm="1">
        <f t="array" ref="G43:O43">VALUE(_xlfn.TEXTSPLIT(SUBSTITUTE(TRIM(A43),"0.0 %","0.0%")," "))</f>
        <v>0.06</v>
      </c>
      <c r="H43">
        <v>8.58</v>
      </c>
      <c r="I43">
        <v>2.9470000000000001</v>
      </c>
      <c r="J43">
        <v>-0.247</v>
      </c>
      <c r="K43">
        <v>14.36</v>
      </c>
      <c r="L43">
        <v>0.108</v>
      </c>
      <c r="M43">
        <v>3.27E-2</v>
      </c>
      <c r="N43">
        <v>15</v>
      </c>
      <c r="O43">
        <v>1.8419999999999999E-2</v>
      </c>
    </row>
    <row r="44" spans="1:15">
      <c r="A44" t="s">
        <v>645</v>
      </c>
      <c r="G44" cm="1">
        <f t="array" ref="G44:O44">VALUE(_xlfn.TEXTSPLIT(SUBSTITUTE(TRIM(A44),"0.0 %","0.0%")," "))</f>
        <v>0.08</v>
      </c>
      <c r="H44">
        <v>8.0890000000000004</v>
      </c>
      <c r="I44">
        <v>3.17</v>
      </c>
      <c r="J44">
        <v>-0.26200000000000001</v>
      </c>
      <c r="K44">
        <v>14.66</v>
      </c>
      <c r="L44">
        <v>0.1119</v>
      </c>
      <c r="M44">
        <v>2.8299999999999999E-2</v>
      </c>
      <c r="N44">
        <v>15</v>
      </c>
      <c r="O44">
        <v>1.6449999999999999E-2</v>
      </c>
    </row>
    <row r="45" spans="1:15">
      <c r="A45" t="s">
        <v>646</v>
      </c>
      <c r="G45" cm="1">
        <f t="array" ref="G45:O45">VALUE(_xlfn.TEXTSPLIT(SUBSTITUTE(TRIM(A45),"0.0 %","0.0%")," "))</f>
        <v>0.1</v>
      </c>
      <c r="H45">
        <v>8.2620000000000005</v>
      </c>
      <c r="I45">
        <v>2.9510000000000001</v>
      </c>
      <c r="J45">
        <v>-0.23799999999999999</v>
      </c>
      <c r="K45">
        <v>16.05</v>
      </c>
      <c r="L45">
        <v>9.5600000000000004E-2</v>
      </c>
      <c r="M45">
        <v>1.77E-2</v>
      </c>
      <c r="N45">
        <v>3</v>
      </c>
      <c r="O45">
        <v>1.043E-2</v>
      </c>
    </row>
    <row r="46" spans="1:15">
      <c r="A46" t="s">
        <v>647</v>
      </c>
      <c r="G46" cm="1">
        <f t="array" ref="G46:O46">VALUE(_xlfn.TEXTSPLIT(SUBSTITUTE(TRIM(A46),"0.0 %","0.0%")," "))</f>
        <v>0.15</v>
      </c>
      <c r="H46">
        <v>5.9429999999999996</v>
      </c>
      <c r="I46">
        <v>3.081</v>
      </c>
      <c r="J46">
        <v>-0.25600000000000001</v>
      </c>
      <c r="K46">
        <v>15.38</v>
      </c>
      <c r="L46">
        <v>0.1057</v>
      </c>
      <c r="M46">
        <v>0</v>
      </c>
      <c r="N46">
        <v>0</v>
      </c>
      <c r="O46">
        <v>0</v>
      </c>
    </row>
    <row r="47" spans="1:15">
      <c r="A47" t="s">
        <v>648</v>
      </c>
      <c r="G47" cm="1">
        <f t="array" ref="G47:O47">VALUE(_xlfn.TEXTSPLIT(SUBSTITUTE(TRIM(A47),"0.0 %","0.0%")," "))</f>
        <v>0.2</v>
      </c>
      <c r="H47">
        <v>3.927</v>
      </c>
      <c r="I47">
        <v>3.222</v>
      </c>
      <c r="J47">
        <v>-0.27900000000000003</v>
      </c>
      <c r="K47">
        <v>14.14</v>
      </c>
      <c r="L47">
        <v>0.1225</v>
      </c>
      <c r="M47">
        <v>3.73E-2</v>
      </c>
      <c r="N47">
        <v>15</v>
      </c>
      <c r="O47">
        <v>2.1590000000000002E-2</v>
      </c>
    </row>
    <row r="48" spans="1:15">
      <c r="A48" t="s">
        <v>649</v>
      </c>
      <c r="G48" cm="1">
        <f t="array" ref="G48:O48">VALUE(_xlfn.TEXTSPLIT(SUBSTITUTE(TRIM(A48),"0.0 %","0.0%")," "))</f>
        <v>0.3</v>
      </c>
      <c r="H48">
        <v>3.1560000000000001</v>
      </c>
      <c r="I48">
        <v>2.9279999999999999</v>
      </c>
      <c r="J48">
        <v>-0.26500000000000001</v>
      </c>
      <c r="K48">
        <v>13.98</v>
      </c>
      <c r="L48">
        <v>0.127</v>
      </c>
      <c r="M48">
        <v>5.1999999999999998E-2</v>
      </c>
      <c r="N48">
        <v>1</v>
      </c>
      <c r="O48">
        <v>2.6679999999999999E-2</v>
      </c>
    </row>
    <row r="49" spans="1:15">
      <c r="A49" t="s">
        <v>650</v>
      </c>
      <c r="G49" cm="1">
        <f t="array" ref="G49:O49">VALUE(_xlfn.TEXTSPLIT(SUBSTITUTE(TRIM(A49),"0.0 %","0.0%")," "))</f>
        <v>0.4</v>
      </c>
      <c r="H49">
        <v>2.8620000000000001</v>
      </c>
      <c r="I49">
        <v>2.63</v>
      </c>
      <c r="J49">
        <v>-0.245</v>
      </c>
      <c r="K49">
        <v>12.58</v>
      </c>
      <c r="L49">
        <v>0.1109</v>
      </c>
      <c r="M49">
        <v>3.0800000000000001E-2</v>
      </c>
      <c r="N49">
        <v>10</v>
      </c>
      <c r="O49">
        <v>2.0920000000000001E-2</v>
      </c>
    </row>
    <row r="50" spans="1:15">
      <c r="A50" t="s">
        <v>651</v>
      </c>
      <c r="G50" cm="1">
        <f t="array" ref="G50:O50">VALUE(_xlfn.TEXTSPLIT(SUBSTITUTE(TRIM(A50),"0.0 %","0.0%")," "))</f>
        <v>0.5</v>
      </c>
      <c r="H50">
        <v>2.6789999999999998</v>
      </c>
      <c r="I50">
        <v>2.375</v>
      </c>
      <c r="J50">
        <v>-0.222</v>
      </c>
      <c r="K50">
        <v>12.68</v>
      </c>
      <c r="L50">
        <v>0.1043</v>
      </c>
      <c r="M50">
        <v>3.44E-2</v>
      </c>
      <c r="N50">
        <v>1</v>
      </c>
      <c r="O50">
        <v>2.2610000000000002E-2</v>
      </c>
    </row>
    <row r="51" spans="1:15">
      <c r="A51" t="s">
        <v>652</v>
      </c>
      <c r="G51" cm="1">
        <f t="array" ref="G51:O51">VALUE(_xlfn.TEXTSPLIT(SUBSTITUTE(TRIM(A51),"0.0 %","0.0%")," "))</f>
        <v>0.6</v>
      </c>
      <c r="H51">
        <v>2.5470000000000002</v>
      </c>
      <c r="I51">
        <v>2.161</v>
      </c>
      <c r="J51">
        <v>-0.19800000000000001</v>
      </c>
      <c r="K51">
        <v>13.69</v>
      </c>
      <c r="L51">
        <v>0.10199999999999999</v>
      </c>
      <c r="M51">
        <v>4.0599999999999997E-2</v>
      </c>
      <c r="N51">
        <v>10</v>
      </c>
      <c r="O51">
        <v>2.7099999999999999E-2</v>
      </c>
    </row>
    <row r="52" spans="1:15">
      <c r="A52" t="s">
        <v>653</v>
      </c>
      <c r="G52" cm="1">
        <f t="array" ref="G52:O52">VALUE(_xlfn.TEXTSPLIT(SUBSTITUTE(TRIM(A52),"0.0 %","0.0%")," "))</f>
        <v>0.8</v>
      </c>
      <c r="H52">
        <v>2.359</v>
      </c>
      <c r="I52">
        <v>1.8939999999999999</v>
      </c>
      <c r="J52">
        <v>-0.16700000000000001</v>
      </c>
      <c r="K52">
        <v>13.38</v>
      </c>
      <c r="L52">
        <v>8.7599999999999997E-2</v>
      </c>
      <c r="M52">
        <v>4.3799999999999999E-2</v>
      </c>
      <c r="N52">
        <v>1</v>
      </c>
      <c r="O52">
        <v>2.8240000000000001E-2</v>
      </c>
    </row>
    <row r="53" spans="1:15">
      <c r="A53" t="s">
        <v>654</v>
      </c>
      <c r="G53" cm="1">
        <f t="array" ref="G53:O53">VALUE(_xlfn.TEXTSPLIT(SUBSTITUTE(TRIM(A53),"0.0 %","0.0%")," "))</f>
        <v>1</v>
      </c>
      <c r="H53">
        <v>2.258</v>
      </c>
      <c r="I53">
        <v>1.6739999999999999</v>
      </c>
      <c r="J53">
        <v>-0.13500000000000001</v>
      </c>
      <c r="K53">
        <v>13.53</v>
      </c>
      <c r="L53">
        <v>7.1800000000000003E-2</v>
      </c>
      <c r="M53">
        <v>3.6499999999999998E-2</v>
      </c>
      <c r="N53">
        <v>0.5</v>
      </c>
      <c r="O53">
        <v>2.392E-2</v>
      </c>
    </row>
    <row r="54" spans="1:15">
      <c r="A54" t="s">
        <v>655</v>
      </c>
      <c r="G54" cm="1">
        <f t="array" ref="G54:O54">VALUE(_xlfn.TEXTSPLIT(SUBSTITUTE(TRIM(A54),"0.0 %","0.0%")," "))</f>
        <v>1.5</v>
      </c>
      <c r="H54">
        <v>2.0750000000000002</v>
      </c>
      <c r="I54">
        <v>1.3720000000000001</v>
      </c>
      <c r="J54">
        <v>-8.3000000000000004E-2</v>
      </c>
      <c r="K54">
        <v>13.78</v>
      </c>
      <c r="L54">
        <v>4.7E-2</v>
      </c>
      <c r="M54">
        <v>3.2899999999999999E-2</v>
      </c>
      <c r="N54">
        <v>0.5</v>
      </c>
      <c r="O54">
        <v>1.5389999999999999E-2</v>
      </c>
    </row>
    <row r="55" spans="1:15">
      <c r="A55" t="s">
        <v>656</v>
      </c>
      <c r="G55" cm="1">
        <f t="array" ref="G55:O55">VALUE(_xlfn.TEXTSPLIT(SUBSTITUTE(TRIM(A55),"0.0 %","0.0%")," "))</f>
        <v>2</v>
      </c>
      <c r="H55">
        <v>1.9550000000000001</v>
      </c>
      <c r="I55">
        <v>1.2130000000000001</v>
      </c>
      <c r="J55">
        <v>-0.05</v>
      </c>
      <c r="K55">
        <v>14.44</v>
      </c>
      <c r="L55">
        <v>2.7799999999999998E-2</v>
      </c>
      <c r="M55">
        <v>2.86E-2</v>
      </c>
      <c r="N55">
        <v>0.5</v>
      </c>
      <c r="O55">
        <v>1.2019999999999999E-2</v>
      </c>
    </row>
    <row r="56" spans="1:15">
      <c r="A56" t="s">
        <v>657</v>
      </c>
      <c r="G56" cm="1">
        <f t="array" ref="G56:O56">VALUE(_xlfn.TEXTSPLIT(SUBSTITUTE(TRIM(A56),"0.0 %","0.0%")," "))</f>
        <v>3</v>
      </c>
      <c r="H56">
        <v>1.7849999999999999</v>
      </c>
      <c r="I56">
        <v>1.069</v>
      </c>
      <c r="J56">
        <v>-1.7999999999999999E-2</v>
      </c>
      <c r="K56">
        <v>12.74</v>
      </c>
      <c r="L56">
        <v>1.06E-2</v>
      </c>
      <c r="M56">
        <v>1.8200000000000001E-2</v>
      </c>
      <c r="N56">
        <v>0.5</v>
      </c>
      <c r="O56">
        <v>6.3800000000000003E-3</v>
      </c>
    </row>
    <row r="57" spans="1:15">
      <c r="A57" t="s">
        <v>658</v>
      </c>
      <c r="G57" cm="1">
        <f t="array" ref="G57:O57">VALUE(_xlfn.TEXTSPLIT(SUBSTITUTE(TRIM(A57),"0.0 %","0.0%")," "))</f>
        <v>4</v>
      </c>
      <c r="H57">
        <v>1.6839999999999999</v>
      </c>
      <c r="I57">
        <v>0.97799999999999998</v>
      </c>
      <c r="J57">
        <v>6.0000000000000001E-3</v>
      </c>
      <c r="K57">
        <v>17.12</v>
      </c>
      <c r="L57">
        <v>-4.4999999999999997E-3</v>
      </c>
      <c r="M57">
        <v>1.0699999999999999E-2</v>
      </c>
      <c r="N57">
        <v>0.5</v>
      </c>
      <c r="O57">
        <v>3.4199999999999999E-3</v>
      </c>
    </row>
    <row r="58" spans="1:15">
      <c r="A58" t="s">
        <v>659</v>
      </c>
      <c r="G58" cm="1">
        <f t="array" ref="G58:O58">VALUE(_xlfn.TEXTSPLIT(SUBSTITUTE(TRIM(A58),"0.0 %","0.0%")," "))</f>
        <v>5</v>
      </c>
      <c r="H58">
        <v>1.599</v>
      </c>
      <c r="I58">
        <v>0.93300000000000005</v>
      </c>
      <c r="J58">
        <v>1.7999999999999999E-2</v>
      </c>
      <c r="K58">
        <v>14.95</v>
      </c>
      <c r="L58">
        <v>-9.9000000000000008E-3</v>
      </c>
      <c r="M58">
        <v>7.0000000000000001E-3</v>
      </c>
      <c r="N58">
        <v>2</v>
      </c>
      <c r="O58">
        <v>2.7499999999999998E-3</v>
      </c>
    </row>
    <row r="59" spans="1:15">
      <c r="A59" t="s">
        <v>660</v>
      </c>
      <c r="G59" cm="1">
        <f t="array" ref="G59:O59">VALUE(_xlfn.TEXTSPLIT(SUBSTITUTE(TRIM(A59),"0.0 %","0.0%")," "))</f>
        <v>6</v>
      </c>
      <c r="H59">
        <v>1.5409999999999999</v>
      </c>
      <c r="I59">
        <v>0.90400000000000003</v>
      </c>
      <c r="J59">
        <v>2.5999999999999999E-2</v>
      </c>
      <c r="K59">
        <v>14.92</v>
      </c>
      <c r="L59">
        <v>-1.4200000000000001E-2</v>
      </c>
      <c r="M59">
        <v>5.7999999999999996E-3</v>
      </c>
      <c r="N59">
        <v>1</v>
      </c>
      <c r="O59">
        <v>2.5999999999999999E-3</v>
      </c>
    </row>
    <row r="60" spans="1:15">
      <c r="A60" t="s">
        <v>661</v>
      </c>
      <c r="G60" cm="1">
        <f t="array" ref="G60:O60">VALUE(_xlfn.TEXTSPLIT(SUBSTITUTE(TRIM(A60),"0.0 %","0.0%")," "))</f>
        <v>8</v>
      </c>
      <c r="H60">
        <v>1.4470000000000001</v>
      </c>
      <c r="I60">
        <v>0.873</v>
      </c>
      <c r="J60">
        <v>3.5000000000000003E-2</v>
      </c>
      <c r="K60">
        <v>14.16</v>
      </c>
      <c r="L60">
        <v>-0.02</v>
      </c>
      <c r="M60">
        <v>7.4999999999999997E-3</v>
      </c>
      <c r="N60">
        <v>35</v>
      </c>
      <c r="O60">
        <v>3.32E-3</v>
      </c>
    </row>
    <row r="61" spans="1:15">
      <c r="A61" t="s">
        <v>662</v>
      </c>
      <c r="G61" cm="1">
        <f t="array" ref="G61:O61">VALUE(_xlfn.TEXTSPLIT(SUBSTITUTE(TRIM(A61),"0.0 %","0.0%")," "))</f>
        <v>10</v>
      </c>
      <c r="H61">
        <v>1.383</v>
      </c>
      <c r="I61">
        <v>0.85299999999999998</v>
      </c>
      <c r="J61">
        <v>4.1000000000000002E-2</v>
      </c>
      <c r="K61">
        <v>13.43</v>
      </c>
      <c r="L61">
        <v>-1.7899999999999999E-2</v>
      </c>
      <c r="M61">
        <v>7.9000000000000008E-3</v>
      </c>
      <c r="N61">
        <v>0.5</v>
      </c>
      <c r="O61">
        <v>3.6900000000000001E-3</v>
      </c>
    </row>
    <row r="62" spans="1:15">
      <c r="A62" t="s">
        <v>663</v>
      </c>
      <c r="G62" cm="1">
        <f t="array" ref="G62:O62">VALUE(_xlfn.TEXTSPLIT(SUBSTITUTE(TRIM(A62),"0.0 %","0.0%")," "))</f>
        <v>15</v>
      </c>
      <c r="H62">
        <v>1.286</v>
      </c>
      <c r="I62">
        <v>0.83</v>
      </c>
      <c r="J62">
        <v>4.8000000000000001E-2</v>
      </c>
      <c r="K62">
        <v>14</v>
      </c>
      <c r="L62">
        <v>-2.4299999999999999E-2</v>
      </c>
      <c r="M62">
        <v>1.0800000000000001E-2</v>
      </c>
      <c r="N62">
        <v>1</v>
      </c>
      <c r="O62">
        <v>4.6899999999999997E-3</v>
      </c>
    </row>
    <row r="65" spans="1:15">
      <c r="A65" t="s">
        <v>664</v>
      </c>
      <c r="G65" t="str">
        <f>A65</f>
        <v xml:space="preserve">                  CARBON MEDIUM, AIR RESPONSE</v>
      </c>
    </row>
    <row r="67" spans="1:15">
      <c r="A67" t="s">
        <v>610</v>
      </c>
      <c r="G67" t="str" cm="1">
        <f t="array" ref="G67:O67">_xlfn.TEXTSPLIT(TRIM(A67)," ")</f>
        <v>E(MEV)</v>
      </c>
      <c r="H67" t="str">
        <v>B</v>
      </c>
      <c r="I67" t="str">
        <v>C</v>
      </c>
      <c r="J67" t="str">
        <v>A</v>
      </c>
      <c r="K67" t="str">
        <v>XK</v>
      </c>
      <c r="L67" t="str">
        <v>D</v>
      </c>
      <c r="M67" t="str">
        <v>MAX.D</v>
      </c>
      <c r="N67" t="str">
        <v>XMAX</v>
      </c>
      <c r="O67" t="str">
        <v>S.D</v>
      </c>
    </row>
    <row r="68" spans="1:15">
      <c r="A68" t="s">
        <v>611</v>
      </c>
      <c r="G68" s="6" t="s">
        <v>1289</v>
      </c>
      <c r="H68" s="6" t="s">
        <v>1289</v>
      </c>
      <c r="I68" s="6" t="s">
        <v>1289</v>
      </c>
      <c r="J68" s="6" t="s">
        <v>1289</v>
      </c>
      <c r="K68" s="6" t="s">
        <v>1289</v>
      </c>
      <c r="L68" s="6" t="s">
        <v>1289</v>
      </c>
      <c r="M68" s="6" t="s">
        <v>1289</v>
      </c>
      <c r="N68" s="6" t="s">
        <v>1289</v>
      </c>
      <c r="O68" s="6" t="s">
        <v>1289</v>
      </c>
    </row>
    <row r="69" spans="1:15">
      <c r="A69" t="s">
        <v>665</v>
      </c>
      <c r="G69" cm="1">
        <f t="array" ref="G69:O69">VALUE(_xlfn.TEXTSPLIT(SUBSTITUTE(TRIM(A69),"0.0 %","0.0%")," "))</f>
        <v>1.4999999999999999E-2</v>
      </c>
      <c r="H69">
        <v>1.3859999999999999</v>
      </c>
      <c r="I69">
        <v>0.53900000000000003</v>
      </c>
      <c r="J69">
        <v>0.14599999999999999</v>
      </c>
      <c r="K69">
        <v>14.31</v>
      </c>
      <c r="L69">
        <v>-7.1800000000000003E-2</v>
      </c>
      <c r="M69">
        <v>1.8100000000000002E-2</v>
      </c>
      <c r="N69">
        <v>0.5</v>
      </c>
      <c r="O69">
        <v>6.9199999999999999E-3</v>
      </c>
    </row>
    <row r="70" spans="1:15">
      <c r="A70" t="s">
        <v>666</v>
      </c>
      <c r="G70" cm="1">
        <f t="array" ref="G70:O70">VALUE(_xlfn.TEXTSPLIT(SUBSTITUTE(TRIM(A70),"0.0 %","0.0%")," "))</f>
        <v>0.02</v>
      </c>
      <c r="H70">
        <v>1.877</v>
      </c>
      <c r="I70">
        <v>0.73199999999999998</v>
      </c>
      <c r="J70">
        <v>7.9000000000000001E-2</v>
      </c>
      <c r="K70">
        <v>16.57</v>
      </c>
      <c r="L70">
        <v>-3.95E-2</v>
      </c>
      <c r="M70">
        <v>7.7000000000000002E-3</v>
      </c>
      <c r="N70">
        <v>0.5</v>
      </c>
      <c r="O70">
        <v>4.1099999999999999E-3</v>
      </c>
    </row>
    <row r="71" spans="1:15">
      <c r="A71" t="s">
        <v>667</v>
      </c>
      <c r="G71" cm="1">
        <f t="array" ref="G71:O71">VALUE(_xlfn.TEXTSPLIT(SUBSTITUTE(TRIM(A71),"0.0 %","0.0%")," "))</f>
        <v>0.03</v>
      </c>
      <c r="H71">
        <v>3.5110000000000001</v>
      </c>
      <c r="I71">
        <v>1.153</v>
      </c>
      <c r="J71">
        <v>-2.7E-2</v>
      </c>
      <c r="K71">
        <v>12.82</v>
      </c>
      <c r="L71">
        <v>8.6999999999999994E-3</v>
      </c>
      <c r="M71">
        <v>8.3999999999999995E-3</v>
      </c>
      <c r="N71">
        <v>2</v>
      </c>
      <c r="O71">
        <v>3.9899999999999996E-3</v>
      </c>
    </row>
    <row r="72" spans="1:15">
      <c r="A72" t="s">
        <v>668</v>
      </c>
      <c r="G72" cm="1">
        <f t="array" ref="G72:O72">VALUE(_xlfn.TEXTSPLIT(SUBSTITUTE(TRIM(A72),"0.0 %","0.0%")," "))</f>
        <v>0.04</v>
      </c>
      <c r="H72">
        <v>5.26</v>
      </c>
      <c r="I72">
        <v>1.7450000000000001</v>
      </c>
      <c r="J72">
        <v>-0.129</v>
      </c>
      <c r="K72">
        <v>13.91</v>
      </c>
      <c r="L72">
        <v>5.7099999999999998E-2</v>
      </c>
      <c r="M72">
        <v>2.2800000000000001E-2</v>
      </c>
      <c r="N72">
        <v>35</v>
      </c>
      <c r="O72">
        <v>1.397E-2</v>
      </c>
    </row>
    <row r="73" spans="1:15">
      <c r="A73" t="s">
        <v>669</v>
      </c>
      <c r="G73" cm="1">
        <f t="array" ref="G73:O73">VALUE(_xlfn.TEXTSPLIT(SUBSTITUTE(TRIM(A73),"0.0 %","0.0%")," "))</f>
        <v>0.05</v>
      </c>
      <c r="H73">
        <v>6.7060000000000004</v>
      </c>
      <c r="I73">
        <v>2.1080000000000001</v>
      </c>
      <c r="J73">
        <v>-0.17</v>
      </c>
      <c r="K73">
        <v>14.34</v>
      </c>
      <c r="L73">
        <v>7.3499999999999996E-2</v>
      </c>
      <c r="M73">
        <v>2.9600000000000001E-2</v>
      </c>
      <c r="N73">
        <v>2</v>
      </c>
      <c r="O73">
        <v>1.506E-2</v>
      </c>
    </row>
    <row r="74" spans="1:15">
      <c r="A74" t="s">
        <v>670</v>
      </c>
      <c r="G74" cm="1">
        <f t="array" ref="G74:O74">VALUE(_xlfn.TEXTSPLIT(SUBSTITUTE(TRIM(A74),"0.0 %","0.0%")," "))</f>
        <v>0.06</v>
      </c>
      <c r="H74">
        <v>7.2089999999999996</v>
      </c>
      <c r="I74">
        <v>2.383</v>
      </c>
      <c r="J74">
        <v>-0.19800000000000001</v>
      </c>
      <c r="K74">
        <v>14.53</v>
      </c>
      <c r="L74">
        <v>8.7800000000000003E-2</v>
      </c>
      <c r="M74">
        <v>2.6599999999999999E-2</v>
      </c>
      <c r="N74">
        <v>15</v>
      </c>
      <c r="O74">
        <v>1.5509999999999999E-2</v>
      </c>
    </row>
    <row r="75" spans="1:15">
      <c r="A75" t="s">
        <v>671</v>
      </c>
      <c r="G75" cm="1">
        <f t="array" ref="G75:O75">VALUE(_xlfn.TEXTSPLIT(SUBSTITUTE(TRIM(A75),"0.0 %","0.0%")," "))</f>
        <v>0.08</v>
      </c>
      <c r="H75">
        <v>6.7649999999999997</v>
      </c>
      <c r="I75">
        <v>2.6909999999999998</v>
      </c>
      <c r="J75">
        <v>-0.22700000000000001</v>
      </c>
      <c r="K75">
        <v>14.44</v>
      </c>
      <c r="L75">
        <v>9.98E-2</v>
      </c>
      <c r="M75">
        <v>3.2800000000000003E-2</v>
      </c>
      <c r="N75">
        <v>15</v>
      </c>
      <c r="O75">
        <v>1.8339999999999999E-2</v>
      </c>
    </row>
    <row r="76" spans="1:15">
      <c r="A76" t="s">
        <v>672</v>
      </c>
      <c r="G76" cm="1">
        <f t="array" ref="G76:O76">VALUE(_xlfn.TEXTSPLIT(SUBSTITUTE(TRIM(A76),"0.0 %","0.0%")," "))</f>
        <v>0.1</v>
      </c>
      <c r="H76">
        <v>5.89</v>
      </c>
      <c r="I76">
        <v>2.8239999999999998</v>
      </c>
      <c r="J76">
        <v>-0.23899999999999999</v>
      </c>
      <c r="K76">
        <v>14.4</v>
      </c>
      <c r="L76">
        <v>0.1046</v>
      </c>
      <c r="M76">
        <v>3.32E-2</v>
      </c>
      <c r="N76">
        <v>15</v>
      </c>
      <c r="O76">
        <v>1.7840000000000002E-2</v>
      </c>
    </row>
    <row r="77" spans="1:15">
      <c r="A77" t="s">
        <v>673</v>
      </c>
      <c r="G77" cm="1">
        <f t="array" ref="G77:O77">VALUE(_xlfn.TEXTSPLIT(SUBSTITUTE(TRIM(A77),"0.0 %","0.0%")," "))</f>
        <v>0.15</v>
      </c>
      <c r="H77">
        <v>4.3810000000000002</v>
      </c>
      <c r="I77">
        <v>2.8660000000000001</v>
      </c>
      <c r="J77">
        <v>-0.246</v>
      </c>
      <c r="K77">
        <v>14.14</v>
      </c>
      <c r="L77">
        <v>0.1067</v>
      </c>
      <c r="M77">
        <v>3.2199999999999999E-2</v>
      </c>
      <c r="N77">
        <v>15</v>
      </c>
      <c r="O77">
        <v>1.856E-2</v>
      </c>
    </row>
    <row r="78" spans="1:15">
      <c r="A78" t="s">
        <v>674</v>
      </c>
      <c r="G78" cm="1">
        <f t="array" ref="G78:O78">VALUE(_xlfn.TEXTSPLIT(SUBSTITUTE(TRIM(A78),"0.0 %","0.0%")," "))</f>
        <v>0.2</v>
      </c>
      <c r="H78">
        <v>3.75</v>
      </c>
      <c r="I78">
        <v>2.698</v>
      </c>
      <c r="J78">
        <v>-0.23300000000000001</v>
      </c>
      <c r="K78">
        <v>15.08</v>
      </c>
      <c r="L78">
        <v>0.106</v>
      </c>
      <c r="M78">
        <v>4.1200000000000001E-2</v>
      </c>
      <c r="N78">
        <v>35</v>
      </c>
      <c r="O78">
        <v>2.2120000000000001E-2</v>
      </c>
    </row>
    <row r="79" spans="1:15">
      <c r="A79" t="s">
        <v>675</v>
      </c>
      <c r="G79" cm="1">
        <f t="array" ref="G79:O79">VALUE(_xlfn.TEXTSPLIT(SUBSTITUTE(TRIM(A79),"0.0 %","0.0%")," "))</f>
        <v>0.3</v>
      </c>
      <c r="H79">
        <v>3.1469999999999998</v>
      </c>
      <c r="I79">
        <v>2.4129999999999998</v>
      </c>
      <c r="J79">
        <v>-0.21099999999999999</v>
      </c>
      <c r="K79">
        <v>14.41</v>
      </c>
      <c r="L79">
        <v>9.4399999999999998E-2</v>
      </c>
      <c r="M79">
        <v>4.3299999999999998E-2</v>
      </c>
      <c r="N79">
        <v>3</v>
      </c>
      <c r="O79">
        <v>1.9730000000000001E-2</v>
      </c>
    </row>
    <row r="80" spans="1:15">
      <c r="A80" t="s">
        <v>676</v>
      </c>
      <c r="G80" cm="1">
        <f t="array" ref="G80:O80">VALUE(_xlfn.TEXTSPLIT(SUBSTITUTE(TRIM(A80),"0.0 %","0.0%")," "))</f>
        <v>0.4</v>
      </c>
      <c r="H80">
        <v>2.843</v>
      </c>
      <c r="I80">
        <v>2.1970000000000001</v>
      </c>
      <c r="J80">
        <v>-0.192</v>
      </c>
      <c r="K80">
        <v>13.47</v>
      </c>
      <c r="L80">
        <v>8.0500000000000002E-2</v>
      </c>
      <c r="M80">
        <v>3.04E-2</v>
      </c>
      <c r="N80">
        <v>2</v>
      </c>
      <c r="O80">
        <v>1.6639999999999999E-2</v>
      </c>
    </row>
    <row r="81" spans="1:15">
      <c r="A81" t="s">
        <v>677</v>
      </c>
      <c r="G81" cm="1">
        <f t="array" ref="G81:O81">VALUE(_xlfn.TEXTSPLIT(SUBSTITUTE(TRIM(A81),"0.0 %","0.0%")," "))</f>
        <v>0.5</v>
      </c>
      <c r="H81">
        <v>2.657</v>
      </c>
      <c r="I81">
        <v>2.0110000000000001</v>
      </c>
      <c r="J81">
        <v>-0.17100000000000001</v>
      </c>
      <c r="K81">
        <v>14.19</v>
      </c>
      <c r="L81">
        <v>7.9500000000000001E-2</v>
      </c>
      <c r="M81">
        <v>4.2200000000000001E-2</v>
      </c>
      <c r="N81">
        <v>2</v>
      </c>
      <c r="O81">
        <v>1.8849999999999999E-2</v>
      </c>
    </row>
    <row r="82" spans="1:15">
      <c r="A82" t="s">
        <v>678</v>
      </c>
      <c r="G82" cm="1">
        <f t="array" ref="G82:O82">VALUE(_xlfn.TEXTSPLIT(SUBSTITUTE(TRIM(A82),"0.0 %","0.0%")," "))</f>
        <v>0.6</v>
      </c>
      <c r="H82">
        <v>2.5430000000000001</v>
      </c>
      <c r="I82">
        <v>1.851</v>
      </c>
      <c r="J82">
        <v>-0.151</v>
      </c>
      <c r="K82">
        <v>13.6</v>
      </c>
      <c r="L82">
        <v>6.0999999999999999E-2</v>
      </c>
      <c r="M82">
        <v>4.3999999999999997E-2</v>
      </c>
      <c r="N82">
        <v>2</v>
      </c>
      <c r="O82">
        <v>1.9709999999999998E-2</v>
      </c>
    </row>
    <row r="83" spans="1:15">
      <c r="A83" t="s">
        <v>679</v>
      </c>
      <c r="G83" cm="1">
        <f t="array" ref="G83:O83">VALUE(_xlfn.TEXTSPLIT(SUBSTITUTE(TRIM(A83),"0.0 %","0.0%")," "))</f>
        <v>0.8</v>
      </c>
      <c r="H83">
        <v>2.3119999999999998</v>
      </c>
      <c r="I83">
        <v>1.6910000000000001</v>
      </c>
      <c r="J83">
        <v>-0.13300000000000001</v>
      </c>
      <c r="K83">
        <v>13.8</v>
      </c>
      <c r="L83">
        <v>6.4299999999999996E-2</v>
      </c>
      <c r="M83">
        <v>2.76E-2</v>
      </c>
      <c r="N83">
        <v>1</v>
      </c>
      <c r="O83">
        <v>1.814E-2</v>
      </c>
    </row>
    <row r="84" spans="1:15">
      <c r="A84" t="s">
        <v>680</v>
      </c>
      <c r="G84" cm="1">
        <f t="array" ref="G84:O84">VALUE(_xlfn.TEXTSPLIT(SUBSTITUTE(TRIM(A84),"0.0 %","0.0%")," "))</f>
        <v>1</v>
      </c>
      <c r="H84">
        <v>2.1920000000000002</v>
      </c>
      <c r="I84">
        <v>1.544</v>
      </c>
      <c r="J84">
        <v>-0.11</v>
      </c>
      <c r="K84">
        <v>13.78</v>
      </c>
      <c r="L84">
        <v>5.33E-2</v>
      </c>
      <c r="M84">
        <v>2.9100000000000001E-2</v>
      </c>
      <c r="N84">
        <v>1</v>
      </c>
      <c r="O84">
        <v>1.6539999999999999E-2</v>
      </c>
    </row>
    <row r="85" spans="1:15">
      <c r="A85" t="s">
        <v>681</v>
      </c>
      <c r="G85" cm="1">
        <f t="array" ref="G85:O85">VALUE(_xlfn.TEXTSPLIT(SUBSTITUTE(TRIM(A85),"0.0 %","0.0%")," "))</f>
        <v>1.5</v>
      </c>
      <c r="H85">
        <v>2.0110000000000001</v>
      </c>
      <c r="I85">
        <v>1.3109999999999999</v>
      </c>
      <c r="J85">
        <v>-6.9000000000000006E-2</v>
      </c>
      <c r="K85">
        <v>13.69</v>
      </c>
      <c r="L85">
        <v>3.32E-2</v>
      </c>
      <c r="M85">
        <v>2.47E-2</v>
      </c>
      <c r="N85">
        <v>0.5</v>
      </c>
      <c r="O85">
        <v>1.14E-2</v>
      </c>
    </row>
    <row r="86" spans="1:15">
      <c r="A86" t="s">
        <v>682</v>
      </c>
      <c r="G86" cm="1">
        <f t="array" ref="G86:O86">VALUE(_xlfn.TEXTSPLIT(SUBSTITUTE(TRIM(A86),"0.0 %","0.0%")," "))</f>
        <v>2</v>
      </c>
      <c r="H86">
        <v>1.8979999999999999</v>
      </c>
      <c r="I86">
        <v>1.1919999999999999</v>
      </c>
      <c r="J86">
        <v>-4.3999999999999997E-2</v>
      </c>
      <c r="K86">
        <v>13.99</v>
      </c>
      <c r="L86">
        <v>2.06E-2</v>
      </c>
      <c r="M86">
        <v>1.8499999999999999E-2</v>
      </c>
      <c r="N86">
        <v>0.5</v>
      </c>
      <c r="O86">
        <v>7.3899999999999999E-3</v>
      </c>
    </row>
    <row r="87" spans="1:15">
      <c r="A87" t="s">
        <v>683</v>
      </c>
      <c r="G87" cm="1">
        <f t="array" ref="G87:O87">VALUE(_xlfn.TEXTSPLIT(SUBSTITUTE(TRIM(A87),"0.0 %","0.0%")," "))</f>
        <v>3</v>
      </c>
      <c r="H87">
        <v>1.752</v>
      </c>
      <c r="I87">
        <v>1.0580000000000001</v>
      </c>
      <c r="J87">
        <v>-1.4E-2</v>
      </c>
      <c r="K87">
        <v>11.98</v>
      </c>
      <c r="L87">
        <v>6.0000000000000001E-3</v>
      </c>
      <c r="M87">
        <v>1.47E-2</v>
      </c>
      <c r="N87">
        <v>0.5</v>
      </c>
      <c r="O87">
        <v>4.6800000000000001E-3</v>
      </c>
    </row>
    <row r="88" spans="1:15">
      <c r="A88" t="s">
        <v>684</v>
      </c>
      <c r="G88" cm="1">
        <f t="array" ref="G88:O88">VALUE(_xlfn.TEXTSPLIT(SUBSTITUTE(TRIM(A88),"0.0 %","0.0%")," "))</f>
        <v>4</v>
      </c>
      <c r="H88">
        <v>1.653</v>
      </c>
      <c r="I88">
        <v>0.98599999999999999</v>
      </c>
      <c r="J88">
        <v>4.0000000000000001E-3</v>
      </c>
      <c r="K88">
        <v>25.64</v>
      </c>
      <c r="L88">
        <v>-8.0000000000000002E-3</v>
      </c>
      <c r="M88">
        <v>6.0000000000000001E-3</v>
      </c>
      <c r="N88">
        <v>0.5</v>
      </c>
      <c r="O88">
        <v>3.0200000000000001E-3</v>
      </c>
    </row>
    <row r="89" spans="1:15">
      <c r="A89" t="s">
        <v>685</v>
      </c>
      <c r="G89" cm="1">
        <f t="array" ref="G89:O89">VALUE(_xlfn.TEXTSPLIT(SUBSTITUTE(TRIM(A89),"0.0 %","0.0%")," "))</f>
        <v>5</v>
      </c>
      <c r="H89">
        <v>1.575</v>
      </c>
      <c r="I89">
        <v>0.93899999999999995</v>
      </c>
      <c r="J89">
        <v>1.7000000000000001E-2</v>
      </c>
      <c r="K89">
        <v>14.5</v>
      </c>
      <c r="L89">
        <v>-1.09E-2</v>
      </c>
      <c r="M89">
        <v>8.5000000000000006E-3</v>
      </c>
      <c r="N89">
        <v>35</v>
      </c>
      <c r="O89">
        <v>3.13E-3</v>
      </c>
    </row>
    <row r="90" spans="1:15">
      <c r="A90" t="s">
        <v>686</v>
      </c>
      <c r="G90" cm="1">
        <f t="array" ref="G90:O90">VALUE(_xlfn.TEXTSPLIT(SUBSTITUTE(TRIM(A90),"0.0 %","0.0%")," "))</f>
        <v>6</v>
      </c>
      <c r="H90">
        <v>1.5249999999999999</v>
      </c>
      <c r="I90">
        <v>0.90800000000000003</v>
      </c>
      <c r="J90">
        <v>2.5999999999999999E-2</v>
      </c>
      <c r="K90">
        <v>14.36</v>
      </c>
      <c r="L90">
        <v>-1.49E-2</v>
      </c>
      <c r="M90">
        <v>9.7000000000000003E-3</v>
      </c>
      <c r="N90">
        <v>1</v>
      </c>
      <c r="O90">
        <v>3.8E-3</v>
      </c>
    </row>
    <row r="91" spans="1:15">
      <c r="A91" t="s">
        <v>687</v>
      </c>
      <c r="G91" cm="1">
        <f t="array" ref="G91:O91">VALUE(_xlfn.TEXTSPLIT(SUBSTITUTE(TRIM(A91),"0.0 %","0.0%")," "))</f>
        <v>8</v>
      </c>
      <c r="H91">
        <v>1.44</v>
      </c>
      <c r="I91">
        <v>0.86799999999999999</v>
      </c>
      <c r="J91">
        <v>3.7999999999999999E-2</v>
      </c>
      <c r="K91">
        <v>17.079999999999998</v>
      </c>
      <c r="L91">
        <v>-3.5099999999999999E-2</v>
      </c>
      <c r="M91">
        <v>6.8999999999999999E-3</v>
      </c>
      <c r="N91">
        <v>1</v>
      </c>
      <c r="O91">
        <v>4.0200000000000001E-3</v>
      </c>
    </row>
    <row r="92" spans="1:15">
      <c r="A92" t="s">
        <v>688</v>
      </c>
      <c r="G92" cm="1">
        <f t="array" ref="G92:O92">VALUE(_xlfn.TEXTSPLIT(SUBSTITUTE(TRIM(A92),"0.0 %","0.0%")," "))</f>
        <v>10</v>
      </c>
      <c r="H92">
        <v>1.373</v>
      </c>
      <c r="I92">
        <v>0.85499999999999998</v>
      </c>
      <c r="J92">
        <v>4.2000000000000003E-2</v>
      </c>
      <c r="K92">
        <v>12.35</v>
      </c>
      <c r="L92">
        <v>-2.0799999999999999E-2</v>
      </c>
      <c r="M92">
        <v>6.3E-3</v>
      </c>
      <c r="N92">
        <v>4</v>
      </c>
      <c r="O92">
        <v>3.5100000000000001E-3</v>
      </c>
    </row>
    <row r="93" spans="1:15">
      <c r="A93" t="s">
        <v>689</v>
      </c>
      <c r="G93" cm="1">
        <f t="array" ref="G93:O93">VALUE(_xlfn.TEXTSPLIT(SUBSTITUTE(TRIM(A93),"0.0 %","0.0%")," "))</f>
        <v>15</v>
      </c>
      <c r="H93">
        <v>1.276</v>
      </c>
      <c r="I93">
        <v>0.84099999999999997</v>
      </c>
      <c r="J93">
        <v>4.5999999999999999E-2</v>
      </c>
      <c r="K93">
        <v>15.27</v>
      </c>
      <c r="L93">
        <v>-2.9600000000000001E-2</v>
      </c>
      <c r="M93">
        <v>1.29E-2</v>
      </c>
      <c r="N93">
        <v>0.5</v>
      </c>
      <c r="O93">
        <v>6.1399999999999996E-3</v>
      </c>
    </row>
    <row r="96" spans="1:15">
      <c r="A96" t="s">
        <v>690</v>
      </c>
      <c r="G96" t="str">
        <f>A96</f>
        <v xml:space="preserve">                  NITROGEN MEDIUM, AIR RESPONSE</v>
      </c>
    </row>
    <row r="98" spans="1:15">
      <c r="A98" t="s">
        <v>610</v>
      </c>
      <c r="G98" t="str" cm="1">
        <f t="array" ref="G98:O98">_xlfn.TEXTSPLIT(TRIM(A98)," ")</f>
        <v>E(MEV)</v>
      </c>
      <c r="H98" t="str">
        <v>B</v>
      </c>
      <c r="I98" t="str">
        <v>C</v>
      </c>
      <c r="J98" t="str">
        <v>A</v>
      </c>
      <c r="K98" t="str">
        <v>XK</v>
      </c>
      <c r="L98" t="str">
        <v>D</v>
      </c>
      <c r="M98" t="str">
        <v>MAX.D</v>
      </c>
      <c r="N98" t="str">
        <v>XMAX</v>
      </c>
      <c r="O98" t="str">
        <v>S.D</v>
      </c>
    </row>
    <row r="99" spans="1:15">
      <c r="A99" t="s">
        <v>611</v>
      </c>
      <c r="G99" s="6" t="s">
        <v>1289</v>
      </c>
      <c r="H99" s="6" t="s">
        <v>1289</v>
      </c>
      <c r="I99" s="6" t="s">
        <v>1289</v>
      </c>
      <c r="J99" s="6" t="s">
        <v>1289</v>
      </c>
      <c r="K99" s="6" t="s">
        <v>1289</v>
      </c>
      <c r="L99" s="6" t="s">
        <v>1289</v>
      </c>
      <c r="M99" s="6" t="s">
        <v>1289</v>
      </c>
      <c r="N99" s="6" t="s">
        <v>1289</v>
      </c>
      <c r="O99" s="6" t="s">
        <v>1289</v>
      </c>
    </row>
    <row r="100" spans="1:15">
      <c r="A100" t="s">
        <v>691</v>
      </c>
      <c r="G100" cm="1">
        <f t="array" ref="G100:O100">VALUE(_xlfn.TEXTSPLIT(SUBSTITUTE(TRIM(A100),"0.0 %","0.0%")," "))</f>
        <v>1.4999999999999999E-2</v>
      </c>
      <c r="H100">
        <v>1.234</v>
      </c>
      <c r="I100">
        <v>0.47499999999999998</v>
      </c>
      <c r="J100">
        <v>0.17100000000000001</v>
      </c>
      <c r="K100">
        <v>14.27</v>
      </c>
      <c r="L100">
        <v>-8.5800000000000001E-2</v>
      </c>
      <c r="M100">
        <v>1.5599999999999999E-2</v>
      </c>
      <c r="N100">
        <v>0.5</v>
      </c>
      <c r="O100">
        <v>6.77E-3</v>
      </c>
    </row>
    <row r="101" spans="1:15">
      <c r="A101" t="s">
        <v>692</v>
      </c>
      <c r="G101" cm="1">
        <f t="array" ref="G101:O101">VALUE(_xlfn.TEXTSPLIT(SUBSTITUTE(TRIM(A101),"0.0 %","0.0%")," "))</f>
        <v>0.02</v>
      </c>
      <c r="H101">
        <v>1.5429999999999999</v>
      </c>
      <c r="I101">
        <v>0.58599999999999997</v>
      </c>
      <c r="J101">
        <v>0.13</v>
      </c>
      <c r="K101">
        <v>15</v>
      </c>
      <c r="L101">
        <v>-6.3200000000000006E-2</v>
      </c>
      <c r="M101">
        <v>1.9699999999999999E-2</v>
      </c>
      <c r="N101">
        <v>0.5</v>
      </c>
      <c r="O101">
        <v>7.62E-3</v>
      </c>
    </row>
    <row r="102" spans="1:15">
      <c r="A102" t="s">
        <v>693</v>
      </c>
      <c r="G102" cm="1">
        <f t="array" ref="G102:O102">VALUE(_xlfn.TEXTSPLIT(SUBSTITUTE(TRIM(A102),"0.0 %","0.0%")," "))</f>
        <v>0.03</v>
      </c>
      <c r="H102">
        <v>2.621</v>
      </c>
      <c r="I102">
        <v>0.84199999999999997</v>
      </c>
      <c r="J102">
        <v>5.2999999999999999E-2</v>
      </c>
      <c r="K102">
        <v>15.71</v>
      </c>
      <c r="L102">
        <v>-3.9800000000000002E-2</v>
      </c>
      <c r="M102">
        <v>1.9699999999999999E-2</v>
      </c>
      <c r="N102">
        <v>0.5</v>
      </c>
      <c r="O102">
        <v>8.3099999999999997E-3</v>
      </c>
    </row>
    <row r="103" spans="1:15">
      <c r="A103" t="s">
        <v>694</v>
      </c>
      <c r="G103" cm="1">
        <f t="array" ref="G103:O103">VALUE(_xlfn.TEXTSPLIT(SUBSTITUTE(TRIM(A103),"0.0 %","0.0%")," "))</f>
        <v>0.04</v>
      </c>
      <c r="H103">
        <v>3.9449999999999998</v>
      </c>
      <c r="I103">
        <v>1.2789999999999999</v>
      </c>
      <c r="J103">
        <v>-5.2999999999999999E-2</v>
      </c>
      <c r="K103">
        <v>13.58</v>
      </c>
      <c r="L103">
        <v>1.9099999999999999E-2</v>
      </c>
      <c r="M103">
        <v>8.6E-3</v>
      </c>
      <c r="N103">
        <v>25</v>
      </c>
      <c r="O103">
        <v>4.8999999999999998E-3</v>
      </c>
    </row>
    <row r="104" spans="1:15">
      <c r="A104" t="s">
        <v>695</v>
      </c>
      <c r="G104" cm="1">
        <f t="array" ref="G104:O104">VALUE(_xlfn.TEXTSPLIT(SUBSTITUTE(TRIM(A104),"0.0 %","0.0%")," "))</f>
        <v>0.05</v>
      </c>
      <c r="H104">
        <v>5.0389999999999997</v>
      </c>
      <c r="I104">
        <v>1.64</v>
      </c>
      <c r="J104">
        <v>-0.113</v>
      </c>
      <c r="K104">
        <v>13.85</v>
      </c>
      <c r="L104">
        <v>4.8899999999999999E-2</v>
      </c>
      <c r="M104">
        <v>1.6E-2</v>
      </c>
      <c r="N104">
        <v>25</v>
      </c>
      <c r="O104">
        <v>1.099E-2</v>
      </c>
    </row>
    <row r="105" spans="1:15">
      <c r="A105" t="s">
        <v>696</v>
      </c>
      <c r="G105" cm="1">
        <f t="array" ref="G105:O105">VALUE(_xlfn.TEXTSPLIT(SUBSTITUTE(TRIM(A105),"0.0 %","0.0%")," "))</f>
        <v>0.06</v>
      </c>
      <c r="H105">
        <v>5.51</v>
      </c>
      <c r="I105">
        <v>1.9370000000000001</v>
      </c>
      <c r="J105">
        <v>-0.154</v>
      </c>
      <c r="K105">
        <v>13.68</v>
      </c>
      <c r="L105">
        <v>7.1400000000000005E-2</v>
      </c>
      <c r="M105">
        <v>2.81E-2</v>
      </c>
      <c r="N105">
        <v>0.5</v>
      </c>
      <c r="O105">
        <v>1.8919999999999999E-2</v>
      </c>
    </row>
    <row r="106" spans="1:15">
      <c r="A106" t="s">
        <v>697</v>
      </c>
      <c r="G106" cm="1">
        <f t="array" ref="G106:O106">VALUE(_xlfn.TEXTSPLIT(SUBSTITUTE(TRIM(A106),"0.0 %","0.0%")," "))</f>
        <v>0.08</v>
      </c>
      <c r="H106">
        <v>5.4320000000000004</v>
      </c>
      <c r="I106">
        <v>2.2829999999999999</v>
      </c>
      <c r="J106">
        <v>-0.19400000000000001</v>
      </c>
      <c r="K106">
        <v>13.3</v>
      </c>
      <c r="L106">
        <v>8.9200000000000002E-2</v>
      </c>
      <c r="M106">
        <v>3.3099999999999997E-2</v>
      </c>
      <c r="N106">
        <v>35</v>
      </c>
      <c r="O106">
        <v>2.1919999999999999E-2</v>
      </c>
    </row>
    <row r="107" spans="1:15">
      <c r="A107" t="s">
        <v>698</v>
      </c>
      <c r="G107" cm="1">
        <f t="array" ref="G107:O107">VALUE(_xlfn.TEXTSPLIT(SUBSTITUTE(TRIM(A107),"0.0 %","0.0%")," "))</f>
        <v>0.1</v>
      </c>
      <c r="H107">
        <v>5.2080000000000002</v>
      </c>
      <c r="I107">
        <v>2.3109999999999999</v>
      </c>
      <c r="J107">
        <v>-0.191</v>
      </c>
      <c r="K107">
        <v>14.39</v>
      </c>
      <c r="L107">
        <v>8.2500000000000004E-2</v>
      </c>
      <c r="M107">
        <v>2.8799999999999999E-2</v>
      </c>
      <c r="N107">
        <v>15</v>
      </c>
      <c r="O107">
        <v>1.5720000000000001E-2</v>
      </c>
    </row>
    <row r="108" spans="1:15">
      <c r="A108" t="s">
        <v>699</v>
      </c>
      <c r="G108" cm="1">
        <f t="array" ref="G108:O108">VALUE(_xlfn.TEXTSPLIT(SUBSTITUTE(TRIM(A108),"0.0 %","0.0%")," "))</f>
        <v>0.15</v>
      </c>
      <c r="H108">
        <v>3.97</v>
      </c>
      <c r="I108">
        <v>2.4529999999999998</v>
      </c>
      <c r="J108">
        <v>-0.20899999999999999</v>
      </c>
      <c r="K108">
        <v>14.11</v>
      </c>
      <c r="L108">
        <v>9.4299999999999995E-2</v>
      </c>
      <c r="M108">
        <v>3.4099999999999998E-2</v>
      </c>
      <c r="N108">
        <v>35</v>
      </c>
      <c r="O108">
        <v>1.9820000000000001E-2</v>
      </c>
    </row>
    <row r="109" spans="1:15">
      <c r="A109" t="s">
        <v>700</v>
      </c>
      <c r="G109" cm="1">
        <f t="array" ref="G109:O109">VALUE(_xlfn.TEXTSPLIT(SUBSTITUTE(TRIM(A109),"0.0 %","0.0%")," "))</f>
        <v>0.2</v>
      </c>
      <c r="H109">
        <v>3.395</v>
      </c>
      <c r="I109">
        <v>2.4079999999999999</v>
      </c>
      <c r="J109">
        <v>-0.20799999999999999</v>
      </c>
      <c r="K109">
        <v>13.32</v>
      </c>
      <c r="L109">
        <v>8.9099999999999999E-2</v>
      </c>
      <c r="M109">
        <v>3.1899999999999998E-2</v>
      </c>
      <c r="N109">
        <v>1</v>
      </c>
      <c r="O109">
        <v>2.001E-2</v>
      </c>
    </row>
    <row r="110" spans="1:15">
      <c r="A110" t="s">
        <v>701</v>
      </c>
      <c r="G110" cm="1">
        <f t="array" ref="G110:O110">VALUE(_xlfn.TEXTSPLIT(SUBSTITUTE(TRIM(A110),"0.0 %","0.0%")," "))</f>
        <v>0.3</v>
      </c>
      <c r="H110">
        <v>2.9620000000000002</v>
      </c>
      <c r="I110">
        <v>2.1419999999999999</v>
      </c>
      <c r="J110">
        <v>-0.18</v>
      </c>
      <c r="K110">
        <v>14.06</v>
      </c>
      <c r="L110">
        <v>7.5499999999999998E-2</v>
      </c>
      <c r="M110">
        <v>2.6599999999999999E-2</v>
      </c>
      <c r="N110">
        <v>25</v>
      </c>
      <c r="O110">
        <v>1.6449999999999999E-2</v>
      </c>
    </row>
    <row r="111" spans="1:15">
      <c r="A111" t="s">
        <v>702</v>
      </c>
      <c r="G111" cm="1">
        <f t="array" ref="G111:O111">VALUE(_xlfn.TEXTSPLIT(SUBSTITUTE(TRIM(A111),"0.0 %","0.0%")," "))</f>
        <v>0.4</v>
      </c>
      <c r="H111">
        <v>2.7</v>
      </c>
      <c r="I111">
        <v>1.976</v>
      </c>
      <c r="J111">
        <v>-0.16300000000000001</v>
      </c>
      <c r="K111">
        <v>14.05</v>
      </c>
      <c r="L111">
        <v>6.9000000000000006E-2</v>
      </c>
      <c r="M111">
        <v>2.47E-2</v>
      </c>
      <c r="N111">
        <v>35</v>
      </c>
      <c r="O111">
        <v>1.626E-2</v>
      </c>
    </row>
    <row r="112" spans="1:15">
      <c r="A112" t="s">
        <v>703</v>
      </c>
      <c r="G112" cm="1">
        <f t="array" ref="G112:O112">VALUE(_xlfn.TEXTSPLIT(SUBSTITUTE(TRIM(A112),"0.0 %","0.0%")," "))</f>
        <v>0.5</v>
      </c>
      <c r="H112">
        <v>2.5379999999999998</v>
      </c>
      <c r="I112">
        <v>1.835</v>
      </c>
      <c r="J112">
        <v>-0.14599999999999999</v>
      </c>
      <c r="K112">
        <v>14.13</v>
      </c>
      <c r="L112">
        <v>6.1199999999999997E-2</v>
      </c>
      <c r="M112">
        <v>2.3400000000000001E-2</v>
      </c>
      <c r="N112">
        <v>1</v>
      </c>
      <c r="O112">
        <v>1.499E-2</v>
      </c>
    </row>
    <row r="113" spans="1:15">
      <c r="A113" t="s">
        <v>704</v>
      </c>
      <c r="G113" cm="1">
        <f t="array" ref="G113:O113">VALUE(_xlfn.TEXTSPLIT(SUBSTITUTE(TRIM(A113),"0.0 %","0.0%")," "))</f>
        <v>0.6</v>
      </c>
      <c r="H113">
        <v>2.4060000000000001</v>
      </c>
      <c r="I113">
        <v>1.7370000000000001</v>
      </c>
      <c r="J113">
        <v>-0.13400000000000001</v>
      </c>
      <c r="K113">
        <v>14.11</v>
      </c>
      <c r="L113">
        <v>5.7200000000000001E-2</v>
      </c>
      <c r="M113">
        <v>2.1600000000000001E-2</v>
      </c>
      <c r="N113">
        <v>10</v>
      </c>
      <c r="O113">
        <v>1.434E-2</v>
      </c>
    </row>
    <row r="114" spans="1:15">
      <c r="A114" t="s">
        <v>705</v>
      </c>
      <c r="G114" cm="1">
        <f t="array" ref="G114:O114">VALUE(_xlfn.TEXTSPLIT(SUBSTITUTE(TRIM(A114),"0.0 %","0.0%")," "))</f>
        <v>0.8</v>
      </c>
      <c r="H114">
        <v>2.2410000000000001</v>
      </c>
      <c r="I114">
        <v>1.58</v>
      </c>
      <c r="J114">
        <v>-0.112</v>
      </c>
      <c r="K114">
        <v>14.03</v>
      </c>
      <c r="L114">
        <v>4.8399999999999999E-2</v>
      </c>
      <c r="M114">
        <v>1.8599999999999998E-2</v>
      </c>
      <c r="N114">
        <v>1</v>
      </c>
      <c r="O114">
        <v>1.3259999999999999E-2</v>
      </c>
    </row>
    <row r="115" spans="1:15">
      <c r="A115" t="s">
        <v>706</v>
      </c>
      <c r="G115" cm="1">
        <f t="array" ref="G115:O115">VALUE(_xlfn.TEXTSPLIT(SUBSTITUTE(TRIM(A115),"0.0 %","0.0%")," "))</f>
        <v>1</v>
      </c>
      <c r="H115">
        <v>2.1230000000000002</v>
      </c>
      <c r="I115">
        <v>1.474</v>
      </c>
      <c r="J115">
        <v>-9.6000000000000002E-2</v>
      </c>
      <c r="K115">
        <v>13.97</v>
      </c>
      <c r="L115">
        <v>4.2599999999999999E-2</v>
      </c>
      <c r="M115">
        <v>3.56E-2</v>
      </c>
      <c r="N115">
        <v>1</v>
      </c>
      <c r="O115">
        <v>1.417E-2</v>
      </c>
    </row>
    <row r="116" spans="1:15">
      <c r="A116" t="s">
        <v>707</v>
      </c>
      <c r="G116" cm="1">
        <f t="array" ref="G116:O116">VALUE(_xlfn.TEXTSPLIT(SUBSTITUTE(TRIM(A116),"0.0 %","0.0%")," "))</f>
        <v>1.5</v>
      </c>
      <c r="H116">
        <v>1.968</v>
      </c>
      <c r="I116">
        <v>1.27</v>
      </c>
      <c r="J116">
        <v>-5.8000000000000003E-2</v>
      </c>
      <c r="K116">
        <v>14.81</v>
      </c>
      <c r="L116">
        <v>2.46E-2</v>
      </c>
      <c r="M116">
        <v>2.1299999999999999E-2</v>
      </c>
      <c r="N116">
        <v>0.5</v>
      </c>
      <c r="O116">
        <v>8.0599999999999995E-3</v>
      </c>
    </row>
    <row r="117" spans="1:15">
      <c r="A117" t="s">
        <v>708</v>
      </c>
      <c r="G117" cm="1">
        <f t="array" ref="G117:O117">VALUE(_xlfn.TEXTSPLIT(SUBSTITUTE(TRIM(A117),"0.0 %","0.0%")," "))</f>
        <v>2</v>
      </c>
      <c r="H117">
        <v>1.8580000000000001</v>
      </c>
      <c r="I117">
        <v>1.1759999999999999</v>
      </c>
      <c r="J117">
        <v>-0.04</v>
      </c>
      <c r="K117">
        <v>13.95</v>
      </c>
      <c r="L117">
        <v>1.7500000000000002E-2</v>
      </c>
      <c r="M117">
        <v>1.34E-2</v>
      </c>
      <c r="N117">
        <v>0.5</v>
      </c>
      <c r="O117">
        <v>5.7499999999999999E-3</v>
      </c>
    </row>
    <row r="118" spans="1:15">
      <c r="A118" t="s">
        <v>709</v>
      </c>
      <c r="G118" cm="1">
        <f t="array" ref="G118:O118">VALUE(_xlfn.TEXTSPLIT(SUBSTITUTE(TRIM(A118),"0.0 %","0.0%")," "))</f>
        <v>3</v>
      </c>
      <c r="H118">
        <v>1.718</v>
      </c>
      <c r="I118">
        <v>1.0609999999999999</v>
      </c>
      <c r="J118">
        <v>-1.4E-2</v>
      </c>
      <c r="K118">
        <v>13.95</v>
      </c>
      <c r="L118">
        <v>4.7000000000000002E-3</v>
      </c>
      <c r="M118">
        <v>9.5999999999999992E-3</v>
      </c>
      <c r="N118">
        <v>0.5</v>
      </c>
      <c r="O118">
        <v>3.4299999999999999E-3</v>
      </c>
    </row>
    <row r="119" spans="1:15">
      <c r="A119" t="s">
        <v>710</v>
      </c>
      <c r="G119" cm="1">
        <f t="array" ref="G119:O119">VALUE(_xlfn.TEXTSPLIT(SUBSTITUTE(TRIM(A119),"0.0 %","0.0%")," "))</f>
        <v>4</v>
      </c>
      <c r="H119">
        <v>1.631</v>
      </c>
      <c r="I119">
        <v>0.98899999999999999</v>
      </c>
      <c r="J119">
        <v>4.0000000000000001E-3</v>
      </c>
      <c r="K119">
        <v>15.65</v>
      </c>
      <c r="L119">
        <v>-4.4000000000000003E-3</v>
      </c>
      <c r="M119">
        <v>5.7999999999999996E-3</v>
      </c>
      <c r="N119">
        <v>2</v>
      </c>
      <c r="O119">
        <v>2.7499999999999998E-3</v>
      </c>
    </row>
    <row r="120" spans="1:15">
      <c r="A120" t="s">
        <v>711</v>
      </c>
      <c r="G120" cm="1">
        <f t="array" ref="G120:O120">VALUE(_xlfn.TEXTSPLIT(SUBSTITUTE(TRIM(A120),"0.0 %","0.0%")," "))</f>
        <v>5</v>
      </c>
      <c r="H120">
        <v>1.5620000000000001</v>
      </c>
      <c r="I120">
        <v>0.94</v>
      </c>
      <c r="J120">
        <v>1.7999999999999999E-2</v>
      </c>
      <c r="K120">
        <v>13.58</v>
      </c>
      <c r="L120">
        <v>-1.2800000000000001E-2</v>
      </c>
      <c r="M120">
        <v>5.1000000000000004E-3</v>
      </c>
      <c r="N120">
        <v>1</v>
      </c>
      <c r="O120">
        <v>2.5999999999999999E-3</v>
      </c>
    </row>
    <row r="121" spans="1:15">
      <c r="A121" t="s">
        <v>712</v>
      </c>
      <c r="G121" cm="1">
        <f t="array" ref="G121:O121">VALUE(_xlfn.TEXTSPLIT(SUBSTITUTE(TRIM(A121),"0.0 %","0.0%")," "))</f>
        <v>6</v>
      </c>
      <c r="H121">
        <v>1.5169999999999999</v>
      </c>
      <c r="I121">
        <v>0.90100000000000002</v>
      </c>
      <c r="J121">
        <v>0.03</v>
      </c>
      <c r="K121">
        <v>12.46</v>
      </c>
      <c r="L121">
        <v>-1.8599999999999998E-2</v>
      </c>
      <c r="M121">
        <v>1.0500000000000001E-2</v>
      </c>
      <c r="N121">
        <v>0.5</v>
      </c>
      <c r="O121">
        <v>4.8799999999999998E-3</v>
      </c>
    </row>
    <row r="122" spans="1:15">
      <c r="A122" t="s">
        <v>713</v>
      </c>
      <c r="G122" cm="1">
        <f t="array" ref="G122:O122">VALUE(_xlfn.TEXTSPLIT(SUBSTITUTE(TRIM(A122),"0.0 %","0.0%")," "))</f>
        <v>8</v>
      </c>
      <c r="H122">
        <v>1.423</v>
      </c>
      <c r="I122">
        <v>0.88700000000000001</v>
      </c>
      <c r="J122">
        <v>3.3000000000000002E-2</v>
      </c>
      <c r="K122">
        <v>11.67</v>
      </c>
      <c r="L122">
        <v>-1.5900000000000001E-2</v>
      </c>
      <c r="M122">
        <v>8.8999999999999999E-3</v>
      </c>
      <c r="N122">
        <v>0.5</v>
      </c>
      <c r="O122">
        <v>4.6299999999999996E-3</v>
      </c>
    </row>
    <row r="123" spans="1:15">
      <c r="A123" t="s">
        <v>714</v>
      </c>
      <c r="G123" cm="1">
        <f t="array" ref="G123:O123">VALUE(_xlfn.TEXTSPLIT(SUBSTITUTE(TRIM(A123),"0.0 %","0.0%")," "))</f>
        <v>10</v>
      </c>
      <c r="H123">
        <v>1.361</v>
      </c>
      <c r="I123">
        <v>0.873</v>
      </c>
      <c r="J123">
        <v>3.6999999999999998E-2</v>
      </c>
      <c r="K123">
        <v>14.21</v>
      </c>
      <c r="L123">
        <v>-2.2100000000000002E-2</v>
      </c>
      <c r="M123">
        <v>1.38E-2</v>
      </c>
      <c r="N123">
        <v>1</v>
      </c>
      <c r="O123">
        <v>5.2100000000000002E-3</v>
      </c>
    </row>
    <row r="124" spans="1:15">
      <c r="A124" t="s">
        <v>715</v>
      </c>
      <c r="G124" cm="1">
        <f t="array" ref="G124:O124">VALUE(_xlfn.TEXTSPLIT(SUBSTITUTE(TRIM(A124),"0.0 %","0.0%")," "))</f>
        <v>15</v>
      </c>
      <c r="H124">
        <v>1.2709999999999999</v>
      </c>
      <c r="I124">
        <v>0.84099999999999997</v>
      </c>
      <c r="J124">
        <v>4.8000000000000001E-2</v>
      </c>
      <c r="K124">
        <v>15.04</v>
      </c>
      <c r="L124">
        <v>-3.39E-2</v>
      </c>
      <c r="M124">
        <v>1.5100000000000001E-2</v>
      </c>
      <c r="N124">
        <v>0.5</v>
      </c>
      <c r="O124">
        <v>7.1000000000000004E-3</v>
      </c>
    </row>
    <row r="127" spans="1:15">
      <c r="A127" t="s">
        <v>716</v>
      </c>
      <c r="G127" t="str">
        <f>A127</f>
        <v xml:space="preserve">                  OXYGEN MEDIUM, AIR RESPONSE</v>
      </c>
    </row>
    <row r="129" spans="1:15">
      <c r="A129" t="s">
        <v>610</v>
      </c>
      <c r="G129" t="str" cm="1">
        <f t="array" ref="G129:O129">_xlfn.TEXTSPLIT(TRIM(A129)," ")</f>
        <v>E(MEV)</v>
      </c>
      <c r="H129" t="str">
        <v>B</v>
      </c>
      <c r="I129" t="str">
        <v>C</v>
      </c>
      <c r="J129" t="str">
        <v>A</v>
      </c>
      <c r="K129" t="str">
        <v>XK</v>
      </c>
      <c r="L129" t="str">
        <v>D</v>
      </c>
      <c r="M129" t="str">
        <v>MAX.D</v>
      </c>
      <c r="N129" t="str">
        <v>XMAX</v>
      </c>
      <c r="O129" t="str">
        <v>S.D</v>
      </c>
    </row>
    <row r="130" spans="1:15">
      <c r="A130" t="s">
        <v>611</v>
      </c>
      <c r="G130" s="6" t="s">
        <v>1289</v>
      </c>
      <c r="H130" s="6" t="s">
        <v>1289</v>
      </c>
      <c r="I130" s="6" t="s">
        <v>1289</v>
      </c>
      <c r="J130" s="6" t="s">
        <v>1289</v>
      </c>
      <c r="K130" s="6" t="s">
        <v>1289</v>
      </c>
      <c r="L130" s="6" t="s">
        <v>1289</v>
      </c>
      <c r="M130" s="6" t="s">
        <v>1289</v>
      </c>
      <c r="N130" s="6" t="s">
        <v>1289</v>
      </c>
      <c r="O130" s="6" t="s">
        <v>1289</v>
      </c>
    </row>
    <row r="131" spans="1:15">
      <c r="A131" t="s">
        <v>717</v>
      </c>
      <c r="G131" cm="1">
        <f t="array" ref="G131:O131">VALUE(_xlfn.TEXTSPLIT(SUBSTITUTE(TRIM(A131),"0.0 %","0.0%")," "))</f>
        <v>1.4999999999999999E-2</v>
      </c>
      <c r="H131">
        <v>1.153</v>
      </c>
      <c r="I131">
        <v>0.432</v>
      </c>
      <c r="J131">
        <v>0.189</v>
      </c>
      <c r="K131">
        <v>14.49</v>
      </c>
      <c r="L131">
        <v>-9.6500000000000002E-2</v>
      </c>
      <c r="M131">
        <v>1.38E-2</v>
      </c>
      <c r="N131">
        <v>0.5</v>
      </c>
      <c r="O131">
        <v>5.1900000000000002E-3</v>
      </c>
    </row>
    <row r="132" spans="1:15">
      <c r="A132" t="s">
        <v>718</v>
      </c>
      <c r="G132" cm="1">
        <f t="array" ref="G132:O132">VALUE(_xlfn.TEXTSPLIT(SUBSTITUTE(TRIM(A132),"0.0 %","0.0%")," "))</f>
        <v>0.02</v>
      </c>
      <c r="H132">
        <v>1.355</v>
      </c>
      <c r="I132">
        <v>0.505</v>
      </c>
      <c r="J132">
        <v>0.16200000000000001</v>
      </c>
      <c r="K132">
        <v>14.65</v>
      </c>
      <c r="L132">
        <v>-8.2500000000000004E-2</v>
      </c>
      <c r="M132">
        <v>2.23E-2</v>
      </c>
      <c r="N132">
        <v>0.5</v>
      </c>
      <c r="O132">
        <v>8.0400000000000003E-3</v>
      </c>
    </row>
    <row r="133" spans="1:15">
      <c r="A133" t="s">
        <v>719</v>
      </c>
      <c r="G133" cm="1">
        <f t="array" ref="G133:O133">VALUE(_xlfn.TEXTSPLIT(SUBSTITUTE(TRIM(A133),"0.0 %","0.0%")," "))</f>
        <v>0.03</v>
      </c>
      <c r="H133">
        <v>2.0539999999999998</v>
      </c>
      <c r="I133">
        <v>0.71799999999999997</v>
      </c>
      <c r="J133">
        <v>8.5999999999999993E-2</v>
      </c>
      <c r="K133">
        <v>16.37</v>
      </c>
      <c r="L133">
        <v>-4.5600000000000002E-2</v>
      </c>
      <c r="M133">
        <v>3.1699999999999999E-2</v>
      </c>
      <c r="N133">
        <v>0.5</v>
      </c>
      <c r="O133">
        <v>1.1469999999999999E-2</v>
      </c>
    </row>
    <row r="134" spans="1:15">
      <c r="A134" t="s">
        <v>720</v>
      </c>
      <c r="G134" cm="1">
        <f t="array" ref="G134:O134">VALUE(_xlfn.TEXTSPLIT(SUBSTITUTE(TRIM(A134),"0.0 %","0.0%")," "))</f>
        <v>0.04</v>
      </c>
      <c r="H134">
        <v>3.137</v>
      </c>
      <c r="I134">
        <v>0.99</v>
      </c>
      <c r="J134">
        <v>1.2E-2</v>
      </c>
      <c r="K134">
        <v>13.45</v>
      </c>
      <c r="L134">
        <v>-1.34E-2</v>
      </c>
      <c r="M134">
        <v>1.2699999999999999E-2</v>
      </c>
      <c r="N134">
        <v>0.5</v>
      </c>
      <c r="O134">
        <v>4.1200000000000004E-3</v>
      </c>
    </row>
    <row r="135" spans="1:15">
      <c r="A135" t="s">
        <v>721</v>
      </c>
      <c r="G135" cm="1">
        <f t="array" ref="G135:O135">VALUE(_xlfn.TEXTSPLIT(SUBSTITUTE(TRIM(A135),"0.0 %","0.0%")," "))</f>
        <v>0.05</v>
      </c>
      <c r="H135">
        <v>4.0629999999999997</v>
      </c>
      <c r="I135">
        <v>1.3049999999999999</v>
      </c>
      <c r="J135">
        <v>-5.6000000000000001E-2</v>
      </c>
      <c r="K135">
        <v>13.54</v>
      </c>
      <c r="L135">
        <v>1.84E-2</v>
      </c>
      <c r="M135">
        <v>9.7000000000000003E-3</v>
      </c>
      <c r="N135">
        <v>4</v>
      </c>
      <c r="O135">
        <v>5.8999999999999999E-3</v>
      </c>
    </row>
    <row r="136" spans="1:15">
      <c r="A136" t="s">
        <v>722</v>
      </c>
      <c r="G136" cm="1">
        <f t="array" ref="G136:O136">VALUE(_xlfn.TEXTSPLIT(SUBSTITUTE(TRIM(A136),"0.0 %","0.0%")," "))</f>
        <v>0.06</v>
      </c>
      <c r="H136">
        <v>4.6100000000000003</v>
      </c>
      <c r="I136">
        <v>1.5620000000000001</v>
      </c>
      <c r="J136">
        <v>-0.1</v>
      </c>
      <c r="K136">
        <v>13.75</v>
      </c>
      <c r="L136">
        <v>4.1200000000000001E-2</v>
      </c>
      <c r="M136">
        <v>1.7299999999999999E-2</v>
      </c>
      <c r="N136">
        <v>0.5</v>
      </c>
      <c r="O136">
        <v>1.1769999999999999E-2</v>
      </c>
    </row>
    <row r="137" spans="1:15">
      <c r="A137" t="s">
        <v>723</v>
      </c>
      <c r="G137" cm="1">
        <f t="array" ref="G137:O137">VALUE(_xlfn.TEXTSPLIT(SUBSTITUTE(TRIM(A137),"0.0 %","0.0%")," "))</f>
        <v>0.08</v>
      </c>
      <c r="H137">
        <v>4.7830000000000004</v>
      </c>
      <c r="I137">
        <v>1.887</v>
      </c>
      <c r="J137">
        <v>-0.14599999999999999</v>
      </c>
      <c r="K137">
        <v>13.73</v>
      </c>
      <c r="L137">
        <v>6.4299999999999996E-2</v>
      </c>
      <c r="M137">
        <v>2.7099999999999999E-2</v>
      </c>
      <c r="N137">
        <v>35</v>
      </c>
      <c r="O137">
        <v>1.754E-2</v>
      </c>
    </row>
    <row r="138" spans="1:15">
      <c r="A138" t="s">
        <v>724</v>
      </c>
      <c r="G138" cm="1">
        <f t="array" ref="G138:O138">VALUE(_xlfn.TEXTSPLIT(SUBSTITUTE(TRIM(A138),"0.0 %","0.0%")," "))</f>
        <v>0.1</v>
      </c>
      <c r="H138">
        <v>4.492</v>
      </c>
      <c r="I138">
        <v>2.0430000000000001</v>
      </c>
      <c r="J138">
        <v>-0.16400000000000001</v>
      </c>
      <c r="K138">
        <v>13.85</v>
      </c>
      <c r="L138">
        <v>7.1800000000000003E-2</v>
      </c>
      <c r="M138">
        <v>2.6100000000000002E-2</v>
      </c>
      <c r="N138">
        <v>25</v>
      </c>
      <c r="O138">
        <v>1.7809999999999999E-2</v>
      </c>
    </row>
    <row r="139" spans="1:15">
      <c r="A139" t="s">
        <v>725</v>
      </c>
      <c r="G139" cm="1">
        <f t="array" ref="G139:O139">VALUE(_xlfn.TEXTSPLIT(SUBSTITUTE(TRIM(A139),"0.0 %","0.0%")," "))</f>
        <v>0.15</v>
      </c>
      <c r="H139">
        <v>3.8769999999999998</v>
      </c>
      <c r="I139">
        <v>2.069</v>
      </c>
      <c r="J139">
        <v>-0.16300000000000001</v>
      </c>
      <c r="K139">
        <v>14.48</v>
      </c>
      <c r="L139">
        <v>6.3700000000000007E-2</v>
      </c>
      <c r="M139">
        <v>2.5000000000000001E-2</v>
      </c>
      <c r="N139">
        <v>2</v>
      </c>
      <c r="O139">
        <v>1.38E-2</v>
      </c>
    </row>
    <row r="140" spans="1:15">
      <c r="A140" t="s">
        <v>726</v>
      </c>
      <c r="G140" cm="1">
        <f t="array" ref="G140:O140">VALUE(_xlfn.TEXTSPLIT(SUBSTITUTE(TRIM(A140),"0.0 %","0.0%")," "))</f>
        <v>0.2</v>
      </c>
      <c r="H140">
        <v>3.32</v>
      </c>
      <c r="I140">
        <v>2.09</v>
      </c>
      <c r="J140">
        <v>-0.16900000000000001</v>
      </c>
      <c r="K140">
        <v>14.03</v>
      </c>
      <c r="L140">
        <v>6.7799999999999999E-2</v>
      </c>
      <c r="M140">
        <v>2.3800000000000002E-2</v>
      </c>
      <c r="N140">
        <v>25</v>
      </c>
      <c r="O140">
        <v>1.4460000000000001E-2</v>
      </c>
    </row>
    <row r="141" spans="1:15">
      <c r="A141" t="s">
        <v>727</v>
      </c>
      <c r="G141" cm="1">
        <f t="array" ref="G141:O141">VALUE(_xlfn.TEXTSPLIT(SUBSTITUTE(TRIM(A141),"0.0 %","0.0%")," "))</f>
        <v>0.3</v>
      </c>
      <c r="H141">
        <v>2.87</v>
      </c>
      <c r="I141">
        <v>1.948</v>
      </c>
      <c r="J141">
        <v>-0.154</v>
      </c>
      <c r="K141">
        <v>14.2</v>
      </c>
      <c r="L141">
        <v>5.9499999999999997E-2</v>
      </c>
      <c r="M141">
        <v>2.3199999999999998E-2</v>
      </c>
      <c r="N141">
        <v>25</v>
      </c>
      <c r="O141">
        <v>1.3440000000000001E-2</v>
      </c>
    </row>
    <row r="142" spans="1:15">
      <c r="A142" t="s">
        <v>728</v>
      </c>
      <c r="G142" cm="1">
        <f t="array" ref="G142:O142">VALUE(_xlfn.TEXTSPLIT(SUBSTITUTE(TRIM(A142),"0.0 %","0.0%")," "))</f>
        <v>0.4</v>
      </c>
      <c r="H142">
        <v>2.629</v>
      </c>
      <c r="I142">
        <v>1.8280000000000001</v>
      </c>
      <c r="J142">
        <v>-0.14099999999999999</v>
      </c>
      <c r="K142">
        <v>14.19</v>
      </c>
      <c r="L142">
        <v>5.4600000000000003E-2</v>
      </c>
      <c r="M142">
        <v>1.8499999999999999E-2</v>
      </c>
      <c r="N142">
        <v>10</v>
      </c>
      <c r="O142">
        <v>1.1650000000000001E-2</v>
      </c>
    </row>
    <row r="143" spans="1:15">
      <c r="A143" t="s">
        <v>729</v>
      </c>
      <c r="G143" cm="1">
        <f t="array" ref="G143:O143">VALUE(_xlfn.TEXTSPLIT(SUBSTITUTE(TRIM(A143),"0.0 %","0.0%")," "))</f>
        <v>0.5</v>
      </c>
      <c r="H143">
        <v>2.4750000000000001</v>
      </c>
      <c r="I143">
        <v>1.7230000000000001</v>
      </c>
      <c r="J143">
        <v>-0.128</v>
      </c>
      <c r="K143">
        <v>14.2</v>
      </c>
      <c r="L143">
        <v>4.8800000000000003E-2</v>
      </c>
      <c r="M143">
        <v>1.8499999999999999E-2</v>
      </c>
      <c r="N143">
        <v>1</v>
      </c>
      <c r="O143">
        <v>1.146E-2</v>
      </c>
    </row>
    <row r="144" spans="1:15">
      <c r="A144" t="s">
        <v>730</v>
      </c>
      <c r="G144" cm="1">
        <f t="array" ref="G144:O144">VALUE(_xlfn.TEXTSPLIT(SUBSTITUTE(TRIM(A144),"0.0 %","0.0%")," "))</f>
        <v>0.6</v>
      </c>
      <c r="H144">
        <v>2.3620000000000001</v>
      </c>
      <c r="I144">
        <v>1.635</v>
      </c>
      <c r="J144">
        <v>-0.11600000000000001</v>
      </c>
      <c r="K144">
        <v>14.32</v>
      </c>
      <c r="L144">
        <v>4.3900000000000002E-2</v>
      </c>
      <c r="M144">
        <v>1.8100000000000002E-2</v>
      </c>
      <c r="N144">
        <v>1</v>
      </c>
      <c r="O144">
        <v>1.056E-2</v>
      </c>
    </row>
    <row r="145" spans="1:15">
      <c r="A145" t="s">
        <v>731</v>
      </c>
      <c r="G145" cm="1">
        <f t="array" ref="G145:O145">VALUE(_xlfn.TEXTSPLIT(SUBSTITUTE(TRIM(A145),"0.0 %","0.0%")," "))</f>
        <v>0.8</v>
      </c>
      <c r="H145">
        <v>2.1850000000000001</v>
      </c>
      <c r="I145">
        <v>1.532</v>
      </c>
      <c r="J145">
        <v>-0.10299999999999999</v>
      </c>
      <c r="K145">
        <v>14.24</v>
      </c>
      <c r="L145">
        <v>4.2700000000000002E-2</v>
      </c>
      <c r="M145">
        <v>1.95E-2</v>
      </c>
      <c r="N145">
        <v>0.5</v>
      </c>
      <c r="O145">
        <v>1.174E-2</v>
      </c>
    </row>
    <row r="146" spans="1:15">
      <c r="A146" t="s">
        <v>732</v>
      </c>
      <c r="G146" cm="1">
        <f t="array" ref="G146:O146">VALUE(_xlfn.TEXTSPLIT(SUBSTITUTE(TRIM(A146),"0.0 %","0.0%")," "))</f>
        <v>1</v>
      </c>
      <c r="H146">
        <v>2.0979999999999999</v>
      </c>
      <c r="I146">
        <v>1.4179999999999999</v>
      </c>
      <c r="J146">
        <v>-8.4000000000000005E-2</v>
      </c>
      <c r="K146">
        <v>14.35</v>
      </c>
      <c r="L146">
        <v>3.3300000000000003E-2</v>
      </c>
      <c r="M146">
        <v>1.5800000000000002E-2</v>
      </c>
      <c r="N146">
        <v>0.5</v>
      </c>
      <c r="O146">
        <v>8.2900000000000005E-3</v>
      </c>
    </row>
    <row r="147" spans="1:15">
      <c r="A147" t="s">
        <v>733</v>
      </c>
      <c r="G147" cm="1">
        <f t="array" ref="G147:O147">VALUE(_xlfn.TEXTSPLIT(SUBSTITUTE(TRIM(A147),"0.0 %","0.0%")," "))</f>
        <v>1.5</v>
      </c>
      <c r="H147">
        <v>1.929</v>
      </c>
      <c r="I147">
        <v>1.2649999999999999</v>
      </c>
      <c r="J147">
        <v>-5.7000000000000002E-2</v>
      </c>
      <c r="K147">
        <v>14.45</v>
      </c>
      <c r="L147">
        <v>2.35E-2</v>
      </c>
      <c r="M147">
        <v>1.61E-2</v>
      </c>
      <c r="N147">
        <v>0.5</v>
      </c>
      <c r="O147">
        <v>6.3299999999999997E-3</v>
      </c>
    </row>
    <row r="148" spans="1:15">
      <c r="A148" t="s">
        <v>734</v>
      </c>
      <c r="G148" cm="1">
        <f t="array" ref="G148:O148">VALUE(_xlfn.TEXTSPLIT(SUBSTITUTE(TRIM(A148),"0.0 %","0.0%")," "))</f>
        <v>2</v>
      </c>
      <c r="H148">
        <v>1.837</v>
      </c>
      <c r="I148">
        <v>1.1639999999999999</v>
      </c>
      <c r="J148">
        <v>-3.5999999999999997E-2</v>
      </c>
      <c r="K148">
        <v>15.4</v>
      </c>
      <c r="L148">
        <v>1.37E-2</v>
      </c>
      <c r="M148">
        <v>1.4500000000000001E-2</v>
      </c>
      <c r="N148">
        <v>0.5</v>
      </c>
      <c r="O148">
        <v>4.8300000000000001E-3</v>
      </c>
    </row>
    <row r="149" spans="1:15">
      <c r="A149" t="s">
        <v>735</v>
      </c>
      <c r="G149" cm="1">
        <f t="array" ref="G149:O149">VALUE(_xlfn.TEXTSPLIT(SUBSTITUTE(TRIM(A149),"0.0 %","0.0%")," "))</f>
        <v>3</v>
      </c>
      <c r="H149">
        <v>1.7110000000000001</v>
      </c>
      <c r="I149">
        <v>1.052</v>
      </c>
      <c r="J149">
        <v>-1.0999999999999999E-2</v>
      </c>
      <c r="K149">
        <v>12.88</v>
      </c>
      <c r="L149">
        <v>2E-3</v>
      </c>
      <c r="M149">
        <v>7.7000000000000002E-3</v>
      </c>
      <c r="N149">
        <v>0.5</v>
      </c>
      <c r="O149">
        <v>2.47E-3</v>
      </c>
    </row>
    <row r="150" spans="1:15">
      <c r="A150" t="s">
        <v>736</v>
      </c>
      <c r="G150" cm="1">
        <f t="array" ref="G150:O150">VALUE(_xlfn.TEXTSPLIT(SUBSTITUTE(TRIM(A150),"0.0 %","0.0%")," "))</f>
        <v>4</v>
      </c>
      <c r="H150">
        <v>1.6240000000000001</v>
      </c>
      <c r="I150">
        <v>0.99</v>
      </c>
      <c r="J150">
        <v>4.0000000000000001E-3</v>
      </c>
      <c r="K150">
        <v>20.49</v>
      </c>
      <c r="L150">
        <v>-7.0000000000000001E-3</v>
      </c>
      <c r="M150">
        <v>5.4999999999999997E-3</v>
      </c>
      <c r="N150">
        <v>4</v>
      </c>
      <c r="O150">
        <v>2.97E-3</v>
      </c>
    </row>
    <row r="151" spans="1:15">
      <c r="A151" t="s">
        <v>737</v>
      </c>
      <c r="G151" cm="1">
        <f t="array" ref="G151:O151">VALUE(_xlfn.TEXTSPLIT(SUBSTITUTE(TRIM(A151),"0.0 %","0.0%")," "))</f>
        <v>5</v>
      </c>
      <c r="H151">
        <v>1.5529999999999999</v>
      </c>
      <c r="I151">
        <v>0.94699999999999995</v>
      </c>
      <c r="J151">
        <v>1.6E-2</v>
      </c>
      <c r="K151">
        <v>14.42</v>
      </c>
      <c r="L151">
        <v>-1.11E-2</v>
      </c>
      <c r="M151">
        <v>7.0000000000000001E-3</v>
      </c>
      <c r="N151">
        <v>0.5</v>
      </c>
      <c r="O151">
        <v>3.79E-3</v>
      </c>
    </row>
    <row r="152" spans="1:15">
      <c r="A152" t="s">
        <v>738</v>
      </c>
      <c r="G152" cm="1">
        <f t="array" ref="G152:O152">VALUE(_xlfn.TEXTSPLIT(SUBSTITUTE(TRIM(A152),"0.0 %","0.0%")," "))</f>
        <v>6</v>
      </c>
      <c r="H152">
        <v>1.5049999999999999</v>
      </c>
      <c r="I152">
        <v>0.91700000000000004</v>
      </c>
      <c r="J152">
        <v>2.5000000000000001E-2</v>
      </c>
      <c r="K152">
        <v>15.64</v>
      </c>
      <c r="L152">
        <v>-2.29E-2</v>
      </c>
      <c r="M152">
        <v>9.9000000000000008E-3</v>
      </c>
      <c r="N152">
        <v>1</v>
      </c>
      <c r="O152">
        <v>4.6699999999999997E-3</v>
      </c>
    </row>
    <row r="153" spans="1:15">
      <c r="A153" t="s">
        <v>739</v>
      </c>
      <c r="G153" cm="1">
        <f t="array" ref="G153:O153">VALUE(_xlfn.TEXTSPLIT(SUBSTITUTE(TRIM(A153),"0.0 %","0.0%")," "))</f>
        <v>8</v>
      </c>
      <c r="H153">
        <v>1.417</v>
      </c>
      <c r="I153">
        <v>0.89100000000000001</v>
      </c>
      <c r="J153">
        <v>3.3000000000000002E-2</v>
      </c>
      <c r="K153">
        <v>12.3</v>
      </c>
      <c r="L153">
        <v>-1.9400000000000001E-2</v>
      </c>
      <c r="M153">
        <v>1.1599999999999999E-2</v>
      </c>
      <c r="N153">
        <v>0.5</v>
      </c>
      <c r="O153">
        <v>4.6699999999999997E-3</v>
      </c>
    </row>
    <row r="154" spans="1:15">
      <c r="A154" t="s">
        <v>740</v>
      </c>
      <c r="G154" cm="1">
        <f t="array" ref="G154:O154">VALUE(_xlfn.TEXTSPLIT(SUBSTITUTE(TRIM(A154),"0.0 %","0.0%")," "))</f>
        <v>10</v>
      </c>
      <c r="H154">
        <v>1.3580000000000001</v>
      </c>
      <c r="I154">
        <v>0.872</v>
      </c>
      <c r="J154">
        <v>3.9E-2</v>
      </c>
      <c r="K154">
        <v>13.99</v>
      </c>
      <c r="L154">
        <v>-2.52E-2</v>
      </c>
      <c r="M154">
        <v>1.14E-2</v>
      </c>
      <c r="N154">
        <v>0.5</v>
      </c>
      <c r="O154">
        <v>5.4200000000000003E-3</v>
      </c>
    </row>
    <row r="155" spans="1:15">
      <c r="A155" t="s">
        <v>741</v>
      </c>
      <c r="G155" cm="1">
        <f t="array" ref="G155:O155">VALUE(_xlfn.TEXTSPLIT(SUBSTITUTE(TRIM(A155),"0.0 %","0.0%")," "))</f>
        <v>15</v>
      </c>
      <c r="H155">
        <v>1.2649999999999999</v>
      </c>
      <c r="I155">
        <v>0.84199999999999997</v>
      </c>
      <c r="J155">
        <v>0.05</v>
      </c>
      <c r="K155">
        <v>15.03</v>
      </c>
      <c r="L155">
        <v>-3.8699999999999998E-2</v>
      </c>
      <c r="M155">
        <v>1.1900000000000001E-2</v>
      </c>
      <c r="N155">
        <v>3</v>
      </c>
      <c r="O155">
        <v>7.28E-3</v>
      </c>
    </row>
    <row r="158" spans="1:15">
      <c r="A158" t="s">
        <v>742</v>
      </c>
      <c r="G158" t="str">
        <f>A158</f>
        <v xml:space="preserve">                  SODIUM MEDIUM, AIR RESPONSE</v>
      </c>
    </row>
    <row r="160" spans="1:15">
      <c r="A160" t="s">
        <v>610</v>
      </c>
      <c r="G160" t="str" cm="1">
        <f t="array" ref="G160:O160">_xlfn.TEXTSPLIT(TRIM(A160)," ")</f>
        <v>E(MEV)</v>
      </c>
      <c r="H160" t="str">
        <v>B</v>
      </c>
      <c r="I160" t="str">
        <v>C</v>
      </c>
      <c r="J160" t="str">
        <v>A</v>
      </c>
      <c r="K160" t="str">
        <v>XK</v>
      </c>
      <c r="L160" t="str">
        <v>D</v>
      </c>
      <c r="M160" t="str">
        <v>MAX.D</v>
      </c>
      <c r="N160" t="str">
        <v>XMAX</v>
      </c>
      <c r="O160" t="str">
        <v>S.D</v>
      </c>
    </row>
    <row r="161" spans="1:15">
      <c r="A161" t="s">
        <v>611</v>
      </c>
      <c r="G161" s="6" t="s">
        <v>1289</v>
      </c>
      <c r="H161" s="6" t="s">
        <v>1289</v>
      </c>
      <c r="I161" s="6" t="s">
        <v>1289</v>
      </c>
      <c r="J161" s="6" t="s">
        <v>1289</v>
      </c>
      <c r="K161" s="6" t="s">
        <v>1289</v>
      </c>
      <c r="L161" s="6" t="s">
        <v>1289</v>
      </c>
      <c r="M161" s="6" t="s">
        <v>1289</v>
      </c>
      <c r="N161" s="6" t="s">
        <v>1289</v>
      </c>
      <c r="O161" s="6" t="s">
        <v>1289</v>
      </c>
    </row>
    <row r="162" spans="1:15">
      <c r="A162" t="s">
        <v>743</v>
      </c>
      <c r="G162" cm="1">
        <f t="array" ref="G162:O162">VALUE(_xlfn.TEXTSPLIT(SUBSTITUTE(TRIM(A162),"0.0 %","0.0%")," "))</f>
        <v>1.4999999999999999E-2</v>
      </c>
      <c r="H162">
        <v>1.052</v>
      </c>
      <c r="I162">
        <v>0.379</v>
      </c>
      <c r="J162">
        <v>0.223</v>
      </c>
      <c r="K162">
        <v>11.69</v>
      </c>
      <c r="L162">
        <v>-0.11459999999999999</v>
      </c>
      <c r="M162">
        <v>6.6E-3</v>
      </c>
      <c r="N162">
        <v>0.5</v>
      </c>
      <c r="O162">
        <v>2.7899999999999999E-3</v>
      </c>
    </row>
    <row r="163" spans="1:15">
      <c r="A163" t="s">
        <v>744</v>
      </c>
      <c r="G163" cm="1">
        <f t="array" ref="G163:O163">VALUE(_xlfn.TEXTSPLIT(SUBSTITUTE(TRIM(A163),"0.0 %","0.0%")," "))</f>
        <v>0.02</v>
      </c>
      <c r="H163">
        <v>1.1220000000000001</v>
      </c>
      <c r="I163">
        <v>0.39800000000000002</v>
      </c>
      <c r="J163">
        <v>0.21199999999999999</v>
      </c>
      <c r="K163">
        <v>13.54</v>
      </c>
      <c r="L163">
        <v>-0.114</v>
      </c>
      <c r="M163">
        <v>1.2E-2</v>
      </c>
      <c r="N163">
        <v>0.5</v>
      </c>
      <c r="O163">
        <v>4.3200000000000001E-3</v>
      </c>
    </row>
    <row r="164" spans="1:15">
      <c r="A164" t="s">
        <v>745</v>
      </c>
      <c r="G164" cm="1">
        <f t="array" ref="G164:O164">VALUE(_xlfn.TEXTSPLIT(SUBSTITUTE(TRIM(A164),"0.0 %","0.0%")," "))</f>
        <v>0.03</v>
      </c>
      <c r="H164">
        <v>1.3879999999999999</v>
      </c>
      <c r="I164">
        <v>0.48</v>
      </c>
      <c r="J164">
        <v>0.17599999999999999</v>
      </c>
      <c r="K164">
        <v>14.6</v>
      </c>
      <c r="L164">
        <v>-9.2100000000000001E-2</v>
      </c>
      <c r="M164">
        <v>1.9900000000000001E-2</v>
      </c>
      <c r="N164">
        <v>0.5</v>
      </c>
      <c r="O164">
        <v>7.6499999999999997E-3</v>
      </c>
    </row>
    <row r="165" spans="1:15">
      <c r="A165" t="s">
        <v>746</v>
      </c>
      <c r="G165" cm="1">
        <f t="array" ref="G165:O165">VALUE(_xlfn.TEXTSPLIT(SUBSTITUTE(TRIM(A165),"0.0 %","0.0%")," "))</f>
        <v>0.04</v>
      </c>
      <c r="H165">
        <v>1.7789999999999999</v>
      </c>
      <c r="I165">
        <v>0.66200000000000003</v>
      </c>
      <c r="J165">
        <v>9.9000000000000005E-2</v>
      </c>
      <c r="K165">
        <v>16.41</v>
      </c>
      <c r="L165">
        <v>-4.7899999999999998E-2</v>
      </c>
      <c r="M165">
        <v>2.0500000000000001E-2</v>
      </c>
      <c r="N165">
        <v>2</v>
      </c>
      <c r="O165">
        <v>7.4700000000000001E-3</v>
      </c>
    </row>
    <row r="166" spans="1:15">
      <c r="A166" t="s">
        <v>747</v>
      </c>
      <c r="G166" cm="1">
        <f t="array" ref="G166:O166">VALUE(_xlfn.TEXTSPLIT(SUBSTITUTE(TRIM(A166),"0.0 %","0.0%")," "))</f>
        <v>0.05</v>
      </c>
      <c r="H166">
        <v>2.3940000000000001</v>
      </c>
      <c r="I166">
        <v>0.74</v>
      </c>
      <c r="J166">
        <v>8.6999999999999994E-2</v>
      </c>
      <c r="K166">
        <v>14.31</v>
      </c>
      <c r="L166">
        <v>-5.5199999999999999E-2</v>
      </c>
      <c r="M166">
        <v>2.23E-2</v>
      </c>
      <c r="N166">
        <v>0.5</v>
      </c>
      <c r="O166">
        <v>1.153E-2</v>
      </c>
    </row>
    <row r="167" spans="1:15">
      <c r="A167" t="s">
        <v>748</v>
      </c>
      <c r="G167" cm="1">
        <f t="array" ref="G167:O167">VALUE(_xlfn.TEXTSPLIT(SUBSTITUTE(TRIM(A167),"0.0 %","0.0%")," "))</f>
        <v>0.06</v>
      </c>
      <c r="H167">
        <v>2.8359999999999999</v>
      </c>
      <c r="I167">
        <v>0.91</v>
      </c>
      <c r="J167">
        <v>3.7999999999999999E-2</v>
      </c>
      <c r="K167">
        <v>13.27</v>
      </c>
      <c r="L167">
        <v>-3.39E-2</v>
      </c>
      <c r="M167">
        <v>1.23E-2</v>
      </c>
      <c r="N167">
        <v>0.5</v>
      </c>
      <c r="O167">
        <v>6.0899999999999999E-3</v>
      </c>
    </row>
    <row r="168" spans="1:15">
      <c r="A168" t="s">
        <v>749</v>
      </c>
      <c r="G168" cm="1">
        <f t="array" ref="G168:O168">VALUE(_xlfn.TEXTSPLIT(SUBSTITUTE(TRIM(A168),"0.0 %","0.0%")," "))</f>
        <v>0.08</v>
      </c>
      <c r="H168">
        <v>3.3</v>
      </c>
      <c r="I168">
        <v>1.1830000000000001</v>
      </c>
      <c r="J168">
        <v>-2.8000000000000001E-2</v>
      </c>
      <c r="K168">
        <v>13.57</v>
      </c>
      <c r="L168">
        <v>-2.5000000000000001E-3</v>
      </c>
      <c r="M168">
        <v>3.0000000000000001E-3</v>
      </c>
      <c r="N168">
        <v>1</v>
      </c>
      <c r="O168">
        <v>1.41E-3</v>
      </c>
    </row>
    <row r="169" spans="1:15">
      <c r="A169" t="s">
        <v>750</v>
      </c>
      <c r="G169" cm="1">
        <f t="array" ref="G169:O169">VALUE(_xlfn.TEXTSPLIT(SUBSTITUTE(TRIM(A169),"0.0 %","0.0%")," "))</f>
        <v>0.1</v>
      </c>
      <c r="H169">
        <v>3.3879999999999999</v>
      </c>
      <c r="I169">
        <v>1.3680000000000001</v>
      </c>
      <c r="J169">
        <v>-6.2E-2</v>
      </c>
      <c r="K169">
        <v>14.35</v>
      </c>
      <c r="L169">
        <v>1.15E-2</v>
      </c>
      <c r="M169">
        <v>8.3000000000000001E-3</v>
      </c>
      <c r="N169">
        <v>4</v>
      </c>
      <c r="O169">
        <v>3.9399999999999999E-3</v>
      </c>
    </row>
    <row r="170" spans="1:15">
      <c r="A170" t="s">
        <v>751</v>
      </c>
      <c r="G170" cm="1">
        <f t="array" ref="G170:O170">VALUE(_xlfn.TEXTSPLIT(SUBSTITUTE(TRIM(A170),"0.0 %","0.0%")," "))</f>
        <v>0.15</v>
      </c>
      <c r="H170">
        <v>3.19</v>
      </c>
      <c r="I170">
        <v>1.575</v>
      </c>
      <c r="J170">
        <v>-9.5000000000000001E-2</v>
      </c>
      <c r="K170">
        <v>14.71</v>
      </c>
      <c r="L170">
        <v>2.5999999999999999E-2</v>
      </c>
      <c r="M170">
        <v>9.4999999999999998E-3</v>
      </c>
      <c r="N170">
        <v>1</v>
      </c>
      <c r="O170">
        <v>6.2100000000000002E-3</v>
      </c>
    </row>
    <row r="171" spans="1:15">
      <c r="A171" t="s">
        <v>752</v>
      </c>
      <c r="G171" cm="1">
        <f t="array" ref="G171:O171">VALUE(_xlfn.TEXTSPLIT(SUBSTITUTE(TRIM(A171),"0.0 %","0.0%")," "))</f>
        <v>0.2</v>
      </c>
      <c r="H171">
        <v>2.968</v>
      </c>
      <c r="I171">
        <v>1.627</v>
      </c>
      <c r="J171">
        <v>-0.10299999999999999</v>
      </c>
      <c r="K171">
        <v>14.63</v>
      </c>
      <c r="L171">
        <v>2.81E-2</v>
      </c>
      <c r="M171">
        <v>9.4999999999999998E-3</v>
      </c>
      <c r="N171">
        <v>1</v>
      </c>
      <c r="O171">
        <v>5.4999999999999997E-3</v>
      </c>
    </row>
    <row r="172" spans="1:15">
      <c r="A172" t="s">
        <v>753</v>
      </c>
      <c r="G172" cm="1">
        <f t="array" ref="G172:O172">VALUE(_xlfn.TEXTSPLIT(SUBSTITUTE(TRIM(A172),"0.0 %","0.0%")," "))</f>
        <v>0.3</v>
      </c>
      <c r="H172">
        <v>2.6579999999999999</v>
      </c>
      <c r="I172">
        <v>1.633</v>
      </c>
      <c r="J172">
        <v>-0.106</v>
      </c>
      <c r="K172">
        <v>14.12</v>
      </c>
      <c r="L172">
        <v>2.7900000000000001E-2</v>
      </c>
      <c r="M172">
        <v>7.3000000000000001E-3</v>
      </c>
      <c r="N172">
        <v>25</v>
      </c>
      <c r="O172">
        <v>4.8500000000000001E-3</v>
      </c>
    </row>
    <row r="173" spans="1:15">
      <c r="A173" t="s">
        <v>754</v>
      </c>
      <c r="G173" cm="1">
        <f t="array" ref="G173:O173">VALUE(_xlfn.TEXTSPLIT(SUBSTITUTE(TRIM(A173),"0.0 %","0.0%")," "))</f>
        <v>0.4</v>
      </c>
      <c r="H173">
        <v>2.4809999999999999</v>
      </c>
      <c r="I173">
        <v>1.587</v>
      </c>
      <c r="J173">
        <v>-0.10100000000000001</v>
      </c>
      <c r="K173">
        <v>15.09</v>
      </c>
      <c r="L173">
        <v>2.8500000000000001E-2</v>
      </c>
      <c r="M173">
        <v>9.7999999999999997E-3</v>
      </c>
      <c r="N173">
        <v>15</v>
      </c>
      <c r="O173">
        <v>5.5900000000000004E-3</v>
      </c>
    </row>
    <row r="174" spans="1:15">
      <c r="A174" t="s">
        <v>755</v>
      </c>
      <c r="G174" cm="1">
        <f t="array" ref="G174:O174">VALUE(_xlfn.TEXTSPLIT(SUBSTITUTE(TRIM(A174),"0.0 %","0.0%")," "))</f>
        <v>0.5</v>
      </c>
      <c r="H174">
        <v>2.35</v>
      </c>
      <c r="I174">
        <v>1.548</v>
      </c>
      <c r="J174">
        <v>-9.8000000000000004E-2</v>
      </c>
      <c r="K174">
        <v>14.86</v>
      </c>
      <c r="L174">
        <v>3.0700000000000002E-2</v>
      </c>
      <c r="M174">
        <v>1.0200000000000001E-2</v>
      </c>
      <c r="N174">
        <v>25</v>
      </c>
      <c r="O174">
        <v>5.4200000000000003E-3</v>
      </c>
    </row>
    <row r="175" spans="1:15">
      <c r="A175" t="s">
        <v>756</v>
      </c>
      <c r="G175" cm="1">
        <f t="array" ref="G175:O175">VALUE(_xlfn.TEXTSPLIT(SUBSTITUTE(TRIM(A175),"0.0 %","0.0%")," "))</f>
        <v>0.6</v>
      </c>
      <c r="H175">
        <v>2.2530000000000001</v>
      </c>
      <c r="I175">
        <v>1.498</v>
      </c>
      <c r="J175">
        <v>-0.09</v>
      </c>
      <c r="K175">
        <v>15.42</v>
      </c>
      <c r="L175">
        <v>2.64E-2</v>
      </c>
      <c r="M175">
        <v>8.8999999999999999E-3</v>
      </c>
      <c r="N175">
        <v>0.5</v>
      </c>
      <c r="O175">
        <v>4.96E-3</v>
      </c>
    </row>
    <row r="176" spans="1:15">
      <c r="A176" t="s">
        <v>757</v>
      </c>
      <c r="G176" cm="1">
        <f t="array" ref="G176:O176">VALUE(_xlfn.TEXTSPLIT(SUBSTITUTE(TRIM(A176),"0.0 %","0.0%")," "))</f>
        <v>0.8</v>
      </c>
      <c r="H176">
        <v>2.117</v>
      </c>
      <c r="I176">
        <v>1.421</v>
      </c>
      <c r="J176">
        <v>-0.08</v>
      </c>
      <c r="K176">
        <v>15.18</v>
      </c>
      <c r="L176">
        <v>2.5000000000000001E-2</v>
      </c>
      <c r="M176">
        <v>8.8999999999999999E-3</v>
      </c>
      <c r="N176">
        <v>25</v>
      </c>
      <c r="O176">
        <v>4.64E-3</v>
      </c>
    </row>
    <row r="177" spans="1:15">
      <c r="A177" t="s">
        <v>758</v>
      </c>
      <c r="G177" cm="1">
        <f t="array" ref="G177:O177">VALUE(_xlfn.TEXTSPLIT(SUBSTITUTE(TRIM(A177),"0.0 %","0.0%")," "))</f>
        <v>1</v>
      </c>
      <c r="H177">
        <v>2.0230000000000001</v>
      </c>
      <c r="I177">
        <v>1.3560000000000001</v>
      </c>
      <c r="J177">
        <v>-7.0000000000000007E-2</v>
      </c>
      <c r="K177">
        <v>15.7</v>
      </c>
      <c r="L177">
        <v>2.3400000000000001E-2</v>
      </c>
      <c r="M177">
        <v>6.4999999999999997E-3</v>
      </c>
      <c r="N177">
        <v>1</v>
      </c>
      <c r="O177">
        <v>3.46E-3</v>
      </c>
    </row>
    <row r="178" spans="1:15">
      <c r="A178" t="s">
        <v>759</v>
      </c>
      <c r="G178" cm="1">
        <f t="array" ref="G178:O178">VALUE(_xlfn.TEXTSPLIT(SUBSTITUTE(TRIM(A178),"0.0 %","0.0%")," "))</f>
        <v>1.5</v>
      </c>
      <c r="H178">
        <v>1.879</v>
      </c>
      <c r="I178">
        <v>1.234</v>
      </c>
      <c r="J178">
        <v>-4.9000000000000002E-2</v>
      </c>
      <c r="K178">
        <v>15.21</v>
      </c>
      <c r="L178">
        <v>1.6799999999999999E-2</v>
      </c>
      <c r="M178">
        <v>9.1000000000000004E-3</v>
      </c>
      <c r="N178">
        <v>0.5</v>
      </c>
      <c r="O178">
        <v>3.31E-3</v>
      </c>
    </row>
    <row r="179" spans="1:15">
      <c r="A179" t="s">
        <v>760</v>
      </c>
      <c r="G179" cm="1">
        <f t="array" ref="G179:O179">VALUE(_xlfn.TEXTSPLIT(SUBSTITUTE(TRIM(A179),"0.0 %","0.0%")," "))</f>
        <v>2</v>
      </c>
      <c r="H179">
        <v>1.7949999999999999</v>
      </c>
      <c r="I179">
        <v>1.1539999999999999</v>
      </c>
      <c r="J179">
        <v>-3.4000000000000002E-2</v>
      </c>
      <c r="K179">
        <v>14.43</v>
      </c>
      <c r="L179">
        <v>1.2200000000000001E-2</v>
      </c>
      <c r="M179">
        <v>8.0000000000000002E-3</v>
      </c>
      <c r="N179">
        <v>0.5</v>
      </c>
      <c r="O179">
        <v>3.32E-3</v>
      </c>
    </row>
    <row r="180" spans="1:15">
      <c r="A180" t="s">
        <v>761</v>
      </c>
      <c r="G180" cm="1">
        <f t="array" ref="G180:O180">VALUE(_xlfn.TEXTSPLIT(SUBSTITUTE(TRIM(A180),"0.0 %","0.0%")," "))</f>
        <v>3</v>
      </c>
      <c r="H180">
        <v>1.6839999999999999</v>
      </c>
      <c r="I180">
        <v>1.056</v>
      </c>
      <c r="J180">
        <v>-1.0999999999999999E-2</v>
      </c>
      <c r="K180">
        <v>10.47</v>
      </c>
      <c r="L180">
        <v>8.9999999999999998E-4</v>
      </c>
      <c r="M180">
        <v>5.0000000000000001E-3</v>
      </c>
      <c r="N180">
        <v>0.5</v>
      </c>
      <c r="O180">
        <v>2.14E-3</v>
      </c>
    </row>
    <row r="181" spans="1:15">
      <c r="A181" t="s">
        <v>762</v>
      </c>
      <c r="G181" cm="1">
        <f t="array" ref="G181:O181">VALUE(_xlfn.TEXTSPLIT(SUBSTITUTE(TRIM(A181),"0.0 %","0.0%")," "))</f>
        <v>4</v>
      </c>
      <c r="H181">
        <v>1.6060000000000001</v>
      </c>
      <c r="I181">
        <v>0.99199999999999999</v>
      </c>
      <c r="J181">
        <v>6.0000000000000001E-3</v>
      </c>
      <c r="K181">
        <v>12.86</v>
      </c>
      <c r="L181">
        <v>-8.8999999999999999E-3</v>
      </c>
      <c r="M181">
        <v>5.4000000000000003E-3</v>
      </c>
      <c r="N181">
        <v>3</v>
      </c>
      <c r="O181">
        <v>3.2599999999999999E-3</v>
      </c>
    </row>
    <row r="182" spans="1:15">
      <c r="A182" t="s">
        <v>763</v>
      </c>
      <c r="G182" cm="1">
        <f t="array" ref="G182:O182">VALUE(_xlfn.TEXTSPLIT(SUBSTITUTE(TRIM(A182),"0.0 %","0.0%")," "))</f>
        <v>5</v>
      </c>
      <c r="H182">
        <v>1.536</v>
      </c>
      <c r="I182">
        <v>0.95599999999999996</v>
      </c>
      <c r="J182">
        <v>1.6E-2</v>
      </c>
      <c r="K182">
        <v>15.2</v>
      </c>
      <c r="L182">
        <v>-2.0500000000000001E-2</v>
      </c>
      <c r="M182">
        <v>7.0000000000000001E-3</v>
      </c>
      <c r="N182">
        <v>25</v>
      </c>
      <c r="O182">
        <v>3.8300000000000001E-3</v>
      </c>
    </row>
    <row r="183" spans="1:15">
      <c r="A183" t="s">
        <v>764</v>
      </c>
      <c r="G183" cm="1">
        <f t="array" ref="G183:O183">VALUE(_xlfn.TEXTSPLIT(SUBSTITUTE(TRIM(A183),"0.0 %","0.0%")," "))</f>
        <v>6</v>
      </c>
      <c r="H183">
        <v>1.494</v>
      </c>
      <c r="I183">
        <v>0.91400000000000003</v>
      </c>
      <c r="J183">
        <v>3.1E-2</v>
      </c>
      <c r="K183">
        <v>11.38</v>
      </c>
      <c r="L183">
        <v>-2.47E-2</v>
      </c>
      <c r="M183">
        <v>5.4000000000000003E-3</v>
      </c>
      <c r="N183">
        <v>8</v>
      </c>
      <c r="O183">
        <v>3.4499999999999999E-3</v>
      </c>
    </row>
    <row r="184" spans="1:15">
      <c r="A184" t="s">
        <v>765</v>
      </c>
      <c r="G184" cm="1">
        <f t="array" ref="G184:O184">VALUE(_xlfn.TEXTSPLIT(SUBSTITUTE(TRIM(A184),"0.0 %","0.0%")," "))</f>
        <v>8</v>
      </c>
      <c r="H184">
        <v>1.4059999999999999</v>
      </c>
      <c r="I184">
        <v>0.90200000000000002</v>
      </c>
      <c r="J184">
        <v>3.3000000000000002E-2</v>
      </c>
      <c r="K184">
        <v>13.53</v>
      </c>
      <c r="L184">
        <v>-2.5999999999999999E-2</v>
      </c>
      <c r="M184">
        <v>9.9000000000000008E-3</v>
      </c>
      <c r="N184">
        <v>1</v>
      </c>
      <c r="O184">
        <v>6.5700000000000003E-3</v>
      </c>
    </row>
    <row r="185" spans="1:15">
      <c r="A185" t="s">
        <v>766</v>
      </c>
      <c r="G185" cm="1">
        <f t="array" ref="G185:O185">VALUE(_xlfn.TEXTSPLIT(SUBSTITUTE(TRIM(A185),"0.0 %","0.0%")," "))</f>
        <v>10</v>
      </c>
      <c r="H185">
        <v>1.347</v>
      </c>
      <c r="I185">
        <v>0.876</v>
      </c>
      <c r="J185">
        <v>4.2999999999999997E-2</v>
      </c>
      <c r="K185">
        <v>13.19</v>
      </c>
      <c r="L185">
        <v>-3.3500000000000002E-2</v>
      </c>
      <c r="M185">
        <v>1.6199999999999999E-2</v>
      </c>
      <c r="N185">
        <v>0.5</v>
      </c>
      <c r="O185">
        <v>7.3499999999999998E-3</v>
      </c>
    </row>
    <row r="186" spans="1:15">
      <c r="A186" t="s">
        <v>767</v>
      </c>
      <c r="G186" cm="1">
        <f t="array" ref="G186:O186">VALUE(_xlfn.TEXTSPLIT(SUBSTITUTE(TRIM(A186),"0.0 %","0.0%")," "))</f>
        <v>15</v>
      </c>
      <c r="H186">
        <v>1.2629999999999999</v>
      </c>
      <c r="I186">
        <v>0.82299999999999995</v>
      </c>
      <c r="J186">
        <v>6.4000000000000001E-2</v>
      </c>
      <c r="K186">
        <v>14.35</v>
      </c>
      <c r="L186">
        <v>-5.62E-2</v>
      </c>
      <c r="M186">
        <v>1.7899999999999999E-2</v>
      </c>
      <c r="N186">
        <v>3</v>
      </c>
      <c r="O186">
        <v>1.064E-2</v>
      </c>
    </row>
    <row r="189" spans="1:15">
      <c r="A189" t="s">
        <v>769</v>
      </c>
      <c r="G189" t="str">
        <f>A189</f>
        <v xml:space="preserve">                  MAGNESIUM MEDIUM, AIR RESPONSE</v>
      </c>
    </row>
    <row r="191" spans="1:15">
      <c r="A191" t="s">
        <v>610</v>
      </c>
      <c r="G191" t="str" cm="1">
        <f t="array" ref="G191:O191">_xlfn.TEXTSPLIT(TRIM(A191)," ")</f>
        <v>E(MEV)</v>
      </c>
      <c r="H191" t="str">
        <v>B</v>
      </c>
      <c r="I191" t="str">
        <v>C</v>
      </c>
      <c r="J191" t="str">
        <v>A</v>
      </c>
      <c r="K191" t="str">
        <v>XK</v>
      </c>
      <c r="L191" t="str">
        <v>D</v>
      </c>
      <c r="M191" t="str">
        <v>MAX.D</v>
      </c>
      <c r="N191" t="str">
        <v>XMAX</v>
      </c>
      <c r="O191" t="str">
        <v>S.D</v>
      </c>
    </row>
    <row r="192" spans="1:15">
      <c r="A192" t="s">
        <v>611</v>
      </c>
      <c r="G192" s="6" t="s">
        <v>1289</v>
      </c>
      <c r="H192" s="6" t="s">
        <v>1289</v>
      </c>
      <c r="I192" s="6" t="s">
        <v>1289</v>
      </c>
      <c r="J192" s="6" t="s">
        <v>1289</v>
      </c>
      <c r="K192" s="6" t="s">
        <v>1289</v>
      </c>
      <c r="L192" s="6" t="s">
        <v>1289</v>
      </c>
      <c r="M192" s="6" t="s">
        <v>1289</v>
      </c>
      <c r="N192" s="6" t="s">
        <v>1289</v>
      </c>
      <c r="O192" s="6" t="s">
        <v>1289</v>
      </c>
    </row>
    <row r="193" spans="1:15">
      <c r="A193" t="s">
        <v>768</v>
      </c>
      <c r="G193" cm="1">
        <f t="array" ref="G193:O193">VALUE(_xlfn.TEXTSPLIT(SUBSTITUTE(TRIM(A193),"0.0 %","0.0%")," "))</f>
        <v>1.4999999999999999E-2</v>
      </c>
      <c r="H193">
        <v>1.0369999999999999</v>
      </c>
      <c r="I193">
        <v>0.40100000000000002</v>
      </c>
      <c r="J193">
        <v>0.21099999999999999</v>
      </c>
      <c r="K193">
        <v>13.33</v>
      </c>
      <c r="L193">
        <v>-0.13320000000000001</v>
      </c>
      <c r="M193">
        <v>6.4999999999999997E-3</v>
      </c>
      <c r="N193">
        <v>0.5</v>
      </c>
      <c r="O193">
        <v>3.3E-3</v>
      </c>
    </row>
    <row r="194" spans="1:15">
      <c r="A194" t="s">
        <v>770</v>
      </c>
      <c r="G194" cm="1">
        <f t="array" ref="G194:O194">VALUE(_xlfn.TEXTSPLIT(SUBSTITUTE(TRIM(A194),"0.0 %","0.0%")," "))</f>
        <v>0.02</v>
      </c>
      <c r="H194">
        <v>1.085</v>
      </c>
      <c r="I194">
        <v>0.439</v>
      </c>
      <c r="J194">
        <v>0.17799999999999999</v>
      </c>
      <c r="K194">
        <v>14.34</v>
      </c>
      <c r="L194">
        <v>-9.0999999999999998E-2</v>
      </c>
      <c r="M194">
        <v>7.1999999999999998E-3</v>
      </c>
      <c r="N194">
        <v>0.5</v>
      </c>
      <c r="O194">
        <v>3.79E-3</v>
      </c>
    </row>
    <row r="195" spans="1:15">
      <c r="A195" t="s">
        <v>771</v>
      </c>
      <c r="G195" cm="1">
        <f t="array" ref="G195:O195">VALUE(_xlfn.TEXTSPLIT(SUBSTITUTE(TRIM(A195),"0.0 %","0.0%")," "))</f>
        <v>0.03</v>
      </c>
      <c r="H195">
        <v>1.288</v>
      </c>
      <c r="I195">
        <v>0.44900000000000001</v>
      </c>
      <c r="J195">
        <v>0.189</v>
      </c>
      <c r="K195">
        <v>14.38</v>
      </c>
      <c r="L195">
        <v>-0.10199999999999999</v>
      </c>
      <c r="M195">
        <v>1.9199999999999998E-2</v>
      </c>
      <c r="N195">
        <v>0.5</v>
      </c>
      <c r="O195">
        <v>7.5599999999999999E-3</v>
      </c>
    </row>
    <row r="196" spans="1:15">
      <c r="A196" t="s">
        <v>772</v>
      </c>
      <c r="G196" cm="1">
        <f t="array" ref="G196:O196">VALUE(_xlfn.TEXTSPLIT(SUBSTITUTE(TRIM(A196),"0.0 %","0.0%")," "))</f>
        <v>0.04</v>
      </c>
      <c r="H196">
        <v>1.617</v>
      </c>
      <c r="I196">
        <v>0.55700000000000005</v>
      </c>
      <c r="J196">
        <v>0.14299999999999999</v>
      </c>
      <c r="K196">
        <v>15.17</v>
      </c>
      <c r="L196">
        <v>-7.5700000000000003E-2</v>
      </c>
      <c r="M196">
        <v>1.3899999999999999E-2</v>
      </c>
      <c r="N196">
        <v>0.5</v>
      </c>
      <c r="O196">
        <v>6.3200000000000001E-3</v>
      </c>
    </row>
    <row r="197" spans="1:15">
      <c r="A197" t="s">
        <v>773</v>
      </c>
      <c r="G197" cm="1">
        <f t="array" ref="G197:O197">VALUE(_xlfn.TEXTSPLIT(SUBSTITUTE(TRIM(A197),"0.0 %","0.0%")," "))</f>
        <v>0.05</v>
      </c>
      <c r="H197">
        <v>2.0990000000000002</v>
      </c>
      <c r="I197">
        <v>0.63300000000000001</v>
      </c>
      <c r="J197">
        <v>0.125</v>
      </c>
      <c r="K197">
        <v>14.15</v>
      </c>
      <c r="L197">
        <v>-6.5699999999999995E-2</v>
      </c>
      <c r="M197">
        <v>2.7699999999999999E-2</v>
      </c>
      <c r="N197">
        <v>0.5</v>
      </c>
      <c r="O197">
        <v>1.542E-2</v>
      </c>
    </row>
    <row r="198" spans="1:15">
      <c r="A198" t="s">
        <v>774</v>
      </c>
      <c r="G198" cm="1">
        <f t="array" ref="G198:O198">VALUE(_xlfn.TEXTSPLIT(SUBSTITUTE(TRIM(A198),"0.0 %","0.0%")," "))</f>
        <v>0.06</v>
      </c>
      <c r="H198">
        <v>2.4670000000000001</v>
      </c>
      <c r="I198">
        <v>0.79400000000000004</v>
      </c>
      <c r="J198">
        <v>7.0999999999999994E-2</v>
      </c>
      <c r="K198">
        <v>14.91</v>
      </c>
      <c r="L198">
        <v>-5.6300000000000003E-2</v>
      </c>
      <c r="M198">
        <v>2.47E-2</v>
      </c>
      <c r="N198">
        <v>0.5</v>
      </c>
      <c r="O198">
        <v>1.0880000000000001E-2</v>
      </c>
    </row>
    <row r="199" spans="1:15">
      <c r="A199" t="s">
        <v>775</v>
      </c>
      <c r="G199" cm="1">
        <f t="array" ref="G199:O199">VALUE(_xlfn.TEXTSPLIT(SUBSTITUTE(TRIM(A199),"0.0 %","0.0%")," "))</f>
        <v>0.08</v>
      </c>
      <c r="H199">
        <v>2.95</v>
      </c>
      <c r="I199">
        <v>1.0389999999999999</v>
      </c>
      <c r="J199">
        <v>5.0000000000000001E-3</v>
      </c>
      <c r="K199">
        <v>13.7</v>
      </c>
      <c r="L199">
        <v>-2.01E-2</v>
      </c>
      <c r="M199">
        <v>7.1999999999999998E-3</v>
      </c>
      <c r="N199">
        <v>10</v>
      </c>
      <c r="O199">
        <v>4.5399999999999998E-3</v>
      </c>
    </row>
    <row r="200" spans="1:15">
      <c r="A200" t="s">
        <v>776</v>
      </c>
      <c r="G200" cm="1">
        <f t="array" ref="G200:O200">VALUE(_xlfn.TEXTSPLIT(SUBSTITUTE(TRIM(A200),"0.0 %","0.0%")," "))</f>
        <v>0.1</v>
      </c>
      <c r="H200">
        <v>3.1019999999999999</v>
      </c>
      <c r="I200">
        <v>1.2290000000000001</v>
      </c>
      <c r="J200">
        <v>-3.5000000000000003E-2</v>
      </c>
      <c r="K200">
        <v>12.29</v>
      </c>
      <c r="L200">
        <v>-3.7000000000000002E-3</v>
      </c>
      <c r="M200">
        <v>4.8999999999999998E-3</v>
      </c>
      <c r="N200">
        <v>6</v>
      </c>
      <c r="O200">
        <v>2.0200000000000001E-3</v>
      </c>
    </row>
    <row r="201" spans="1:15">
      <c r="A201" t="s">
        <v>777</v>
      </c>
      <c r="G201" cm="1">
        <f t="array" ref="G201:O201">VALUE(_xlfn.TEXTSPLIT(SUBSTITUTE(TRIM(A201),"0.0 %","0.0%")," "))</f>
        <v>0.15</v>
      </c>
      <c r="H201">
        <v>3.032</v>
      </c>
      <c r="I201">
        <v>1.454</v>
      </c>
      <c r="J201">
        <v>-7.4999999999999997E-2</v>
      </c>
      <c r="K201">
        <v>15.08</v>
      </c>
      <c r="L201">
        <v>1.38E-2</v>
      </c>
      <c r="M201">
        <v>7.3000000000000001E-3</v>
      </c>
      <c r="N201">
        <v>1</v>
      </c>
      <c r="O201">
        <v>3.14E-3</v>
      </c>
    </row>
    <row r="202" spans="1:15">
      <c r="A202" t="s">
        <v>778</v>
      </c>
      <c r="G202" cm="1">
        <f t="array" ref="G202:O202">VALUE(_xlfn.TEXTSPLIT(SUBSTITUTE(TRIM(A202),"0.0 %","0.0%")," "))</f>
        <v>0.2</v>
      </c>
      <c r="H202">
        <v>2.8559999999999999</v>
      </c>
      <c r="I202">
        <v>1.5369999999999999</v>
      </c>
      <c r="J202">
        <v>-8.7999999999999995E-2</v>
      </c>
      <c r="K202">
        <v>15.99</v>
      </c>
      <c r="L202">
        <v>0.02</v>
      </c>
      <c r="M202">
        <v>7.7999999999999996E-3</v>
      </c>
      <c r="N202">
        <v>4</v>
      </c>
      <c r="O202">
        <v>4.1099999999999999E-3</v>
      </c>
    </row>
    <row r="203" spans="1:15">
      <c r="A203" t="s">
        <v>779</v>
      </c>
      <c r="G203" cm="1">
        <f t="array" ref="G203:O203">VALUE(_xlfn.TEXTSPLIT(SUBSTITUTE(TRIM(A203),"0.0 %","0.0%")," "))</f>
        <v>0.3</v>
      </c>
      <c r="H203">
        <v>2.5990000000000002</v>
      </c>
      <c r="I203">
        <v>1.5640000000000001</v>
      </c>
      <c r="J203">
        <v>-9.4E-2</v>
      </c>
      <c r="K203">
        <v>15.96</v>
      </c>
      <c r="L203">
        <v>2.2800000000000001E-2</v>
      </c>
      <c r="M203">
        <v>8.8999999999999999E-3</v>
      </c>
      <c r="N203">
        <v>15</v>
      </c>
      <c r="O203">
        <v>3.7299999999999998E-3</v>
      </c>
    </row>
    <row r="204" spans="1:15">
      <c r="A204" t="s">
        <v>780</v>
      </c>
      <c r="G204" cm="1">
        <f t="array" ref="G204:O204">VALUE(_xlfn.TEXTSPLIT(SUBSTITUTE(TRIM(A204),"0.0 %","0.0%")," "))</f>
        <v>0.4</v>
      </c>
      <c r="H204">
        <v>2.4369999999999998</v>
      </c>
      <c r="I204">
        <v>1.5409999999999999</v>
      </c>
      <c r="J204">
        <v>-9.2999999999999999E-2</v>
      </c>
      <c r="K204">
        <v>15.45</v>
      </c>
      <c r="L204">
        <v>2.3599999999999999E-2</v>
      </c>
      <c r="M204">
        <v>7.0000000000000001E-3</v>
      </c>
      <c r="N204">
        <v>1</v>
      </c>
      <c r="O204">
        <v>3.32E-3</v>
      </c>
    </row>
    <row r="205" spans="1:15">
      <c r="A205" t="s">
        <v>781</v>
      </c>
      <c r="G205" cm="1">
        <f t="array" ref="G205:O205">VALUE(_xlfn.TEXTSPLIT(SUBSTITUTE(TRIM(A205),"0.0 %","0.0%")," "))</f>
        <v>0.5</v>
      </c>
      <c r="H205">
        <v>2.3149999999999999</v>
      </c>
      <c r="I205">
        <v>1.5049999999999999</v>
      </c>
      <c r="J205">
        <v>-8.8999999999999996E-2</v>
      </c>
      <c r="K205">
        <v>16</v>
      </c>
      <c r="L205">
        <v>2.3599999999999999E-2</v>
      </c>
      <c r="M205">
        <v>6.4000000000000003E-3</v>
      </c>
      <c r="N205">
        <v>15</v>
      </c>
      <c r="O205">
        <v>2.8400000000000001E-3</v>
      </c>
    </row>
    <row r="206" spans="1:15">
      <c r="A206" t="s">
        <v>782</v>
      </c>
      <c r="G206" cm="1">
        <f t="array" ref="G206:O206">VALUE(_xlfn.TEXTSPLIT(SUBSTITUTE(TRIM(A206),"0.0 %","0.0%")," "))</f>
        <v>0.6</v>
      </c>
      <c r="H206">
        <v>2.2210000000000001</v>
      </c>
      <c r="I206">
        <v>1.4730000000000001</v>
      </c>
      <c r="J206">
        <v>-8.5999999999999993E-2</v>
      </c>
      <c r="K206">
        <v>15.28</v>
      </c>
      <c r="L206">
        <v>2.46E-2</v>
      </c>
      <c r="M206">
        <v>6.8999999999999999E-3</v>
      </c>
      <c r="N206">
        <v>35</v>
      </c>
      <c r="O206">
        <v>2.9099999999999998E-3</v>
      </c>
    </row>
    <row r="207" spans="1:15">
      <c r="A207" t="s">
        <v>783</v>
      </c>
      <c r="G207" cm="1">
        <f t="array" ref="G207:O207">VALUE(_xlfn.TEXTSPLIT(SUBSTITUTE(TRIM(A207),"0.0 %","0.0%")," "))</f>
        <v>0.8</v>
      </c>
      <c r="H207">
        <v>2.1</v>
      </c>
      <c r="I207">
        <v>1.401</v>
      </c>
      <c r="J207">
        <v>-7.5999999999999998E-2</v>
      </c>
      <c r="K207">
        <v>15.64</v>
      </c>
      <c r="L207">
        <v>2.3300000000000001E-2</v>
      </c>
      <c r="M207">
        <v>4.7999999999999996E-3</v>
      </c>
      <c r="N207">
        <v>1</v>
      </c>
      <c r="O207">
        <v>2.47E-3</v>
      </c>
    </row>
    <row r="208" spans="1:15">
      <c r="A208" t="s">
        <v>784</v>
      </c>
      <c r="G208" cm="1">
        <f t="array" ref="G208:O208">VALUE(_xlfn.TEXTSPLIT(SUBSTITUTE(TRIM(A208),"0.0 %","0.0%")," "))</f>
        <v>1</v>
      </c>
      <c r="H208">
        <v>2.004</v>
      </c>
      <c r="I208">
        <v>1.35</v>
      </c>
      <c r="J208">
        <v>-6.9000000000000006E-2</v>
      </c>
      <c r="K208">
        <v>15.69</v>
      </c>
      <c r="L208">
        <v>2.35E-2</v>
      </c>
      <c r="M208">
        <v>7.0000000000000001E-3</v>
      </c>
      <c r="N208">
        <v>15</v>
      </c>
      <c r="O208">
        <v>3.3E-3</v>
      </c>
    </row>
    <row r="209" spans="1:15">
      <c r="A209" t="s">
        <v>785</v>
      </c>
      <c r="G209" cm="1">
        <f t="array" ref="G209:O209">VALUE(_xlfn.TEXTSPLIT(SUBSTITUTE(TRIM(A209),"0.0 %","0.0%")," "))</f>
        <v>1.5</v>
      </c>
      <c r="H209">
        <v>1.867</v>
      </c>
      <c r="I209">
        <v>1.2330000000000001</v>
      </c>
      <c r="J209">
        <v>-4.9000000000000002E-2</v>
      </c>
      <c r="K209">
        <v>14.52</v>
      </c>
      <c r="L209">
        <v>1.6799999999999999E-2</v>
      </c>
      <c r="M209">
        <v>5.1000000000000004E-3</v>
      </c>
      <c r="N209">
        <v>0.5</v>
      </c>
      <c r="O209">
        <v>2.9199999999999999E-3</v>
      </c>
    </row>
    <row r="210" spans="1:15">
      <c r="A210" t="s">
        <v>786</v>
      </c>
      <c r="G210" cm="1">
        <f t="array" ref="G210:O210">VALUE(_xlfn.TEXTSPLIT(SUBSTITUTE(TRIM(A210),"0.0 %","0.0%")," "))</f>
        <v>2</v>
      </c>
      <c r="H210">
        <v>1.7869999999999999</v>
      </c>
      <c r="I210">
        <v>1.155</v>
      </c>
      <c r="J210">
        <v>-3.3000000000000002E-2</v>
      </c>
      <c r="K210">
        <v>16.11</v>
      </c>
      <c r="L210">
        <v>1.0800000000000001E-2</v>
      </c>
      <c r="M210">
        <v>5.1999999999999998E-3</v>
      </c>
      <c r="N210">
        <v>0.5</v>
      </c>
      <c r="O210">
        <v>2.48E-3</v>
      </c>
    </row>
    <row r="211" spans="1:15">
      <c r="A211" t="s">
        <v>787</v>
      </c>
      <c r="G211" cm="1">
        <f t="array" ref="G211:O211">VALUE(_xlfn.TEXTSPLIT(SUBSTITUTE(TRIM(A211),"0.0 %","0.0%")," "))</f>
        <v>3</v>
      </c>
      <c r="H211">
        <v>1.6739999999999999</v>
      </c>
      <c r="I211">
        <v>1.0640000000000001</v>
      </c>
      <c r="J211">
        <v>-1.2999999999999999E-2</v>
      </c>
      <c r="K211">
        <v>16.489999999999998</v>
      </c>
      <c r="L211">
        <v>2.2000000000000001E-3</v>
      </c>
      <c r="M211">
        <v>3.5999999999999999E-3</v>
      </c>
      <c r="N211">
        <v>1</v>
      </c>
      <c r="O211">
        <v>1.5E-3</v>
      </c>
    </row>
    <row r="212" spans="1:15">
      <c r="A212" t="s">
        <v>788</v>
      </c>
      <c r="G212" cm="1">
        <f t="array" ref="G212:O212">VALUE(_xlfn.TEXTSPLIT(SUBSTITUTE(TRIM(A212),"0.0 %","0.0%")," "))</f>
        <v>4</v>
      </c>
      <c r="H212">
        <v>1.5980000000000001</v>
      </c>
      <c r="I212">
        <v>0.997</v>
      </c>
      <c r="J212">
        <v>5.0000000000000001E-3</v>
      </c>
      <c r="K212">
        <v>13.02</v>
      </c>
      <c r="L212">
        <v>-9.1000000000000004E-3</v>
      </c>
      <c r="M212">
        <v>8.0000000000000002E-3</v>
      </c>
      <c r="N212">
        <v>0.5</v>
      </c>
      <c r="O212">
        <v>3.82E-3</v>
      </c>
    </row>
    <row r="213" spans="1:15">
      <c r="A213" t="s">
        <v>789</v>
      </c>
      <c r="G213" cm="1">
        <f t="array" ref="G213:O213">VALUE(_xlfn.TEXTSPLIT(SUBSTITUTE(TRIM(A213),"0.0 %","0.0%")," "))</f>
        <v>5</v>
      </c>
      <c r="H213">
        <v>1.538</v>
      </c>
      <c r="I213">
        <v>0.94099999999999995</v>
      </c>
      <c r="J213">
        <v>2.4E-2</v>
      </c>
      <c r="K213">
        <v>10.17</v>
      </c>
      <c r="L213">
        <v>-2.1600000000000001E-2</v>
      </c>
      <c r="M213">
        <v>5.1000000000000004E-3</v>
      </c>
      <c r="N213">
        <v>30</v>
      </c>
      <c r="O213">
        <v>3.3800000000000002E-3</v>
      </c>
    </row>
    <row r="214" spans="1:15">
      <c r="A214" t="s">
        <v>790</v>
      </c>
      <c r="G214" cm="1">
        <f t="array" ref="G214:O214">VALUE(_xlfn.TEXTSPLIT(SUBSTITUTE(TRIM(A214),"0.0 %","0.0%")," "))</f>
        <v>6</v>
      </c>
      <c r="H214">
        <v>1.484</v>
      </c>
      <c r="I214">
        <v>0.93400000000000005</v>
      </c>
      <c r="J214">
        <v>2.4E-2</v>
      </c>
      <c r="K214">
        <v>12.01</v>
      </c>
      <c r="L214">
        <v>-1.9199999999999998E-2</v>
      </c>
      <c r="M214">
        <v>1.0200000000000001E-2</v>
      </c>
      <c r="N214">
        <v>0.5</v>
      </c>
      <c r="O214">
        <v>4.47E-3</v>
      </c>
    </row>
    <row r="215" spans="1:15">
      <c r="A215" t="s">
        <v>791</v>
      </c>
      <c r="G215" cm="1">
        <f t="array" ref="G215:O215">VALUE(_xlfn.TEXTSPLIT(SUBSTITUTE(TRIM(A215),"0.0 %","0.0%")," "))</f>
        <v>8</v>
      </c>
      <c r="H215">
        <v>1.405</v>
      </c>
      <c r="I215">
        <v>0.90200000000000002</v>
      </c>
      <c r="J215">
        <v>3.4000000000000002E-2</v>
      </c>
      <c r="K215">
        <v>13.85</v>
      </c>
      <c r="L215">
        <v>-2.8500000000000001E-2</v>
      </c>
      <c r="M215">
        <v>1.06E-2</v>
      </c>
      <c r="N215">
        <v>1</v>
      </c>
      <c r="O215">
        <v>6.8399999999999997E-3</v>
      </c>
    </row>
    <row r="216" spans="1:15">
      <c r="A216" t="s">
        <v>792</v>
      </c>
      <c r="G216" cm="1">
        <f t="array" ref="G216:O216">VALUE(_xlfn.TEXTSPLIT(SUBSTITUTE(TRIM(A216),"0.0 %","0.0%")," "))</f>
        <v>10</v>
      </c>
      <c r="H216">
        <v>1.3420000000000001</v>
      </c>
      <c r="I216">
        <v>0.88600000000000001</v>
      </c>
      <c r="J216">
        <v>4.1000000000000002E-2</v>
      </c>
      <c r="K216">
        <v>13.09</v>
      </c>
      <c r="L216">
        <v>-3.32E-2</v>
      </c>
      <c r="M216">
        <v>1.8800000000000001E-2</v>
      </c>
      <c r="N216">
        <v>0.5</v>
      </c>
      <c r="O216">
        <v>8.2799999999999992E-3</v>
      </c>
    </row>
    <row r="217" spans="1:15">
      <c r="A217" t="s">
        <v>793</v>
      </c>
      <c r="G217" cm="1">
        <f t="array" ref="G217:O217">VALUE(_xlfn.TEXTSPLIT(SUBSTITUTE(TRIM(A217),"0.0 %","0.0%")," "))</f>
        <v>15</v>
      </c>
      <c r="H217">
        <v>1.2529999999999999</v>
      </c>
      <c r="I217">
        <v>0.84699999999999998</v>
      </c>
      <c r="J217">
        <v>5.7000000000000002E-2</v>
      </c>
      <c r="K217">
        <v>14.24</v>
      </c>
      <c r="L217">
        <v>-5.11E-2</v>
      </c>
      <c r="M217">
        <v>1.6899999999999998E-2</v>
      </c>
      <c r="N217">
        <v>4</v>
      </c>
      <c r="O217">
        <v>1.093E-2</v>
      </c>
    </row>
    <row r="220" spans="1:15">
      <c r="A220" t="s">
        <v>795</v>
      </c>
      <c r="G220" t="str">
        <f>A220</f>
        <v xml:space="preserve">                  ALUMINUM MEDIUM, AIR RESPONSE</v>
      </c>
    </row>
    <row r="222" spans="1:15">
      <c r="A222" t="s">
        <v>610</v>
      </c>
      <c r="G222" t="str" cm="1">
        <f t="array" ref="G222:O222">_xlfn.TEXTSPLIT(TRIM(A222)," ")</f>
        <v>E(MEV)</v>
      </c>
      <c r="H222" t="str">
        <v>B</v>
      </c>
      <c r="I222" t="str">
        <v>C</v>
      </c>
      <c r="J222" t="str">
        <v>A</v>
      </c>
      <c r="K222" t="str">
        <v>XK</v>
      </c>
      <c r="L222" t="str">
        <v>D</v>
      </c>
      <c r="M222" t="str">
        <v>MAX.D</v>
      </c>
      <c r="N222" t="str">
        <v>XMAX</v>
      </c>
      <c r="O222" t="str">
        <v>S.D</v>
      </c>
    </row>
    <row r="223" spans="1:15">
      <c r="A223" t="s">
        <v>611</v>
      </c>
      <c r="G223" s="6" t="s">
        <v>1289</v>
      </c>
      <c r="H223" s="6" t="s">
        <v>1289</v>
      </c>
      <c r="I223" s="6" t="s">
        <v>1289</v>
      </c>
      <c r="J223" s="6" t="s">
        <v>1289</v>
      </c>
      <c r="K223" s="6" t="s">
        <v>1289</v>
      </c>
      <c r="L223" s="6" t="s">
        <v>1289</v>
      </c>
      <c r="M223" s="6" t="s">
        <v>1289</v>
      </c>
      <c r="N223" s="6" t="s">
        <v>1289</v>
      </c>
      <c r="O223" s="6" t="s">
        <v>1289</v>
      </c>
    </row>
    <row r="224" spans="1:15">
      <c r="A224" t="s">
        <v>796</v>
      </c>
      <c r="G224" cm="1">
        <f t="array" ref="G224:O224">VALUE(_xlfn.TEXTSPLIT(SUBSTITUTE(TRIM(A224),"0.0 %","0.0%")," "))</f>
        <v>1.4999999999999999E-2</v>
      </c>
      <c r="H224">
        <v>1.0289999999999999</v>
      </c>
      <c r="I224">
        <v>0.39400000000000002</v>
      </c>
      <c r="J224">
        <v>0.20599999999999999</v>
      </c>
      <c r="K224">
        <v>15.51</v>
      </c>
      <c r="L224">
        <v>-0.13880000000000001</v>
      </c>
      <c r="M224">
        <v>4.4999999999999997E-3</v>
      </c>
      <c r="N224">
        <v>6</v>
      </c>
      <c r="O224">
        <v>2.2300000000000002E-3</v>
      </c>
    </row>
    <row r="225" spans="1:15">
      <c r="A225" t="s">
        <v>797</v>
      </c>
      <c r="G225" cm="1">
        <f t="array" ref="G225:O225">VALUE(_xlfn.TEXTSPLIT(SUBSTITUTE(TRIM(A225),"0.0 %","0.0%")," "))</f>
        <v>0.02</v>
      </c>
      <c r="H225">
        <v>1.0669999999999999</v>
      </c>
      <c r="I225">
        <v>0.38400000000000001</v>
      </c>
      <c r="J225">
        <v>0.22</v>
      </c>
      <c r="K225">
        <v>13.81</v>
      </c>
      <c r="L225">
        <v>-0.12039999999999999</v>
      </c>
      <c r="M225">
        <v>7.1000000000000004E-3</v>
      </c>
      <c r="N225">
        <v>0.5</v>
      </c>
      <c r="O225">
        <v>3.1199999999999999E-3</v>
      </c>
    </row>
    <row r="226" spans="1:15">
      <c r="A226" t="s">
        <v>798</v>
      </c>
      <c r="G226" cm="1">
        <f t="array" ref="G226:O226">VALUE(_xlfn.TEXTSPLIT(SUBSTITUTE(TRIM(A226),"0.0 %","0.0%")," "))</f>
        <v>0.03</v>
      </c>
      <c r="H226">
        <v>1.2230000000000001</v>
      </c>
      <c r="I226">
        <v>0.42199999999999999</v>
      </c>
      <c r="J226">
        <v>0.19800000000000001</v>
      </c>
      <c r="K226">
        <v>15.1</v>
      </c>
      <c r="L226">
        <v>-0.1042</v>
      </c>
      <c r="M226">
        <v>1.83E-2</v>
      </c>
      <c r="N226">
        <v>0.5</v>
      </c>
      <c r="O226">
        <v>6.3499999999999997E-3</v>
      </c>
    </row>
    <row r="227" spans="1:15">
      <c r="A227" t="s">
        <v>799</v>
      </c>
      <c r="G227" cm="1">
        <f t="array" ref="G227:O227">VALUE(_xlfn.TEXTSPLIT(SUBSTITUTE(TRIM(A227),"0.0 %","0.0%")," "))</f>
        <v>0.04</v>
      </c>
      <c r="H227">
        <v>1.48</v>
      </c>
      <c r="I227">
        <v>0.503</v>
      </c>
      <c r="J227">
        <v>0.16600000000000001</v>
      </c>
      <c r="K227">
        <v>14.78</v>
      </c>
      <c r="L227">
        <v>-8.9300000000000004E-2</v>
      </c>
      <c r="M227">
        <v>1.72E-2</v>
      </c>
      <c r="N227">
        <v>0.5</v>
      </c>
      <c r="O227">
        <v>6.9699999999999996E-3</v>
      </c>
    </row>
    <row r="228" spans="1:15">
      <c r="A228" t="s">
        <v>800</v>
      </c>
      <c r="G228" cm="1">
        <f t="array" ref="G228:O228">VALUE(_xlfn.TEXTSPLIT(SUBSTITUTE(TRIM(A228),"0.0 %","0.0%")," "))</f>
        <v>0.05</v>
      </c>
      <c r="H228">
        <v>1.7649999999999999</v>
      </c>
      <c r="I228">
        <v>0.66600000000000004</v>
      </c>
      <c r="J228">
        <v>9.9000000000000005E-2</v>
      </c>
      <c r="K228">
        <v>16.34</v>
      </c>
      <c r="L228">
        <v>-4.9299999999999997E-2</v>
      </c>
      <c r="M228">
        <v>2.1000000000000001E-2</v>
      </c>
      <c r="N228">
        <v>2</v>
      </c>
      <c r="O228">
        <v>7.2199999999999999E-3</v>
      </c>
    </row>
    <row r="229" spans="1:15">
      <c r="A229" t="s">
        <v>801</v>
      </c>
      <c r="G229" cm="1">
        <f t="array" ref="G229:O229">VALUE(_xlfn.TEXTSPLIT(SUBSTITUTE(TRIM(A229),"0.0 %","0.0%")," "))</f>
        <v>0.06</v>
      </c>
      <c r="H229">
        <v>2.1890000000000001</v>
      </c>
      <c r="I229">
        <v>0.69699999999999995</v>
      </c>
      <c r="J229">
        <v>0.104</v>
      </c>
      <c r="K229">
        <v>12.9</v>
      </c>
      <c r="L229">
        <v>-5.8000000000000003E-2</v>
      </c>
      <c r="M229">
        <v>0.03</v>
      </c>
      <c r="N229">
        <v>0.5</v>
      </c>
      <c r="O229">
        <v>1.3559999999999999E-2</v>
      </c>
    </row>
    <row r="230" spans="1:15">
      <c r="A230" t="s">
        <v>802</v>
      </c>
      <c r="G230" cm="1">
        <f t="array" ref="G230:O230">VALUE(_xlfn.TEXTSPLIT(SUBSTITUTE(TRIM(A230),"0.0 %","0.0%")," "))</f>
        <v>0.08</v>
      </c>
      <c r="H230">
        <v>2.64</v>
      </c>
      <c r="I230">
        <v>0.92400000000000004</v>
      </c>
      <c r="J230">
        <v>3.5000000000000003E-2</v>
      </c>
      <c r="K230">
        <v>12.99</v>
      </c>
      <c r="L230">
        <v>-3.5099999999999999E-2</v>
      </c>
      <c r="M230">
        <v>1.54E-2</v>
      </c>
      <c r="N230">
        <v>0.5</v>
      </c>
      <c r="O230">
        <v>6.6600000000000001E-3</v>
      </c>
    </row>
    <row r="231" spans="1:15">
      <c r="A231" t="s">
        <v>803</v>
      </c>
      <c r="G231" cm="1">
        <f t="array" ref="G231:O231">VALUE(_xlfn.TEXTSPLIT(SUBSTITUTE(TRIM(A231),"0.0 %","0.0%")," "))</f>
        <v>0.1</v>
      </c>
      <c r="H231">
        <v>2.847</v>
      </c>
      <c r="I231">
        <v>1.1100000000000001</v>
      </c>
      <c r="J231">
        <v>-8.9999999999999993E-3</v>
      </c>
      <c r="K231">
        <v>12.98</v>
      </c>
      <c r="L231">
        <v>-1.8700000000000001E-2</v>
      </c>
      <c r="M231">
        <v>6.3E-3</v>
      </c>
      <c r="N231">
        <v>0.5</v>
      </c>
      <c r="O231">
        <v>4.13E-3</v>
      </c>
    </row>
    <row r="232" spans="1:15">
      <c r="A232" t="s">
        <v>804</v>
      </c>
      <c r="G232" cm="1">
        <f t="array" ref="G232:O232">VALUE(_xlfn.TEXTSPLIT(SUBSTITUTE(TRIM(A232),"0.0 %","0.0%")," "))</f>
        <v>0.15</v>
      </c>
      <c r="H232">
        <v>2.8769999999999998</v>
      </c>
      <c r="I232">
        <v>1.357</v>
      </c>
      <c r="J232">
        <v>-5.8000000000000003E-2</v>
      </c>
      <c r="K232">
        <v>21.73</v>
      </c>
      <c r="L232">
        <v>7.1000000000000004E-3</v>
      </c>
      <c r="M232">
        <v>4.7999999999999996E-3</v>
      </c>
      <c r="N232">
        <v>4</v>
      </c>
      <c r="O232">
        <v>2.4299999999999999E-3</v>
      </c>
    </row>
    <row r="233" spans="1:15">
      <c r="A233" t="s">
        <v>805</v>
      </c>
      <c r="G233" cm="1">
        <f t="array" ref="G233:O233">VALUE(_xlfn.TEXTSPLIT(SUBSTITUTE(TRIM(A233),"0.0 %","0.0%")," "))</f>
        <v>0.2</v>
      </c>
      <c r="H233">
        <v>2.762</v>
      </c>
      <c r="I233">
        <v>1.4550000000000001</v>
      </c>
      <c r="J233">
        <v>-7.3999999999999996E-2</v>
      </c>
      <c r="K233">
        <v>17.02</v>
      </c>
      <c r="L233">
        <v>1.14E-2</v>
      </c>
      <c r="M233">
        <v>4.4000000000000003E-3</v>
      </c>
      <c r="N233">
        <v>1</v>
      </c>
      <c r="O233">
        <v>1.9599999999999999E-3</v>
      </c>
    </row>
    <row r="234" spans="1:15">
      <c r="A234" t="s">
        <v>806</v>
      </c>
      <c r="G234" cm="1">
        <f t="array" ref="G234:O234">VALUE(_xlfn.TEXTSPLIT(SUBSTITUTE(TRIM(A234),"0.0 %","0.0%")," "))</f>
        <v>0.3</v>
      </c>
      <c r="H234">
        <v>2.5459999999999998</v>
      </c>
      <c r="I234">
        <v>1.51</v>
      </c>
      <c r="J234">
        <v>-8.5000000000000006E-2</v>
      </c>
      <c r="K234">
        <v>16.22</v>
      </c>
      <c r="L234">
        <v>1.72E-2</v>
      </c>
      <c r="M234">
        <v>4.7999999999999996E-3</v>
      </c>
      <c r="N234">
        <v>4</v>
      </c>
      <c r="O234">
        <v>2.15E-3</v>
      </c>
    </row>
    <row r="235" spans="1:15">
      <c r="A235" t="s">
        <v>807</v>
      </c>
      <c r="G235" cm="1">
        <f t="array" ref="G235:O235">VALUE(_xlfn.TEXTSPLIT(SUBSTITUTE(TRIM(A235),"0.0 %","0.0%")," "))</f>
        <v>0.4</v>
      </c>
      <c r="H235">
        <v>2.403</v>
      </c>
      <c r="I235">
        <v>1.498</v>
      </c>
      <c r="J235">
        <v>-8.5000000000000006E-2</v>
      </c>
      <c r="K235">
        <v>16.45</v>
      </c>
      <c r="L235">
        <v>1.89E-2</v>
      </c>
      <c r="M235">
        <v>5.4000000000000003E-3</v>
      </c>
      <c r="N235">
        <v>1</v>
      </c>
      <c r="O235">
        <v>2.3700000000000001E-3</v>
      </c>
    </row>
    <row r="236" spans="1:15">
      <c r="A236" t="s">
        <v>808</v>
      </c>
      <c r="G236" cm="1">
        <f t="array" ref="G236:O236">VALUE(_xlfn.TEXTSPLIT(SUBSTITUTE(TRIM(A236),"0.0 %","0.0%")," "))</f>
        <v>0.5</v>
      </c>
      <c r="H236">
        <v>2.2869999999999999</v>
      </c>
      <c r="I236">
        <v>1.474</v>
      </c>
      <c r="J236">
        <v>-8.3000000000000004E-2</v>
      </c>
      <c r="K236">
        <v>16.41</v>
      </c>
      <c r="L236">
        <v>1.9400000000000001E-2</v>
      </c>
      <c r="M236">
        <v>3.0999999999999999E-3</v>
      </c>
      <c r="N236">
        <v>1</v>
      </c>
      <c r="O236">
        <v>1.81E-3</v>
      </c>
    </row>
    <row r="237" spans="1:15">
      <c r="A237" t="s">
        <v>809</v>
      </c>
      <c r="G237" cm="1">
        <f t="array" ref="G237:O237">VALUE(_xlfn.TEXTSPLIT(SUBSTITUTE(TRIM(A237),"0.0 %","0.0%")," "))</f>
        <v>0.6</v>
      </c>
      <c r="H237">
        <v>2.1970000000000001</v>
      </c>
      <c r="I237">
        <v>1.448</v>
      </c>
      <c r="J237">
        <v>-8.1000000000000003E-2</v>
      </c>
      <c r="K237">
        <v>17.03</v>
      </c>
      <c r="L237">
        <v>2.2700000000000001E-2</v>
      </c>
      <c r="M237">
        <v>6.7000000000000002E-3</v>
      </c>
      <c r="N237">
        <v>15</v>
      </c>
      <c r="O237">
        <v>2.9299999999999999E-3</v>
      </c>
    </row>
    <row r="238" spans="1:15">
      <c r="A238" t="s">
        <v>810</v>
      </c>
      <c r="G238" cm="1">
        <f t="array" ref="G238:O238">VALUE(_xlfn.TEXTSPLIT(SUBSTITUTE(TRIM(A238),"0.0 %","0.0%")," "))</f>
        <v>0.8</v>
      </c>
      <c r="H238">
        <v>2.08</v>
      </c>
      <c r="I238">
        <v>1.3839999999999999</v>
      </c>
      <c r="J238">
        <v>-7.1999999999999995E-2</v>
      </c>
      <c r="K238">
        <v>16.239999999999998</v>
      </c>
      <c r="L238">
        <v>2.0199999999999999E-2</v>
      </c>
      <c r="M238">
        <v>6.4000000000000003E-3</v>
      </c>
      <c r="N238">
        <v>0.5</v>
      </c>
      <c r="O238">
        <v>2.8300000000000001E-3</v>
      </c>
    </row>
    <row r="239" spans="1:15">
      <c r="A239" t="s">
        <v>811</v>
      </c>
      <c r="G239" cm="1">
        <f t="array" ref="G239:O239">VALUE(_xlfn.TEXTSPLIT(SUBSTITUTE(TRIM(A239),"0.0 %","0.0%")," "))</f>
        <v>1</v>
      </c>
      <c r="H239">
        <v>1.994</v>
      </c>
      <c r="I239">
        <v>1.3360000000000001</v>
      </c>
      <c r="J239">
        <v>-6.6000000000000003E-2</v>
      </c>
      <c r="K239">
        <v>15.85</v>
      </c>
      <c r="L239">
        <v>2.1499999999999998E-2</v>
      </c>
      <c r="M239">
        <v>6.0000000000000001E-3</v>
      </c>
      <c r="N239">
        <v>6</v>
      </c>
      <c r="O239">
        <v>2.82E-3</v>
      </c>
    </row>
    <row r="240" spans="1:15">
      <c r="A240" t="s">
        <v>812</v>
      </c>
      <c r="G240" cm="1">
        <f t="array" ref="G240:O240">VALUE(_xlfn.TEXTSPLIT(SUBSTITUTE(TRIM(A240),"0.0 %","0.0%")," "))</f>
        <v>1.5</v>
      </c>
      <c r="H240">
        <v>1.855</v>
      </c>
      <c r="I240">
        <v>1.23</v>
      </c>
      <c r="J240">
        <v>-4.8000000000000001E-2</v>
      </c>
      <c r="K240">
        <v>16.010000000000002</v>
      </c>
      <c r="L240">
        <v>1.7100000000000001E-2</v>
      </c>
      <c r="M240">
        <v>4.4999999999999997E-3</v>
      </c>
      <c r="N240">
        <v>15</v>
      </c>
      <c r="O240">
        <v>2.2599999999999999E-3</v>
      </c>
    </row>
    <row r="241" spans="1:15">
      <c r="A241" t="s">
        <v>813</v>
      </c>
      <c r="G241" cm="1">
        <f t="array" ref="G241:O241">VALUE(_xlfn.TEXTSPLIT(SUBSTITUTE(TRIM(A241),"0.0 %","0.0%")," "))</f>
        <v>2</v>
      </c>
      <c r="H241">
        <v>1.7809999999999999</v>
      </c>
      <c r="I241">
        <v>1.153</v>
      </c>
      <c r="J241">
        <v>-3.2000000000000001E-2</v>
      </c>
      <c r="K241">
        <v>15.32</v>
      </c>
      <c r="L241">
        <v>9.1000000000000004E-3</v>
      </c>
      <c r="M241">
        <v>3.2000000000000002E-3</v>
      </c>
      <c r="N241">
        <v>0.5</v>
      </c>
      <c r="O241">
        <v>1.42E-3</v>
      </c>
    </row>
    <row r="242" spans="1:15">
      <c r="A242" t="s">
        <v>814</v>
      </c>
      <c r="G242" cm="1">
        <f t="array" ref="G242:O242">VALUE(_xlfn.TEXTSPLIT(SUBSTITUTE(TRIM(A242),"0.0 %","0.0%")," "))</f>
        <v>3</v>
      </c>
      <c r="H242">
        <v>1.673</v>
      </c>
      <c r="I242">
        <v>1.0569999999999999</v>
      </c>
      <c r="J242">
        <v>-0.01</v>
      </c>
      <c r="K242">
        <v>10.79</v>
      </c>
      <c r="L242">
        <v>-2.5000000000000001E-3</v>
      </c>
      <c r="M242">
        <v>4.1999999999999997E-3</v>
      </c>
      <c r="N242">
        <v>1</v>
      </c>
      <c r="O242">
        <v>2.0200000000000001E-3</v>
      </c>
    </row>
    <row r="243" spans="1:15">
      <c r="A243" t="s">
        <v>815</v>
      </c>
      <c r="G243" cm="1">
        <f t="array" ref="G243:O243">VALUE(_xlfn.TEXTSPLIT(SUBSTITUTE(TRIM(A243),"0.0 %","0.0%")," "))</f>
        <v>4</v>
      </c>
      <c r="H243">
        <v>1.607</v>
      </c>
      <c r="I243">
        <v>0.97399999999999998</v>
      </c>
      <c r="J243">
        <v>1.2999999999999999E-2</v>
      </c>
      <c r="K243">
        <v>12.22</v>
      </c>
      <c r="L243">
        <v>-1.6400000000000001E-2</v>
      </c>
      <c r="M243">
        <v>1.0500000000000001E-2</v>
      </c>
      <c r="N243">
        <v>0.5</v>
      </c>
      <c r="O243">
        <v>4.9800000000000001E-3</v>
      </c>
    </row>
    <row r="244" spans="1:15">
      <c r="A244" t="s">
        <v>816</v>
      </c>
      <c r="G244" cm="1">
        <f t="array" ref="G244:O244">VALUE(_xlfn.TEXTSPLIT(SUBSTITUTE(TRIM(A244),"0.0 %","0.0%")," "))</f>
        <v>5</v>
      </c>
      <c r="H244">
        <v>1.5289999999999999</v>
      </c>
      <c r="I244">
        <v>0.95699999999999996</v>
      </c>
      <c r="J244">
        <v>1.7999999999999999E-2</v>
      </c>
      <c r="K244">
        <v>10.9</v>
      </c>
      <c r="L244">
        <v>-1.5699999999999999E-2</v>
      </c>
      <c r="M244">
        <v>9.1999999999999998E-3</v>
      </c>
      <c r="N244">
        <v>0.5</v>
      </c>
      <c r="O244">
        <v>4.13E-3</v>
      </c>
    </row>
    <row r="245" spans="1:15">
      <c r="A245" t="s">
        <v>817</v>
      </c>
      <c r="G245" cm="1">
        <f t="array" ref="G245:O245">VALUE(_xlfn.TEXTSPLIT(SUBSTITUTE(TRIM(A245),"0.0 %","0.0%")," "))</f>
        <v>6</v>
      </c>
      <c r="H245">
        <v>1.4810000000000001</v>
      </c>
      <c r="I245">
        <v>0.93300000000000005</v>
      </c>
      <c r="J245">
        <v>2.5999999999999999E-2</v>
      </c>
      <c r="K245">
        <v>12.33</v>
      </c>
      <c r="L245">
        <v>-2.3900000000000001E-2</v>
      </c>
      <c r="M245">
        <v>1.1299999999999999E-2</v>
      </c>
      <c r="N245">
        <v>0.5</v>
      </c>
      <c r="O245">
        <v>5.2399999999999999E-3</v>
      </c>
    </row>
    <row r="246" spans="1:15">
      <c r="A246" t="s">
        <v>818</v>
      </c>
      <c r="G246" cm="1">
        <f t="array" ref="G246:O246">VALUE(_xlfn.TEXTSPLIT(SUBSTITUTE(TRIM(A246),"0.0 %","0.0%")," "))</f>
        <v>8</v>
      </c>
      <c r="H246">
        <v>1.3959999999999999</v>
      </c>
      <c r="I246">
        <v>0.91700000000000004</v>
      </c>
      <c r="J246">
        <v>0.03</v>
      </c>
      <c r="K246">
        <v>13.88</v>
      </c>
      <c r="L246">
        <v>-2.6200000000000001E-2</v>
      </c>
      <c r="M246">
        <v>1.37E-2</v>
      </c>
      <c r="N246">
        <v>0.5</v>
      </c>
      <c r="O246">
        <v>6.77E-3</v>
      </c>
    </row>
    <row r="247" spans="1:15">
      <c r="A247" t="s">
        <v>819</v>
      </c>
      <c r="G247" cm="1">
        <f t="array" ref="G247:O247">VALUE(_xlfn.TEXTSPLIT(SUBSTITUTE(TRIM(A247),"0.0 %","0.0%")," "))</f>
        <v>10</v>
      </c>
      <c r="H247">
        <v>1.3340000000000001</v>
      </c>
      <c r="I247">
        <v>0.90200000000000002</v>
      </c>
      <c r="J247">
        <v>3.7999999999999999E-2</v>
      </c>
      <c r="K247">
        <v>13.03</v>
      </c>
      <c r="L247">
        <v>-3.32E-2</v>
      </c>
      <c r="M247">
        <v>1.4800000000000001E-2</v>
      </c>
      <c r="N247">
        <v>0.5</v>
      </c>
      <c r="O247">
        <v>7.1900000000000002E-3</v>
      </c>
    </row>
    <row r="248" spans="1:15">
      <c r="A248" t="s">
        <v>820</v>
      </c>
      <c r="G248" cm="1">
        <f t="array" ref="G248:O248">VALUE(_xlfn.TEXTSPLIT(SUBSTITUTE(TRIM(A248),"0.0 %","0.0%")," "))</f>
        <v>15</v>
      </c>
      <c r="H248">
        <v>1.244</v>
      </c>
      <c r="I248">
        <v>0.86899999999999999</v>
      </c>
      <c r="J248">
        <v>0.05</v>
      </c>
      <c r="K248">
        <v>14.91</v>
      </c>
      <c r="L248">
        <v>-4.7600000000000003E-2</v>
      </c>
      <c r="M248">
        <v>1.9699999999999999E-2</v>
      </c>
      <c r="N248">
        <v>0.5</v>
      </c>
      <c r="O248">
        <v>1.098E-2</v>
      </c>
    </row>
    <row r="251" spans="1:15">
      <c r="A251" t="s">
        <v>822</v>
      </c>
      <c r="G251" t="str">
        <f>A251</f>
        <v xml:space="preserve">                  SILICON MEDIUM, AIR RESPONSE</v>
      </c>
    </row>
    <row r="253" spans="1:15">
      <c r="A253" t="s">
        <v>610</v>
      </c>
      <c r="G253" t="str" cm="1">
        <f t="array" ref="G253:O253">_xlfn.TEXTSPLIT(TRIM(A253)," ")</f>
        <v>E(MEV)</v>
      </c>
      <c r="H253" t="str">
        <v>B</v>
      </c>
      <c r="I253" t="str">
        <v>C</v>
      </c>
      <c r="J253" t="str">
        <v>A</v>
      </c>
      <c r="K253" t="str">
        <v>XK</v>
      </c>
      <c r="L253" t="str">
        <v>D</v>
      </c>
      <c r="M253" t="str">
        <v>MAX.D</v>
      </c>
      <c r="N253" t="str">
        <v>XMAX</v>
      </c>
      <c r="O253" t="str">
        <v>S.D</v>
      </c>
    </row>
    <row r="254" spans="1:15">
      <c r="A254" t="s">
        <v>611</v>
      </c>
      <c r="G254" s="6" t="s">
        <v>1289</v>
      </c>
      <c r="H254" s="6" t="s">
        <v>1289</v>
      </c>
      <c r="I254" s="6" t="s">
        <v>1289</v>
      </c>
      <c r="J254" s="6" t="s">
        <v>1289</v>
      </c>
      <c r="K254" s="6" t="s">
        <v>1289</v>
      </c>
      <c r="L254" s="6" t="s">
        <v>1289</v>
      </c>
      <c r="M254" s="6" t="s">
        <v>1289</v>
      </c>
      <c r="N254" s="6" t="s">
        <v>1289</v>
      </c>
      <c r="O254" s="6" t="s">
        <v>1289</v>
      </c>
    </row>
    <row r="255" spans="1:15">
      <c r="A255" t="s">
        <v>823</v>
      </c>
      <c r="G255" cm="1">
        <f t="array" ref="G255:O255">VALUE(_xlfn.TEXTSPLIT(SUBSTITUTE(TRIM(A255),"0.0 %","0.0%")," "))</f>
        <v>1.4999999999999999E-2</v>
      </c>
      <c r="H255">
        <v>1.0229999999999999</v>
      </c>
      <c r="I255">
        <v>0.34899999999999998</v>
      </c>
      <c r="J255">
        <v>0.26200000000000001</v>
      </c>
      <c r="K255">
        <v>11.98</v>
      </c>
      <c r="L255">
        <v>-0.17910000000000001</v>
      </c>
      <c r="M255">
        <v>5.0000000000000001E-3</v>
      </c>
      <c r="N255">
        <v>0.5</v>
      </c>
      <c r="O255">
        <v>2.66E-3</v>
      </c>
    </row>
    <row r="256" spans="1:15">
      <c r="A256" t="s">
        <v>821</v>
      </c>
      <c r="G256" cm="1">
        <f t="array" ref="G256:O256">VALUE(_xlfn.TEXTSPLIT(SUBSTITUTE(TRIM(A256),"0.0 %","0.0%")," "))</f>
        <v>0.02</v>
      </c>
      <c r="H256">
        <v>1.0509999999999999</v>
      </c>
      <c r="I256">
        <v>0.42599999999999999</v>
      </c>
      <c r="J256">
        <v>0.17899999999999999</v>
      </c>
      <c r="K256">
        <v>17.64</v>
      </c>
      <c r="L256">
        <v>-0.10780000000000001</v>
      </c>
      <c r="M256">
        <v>8.0999999999999996E-3</v>
      </c>
      <c r="N256">
        <v>0.5</v>
      </c>
      <c r="O256">
        <v>2.98E-3</v>
      </c>
    </row>
    <row r="257" spans="1:15">
      <c r="A257" t="s">
        <v>824</v>
      </c>
      <c r="G257" cm="1">
        <f t="array" ref="G257:O257">VALUE(_xlfn.TEXTSPLIT(SUBSTITUTE(TRIM(A257),"0.0 %","0.0%")," "))</f>
        <v>0.03</v>
      </c>
      <c r="H257">
        <v>1.179</v>
      </c>
      <c r="I257">
        <v>0.39500000000000002</v>
      </c>
      <c r="J257">
        <v>0.216</v>
      </c>
      <c r="K257">
        <v>13.99</v>
      </c>
      <c r="L257">
        <v>-0.1163</v>
      </c>
      <c r="M257">
        <v>1.4999999999999999E-2</v>
      </c>
      <c r="N257">
        <v>0.5</v>
      </c>
      <c r="O257">
        <v>5.9100000000000003E-3</v>
      </c>
    </row>
    <row r="258" spans="1:15">
      <c r="A258" t="s">
        <v>825</v>
      </c>
      <c r="G258" cm="1">
        <f t="array" ref="G258:O258">VALUE(_xlfn.TEXTSPLIT(SUBSTITUTE(TRIM(A258),"0.0 %","0.0%")," "))</f>
        <v>0.04</v>
      </c>
      <c r="H258">
        <v>1.385</v>
      </c>
      <c r="I258">
        <v>0.46</v>
      </c>
      <c r="J258">
        <v>0.188</v>
      </c>
      <c r="K258">
        <v>14.33</v>
      </c>
      <c r="L258">
        <v>-0.1065</v>
      </c>
      <c r="M258">
        <v>1.95E-2</v>
      </c>
      <c r="N258">
        <v>0.5</v>
      </c>
      <c r="O258">
        <v>7.8799999999999999E-3</v>
      </c>
    </row>
    <row r="259" spans="1:15">
      <c r="A259" t="s">
        <v>826</v>
      </c>
      <c r="G259" cm="1">
        <f t="array" ref="G259:O259">VALUE(_xlfn.TEXTSPLIT(SUBSTITUTE(TRIM(A259),"0.0 %","0.0%")," "))</f>
        <v>0.05</v>
      </c>
      <c r="H259">
        <v>1.64</v>
      </c>
      <c r="I259">
        <v>0.57899999999999996</v>
      </c>
      <c r="J259">
        <v>0.13500000000000001</v>
      </c>
      <c r="K259">
        <v>15.12</v>
      </c>
      <c r="L259">
        <v>-7.1499999999999994E-2</v>
      </c>
      <c r="M259">
        <v>9.4000000000000004E-3</v>
      </c>
      <c r="N259">
        <v>4</v>
      </c>
      <c r="O259">
        <v>5.8199999999999997E-3</v>
      </c>
    </row>
    <row r="260" spans="1:15">
      <c r="A260" t="s">
        <v>827</v>
      </c>
      <c r="G260" cm="1">
        <f t="array" ref="G260:O260">VALUE(_xlfn.TEXTSPLIT(SUBSTITUTE(TRIM(A260),"0.0 %","0.0%")," "))</f>
        <v>0.06</v>
      </c>
      <c r="H260">
        <v>1.8939999999999999</v>
      </c>
      <c r="I260">
        <v>0.70199999999999996</v>
      </c>
      <c r="J260">
        <v>9.1999999999999998E-2</v>
      </c>
      <c r="K260">
        <v>15.29</v>
      </c>
      <c r="L260">
        <v>-5.16E-2</v>
      </c>
      <c r="M260">
        <v>3.0200000000000001E-2</v>
      </c>
      <c r="N260">
        <v>0.5</v>
      </c>
      <c r="O260">
        <v>1.2189999999999999E-2</v>
      </c>
    </row>
    <row r="261" spans="1:15">
      <c r="A261" t="s">
        <v>828</v>
      </c>
      <c r="G261" cm="1">
        <f t="array" ref="G261:O261">VALUE(_xlfn.TEXTSPLIT(SUBSTITUTE(TRIM(A261),"0.0 %","0.0%")," "))</f>
        <v>0.08</v>
      </c>
      <c r="H261">
        <v>2.4</v>
      </c>
      <c r="I261">
        <v>0.83799999999999997</v>
      </c>
      <c r="J261">
        <v>5.8000000000000003E-2</v>
      </c>
      <c r="K261">
        <v>14.66</v>
      </c>
      <c r="L261">
        <v>-5.0500000000000003E-2</v>
      </c>
      <c r="M261">
        <v>2.3599999999999999E-2</v>
      </c>
      <c r="N261">
        <v>0.5</v>
      </c>
      <c r="O261">
        <v>1.133E-2</v>
      </c>
    </row>
    <row r="262" spans="1:15">
      <c r="A262" t="s">
        <v>829</v>
      </c>
      <c r="G262" cm="1">
        <f t="array" ref="G262:O262">VALUE(_xlfn.TEXTSPLIT(SUBSTITUTE(TRIM(A262),"0.0 %","0.0%")," "))</f>
        <v>0.1</v>
      </c>
      <c r="H262">
        <v>2.6269999999999998</v>
      </c>
      <c r="I262">
        <v>1.018</v>
      </c>
      <c r="J262">
        <v>1.2E-2</v>
      </c>
      <c r="K262">
        <v>13.65</v>
      </c>
      <c r="L262">
        <v>-2.98E-2</v>
      </c>
      <c r="M262">
        <v>1.54E-2</v>
      </c>
      <c r="N262">
        <v>0.5</v>
      </c>
      <c r="O262">
        <v>8.0499999999999999E-3</v>
      </c>
    </row>
    <row r="263" spans="1:15">
      <c r="A263" t="s">
        <v>830</v>
      </c>
      <c r="G263" cm="1">
        <f t="array" ref="G263:O263">VALUE(_xlfn.TEXTSPLIT(SUBSTITUTE(TRIM(A263),"0.0 %","0.0%")," "))</f>
        <v>0.15</v>
      </c>
      <c r="H263">
        <v>2.7330000000000001</v>
      </c>
      <c r="I263">
        <v>1.2729999999999999</v>
      </c>
      <c r="J263">
        <v>-4.2000000000000003E-2</v>
      </c>
      <c r="K263">
        <v>10.39</v>
      </c>
      <c r="L263">
        <v>-6.1999999999999998E-3</v>
      </c>
      <c r="M263">
        <v>6.6E-3</v>
      </c>
      <c r="N263">
        <v>0.5</v>
      </c>
      <c r="O263">
        <v>2.3700000000000001E-3</v>
      </c>
    </row>
    <row r="264" spans="1:15">
      <c r="A264" t="s">
        <v>831</v>
      </c>
      <c r="G264" cm="1">
        <f t="array" ref="G264:O264">VALUE(_xlfn.TEXTSPLIT(SUBSTITUTE(TRIM(A264),"0.0 %","0.0%")," "))</f>
        <v>0.2</v>
      </c>
      <c r="H264">
        <v>2.669</v>
      </c>
      <c r="I264">
        <v>1.39</v>
      </c>
      <c r="J264">
        <v>-6.3E-2</v>
      </c>
      <c r="K264">
        <v>20.5</v>
      </c>
      <c r="L264">
        <v>7.3000000000000001E-3</v>
      </c>
      <c r="M264">
        <v>4.8999999999999998E-3</v>
      </c>
      <c r="N264">
        <v>15</v>
      </c>
      <c r="O264">
        <v>2.9399999999999999E-3</v>
      </c>
    </row>
    <row r="265" spans="1:15">
      <c r="A265" t="s">
        <v>832</v>
      </c>
      <c r="G265" cm="1">
        <f t="array" ref="G265:O265">VALUE(_xlfn.TEXTSPLIT(SUBSTITUTE(TRIM(A265),"0.0 %","0.0%")," "))</f>
        <v>0.3</v>
      </c>
      <c r="H265">
        <v>2.4830000000000001</v>
      </c>
      <c r="I265">
        <v>1.4690000000000001</v>
      </c>
      <c r="J265">
        <v>-7.8E-2</v>
      </c>
      <c r="K265">
        <v>16.89</v>
      </c>
      <c r="L265">
        <v>1.3599999999999999E-2</v>
      </c>
      <c r="M265">
        <v>5.7000000000000002E-3</v>
      </c>
      <c r="N265">
        <v>0.5</v>
      </c>
      <c r="O265">
        <v>2.2499999999999998E-3</v>
      </c>
    </row>
    <row r="266" spans="1:15">
      <c r="A266" t="s">
        <v>833</v>
      </c>
      <c r="G266" cm="1">
        <f t="array" ref="G266:O266">VALUE(_xlfn.TEXTSPLIT(SUBSTITUTE(TRIM(A266),"0.0 %","0.0%")," "))</f>
        <v>0.4</v>
      </c>
      <c r="H266">
        <v>2.355</v>
      </c>
      <c r="I266">
        <v>1.4730000000000001</v>
      </c>
      <c r="J266">
        <v>-8.1000000000000003E-2</v>
      </c>
      <c r="K266">
        <v>15.82</v>
      </c>
      <c r="L266">
        <v>1.61E-2</v>
      </c>
      <c r="M266">
        <v>5.0000000000000001E-3</v>
      </c>
      <c r="N266">
        <v>35</v>
      </c>
      <c r="O266">
        <v>2.2599999999999999E-3</v>
      </c>
    </row>
    <row r="267" spans="1:15">
      <c r="A267" t="s">
        <v>834</v>
      </c>
      <c r="G267" cm="1">
        <f t="array" ref="G267:O267">VALUE(_xlfn.TEXTSPLIT(SUBSTITUTE(TRIM(A267),"0.0 %","0.0%")," "))</f>
        <v>0.5</v>
      </c>
      <c r="H267">
        <v>2.2519999999999998</v>
      </c>
      <c r="I267">
        <v>1.4550000000000001</v>
      </c>
      <c r="J267">
        <v>-0.08</v>
      </c>
      <c r="K267">
        <v>16.3</v>
      </c>
      <c r="L267">
        <v>1.8200000000000001E-2</v>
      </c>
      <c r="M267">
        <v>4.4000000000000003E-3</v>
      </c>
      <c r="N267">
        <v>40</v>
      </c>
      <c r="O267">
        <v>1.5499999999999999E-3</v>
      </c>
    </row>
    <row r="268" spans="1:15">
      <c r="A268" t="s">
        <v>835</v>
      </c>
      <c r="G268" cm="1">
        <f t="array" ref="G268:O268">VALUE(_xlfn.TEXTSPLIT(SUBSTITUTE(TRIM(A268),"0.0 %","0.0%")," "))</f>
        <v>0.6</v>
      </c>
      <c r="H268">
        <v>2.177</v>
      </c>
      <c r="I268">
        <v>1.4239999999999999</v>
      </c>
      <c r="J268">
        <v>-7.5999999999999998E-2</v>
      </c>
      <c r="K268">
        <v>18.670000000000002</v>
      </c>
      <c r="L268">
        <v>2.1499999999999998E-2</v>
      </c>
      <c r="M268">
        <v>4.1000000000000003E-3</v>
      </c>
      <c r="N268">
        <v>5</v>
      </c>
      <c r="O268">
        <v>2.15E-3</v>
      </c>
    </row>
    <row r="269" spans="1:15">
      <c r="A269" t="s">
        <v>836</v>
      </c>
      <c r="G269" cm="1">
        <f t="array" ref="G269:O269">VALUE(_xlfn.TEXTSPLIT(SUBSTITUTE(TRIM(A269),"0.0 %","0.0%")," "))</f>
        <v>0.8</v>
      </c>
      <c r="H269">
        <v>2.0529999999999999</v>
      </c>
      <c r="I269">
        <v>1.385</v>
      </c>
      <c r="J269">
        <v>-7.2999999999999995E-2</v>
      </c>
      <c r="K269">
        <v>15.28</v>
      </c>
      <c r="L269">
        <v>2.1100000000000001E-2</v>
      </c>
      <c r="M269">
        <v>4.4000000000000003E-3</v>
      </c>
      <c r="N269">
        <v>35</v>
      </c>
      <c r="O269">
        <v>2.0300000000000001E-3</v>
      </c>
    </row>
    <row r="270" spans="1:15">
      <c r="A270" t="s">
        <v>837</v>
      </c>
      <c r="G270" cm="1">
        <f t="array" ref="G270:O270">VALUE(_xlfn.TEXTSPLIT(SUBSTITUTE(TRIM(A270),"0.0 %","0.0%")," "))</f>
        <v>1</v>
      </c>
      <c r="H270">
        <v>1.98</v>
      </c>
      <c r="I270">
        <v>1.323</v>
      </c>
      <c r="J270">
        <v>-6.3E-2</v>
      </c>
      <c r="K270">
        <v>15.81</v>
      </c>
      <c r="L270">
        <v>1.84E-2</v>
      </c>
      <c r="M270">
        <v>5.1000000000000004E-3</v>
      </c>
      <c r="N270">
        <v>1</v>
      </c>
      <c r="O270">
        <v>1.92E-3</v>
      </c>
    </row>
    <row r="271" spans="1:15">
      <c r="A271" t="s">
        <v>838</v>
      </c>
      <c r="G271" cm="1">
        <f t="array" ref="G271:O271">VALUE(_xlfn.TEXTSPLIT(SUBSTITUTE(TRIM(A271),"0.0 %","0.0%")," "))</f>
        <v>1.5</v>
      </c>
      <c r="H271">
        <v>1.8420000000000001</v>
      </c>
      <c r="I271">
        <v>1.23</v>
      </c>
      <c r="J271">
        <v>-4.8000000000000001E-2</v>
      </c>
      <c r="K271">
        <v>15.12</v>
      </c>
      <c r="L271">
        <v>1.61E-2</v>
      </c>
      <c r="M271">
        <v>4.3E-3</v>
      </c>
      <c r="N271">
        <v>35</v>
      </c>
      <c r="O271">
        <v>2.2699999999999999E-3</v>
      </c>
    </row>
    <row r="272" spans="1:15">
      <c r="A272" t="s">
        <v>839</v>
      </c>
      <c r="G272" cm="1">
        <f t="array" ref="G272:O272">VALUE(_xlfn.TEXTSPLIT(SUBSTITUTE(TRIM(A272),"0.0 %","0.0%")," "))</f>
        <v>2</v>
      </c>
      <c r="H272">
        <v>1.7709999999999999</v>
      </c>
      <c r="I272">
        <v>1.155</v>
      </c>
      <c r="J272">
        <v>-3.3000000000000002E-2</v>
      </c>
      <c r="K272">
        <v>14.57</v>
      </c>
      <c r="L272">
        <v>0.01</v>
      </c>
      <c r="M272">
        <v>4.4999999999999997E-3</v>
      </c>
      <c r="N272">
        <v>40</v>
      </c>
      <c r="O272">
        <v>1.67E-3</v>
      </c>
    </row>
    <row r="273" spans="1:15">
      <c r="A273" t="s">
        <v>840</v>
      </c>
      <c r="G273" cm="1">
        <f t="array" ref="G273:O273">VALUE(_xlfn.TEXTSPLIT(SUBSTITUTE(TRIM(A273),"0.0 %","0.0%")," "))</f>
        <v>3</v>
      </c>
      <c r="H273">
        <v>1.669</v>
      </c>
      <c r="I273">
        <v>1.0580000000000001</v>
      </c>
      <c r="J273">
        <v>-0.01</v>
      </c>
      <c r="K273">
        <v>10.43</v>
      </c>
      <c r="L273">
        <v>-2.5999999999999999E-3</v>
      </c>
      <c r="M273">
        <v>4.0000000000000001E-3</v>
      </c>
      <c r="N273">
        <v>4</v>
      </c>
      <c r="O273">
        <v>1.74E-3</v>
      </c>
    </row>
    <row r="274" spans="1:15">
      <c r="A274" t="s">
        <v>841</v>
      </c>
      <c r="G274" cm="1">
        <f t="array" ref="G274:O274">VALUE(_xlfn.TEXTSPLIT(SUBSTITUTE(TRIM(A274),"0.0 %","0.0%")," "))</f>
        <v>4</v>
      </c>
      <c r="H274">
        <v>1.585</v>
      </c>
      <c r="I274">
        <v>1.0109999999999999</v>
      </c>
      <c r="J274">
        <v>2E-3</v>
      </c>
      <c r="K274">
        <v>15.91</v>
      </c>
      <c r="L274">
        <v>-1.2500000000000001E-2</v>
      </c>
      <c r="M274">
        <v>9.4000000000000004E-3</v>
      </c>
      <c r="N274">
        <v>1</v>
      </c>
      <c r="O274">
        <v>3.5100000000000001E-3</v>
      </c>
    </row>
    <row r="275" spans="1:15">
      <c r="A275" t="s">
        <v>842</v>
      </c>
      <c r="G275" cm="1">
        <f t="array" ref="G275:O275">VALUE(_xlfn.TEXTSPLIT(SUBSTITUTE(TRIM(A275),"0.0 %","0.0%")," "))</f>
        <v>5</v>
      </c>
      <c r="H275">
        <v>1.522</v>
      </c>
      <c r="I275">
        <v>0.96699999999999997</v>
      </c>
      <c r="J275">
        <v>1.6E-2</v>
      </c>
      <c r="K275">
        <v>11.03</v>
      </c>
      <c r="L275">
        <v>-1.7000000000000001E-2</v>
      </c>
      <c r="M275">
        <v>1.26E-2</v>
      </c>
      <c r="N275">
        <v>0.5</v>
      </c>
      <c r="O275">
        <v>4.1399999999999996E-3</v>
      </c>
    </row>
    <row r="276" spans="1:15">
      <c r="A276" t="s">
        <v>843</v>
      </c>
      <c r="G276" cm="1">
        <f t="array" ref="G276:O276">VALUE(_xlfn.TEXTSPLIT(SUBSTITUTE(TRIM(A276),"0.0 %","0.0%")," "))</f>
        <v>6</v>
      </c>
      <c r="H276">
        <v>1.474</v>
      </c>
      <c r="I276">
        <v>0.95299999999999996</v>
      </c>
      <c r="J276">
        <v>1.9E-2</v>
      </c>
      <c r="K276">
        <v>14.09</v>
      </c>
      <c r="L276">
        <v>-1.9E-2</v>
      </c>
      <c r="M276">
        <v>1.54E-2</v>
      </c>
      <c r="N276">
        <v>0.5</v>
      </c>
      <c r="O276">
        <v>6.3699999999999998E-3</v>
      </c>
    </row>
    <row r="277" spans="1:15">
      <c r="A277" t="s">
        <v>844</v>
      </c>
      <c r="G277" cm="1">
        <f t="array" ref="G277:O277">VALUE(_xlfn.TEXTSPLIT(SUBSTITUTE(TRIM(A277),"0.0 %","0.0%")," "))</f>
        <v>8</v>
      </c>
      <c r="H277">
        <v>1.389</v>
      </c>
      <c r="I277">
        <v>0.93</v>
      </c>
      <c r="J277">
        <v>2.7E-2</v>
      </c>
      <c r="K277">
        <v>13.47</v>
      </c>
      <c r="L277">
        <v>-2.4899999999999999E-2</v>
      </c>
      <c r="M277">
        <v>1.7299999999999999E-2</v>
      </c>
      <c r="N277">
        <v>0.5</v>
      </c>
      <c r="O277">
        <v>7.5799999999999999E-3</v>
      </c>
    </row>
    <row r="278" spans="1:15">
      <c r="A278" t="s">
        <v>845</v>
      </c>
      <c r="G278" cm="1">
        <f t="array" ref="G278:O278">VALUE(_xlfn.TEXTSPLIT(SUBSTITUTE(TRIM(A278),"0.0 %","0.0%")," "))</f>
        <v>10</v>
      </c>
      <c r="H278">
        <v>1.331</v>
      </c>
      <c r="I278">
        <v>0.90800000000000003</v>
      </c>
      <c r="J278">
        <v>3.5999999999999997E-2</v>
      </c>
      <c r="K278">
        <v>13.36</v>
      </c>
      <c r="L278">
        <v>-3.1899999999999998E-2</v>
      </c>
      <c r="M278">
        <v>1.6400000000000001E-2</v>
      </c>
      <c r="N278">
        <v>0.5</v>
      </c>
      <c r="O278">
        <v>8.2900000000000005E-3</v>
      </c>
    </row>
    <row r="279" spans="1:15">
      <c r="A279" t="s">
        <v>846</v>
      </c>
      <c r="G279" cm="1">
        <f t="array" ref="G279:O279">VALUE(_xlfn.TEXTSPLIT(SUBSTITUTE(TRIM(A279),"0.0 %","0.0%")," "))</f>
        <v>15</v>
      </c>
      <c r="H279">
        <v>1.236</v>
      </c>
      <c r="I279">
        <v>0.88700000000000001</v>
      </c>
      <c r="J279">
        <v>4.7E-2</v>
      </c>
      <c r="K279">
        <v>13.39</v>
      </c>
      <c r="L279">
        <v>-4.3200000000000002E-2</v>
      </c>
      <c r="M279">
        <v>2.3900000000000001E-2</v>
      </c>
      <c r="N279">
        <v>0.5</v>
      </c>
      <c r="O279">
        <v>9.9299999999999996E-3</v>
      </c>
    </row>
    <row r="282" spans="1:15">
      <c r="A282" t="s">
        <v>848</v>
      </c>
      <c r="G282" t="str">
        <f>A282</f>
        <v xml:space="preserve">                  PHOSPHORUS MEDIUM, AIR RESPONSE</v>
      </c>
    </row>
    <row r="284" spans="1:15">
      <c r="A284" t="s">
        <v>610</v>
      </c>
      <c r="G284" t="str" cm="1">
        <f t="array" ref="G284:O284">_xlfn.TEXTSPLIT(TRIM(A284)," ")</f>
        <v>E(MEV)</v>
      </c>
      <c r="H284" t="str">
        <v>B</v>
      </c>
      <c r="I284" t="str">
        <v>C</v>
      </c>
      <c r="J284" t="str">
        <v>A</v>
      </c>
      <c r="K284" t="str">
        <v>XK</v>
      </c>
      <c r="L284" t="str">
        <v>D</v>
      </c>
      <c r="M284" t="str">
        <v>MAX.D</v>
      </c>
      <c r="N284" t="str">
        <v>XMAX</v>
      </c>
      <c r="O284" t="str">
        <v>S.D</v>
      </c>
    </row>
    <row r="285" spans="1:15">
      <c r="A285" t="s">
        <v>611</v>
      </c>
      <c r="G285" s="6" t="s">
        <v>1289</v>
      </c>
      <c r="H285" s="6" t="s">
        <v>1289</v>
      </c>
      <c r="I285" s="6" t="s">
        <v>1289</v>
      </c>
      <c r="J285" s="6" t="s">
        <v>1289</v>
      </c>
      <c r="K285" s="6" t="s">
        <v>1289</v>
      </c>
      <c r="L285" s="6" t="s">
        <v>1289</v>
      </c>
      <c r="M285" s="6" t="s">
        <v>1289</v>
      </c>
      <c r="N285" s="6" t="s">
        <v>1289</v>
      </c>
      <c r="O285" s="6" t="s">
        <v>1289</v>
      </c>
    </row>
    <row r="286" spans="1:15">
      <c r="A286" t="s">
        <v>847</v>
      </c>
      <c r="G286" cm="1">
        <f t="array" ref="G286:O286">VALUE(_xlfn.TEXTSPLIT(SUBSTITUTE(TRIM(A286),"0.0 %","0.0%")," "))</f>
        <v>1.4999999999999999E-2</v>
      </c>
      <c r="H286">
        <v>1.018</v>
      </c>
      <c r="I286">
        <v>0.39800000000000002</v>
      </c>
      <c r="J286">
        <v>0.21199999999999999</v>
      </c>
      <c r="K286">
        <v>12.01</v>
      </c>
      <c r="L286">
        <v>-0.12790000000000001</v>
      </c>
      <c r="M286">
        <v>5.1999999999999998E-3</v>
      </c>
      <c r="N286">
        <v>4</v>
      </c>
      <c r="O286">
        <v>2.8600000000000001E-3</v>
      </c>
    </row>
    <row r="287" spans="1:15">
      <c r="A287" t="s">
        <v>849</v>
      </c>
      <c r="G287" cm="1">
        <f t="array" ref="G287:O287">VALUE(_xlfn.TEXTSPLIT(SUBSTITUTE(TRIM(A287),"0.0 %","0.0%")," "))</f>
        <v>0.02</v>
      </c>
      <c r="H287">
        <v>1.0409999999999999</v>
      </c>
      <c r="I287">
        <v>0.432</v>
      </c>
      <c r="J287">
        <v>0.17499999999999999</v>
      </c>
      <c r="K287">
        <v>13.83</v>
      </c>
      <c r="L287">
        <v>-7.7100000000000002E-2</v>
      </c>
      <c r="M287">
        <v>4.4999999999999997E-3</v>
      </c>
      <c r="N287">
        <v>0.5</v>
      </c>
      <c r="O287">
        <v>2.49E-3</v>
      </c>
    </row>
    <row r="288" spans="1:15">
      <c r="A288" t="s">
        <v>850</v>
      </c>
      <c r="G288" cm="1">
        <f t="array" ref="G288:O288">VALUE(_xlfn.TEXTSPLIT(SUBSTITUTE(TRIM(A288),"0.0 %","0.0%")," "))</f>
        <v>0.03</v>
      </c>
      <c r="H288">
        <v>1.141</v>
      </c>
      <c r="I288">
        <v>0.39400000000000002</v>
      </c>
      <c r="J288">
        <v>0.21299999999999999</v>
      </c>
      <c r="K288">
        <v>14.41</v>
      </c>
      <c r="L288">
        <v>-0.115</v>
      </c>
      <c r="M288">
        <v>9.9000000000000008E-3</v>
      </c>
      <c r="N288">
        <v>0.5</v>
      </c>
      <c r="O288">
        <v>3.7200000000000002E-3</v>
      </c>
    </row>
    <row r="289" spans="1:15">
      <c r="A289" t="s">
        <v>851</v>
      </c>
      <c r="G289" cm="1">
        <f t="array" ref="G289:O289">VALUE(_xlfn.TEXTSPLIT(SUBSTITUTE(TRIM(A289),"0.0 %","0.0%")," "))</f>
        <v>0.04</v>
      </c>
      <c r="H289">
        <v>1.3140000000000001</v>
      </c>
      <c r="I289">
        <v>0.439</v>
      </c>
      <c r="J289">
        <v>0.19500000000000001</v>
      </c>
      <c r="K289">
        <v>14.43</v>
      </c>
      <c r="L289">
        <v>-0.1084</v>
      </c>
      <c r="M289">
        <v>2.1399999999999999E-2</v>
      </c>
      <c r="N289">
        <v>0.5</v>
      </c>
      <c r="O289">
        <v>8.1099999999999992E-3</v>
      </c>
    </row>
    <row r="290" spans="1:15">
      <c r="A290" t="s">
        <v>852</v>
      </c>
      <c r="G290" cm="1">
        <f t="array" ref="G290:O290">VALUE(_xlfn.TEXTSPLIT(SUBSTITUTE(TRIM(A290),"0.0 %","0.0%")," "))</f>
        <v>0.05</v>
      </c>
      <c r="H290">
        <v>1.5329999999999999</v>
      </c>
      <c r="I290">
        <v>0.52</v>
      </c>
      <c r="J290">
        <v>0.16200000000000001</v>
      </c>
      <c r="K290">
        <v>14.69</v>
      </c>
      <c r="L290">
        <v>-9.01E-2</v>
      </c>
      <c r="M290">
        <v>1.72E-2</v>
      </c>
      <c r="N290">
        <v>0.5</v>
      </c>
      <c r="O290">
        <v>7.7299999999999999E-3</v>
      </c>
    </row>
    <row r="291" spans="1:15">
      <c r="A291" t="s">
        <v>853</v>
      </c>
      <c r="G291" cm="1">
        <f t="array" ref="G291:O291">VALUE(_xlfn.TEXTSPLIT(SUBSTITUTE(TRIM(A291),"0.0 %","0.0%")," "))</f>
        <v>0.06</v>
      </c>
      <c r="H291">
        <v>1.7509999999999999</v>
      </c>
      <c r="I291">
        <v>0.63300000000000001</v>
      </c>
      <c r="J291">
        <v>0.11700000000000001</v>
      </c>
      <c r="K291">
        <v>14.78</v>
      </c>
      <c r="L291">
        <v>-6.3500000000000001E-2</v>
      </c>
      <c r="M291">
        <v>9.9000000000000008E-3</v>
      </c>
      <c r="N291">
        <v>0.5</v>
      </c>
      <c r="O291">
        <v>5.8199999999999997E-3</v>
      </c>
    </row>
    <row r="292" spans="1:15">
      <c r="A292" t="s">
        <v>854</v>
      </c>
      <c r="G292" cm="1">
        <f t="array" ref="G292:O292">VALUE(_xlfn.TEXTSPLIT(SUBSTITUTE(TRIM(A292),"0.0 %","0.0%")," "))</f>
        <v>0.08</v>
      </c>
      <c r="H292">
        <v>2.2040000000000002</v>
      </c>
      <c r="I292">
        <v>0.75700000000000001</v>
      </c>
      <c r="J292">
        <v>8.4000000000000005E-2</v>
      </c>
      <c r="K292">
        <v>12.94</v>
      </c>
      <c r="L292">
        <v>-5.16E-2</v>
      </c>
      <c r="M292">
        <v>2.7900000000000001E-2</v>
      </c>
      <c r="N292">
        <v>0.5</v>
      </c>
      <c r="O292">
        <v>1.3990000000000001E-2</v>
      </c>
    </row>
    <row r="293" spans="1:15">
      <c r="A293" t="s">
        <v>855</v>
      </c>
      <c r="G293" cm="1">
        <f t="array" ref="G293:O293">VALUE(_xlfn.TEXTSPLIT(SUBSTITUTE(TRIM(A293),"0.0 %","0.0%")," "))</f>
        <v>0.1</v>
      </c>
      <c r="H293">
        <v>2.4340000000000002</v>
      </c>
      <c r="I293">
        <v>0.94</v>
      </c>
      <c r="J293">
        <v>3.1E-2</v>
      </c>
      <c r="K293">
        <v>14.07</v>
      </c>
      <c r="L293">
        <v>-4.02E-2</v>
      </c>
      <c r="M293">
        <v>2.7E-2</v>
      </c>
      <c r="N293">
        <v>0.5</v>
      </c>
      <c r="O293">
        <v>1.1690000000000001E-2</v>
      </c>
    </row>
    <row r="294" spans="1:15">
      <c r="A294" t="s">
        <v>856</v>
      </c>
      <c r="G294" cm="1">
        <f t="array" ref="G294:O294">VALUE(_xlfn.TEXTSPLIT(SUBSTITUTE(TRIM(A294),"0.0 %","0.0%")," "))</f>
        <v>0.15</v>
      </c>
      <c r="H294">
        <v>2.6110000000000002</v>
      </c>
      <c r="I294">
        <v>1.198</v>
      </c>
      <c r="J294">
        <v>-2.7E-2</v>
      </c>
      <c r="K294">
        <v>11.68</v>
      </c>
      <c r="L294">
        <v>-1.37E-2</v>
      </c>
      <c r="M294">
        <v>8.2000000000000007E-3</v>
      </c>
      <c r="N294">
        <v>0.5</v>
      </c>
      <c r="O294">
        <v>4.96E-3</v>
      </c>
    </row>
    <row r="295" spans="1:15">
      <c r="A295" t="s">
        <v>857</v>
      </c>
      <c r="G295" cm="1">
        <f t="array" ref="G295:O295">VALUE(_xlfn.TEXTSPLIT(SUBSTITUTE(TRIM(A295),"0.0 %","0.0%")," "))</f>
        <v>0.2</v>
      </c>
      <c r="H295">
        <v>2.59</v>
      </c>
      <c r="I295">
        <v>1.319</v>
      </c>
      <c r="J295">
        <v>-4.8000000000000001E-2</v>
      </c>
      <c r="K295">
        <v>9.0299999999999994</v>
      </c>
      <c r="L295">
        <v>-8.8000000000000005E-3</v>
      </c>
      <c r="M295">
        <v>6.7999999999999996E-3</v>
      </c>
      <c r="N295">
        <v>3</v>
      </c>
      <c r="O295">
        <v>3.8300000000000001E-3</v>
      </c>
    </row>
    <row r="296" spans="1:15">
      <c r="A296" t="s">
        <v>858</v>
      </c>
      <c r="G296" cm="1">
        <f t="array" ref="G296:O296">VALUE(_xlfn.TEXTSPLIT(SUBSTITUTE(TRIM(A296),"0.0 %","0.0%")," "))</f>
        <v>0.3</v>
      </c>
      <c r="H296">
        <v>2.431</v>
      </c>
      <c r="I296">
        <v>1.4330000000000001</v>
      </c>
      <c r="J296">
        <v>-7.1999999999999995E-2</v>
      </c>
      <c r="K296">
        <v>19.170000000000002</v>
      </c>
      <c r="L296">
        <v>1.2500000000000001E-2</v>
      </c>
      <c r="M296">
        <v>1.06E-2</v>
      </c>
      <c r="N296">
        <v>0.5</v>
      </c>
      <c r="O296">
        <v>3.2799999999999999E-3</v>
      </c>
    </row>
    <row r="297" spans="1:15">
      <c r="A297" t="s">
        <v>859</v>
      </c>
      <c r="G297" cm="1">
        <f t="array" ref="G297:O297">VALUE(_xlfn.TEXTSPLIT(SUBSTITUTE(TRIM(A297),"0.0 %","0.0%")," "))</f>
        <v>0.4</v>
      </c>
      <c r="H297">
        <v>2.3250000000000002</v>
      </c>
      <c r="I297">
        <v>1.44</v>
      </c>
      <c r="J297">
        <v>-7.4999999999999997E-2</v>
      </c>
      <c r="K297">
        <v>17.170000000000002</v>
      </c>
      <c r="L297">
        <v>1.3899999999999999E-2</v>
      </c>
      <c r="M297">
        <v>3.8999999999999998E-3</v>
      </c>
      <c r="N297">
        <v>0.5</v>
      </c>
      <c r="O297">
        <v>2.4599999999999999E-3</v>
      </c>
    </row>
    <row r="298" spans="1:15">
      <c r="A298" t="s">
        <v>860</v>
      </c>
      <c r="G298" cm="1">
        <f t="array" ref="G298:O298">VALUE(_xlfn.TEXTSPLIT(SUBSTITUTE(TRIM(A298),"0.0 %","0.0%")," "))</f>
        <v>0.5</v>
      </c>
      <c r="H298">
        <v>2.2240000000000002</v>
      </c>
      <c r="I298">
        <v>1.4330000000000001</v>
      </c>
      <c r="J298">
        <v>-7.5999999999999998E-2</v>
      </c>
      <c r="K298">
        <v>16.309999999999999</v>
      </c>
      <c r="L298">
        <v>1.5699999999999999E-2</v>
      </c>
      <c r="M298">
        <v>7.0000000000000001E-3</v>
      </c>
      <c r="N298">
        <v>0.5</v>
      </c>
      <c r="O298">
        <v>2.5000000000000001E-3</v>
      </c>
    </row>
    <row r="299" spans="1:15">
      <c r="A299" t="s">
        <v>861</v>
      </c>
      <c r="G299" cm="1">
        <f t="array" ref="G299:O299">VALUE(_xlfn.TEXTSPLIT(SUBSTITUTE(TRIM(A299),"0.0 %","0.0%")," "))</f>
        <v>0.6</v>
      </c>
      <c r="H299">
        <v>2.1469999999999998</v>
      </c>
      <c r="I299">
        <v>1.4159999999999999</v>
      </c>
      <c r="J299">
        <v>-7.4999999999999997E-2</v>
      </c>
      <c r="K299">
        <v>16.440000000000001</v>
      </c>
      <c r="L299">
        <v>1.7999999999999999E-2</v>
      </c>
      <c r="M299">
        <v>3.0000000000000001E-3</v>
      </c>
      <c r="N299">
        <v>6</v>
      </c>
      <c r="O299">
        <v>1.5299999999999999E-3</v>
      </c>
    </row>
    <row r="300" spans="1:15">
      <c r="A300" t="s">
        <v>862</v>
      </c>
      <c r="G300" cm="1">
        <f t="array" ref="G300:O300">VALUE(_xlfn.TEXTSPLIT(SUBSTITUTE(TRIM(A300),"0.0 %","0.0%")," "))</f>
        <v>0.8</v>
      </c>
      <c r="H300">
        <v>2.0350000000000001</v>
      </c>
      <c r="I300">
        <v>1.375</v>
      </c>
      <c r="J300">
        <v>-7.0999999999999994E-2</v>
      </c>
      <c r="K300">
        <v>15.64</v>
      </c>
      <c r="L300">
        <v>2.0500000000000001E-2</v>
      </c>
      <c r="M300">
        <v>6.7000000000000002E-3</v>
      </c>
      <c r="N300">
        <v>0.5</v>
      </c>
      <c r="O300">
        <v>2.2599999999999999E-3</v>
      </c>
    </row>
    <row r="301" spans="1:15">
      <c r="A301" t="s">
        <v>863</v>
      </c>
      <c r="G301" cm="1">
        <f t="array" ref="G301:O301">VALUE(_xlfn.TEXTSPLIT(SUBSTITUTE(TRIM(A301),"0.0 %","0.0%")," "))</f>
        <v>1</v>
      </c>
      <c r="H301">
        <v>1.9590000000000001</v>
      </c>
      <c r="I301">
        <v>1.323</v>
      </c>
      <c r="J301">
        <v>-6.3E-2</v>
      </c>
      <c r="K301">
        <v>17.02</v>
      </c>
      <c r="L301">
        <v>2.0400000000000001E-2</v>
      </c>
      <c r="M301">
        <v>3.7000000000000002E-3</v>
      </c>
      <c r="N301">
        <v>15</v>
      </c>
      <c r="O301">
        <v>1.65E-3</v>
      </c>
    </row>
    <row r="302" spans="1:15">
      <c r="A302" t="s">
        <v>864</v>
      </c>
      <c r="G302" cm="1">
        <f t="array" ref="G302:O302">VALUE(_xlfn.TEXTSPLIT(SUBSTITUTE(TRIM(A302),"0.0 %","0.0%")," "))</f>
        <v>1.5</v>
      </c>
      <c r="H302">
        <v>1.8340000000000001</v>
      </c>
      <c r="I302">
        <v>1.226</v>
      </c>
      <c r="J302">
        <v>-4.7E-2</v>
      </c>
      <c r="K302">
        <v>15.36</v>
      </c>
      <c r="L302">
        <v>1.55E-2</v>
      </c>
      <c r="M302">
        <v>3.7000000000000002E-3</v>
      </c>
      <c r="N302">
        <v>10</v>
      </c>
      <c r="O302">
        <v>1.8400000000000001E-3</v>
      </c>
    </row>
    <row r="303" spans="1:15">
      <c r="A303" t="s">
        <v>865</v>
      </c>
      <c r="G303" cm="1">
        <f t="array" ref="G303:O303">VALUE(_xlfn.TEXTSPLIT(SUBSTITUTE(TRIM(A303),"0.0 %","0.0%")," "))</f>
        <v>2</v>
      </c>
      <c r="H303">
        <v>1.7629999999999999</v>
      </c>
      <c r="I303">
        <v>1.1559999999999999</v>
      </c>
      <c r="J303">
        <v>-3.3000000000000002E-2</v>
      </c>
      <c r="K303">
        <v>14.97</v>
      </c>
      <c r="L303">
        <v>9.9000000000000008E-3</v>
      </c>
      <c r="M303">
        <v>4.0000000000000001E-3</v>
      </c>
      <c r="N303">
        <v>0.5</v>
      </c>
      <c r="O303">
        <v>1.9E-3</v>
      </c>
    </row>
    <row r="304" spans="1:15">
      <c r="A304" t="s">
        <v>866</v>
      </c>
      <c r="G304" cm="1">
        <f t="array" ref="G304:O304">VALUE(_xlfn.TEXTSPLIT(SUBSTITUTE(TRIM(A304),"0.0 %","0.0%")," "))</f>
        <v>3</v>
      </c>
      <c r="H304">
        <v>1.6639999999999999</v>
      </c>
      <c r="I304">
        <v>1.0589999999999999</v>
      </c>
      <c r="J304">
        <v>-0.01</v>
      </c>
      <c r="K304">
        <v>13.4</v>
      </c>
      <c r="L304">
        <v>-3.0000000000000001E-3</v>
      </c>
      <c r="M304">
        <v>3.5999999999999999E-3</v>
      </c>
      <c r="N304">
        <v>1</v>
      </c>
      <c r="O304">
        <v>2.31E-3</v>
      </c>
    </row>
    <row r="305" spans="1:15">
      <c r="A305" t="s">
        <v>867</v>
      </c>
      <c r="G305" cm="1">
        <f t="array" ref="G305:O305">VALUE(_xlfn.TEXTSPLIT(SUBSTITUTE(TRIM(A305),"0.0 %","0.0%")," "))</f>
        <v>4</v>
      </c>
      <c r="H305">
        <v>1.59</v>
      </c>
      <c r="I305">
        <v>1.0029999999999999</v>
      </c>
      <c r="J305">
        <v>5.0000000000000001E-3</v>
      </c>
      <c r="K305">
        <v>15.05</v>
      </c>
      <c r="L305">
        <v>-1.5599999999999999E-2</v>
      </c>
      <c r="M305">
        <v>7.4000000000000003E-3</v>
      </c>
      <c r="N305">
        <v>4</v>
      </c>
      <c r="O305">
        <v>4.1900000000000001E-3</v>
      </c>
    </row>
    <row r="306" spans="1:15">
      <c r="A306" t="s">
        <v>868</v>
      </c>
      <c r="G306" cm="1">
        <f t="array" ref="G306:O306">VALUE(_xlfn.TEXTSPLIT(SUBSTITUTE(TRIM(A306),"0.0 %","0.0%")," "))</f>
        <v>5</v>
      </c>
      <c r="H306">
        <v>1.5209999999999999</v>
      </c>
      <c r="I306">
        <v>0.96799999999999997</v>
      </c>
      <c r="J306">
        <v>1.6E-2</v>
      </c>
      <c r="K306">
        <v>11.99</v>
      </c>
      <c r="L306">
        <v>-1.7600000000000001E-2</v>
      </c>
      <c r="M306">
        <v>1.2999999999999999E-2</v>
      </c>
      <c r="N306">
        <v>0.5</v>
      </c>
      <c r="O306">
        <v>5.0299999999999997E-3</v>
      </c>
    </row>
    <row r="307" spans="1:15">
      <c r="A307" t="s">
        <v>869</v>
      </c>
      <c r="G307" cm="1">
        <f t="array" ref="G307:O307">VALUE(_xlfn.TEXTSPLIT(SUBSTITUTE(TRIM(A307),"0.0 %","0.0%")," "))</f>
        <v>6</v>
      </c>
      <c r="H307">
        <v>1.47</v>
      </c>
      <c r="I307">
        <v>0.95799999999999996</v>
      </c>
      <c r="J307">
        <v>1.7999999999999999E-2</v>
      </c>
      <c r="K307">
        <v>14.3</v>
      </c>
      <c r="L307">
        <v>-1.9E-2</v>
      </c>
      <c r="M307">
        <v>1.7299999999999999E-2</v>
      </c>
      <c r="N307">
        <v>0.5</v>
      </c>
      <c r="O307">
        <v>7.4200000000000004E-3</v>
      </c>
    </row>
    <row r="308" spans="1:15">
      <c r="A308" t="s">
        <v>870</v>
      </c>
      <c r="G308" cm="1">
        <f t="array" ref="G308:O308">VALUE(_xlfn.TEXTSPLIT(SUBSTITUTE(TRIM(A308),"0.0 %","0.0%")," "))</f>
        <v>8</v>
      </c>
      <c r="H308">
        <v>1.389</v>
      </c>
      <c r="I308">
        <v>0.92800000000000005</v>
      </c>
      <c r="J308">
        <v>2.9000000000000001E-2</v>
      </c>
      <c r="K308">
        <v>13.67</v>
      </c>
      <c r="L308">
        <v>-2.7900000000000001E-2</v>
      </c>
      <c r="M308">
        <v>1.7100000000000001E-2</v>
      </c>
      <c r="N308">
        <v>0.5</v>
      </c>
      <c r="O308">
        <v>8.3999999999999995E-3</v>
      </c>
    </row>
    <row r="309" spans="1:15">
      <c r="A309" t="s">
        <v>871</v>
      </c>
      <c r="G309" cm="1">
        <f t="array" ref="G309:O309">VALUE(_xlfn.TEXTSPLIT(SUBSTITUTE(TRIM(A309),"0.0 %","0.0%")," "))</f>
        <v>10</v>
      </c>
      <c r="H309">
        <v>1.33</v>
      </c>
      <c r="I309">
        <v>0.90700000000000003</v>
      </c>
      <c r="J309">
        <v>3.7999999999999999E-2</v>
      </c>
      <c r="K309">
        <v>13.34</v>
      </c>
      <c r="L309">
        <v>-3.49E-2</v>
      </c>
      <c r="M309">
        <v>1.67E-2</v>
      </c>
      <c r="N309">
        <v>0.5</v>
      </c>
      <c r="O309">
        <v>8.8999999999999999E-3</v>
      </c>
    </row>
    <row r="310" spans="1:15">
      <c r="A310" t="s">
        <v>872</v>
      </c>
      <c r="G310" cm="1">
        <f t="array" ref="G310:O310">VALUE(_xlfn.TEXTSPLIT(SUBSTITUTE(TRIM(A310),"0.0 %","0.0%")," "))</f>
        <v>15</v>
      </c>
      <c r="H310">
        <v>1.2350000000000001</v>
      </c>
      <c r="I310">
        <v>0.879</v>
      </c>
      <c r="J310">
        <v>5.2999999999999999E-2</v>
      </c>
      <c r="K310">
        <v>13.06</v>
      </c>
      <c r="L310">
        <v>-5.0799999999999998E-2</v>
      </c>
      <c r="M310">
        <v>2.4E-2</v>
      </c>
      <c r="N310">
        <v>0.5</v>
      </c>
      <c r="O310">
        <v>1.027E-2</v>
      </c>
    </row>
    <row r="313" spans="1:15">
      <c r="A313" t="s">
        <v>874</v>
      </c>
      <c r="G313" t="str">
        <f>A313</f>
        <v xml:space="preserve">                  SULPHUR MEDIUM, AIR RESPONSE</v>
      </c>
    </row>
    <row r="315" spans="1:15">
      <c r="A315" t="s">
        <v>610</v>
      </c>
      <c r="G315" t="str" cm="1">
        <f t="array" ref="G315:O315">_xlfn.TEXTSPLIT(TRIM(A315)," ")</f>
        <v>E(MEV)</v>
      </c>
      <c r="H315" t="str">
        <v>B</v>
      </c>
      <c r="I315" t="str">
        <v>C</v>
      </c>
      <c r="J315" t="str">
        <v>A</v>
      </c>
      <c r="K315" t="str">
        <v>XK</v>
      </c>
      <c r="L315" t="str">
        <v>D</v>
      </c>
      <c r="M315" t="str">
        <v>MAX.D</v>
      </c>
      <c r="N315" t="str">
        <v>XMAX</v>
      </c>
      <c r="O315" t="str">
        <v>S.D</v>
      </c>
    </row>
    <row r="316" spans="1:15">
      <c r="A316" t="s">
        <v>611</v>
      </c>
      <c r="G316" s="6" t="s">
        <v>1289</v>
      </c>
      <c r="H316" s="6" t="s">
        <v>1289</v>
      </c>
      <c r="I316" s="6" t="s">
        <v>1289</v>
      </c>
      <c r="J316" s="6" t="s">
        <v>1289</v>
      </c>
      <c r="K316" s="6" t="s">
        <v>1289</v>
      </c>
      <c r="L316" s="6" t="s">
        <v>1289</v>
      </c>
      <c r="M316" s="6" t="s">
        <v>1289</v>
      </c>
      <c r="N316" s="6" t="s">
        <v>1289</v>
      </c>
      <c r="O316" s="6" t="s">
        <v>1289</v>
      </c>
    </row>
    <row r="317" spans="1:15">
      <c r="A317" t="s">
        <v>875</v>
      </c>
      <c r="G317" cm="1">
        <f t="array" ref="G317:O317">VALUE(_xlfn.TEXTSPLIT(SUBSTITUTE(TRIM(A317),"0.0 %","0.0%")," "))</f>
        <v>1.4999999999999999E-2</v>
      </c>
      <c r="H317">
        <v>1.0169999999999999</v>
      </c>
      <c r="I317">
        <v>0.29299999999999998</v>
      </c>
      <c r="J317">
        <v>0.32500000000000001</v>
      </c>
      <c r="K317">
        <v>10.44</v>
      </c>
      <c r="L317">
        <v>-0.25209999999999999</v>
      </c>
      <c r="M317">
        <v>4.3E-3</v>
      </c>
      <c r="N317">
        <v>6</v>
      </c>
      <c r="O317">
        <v>2.4499999999999999E-3</v>
      </c>
    </row>
    <row r="318" spans="1:15">
      <c r="A318" t="s">
        <v>876</v>
      </c>
      <c r="G318" cm="1">
        <f t="array" ref="G318:O318">VALUE(_xlfn.TEXTSPLIT(SUBSTITUTE(TRIM(A318),"0.0 %","0.0%")," "))</f>
        <v>0.02</v>
      </c>
      <c r="H318">
        <v>1.0389999999999999</v>
      </c>
      <c r="I318">
        <v>0.34</v>
      </c>
      <c r="J318">
        <v>0.22800000000000001</v>
      </c>
      <c r="K318">
        <v>27.88</v>
      </c>
      <c r="L318">
        <v>-0.38340000000000002</v>
      </c>
      <c r="M318">
        <v>5.1999999999999998E-3</v>
      </c>
      <c r="N318">
        <v>8</v>
      </c>
      <c r="O318">
        <v>2.64E-3</v>
      </c>
    </row>
    <row r="319" spans="1:15">
      <c r="A319" t="s">
        <v>873</v>
      </c>
      <c r="G319" cm="1">
        <f t="array" ref="G319:O319">VALUE(_xlfn.TEXTSPLIT(SUBSTITUTE(TRIM(A319),"0.0 %","0.0%")," "))</f>
        <v>0.03</v>
      </c>
      <c r="H319">
        <v>1.115</v>
      </c>
      <c r="I319">
        <v>0.38700000000000001</v>
      </c>
      <c r="J319">
        <v>0.215</v>
      </c>
      <c r="K319">
        <v>13.89</v>
      </c>
      <c r="L319">
        <v>-0.11550000000000001</v>
      </c>
      <c r="M319">
        <v>7.3000000000000001E-3</v>
      </c>
      <c r="N319">
        <v>3</v>
      </c>
      <c r="O319">
        <v>3.96E-3</v>
      </c>
    </row>
    <row r="320" spans="1:15">
      <c r="A320" t="s">
        <v>877</v>
      </c>
      <c r="G320" cm="1">
        <f t="array" ref="G320:O320">VALUE(_xlfn.TEXTSPLIT(SUBSTITUTE(TRIM(A320),"0.0 %","0.0%")," "))</f>
        <v>0.04</v>
      </c>
      <c r="H320">
        <v>1.2569999999999999</v>
      </c>
      <c r="I320">
        <v>0.41799999999999998</v>
      </c>
      <c r="J320">
        <v>0.20399999999999999</v>
      </c>
      <c r="K320">
        <v>14.6</v>
      </c>
      <c r="L320">
        <v>-0.11260000000000001</v>
      </c>
      <c r="M320">
        <v>1.66E-2</v>
      </c>
      <c r="N320">
        <v>0.5</v>
      </c>
      <c r="O320">
        <v>6.8599999999999998E-3</v>
      </c>
    </row>
    <row r="321" spans="1:15">
      <c r="A321" t="s">
        <v>878</v>
      </c>
      <c r="G321" cm="1">
        <f t="array" ref="G321:O321">VALUE(_xlfn.TEXTSPLIT(SUBSTITUTE(TRIM(A321),"0.0 %","0.0%")," "))</f>
        <v>0.05</v>
      </c>
      <c r="H321">
        <v>1.44</v>
      </c>
      <c r="I321">
        <v>0.48699999999999999</v>
      </c>
      <c r="J321">
        <v>0.17599999999999999</v>
      </c>
      <c r="K321">
        <v>14.61</v>
      </c>
      <c r="L321">
        <v>-9.8799999999999999E-2</v>
      </c>
      <c r="M321">
        <v>1.89E-2</v>
      </c>
      <c r="N321">
        <v>0.5</v>
      </c>
      <c r="O321">
        <v>7.8600000000000007E-3</v>
      </c>
    </row>
    <row r="322" spans="1:15">
      <c r="A322" t="s">
        <v>879</v>
      </c>
      <c r="G322" cm="1">
        <f t="array" ref="G322:O322">VALUE(_xlfn.TEXTSPLIT(SUBSTITUTE(TRIM(A322),"0.0 %","0.0%")," "))</f>
        <v>0.06</v>
      </c>
      <c r="H322">
        <v>1.635</v>
      </c>
      <c r="I322">
        <v>0.57599999999999996</v>
      </c>
      <c r="J322">
        <v>0.14000000000000001</v>
      </c>
      <c r="K322">
        <v>14.63</v>
      </c>
      <c r="L322">
        <v>-7.8100000000000003E-2</v>
      </c>
      <c r="M322">
        <v>1.54E-2</v>
      </c>
      <c r="N322">
        <v>0.5</v>
      </c>
      <c r="O322">
        <v>7.8600000000000007E-3</v>
      </c>
    </row>
    <row r="323" spans="1:15">
      <c r="A323" t="s">
        <v>880</v>
      </c>
      <c r="G323" cm="1">
        <f t="array" ref="G323:O323">VALUE(_xlfn.TEXTSPLIT(SUBSTITUTE(TRIM(A323),"0.0 %","0.0%")," "))</f>
        <v>0.08</v>
      </c>
      <c r="H323">
        <v>1.9650000000000001</v>
      </c>
      <c r="I323">
        <v>0.76300000000000001</v>
      </c>
      <c r="J323">
        <v>7.3999999999999996E-2</v>
      </c>
      <c r="K323">
        <v>14.91</v>
      </c>
      <c r="L323">
        <v>-4.4499999999999998E-2</v>
      </c>
      <c r="M323">
        <v>3.7199999999999997E-2</v>
      </c>
      <c r="N323">
        <v>0.5</v>
      </c>
      <c r="O323">
        <v>1.329E-2</v>
      </c>
    </row>
    <row r="324" spans="1:15">
      <c r="A324" t="s">
        <v>881</v>
      </c>
      <c r="G324" cm="1">
        <f t="array" ref="G324:O324">VALUE(_xlfn.TEXTSPLIT(SUBSTITUTE(TRIM(A324),"0.0 %","0.0%")," "))</f>
        <v>0.1</v>
      </c>
      <c r="H324">
        <v>2.2759999999999998</v>
      </c>
      <c r="I324">
        <v>0.86799999999999999</v>
      </c>
      <c r="J324">
        <v>5.0999999999999997E-2</v>
      </c>
      <c r="K324">
        <v>12.99</v>
      </c>
      <c r="L324">
        <v>-4.41E-2</v>
      </c>
      <c r="M324">
        <v>2.5600000000000001E-2</v>
      </c>
      <c r="N324">
        <v>0.5</v>
      </c>
      <c r="O324">
        <v>1.2749999999999999E-2</v>
      </c>
    </row>
    <row r="325" spans="1:15">
      <c r="A325" t="s">
        <v>882</v>
      </c>
      <c r="G325" cm="1">
        <f t="array" ref="G325:O325">VALUE(_xlfn.TEXTSPLIT(SUBSTITUTE(TRIM(A325),"0.0 %","0.0%")," "))</f>
        <v>0.15</v>
      </c>
      <c r="H325">
        <v>2.492</v>
      </c>
      <c r="I325">
        <v>1.133</v>
      </c>
      <c r="J325">
        <v>-1.4E-2</v>
      </c>
      <c r="K325">
        <v>12.6</v>
      </c>
      <c r="L325">
        <v>-1.9599999999999999E-2</v>
      </c>
      <c r="M325">
        <v>1.66E-2</v>
      </c>
      <c r="N325">
        <v>0.5</v>
      </c>
      <c r="O325">
        <v>7.2300000000000003E-3</v>
      </c>
    </row>
    <row r="326" spans="1:15">
      <c r="A326" t="s">
        <v>883</v>
      </c>
      <c r="G326" cm="1">
        <f t="array" ref="G326:O326">VALUE(_xlfn.TEXTSPLIT(SUBSTITUTE(TRIM(A326),"0.0 %","0.0%")," "))</f>
        <v>0.2</v>
      </c>
      <c r="H326">
        <v>2.5</v>
      </c>
      <c r="I326">
        <v>1.2689999999999999</v>
      </c>
      <c r="J326">
        <v>-3.9E-2</v>
      </c>
      <c r="K326">
        <v>10.97</v>
      </c>
      <c r="L326">
        <v>-1.23E-2</v>
      </c>
      <c r="M326">
        <v>1.14E-2</v>
      </c>
      <c r="N326">
        <v>0.5</v>
      </c>
      <c r="O326">
        <v>5.0600000000000003E-3</v>
      </c>
    </row>
    <row r="327" spans="1:15">
      <c r="A327" t="s">
        <v>884</v>
      </c>
      <c r="G327" cm="1">
        <f t="array" ref="G327:O327">VALUE(_xlfn.TEXTSPLIT(SUBSTITUTE(TRIM(A327),"0.0 %","0.0%")," "))</f>
        <v>0.3</v>
      </c>
      <c r="H327">
        <v>2.3849999999999998</v>
      </c>
      <c r="I327">
        <v>1.393</v>
      </c>
      <c r="J327">
        <v>-6.5000000000000002E-2</v>
      </c>
      <c r="K327">
        <v>25.71</v>
      </c>
      <c r="L327">
        <v>1.35E-2</v>
      </c>
      <c r="M327">
        <v>1.3599999999999999E-2</v>
      </c>
      <c r="N327">
        <v>0.5</v>
      </c>
      <c r="O327">
        <v>5.2599999999999999E-3</v>
      </c>
    </row>
    <row r="328" spans="1:15">
      <c r="A328" t="s">
        <v>885</v>
      </c>
      <c r="G328" cm="1">
        <f t="array" ref="G328:O328">VALUE(_xlfn.TEXTSPLIT(SUBSTITUTE(TRIM(A328),"0.0 %","0.0%")," "))</f>
        <v>0.4</v>
      </c>
      <c r="H328">
        <v>2.2850000000000001</v>
      </c>
      <c r="I328">
        <v>1.417</v>
      </c>
      <c r="J328">
        <v>-7.0999999999999994E-2</v>
      </c>
      <c r="K328">
        <v>20.45</v>
      </c>
      <c r="L328">
        <v>1.55E-2</v>
      </c>
      <c r="M328">
        <v>7.0000000000000001E-3</v>
      </c>
      <c r="N328">
        <v>0.5</v>
      </c>
      <c r="O328">
        <v>3.0599999999999998E-3</v>
      </c>
    </row>
    <row r="329" spans="1:15">
      <c r="A329" t="s">
        <v>886</v>
      </c>
      <c r="G329" cm="1">
        <f t="array" ref="G329:O329">VALUE(_xlfn.TEXTSPLIT(SUBSTITUTE(TRIM(A329),"0.0 %","0.0%")," "))</f>
        <v>0.5</v>
      </c>
      <c r="H329">
        <v>2.2010000000000001</v>
      </c>
      <c r="I329">
        <v>1.415</v>
      </c>
      <c r="J329">
        <v>-7.2999999999999995E-2</v>
      </c>
      <c r="K329">
        <v>16.28</v>
      </c>
      <c r="L329">
        <v>1.4800000000000001E-2</v>
      </c>
      <c r="M329">
        <v>5.7999999999999996E-3</v>
      </c>
      <c r="N329">
        <v>0.5</v>
      </c>
      <c r="O329">
        <v>3.1800000000000001E-3</v>
      </c>
    </row>
    <row r="330" spans="1:15">
      <c r="A330" t="s">
        <v>887</v>
      </c>
      <c r="G330" cm="1">
        <f t="array" ref="G330:O330">VALUE(_xlfn.TEXTSPLIT(SUBSTITUTE(TRIM(A330),"0.0 %","0.0%")," "))</f>
        <v>0.6</v>
      </c>
      <c r="H330">
        <v>2.1349999999999998</v>
      </c>
      <c r="I330">
        <v>1.3919999999999999</v>
      </c>
      <c r="J330">
        <v>-7.0000000000000007E-2</v>
      </c>
      <c r="K330">
        <v>18.059999999999999</v>
      </c>
      <c r="L330">
        <v>1.5800000000000002E-2</v>
      </c>
      <c r="M330">
        <v>4.4000000000000003E-3</v>
      </c>
      <c r="N330">
        <v>3</v>
      </c>
      <c r="O330">
        <v>2.6900000000000001E-3</v>
      </c>
    </row>
    <row r="331" spans="1:15">
      <c r="A331" t="s">
        <v>888</v>
      </c>
      <c r="G331" cm="1">
        <f t="array" ref="G331:O331">VALUE(_xlfn.TEXTSPLIT(SUBSTITUTE(TRIM(A331),"0.0 %","0.0%")," "))</f>
        <v>0.8</v>
      </c>
      <c r="H331">
        <v>2.0289999999999999</v>
      </c>
      <c r="I331">
        <v>1.353</v>
      </c>
      <c r="J331">
        <v>-6.6000000000000003E-2</v>
      </c>
      <c r="K331">
        <v>16.59</v>
      </c>
      <c r="L331">
        <v>1.66E-2</v>
      </c>
      <c r="M331">
        <v>2.8E-3</v>
      </c>
      <c r="N331">
        <v>3</v>
      </c>
      <c r="O331">
        <v>1.56E-3</v>
      </c>
    </row>
    <row r="332" spans="1:15">
      <c r="A332" t="s">
        <v>889</v>
      </c>
      <c r="G332" cm="1">
        <f t="array" ref="G332:O332">VALUE(_xlfn.TEXTSPLIT(SUBSTITUTE(TRIM(A332),"0.0 %","0.0%")," "))</f>
        <v>1</v>
      </c>
      <c r="H332">
        <v>1.9510000000000001</v>
      </c>
      <c r="I332">
        <v>1.3129999999999999</v>
      </c>
      <c r="J332">
        <v>-6.0999999999999999E-2</v>
      </c>
      <c r="K332">
        <v>15.85</v>
      </c>
      <c r="L332">
        <v>1.7299999999999999E-2</v>
      </c>
      <c r="M332">
        <v>3.2000000000000002E-3</v>
      </c>
      <c r="N332">
        <v>40</v>
      </c>
      <c r="O332">
        <v>1.75E-3</v>
      </c>
    </row>
    <row r="333" spans="1:15">
      <c r="A333" t="s">
        <v>890</v>
      </c>
      <c r="G333" cm="1">
        <f t="array" ref="G333:O333">VALUE(_xlfn.TEXTSPLIT(SUBSTITUTE(TRIM(A333),"0.0 %","0.0%")," "))</f>
        <v>1.5</v>
      </c>
      <c r="H333">
        <v>1.8320000000000001</v>
      </c>
      <c r="I333">
        <v>1.2150000000000001</v>
      </c>
      <c r="J333">
        <v>-4.3999999999999997E-2</v>
      </c>
      <c r="K333">
        <v>16.11</v>
      </c>
      <c r="L333">
        <v>1.3100000000000001E-2</v>
      </c>
      <c r="M333">
        <v>3.3999999999999998E-3</v>
      </c>
      <c r="N333">
        <v>8</v>
      </c>
      <c r="O333">
        <v>1.58E-3</v>
      </c>
    </row>
    <row r="334" spans="1:15">
      <c r="A334" t="s">
        <v>891</v>
      </c>
      <c r="G334" cm="1">
        <f t="array" ref="G334:O334">VALUE(_xlfn.TEXTSPLIT(SUBSTITUTE(TRIM(A334),"0.0 %","0.0%")," "))</f>
        <v>2</v>
      </c>
      <c r="H334">
        <v>1.7609999999999999</v>
      </c>
      <c r="I334">
        <v>1.149</v>
      </c>
      <c r="J334">
        <v>-3.1E-2</v>
      </c>
      <c r="K334">
        <v>15.18</v>
      </c>
      <c r="L334">
        <v>8.2000000000000007E-3</v>
      </c>
      <c r="M334">
        <v>3.8999999999999998E-3</v>
      </c>
      <c r="N334">
        <v>0.5</v>
      </c>
      <c r="O334">
        <v>1.67E-3</v>
      </c>
    </row>
    <row r="335" spans="1:15">
      <c r="A335" t="s">
        <v>892</v>
      </c>
      <c r="G335" cm="1">
        <f t="array" ref="G335:O335">VALUE(_xlfn.TEXTSPLIT(SUBSTITUTE(TRIM(A335),"0.0 %","0.0%")," "))</f>
        <v>3</v>
      </c>
      <c r="H335">
        <v>1.66</v>
      </c>
      <c r="I335">
        <v>1.0589999999999999</v>
      </c>
      <c r="J335">
        <v>-8.9999999999999993E-3</v>
      </c>
      <c r="K335">
        <v>10.210000000000001</v>
      </c>
      <c r="L335">
        <v>-5.4000000000000003E-3</v>
      </c>
      <c r="M335">
        <v>6.0000000000000001E-3</v>
      </c>
      <c r="N335">
        <v>1</v>
      </c>
      <c r="O335">
        <v>2.48E-3</v>
      </c>
    </row>
    <row r="336" spans="1:15">
      <c r="A336" t="s">
        <v>893</v>
      </c>
      <c r="G336" cm="1">
        <f t="array" ref="G336:O336">VALUE(_xlfn.TEXTSPLIT(SUBSTITUTE(TRIM(A336),"0.0 %","0.0%")," "))</f>
        <v>4</v>
      </c>
      <c r="H336">
        <v>1.587</v>
      </c>
      <c r="I336">
        <v>0.995</v>
      </c>
      <c r="J336">
        <v>0.01</v>
      </c>
      <c r="K336">
        <v>10.199999999999999</v>
      </c>
      <c r="L336">
        <v>-1.7100000000000001E-2</v>
      </c>
      <c r="M336">
        <v>5.4000000000000003E-3</v>
      </c>
      <c r="N336">
        <v>4</v>
      </c>
      <c r="O336">
        <v>3.0000000000000001E-3</v>
      </c>
    </row>
    <row r="337" spans="1:15">
      <c r="A337" t="s">
        <v>894</v>
      </c>
      <c r="G337" cm="1">
        <f t="array" ref="G337:O337">VALUE(_xlfn.TEXTSPLIT(SUBSTITUTE(TRIM(A337),"0.0 %","0.0%")," "))</f>
        <v>5</v>
      </c>
      <c r="H337">
        <v>1.5149999999999999</v>
      </c>
      <c r="I337">
        <v>0.97899999999999998</v>
      </c>
      <c r="J337">
        <v>1.2999999999999999E-2</v>
      </c>
      <c r="K337">
        <v>12.27</v>
      </c>
      <c r="L337">
        <v>-1.61E-2</v>
      </c>
      <c r="M337">
        <v>1.61E-2</v>
      </c>
      <c r="N337">
        <v>0.5</v>
      </c>
      <c r="O337">
        <v>6.0499999999999998E-3</v>
      </c>
    </row>
    <row r="338" spans="1:15">
      <c r="A338" t="s">
        <v>895</v>
      </c>
      <c r="G338" cm="1">
        <f t="array" ref="G338:O338">VALUE(_xlfn.TEXTSPLIT(SUBSTITUTE(TRIM(A338),"0.0 %","0.0%")," "))</f>
        <v>6</v>
      </c>
      <c r="H338">
        <v>1.468</v>
      </c>
      <c r="I338">
        <v>0.95699999999999996</v>
      </c>
      <c r="J338">
        <v>0.02</v>
      </c>
      <c r="K338">
        <v>13.46</v>
      </c>
      <c r="L338">
        <v>-2.24E-2</v>
      </c>
      <c r="M338">
        <v>1.7999999999999999E-2</v>
      </c>
      <c r="N338">
        <v>0.5</v>
      </c>
      <c r="O338">
        <v>7.4200000000000004E-3</v>
      </c>
    </row>
    <row r="339" spans="1:15">
      <c r="A339" t="s">
        <v>896</v>
      </c>
      <c r="G339" cm="1">
        <f t="array" ref="G339:O339">VALUE(_xlfn.TEXTSPLIT(SUBSTITUTE(TRIM(A339),"0.0 %","0.0%")," "))</f>
        <v>8</v>
      </c>
      <c r="H339">
        <v>1.3879999999999999</v>
      </c>
      <c r="I339">
        <v>0.92700000000000005</v>
      </c>
      <c r="J339">
        <v>3.1E-2</v>
      </c>
      <c r="K339">
        <v>13.43</v>
      </c>
      <c r="L339">
        <v>-3.1600000000000003E-2</v>
      </c>
      <c r="M339">
        <v>1.7399999999999999E-2</v>
      </c>
      <c r="N339">
        <v>0.5</v>
      </c>
      <c r="O339">
        <v>9.0100000000000006E-3</v>
      </c>
    </row>
    <row r="340" spans="1:15">
      <c r="A340" t="s">
        <v>897</v>
      </c>
      <c r="G340" cm="1">
        <f t="array" ref="G340:O340">VALUE(_xlfn.TEXTSPLIT(SUBSTITUTE(TRIM(A340),"0.0 %","0.0%")," "))</f>
        <v>10</v>
      </c>
      <c r="H340">
        <v>1.325</v>
      </c>
      <c r="I340">
        <v>0.91900000000000004</v>
      </c>
      <c r="J340">
        <v>3.5000000000000003E-2</v>
      </c>
      <c r="K340">
        <v>13.72</v>
      </c>
      <c r="L340">
        <v>-3.3500000000000002E-2</v>
      </c>
      <c r="M340">
        <v>1.9400000000000001E-2</v>
      </c>
      <c r="N340">
        <v>0.5</v>
      </c>
      <c r="O340">
        <v>9.75E-3</v>
      </c>
    </row>
    <row r="341" spans="1:15">
      <c r="A341" t="s">
        <v>898</v>
      </c>
      <c r="G341" cm="1">
        <f t="array" ref="G341:O341">VALUE(_xlfn.TEXTSPLIT(SUBSTITUTE(TRIM(A341),"0.0 %","0.0%")," "))</f>
        <v>15</v>
      </c>
      <c r="H341">
        <v>1.228</v>
      </c>
      <c r="I341">
        <v>0.89800000000000002</v>
      </c>
      <c r="J341">
        <v>4.8000000000000001E-2</v>
      </c>
      <c r="K341">
        <v>13.24</v>
      </c>
      <c r="L341">
        <v>-4.7100000000000003E-2</v>
      </c>
      <c r="M341">
        <v>2.7799999999999998E-2</v>
      </c>
      <c r="N341">
        <v>0.5</v>
      </c>
      <c r="O341">
        <v>1.0789999999999999E-2</v>
      </c>
    </row>
    <row r="344" spans="1:15">
      <c r="A344" t="s">
        <v>901</v>
      </c>
      <c r="G344" t="str">
        <f>A344</f>
        <v xml:space="preserve">                  ARGON MEDIUM, AIR RESPONSE</v>
      </c>
    </row>
    <row r="346" spans="1:15">
      <c r="A346" t="s">
        <v>610</v>
      </c>
      <c r="G346" t="str" cm="1">
        <f t="array" ref="G346:O346">_xlfn.TEXTSPLIT(TRIM(A346)," ")</f>
        <v>E(MEV)</v>
      </c>
      <c r="H346" t="str">
        <v>B</v>
      </c>
      <c r="I346" t="str">
        <v>C</v>
      </c>
      <c r="J346" t="str">
        <v>A</v>
      </c>
      <c r="K346" t="str">
        <v>XK</v>
      </c>
      <c r="L346" t="str">
        <v>D</v>
      </c>
      <c r="M346" t="str">
        <v>MAX.D</v>
      </c>
      <c r="N346" t="str">
        <v>XMAX</v>
      </c>
      <c r="O346" t="str">
        <v>S.D</v>
      </c>
    </row>
    <row r="347" spans="1:15">
      <c r="A347" t="s">
        <v>611</v>
      </c>
      <c r="G347" s="6" t="s">
        <v>1289</v>
      </c>
      <c r="H347" s="6" t="s">
        <v>1289</v>
      </c>
      <c r="I347" s="6" t="s">
        <v>1289</v>
      </c>
      <c r="J347" s="6" t="s">
        <v>1289</v>
      </c>
      <c r="K347" s="6" t="s">
        <v>1289</v>
      </c>
      <c r="L347" s="6" t="s">
        <v>1289</v>
      </c>
      <c r="M347" s="6" t="s">
        <v>1289</v>
      </c>
      <c r="N347" s="6" t="s">
        <v>1289</v>
      </c>
      <c r="O347" s="6" t="s">
        <v>1289</v>
      </c>
    </row>
    <row r="348" spans="1:15">
      <c r="A348" t="s">
        <v>899</v>
      </c>
      <c r="G348" cm="1">
        <f t="array" ref="G348:O348">VALUE(_xlfn.TEXTSPLIT(SUBSTITUTE(TRIM(A348),"0.0 %","0.0%")," "))</f>
        <v>1.4999999999999999E-2</v>
      </c>
      <c r="H348">
        <v>1.0089999999999999</v>
      </c>
      <c r="I348">
        <v>0.495</v>
      </c>
      <c r="J348">
        <v>0.14099999999999999</v>
      </c>
      <c r="K348">
        <v>29.38</v>
      </c>
      <c r="L348">
        <v>-0.28510000000000002</v>
      </c>
      <c r="M348">
        <v>4.5999999999999999E-3</v>
      </c>
      <c r="N348">
        <v>0.5</v>
      </c>
      <c r="O348">
        <v>2.8500000000000001E-3</v>
      </c>
    </row>
    <row r="349" spans="1:15">
      <c r="A349" t="s">
        <v>902</v>
      </c>
      <c r="G349" cm="1">
        <f t="array" ref="G349:O349">VALUE(_xlfn.TEXTSPLIT(SUBSTITUTE(TRIM(A349),"0.0 %","0.0%")," "))</f>
        <v>0.02</v>
      </c>
      <c r="H349">
        <v>1.0269999999999999</v>
      </c>
      <c r="I349">
        <v>0.318</v>
      </c>
      <c r="J349">
        <v>0.252</v>
      </c>
      <c r="K349">
        <v>18.88</v>
      </c>
      <c r="L349">
        <v>-0.1913</v>
      </c>
      <c r="M349">
        <v>7.0000000000000001E-3</v>
      </c>
      <c r="N349">
        <v>2</v>
      </c>
      <c r="O349">
        <v>2.9099999999999998E-3</v>
      </c>
    </row>
    <row r="350" spans="1:15">
      <c r="A350" t="s">
        <v>900</v>
      </c>
      <c r="G350" cm="1">
        <f t="array" ref="G350:O350">VALUE(_xlfn.TEXTSPLIT(SUBSTITUTE(TRIM(A350),"0.0 %","0.0%")," "))</f>
        <v>0.03</v>
      </c>
      <c r="H350">
        <v>1.081</v>
      </c>
      <c r="I350">
        <v>0.34399999999999997</v>
      </c>
      <c r="J350">
        <v>0.252</v>
      </c>
      <c r="K350">
        <v>13.45</v>
      </c>
      <c r="L350">
        <v>-0.15079999999999999</v>
      </c>
      <c r="M350">
        <v>6.8999999999999999E-3</v>
      </c>
      <c r="N350">
        <v>0.5</v>
      </c>
      <c r="O350">
        <v>2.81E-3</v>
      </c>
    </row>
    <row r="351" spans="1:15">
      <c r="A351" t="s">
        <v>903</v>
      </c>
      <c r="G351" cm="1">
        <f t="array" ref="G351:O351">VALUE(_xlfn.TEXTSPLIT(SUBSTITUTE(TRIM(A351),"0.0 %","0.0%")," "))</f>
        <v>0.04</v>
      </c>
      <c r="H351">
        <v>1.179</v>
      </c>
      <c r="I351">
        <v>0.39200000000000002</v>
      </c>
      <c r="J351">
        <v>0.216</v>
      </c>
      <c r="K351">
        <v>14.54</v>
      </c>
      <c r="L351">
        <v>-0.1227</v>
      </c>
      <c r="M351">
        <v>1.4800000000000001E-2</v>
      </c>
      <c r="N351">
        <v>0.5</v>
      </c>
      <c r="O351">
        <v>6.6100000000000004E-3</v>
      </c>
    </row>
    <row r="352" spans="1:15">
      <c r="A352" t="s">
        <v>904</v>
      </c>
      <c r="G352" cm="1">
        <f t="array" ref="G352:O352">VALUE(_xlfn.TEXTSPLIT(SUBSTITUTE(TRIM(A352),"0.0 %","0.0%")," "))</f>
        <v>0.05</v>
      </c>
      <c r="H352">
        <v>1.3129999999999999</v>
      </c>
      <c r="I352">
        <v>0.433</v>
      </c>
      <c r="J352">
        <v>0.20200000000000001</v>
      </c>
      <c r="K352">
        <v>14.23</v>
      </c>
      <c r="L352">
        <v>-0.1149</v>
      </c>
      <c r="M352">
        <v>2.1299999999999999E-2</v>
      </c>
      <c r="N352">
        <v>0.5</v>
      </c>
      <c r="O352">
        <v>8.6599999999999993E-3</v>
      </c>
    </row>
    <row r="353" spans="1:15">
      <c r="A353" t="s">
        <v>905</v>
      </c>
      <c r="G353" cm="1">
        <f t="array" ref="G353:O353">VALUE(_xlfn.TEXTSPLIT(SUBSTITUTE(TRIM(A353),"0.0 %","0.0%")," "))</f>
        <v>0.06</v>
      </c>
      <c r="H353">
        <v>1.456</v>
      </c>
      <c r="I353">
        <v>0.50800000000000001</v>
      </c>
      <c r="J353">
        <v>0.16800000000000001</v>
      </c>
      <c r="K353">
        <v>14.35</v>
      </c>
      <c r="L353">
        <v>-9.4200000000000006E-2</v>
      </c>
      <c r="M353">
        <v>2.1000000000000001E-2</v>
      </c>
      <c r="N353">
        <v>0.5</v>
      </c>
      <c r="O353">
        <v>8.9800000000000001E-3</v>
      </c>
    </row>
    <row r="354" spans="1:15">
      <c r="A354" t="s">
        <v>906</v>
      </c>
      <c r="G354" cm="1">
        <f t="array" ref="G354:O354">VALUE(_xlfn.TEXTSPLIT(SUBSTITUTE(TRIM(A354),"0.0 %","0.0%")," "))</f>
        <v>0.08</v>
      </c>
      <c r="H354">
        <v>1.7370000000000001</v>
      </c>
      <c r="I354">
        <v>0.65500000000000003</v>
      </c>
      <c r="J354">
        <v>0.111</v>
      </c>
      <c r="K354">
        <v>14.39</v>
      </c>
      <c r="L354">
        <v>-6.25E-2</v>
      </c>
      <c r="M354">
        <v>1.78E-2</v>
      </c>
      <c r="N354">
        <v>0.5</v>
      </c>
      <c r="O354">
        <v>8.2100000000000003E-3</v>
      </c>
    </row>
    <row r="355" spans="1:15">
      <c r="A355" t="s">
        <v>907</v>
      </c>
      <c r="G355" cm="1">
        <f t="array" ref="G355:O355">VALUE(_xlfn.TEXTSPLIT(SUBSTITUTE(TRIM(A355),"0.0 %","0.0%")," "))</f>
        <v>0.1</v>
      </c>
      <c r="H355">
        <v>1.95</v>
      </c>
      <c r="I355">
        <v>0.81399999999999995</v>
      </c>
      <c r="J355">
        <v>5.8999999999999997E-2</v>
      </c>
      <c r="K355">
        <v>14.51</v>
      </c>
      <c r="L355">
        <v>-4.0800000000000003E-2</v>
      </c>
      <c r="M355">
        <v>1.04E-2</v>
      </c>
      <c r="N355">
        <v>0.5</v>
      </c>
      <c r="O355">
        <v>6.6299999999999996E-3</v>
      </c>
    </row>
    <row r="356" spans="1:15">
      <c r="A356" t="s">
        <v>908</v>
      </c>
      <c r="G356" cm="1">
        <f t="array" ref="G356:O356">VALUE(_xlfn.TEXTSPLIT(SUBSTITUTE(TRIM(A356),"0.0 %","0.0%")," "))</f>
        <v>0.15</v>
      </c>
      <c r="H356">
        <v>2.2549999999999999</v>
      </c>
      <c r="I356">
        <v>1.04</v>
      </c>
      <c r="J356">
        <v>4.0000000000000001E-3</v>
      </c>
      <c r="K356">
        <v>13.4</v>
      </c>
      <c r="L356">
        <v>-2.4400000000000002E-2</v>
      </c>
      <c r="M356">
        <v>3.8E-3</v>
      </c>
      <c r="N356">
        <v>2</v>
      </c>
      <c r="O356">
        <v>1.6999999999999999E-3</v>
      </c>
    </row>
    <row r="357" spans="1:15">
      <c r="A357" t="s">
        <v>909</v>
      </c>
      <c r="G357" cm="1">
        <f t="array" ref="G357:O357">VALUE(_xlfn.TEXTSPLIT(SUBSTITUTE(TRIM(A357),"0.0 %","0.0%")," "))</f>
        <v>0.2</v>
      </c>
      <c r="H357">
        <v>2.347</v>
      </c>
      <c r="I357">
        <v>1.175</v>
      </c>
      <c r="J357">
        <v>-2.1000000000000001E-2</v>
      </c>
      <c r="K357">
        <v>12.06</v>
      </c>
      <c r="L357">
        <v>-1.9300000000000001E-2</v>
      </c>
      <c r="M357">
        <v>1.5599999999999999E-2</v>
      </c>
      <c r="N357">
        <v>0.5</v>
      </c>
      <c r="O357">
        <v>8.5800000000000008E-3</v>
      </c>
    </row>
    <row r="358" spans="1:15">
      <c r="A358" t="s">
        <v>910</v>
      </c>
      <c r="G358" cm="1">
        <f t="array" ref="G358:O358">VALUE(_xlfn.TEXTSPLIT(SUBSTITUTE(TRIM(A358),"0.0 %","0.0%")," "))</f>
        <v>0.3</v>
      </c>
      <c r="H358">
        <v>2.3140000000000001</v>
      </c>
      <c r="I358">
        <v>1.3220000000000001</v>
      </c>
      <c r="J358">
        <v>-5.2999999999999999E-2</v>
      </c>
      <c r="K358">
        <v>19.850000000000001</v>
      </c>
      <c r="L358">
        <v>1.6000000000000001E-3</v>
      </c>
      <c r="M358">
        <v>1.66E-2</v>
      </c>
      <c r="N358">
        <v>4</v>
      </c>
      <c r="O358">
        <v>9.4299999999999991E-3</v>
      </c>
    </row>
    <row r="359" spans="1:15">
      <c r="A359" t="s">
        <v>911</v>
      </c>
      <c r="G359" cm="1">
        <f t="array" ref="G359:O359">VALUE(_xlfn.TEXTSPLIT(SUBSTITUTE(TRIM(A359),"0.0 %","0.0%")," "))</f>
        <v>0.4</v>
      </c>
      <c r="H359">
        <v>2.2130000000000001</v>
      </c>
      <c r="I359">
        <v>1.375</v>
      </c>
      <c r="J359">
        <v>-6.4000000000000001E-2</v>
      </c>
      <c r="K359">
        <v>23.47</v>
      </c>
      <c r="L359">
        <v>1.54E-2</v>
      </c>
      <c r="M359">
        <v>1.7999999999999999E-2</v>
      </c>
      <c r="N359">
        <v>0.5</v>
      </c>
      <c r="O359">
        <v>6.5300000000000002E-3</v>
      </c>
    </row>
    <row r="360" spans="1:15">
      <c r="A360" t="s">
        <v>912</v>
      </c>
      <c r="G360" cm="1">
        <f t="array" ref="G360:O360">VALUE(_xlfn.TEXTSPLIT(SUBSTITUTE(TRIM(A360),"0.0 %","0.0%")," "))</f>
        <v>0.5</v>
      </c>
      <c r="H360">
        <v>2.145</v>
      </c>
      <c r="I360">
        <v>1.3779999999999999</v>
      </c>
      <c r="J360">
        <v>-6.6000000000000003E-2</v>
      </c>
      <c r="K360">
        <v>22.25</v>
      </c>
      <c r="L360">
        <v>1.7899999999999999E-2</v>
      </c>
      <c r="M360">
        <v>1.29E-2</v>
      </c>
      <c r="N360">
        <v>0.5</v>
      </c>
      <c r="O360">
        <v>4.2500000000000003E-3</v>
      </c>
    </row>
    <row r="361" spans="1:15">
      <c r="A361" t="s">
        <v>913</v>
      </c>
      <c r="G361" cm="1">
        <f t="array" ref="G361:O361">VALUE(_xlfn.TEXTSPLIT(SUBSTITUTE(TRIM(A361),"0.0 %","0.0%")," "))</f>
        <v>0.6</v>
      </c>
      <c r="H361">
        <v>2.0880000000000001</v>
      </c>
      <c r="I361">
        <v>1.369</v>
      </c>
      <c r="J361">
        <v>-6.6000000000000003E-2</v>
      </c>
      <c r="K361">
        <v>18.91</v>
      </c>
      <c r="L361">
        <v>1.52E-2</v>
      </c>
      <c r="M361">
        <v>9.7999999999999997E-3</v>
      </c>
      <c r="N361">
        <v>0.5</v>
      </c>
      <c r="O361">
        <v>3.8500000000000001E-3</v>
      </c>
    </row>
    <row r="362" spans="1:15">
      <c r="A362" t="s">
        <v>914</v>
      </c>
      <c r="G362" cm="1">
        <f t="array" ref="G362:O362">VALUE(_xlfn.TEXTSPLIT(SUBSTITUTE(TRIM(A362),"0.0 %","0.0%")," "))</f>
        <v>0.8</v>
      </c>
      <c r="H362">
        <v>1.994</v>
      </c>
      <c r="I362">
        <v>1.341</v>
      </c>
      <c r="J362">
        <v>-6.4000000000000001E-2</v>
      </c>
      <c r="K362">
        <v>16.54</v>
      </c>
      <c r="L362">
        <v>1.66E-2</v>
      </c>
      <c r="M362">
        <v>4.1999999999999997E-3</v>
      </c>
      <c r="N362">
        <v>3</v>
      </c>
      <c r="O362">
        <v>2.3E-3</v>
      </c>
    </row>
    <row r="363" spans="1:15">
      <c r="A363" t="s">
        <v>915</v>
      </c>
      <c r="G363" cm="1">
        <f t="array" ref="G363:O363">VALUE(_xlfn.TEXTSPLIT(SUBSTITUTE(TRIM(A363),"0.0 %","0.0%")," "))</f>
        <v>1</v>
      </c>
      <c r="H363">
        <v>1.925</v>
      </c>
      <c r="I363">
        <v>1.3029999999999999</v>
      </c>
      <c r="J363">
        <v>-5.8999999999999997E-2</v>
      </c>
      <c r="K363">
        <v>16.03</v>
      </c>
      <c r="L363">
        <v>1.66E-2</v>
      </c>
      <c r="M363">
        <v>4.5999999999999999E-3</v>
      </c>
      <c r="N363">
        <v>35</v>
      </c>
      <c r="O363">
        <v>2.3900000000000002E-3</v>
      </c>
    </row>
    <row r="364" spans="1:15">
      <c r="A364" t="s">
        <v>916</v>
      </c>
      <c r="G364" cm="1">
        <f t="array" ref="G364:O364">VALUE(_xlfn.TEXTSPLIT(SUBSTITUTE(TRIM(A364),"0.0 %","0.0%")," "))</f>
        <v>1.5</v>
      </c>
      <c r="H364">
        <v>1.8140000000000001</v>
      </c>
      <c r="I364">
        <v>1.2110000000000001</v>
      </c>
      <c r="J364">
        <v>-4.2999999999999997E-2</v>
      </c>
      <c r="K364">
        <v>16.27</v>
      </c>
      <c r="L364">
        <v>1.2500000000000001E-2</v>
      </c>
      <c r="M364">
        <v>3.3E-3</v>
      </c>
      <c r="N364">
        <v>0.5</v>
      </c>
      <c r="O364">
        <v>1.6199999999999999E-3</v>
      </c>
    </row>
    <row r="365" spans="1:15">
      <c r="A365" t="s">
        <v>917</v>
      </c>
      <c r="G365" cm="1">
        <f t="array" ref="G365:O365">VALUE(_xlfn.TEXTSPLIT(SUBSTITUTE(TRIM(A365),"0.0 %","0.0%")," "))</f>
        <v>2</v>
      </c>
      <c r="H365">
        <v>1.7490000000000001</v>
      </c>
      <c r="I365">
        <v>1.147</v>
      </c>
      <c r="J365">
        <v>-0.03</v>
      </c>
      <c r="K365">
        <v>15.16</v>
      </c>
      <c r="L365">
        <v>6.4999999999999997E-3</v>
      </c>
      <c r="M365">
        <v>4.0000000000000001E-3</v>
      </c>
      <c r="N365">
        <v>40</v>
      </c>
      <c r="O365">
        <v>1.34E-3</v>
      </c>
    </row>
    <row r="366" spans="1:15">
      <c r="A366" t="s">
        <v>918</v>
      </c>
      <c r="G366" cm="1">
        <f t="array" ref="G366:O366">VALUE(_xlfn.TEXTSPLIT(SUBSTITUTE(TRIM(A366),"0.0 %","0.0%")," "))</f>
        <v>3</v>
      </c>
      <c r="H366">
        <v>1.657</v>
      </c>
      <c r="I366">
        <v>1.052</v>
      </c>
      <c r="J366">
        <v>-6.0000000000000001E-3</v>
      </c>
      <c r="K366">
        <v>11.62</v>
      </c>
      <c r="L366">
        <v>-8.8999999999999999E-3</v>
      </c>
      <c r="M366">
        <v>7.7999999999999996E-3</v>
      </c>
      <c r="N366">
        <v>1</v>
      </c>
      <c r="O366">
        <v>3.5500000000000002E-3</v>
      </c>
    </row>
    <row r="367" spans="1:15">
      <c r="A367" t="s">
        <v>919</v>
      </c>
      <c r="G367" cm="1">
        <f t="array" ref="G367:O367">VALUE(_xlfn.TEXTSPLIT(SUBSTITUTE(TRIM(A367),"0.0 %","0.0%")," "))</f>
        <v>4</v>
      </c>
      <c r="H367">
        <v>1.579</v>
      </c>
      <c r="I367">
        <v>1.0049999999999999</v>
      </c>
      <c r="J367">
        <v>7.0000000000000001E-3</v>
      </c>
      <c r="K367">
        <v>10.97</v>
      </c>
      <c r="L367">
        <v>-1.44E-2</v>
      </c>
      <c r="M367">
        <v>6.8999999999999999E-3</v>
      </c>
      <c r="N367">
        <v>1</v>
      </c>
      <c r="O367">
        <v>4.0499999999999998E-3</v>
      </c>
    </row>
    <row r="368" spans="1:15">
      <c r="A368" t="s">
        <v>920</v>
      </c>
      <c r="G368" cm="1">
        <f t="array" ref="G368:O368">VALUE(_xlfn.TEXTSPLIT(SUBSTITUTE(TRIM(A368),"0.0 %","0.0%")," "))</f>
        <v>5</v>
      </c>
      <c r="H368">
        <v>1.5129999999999999</v>
      </c>
      <c r="I368">
        <v>0.97799999999999998</v>
      </c>
      <c r="J368">
        <v>1.4999999999999999E-2</v>
      </c>
      <c r="K368">
        <v>13.38</v>
      </c>
      <c r="L368">
        <v>-2.1299999999999999E-2</v>
      </c>
      <c r="M368">
        <v>1.67E-2</v>
      </c>
      <c r="N368">
        <v>0.5</v>
      </c>
      <c r="O368">
        <v>7.4200000000000004E-3</v>
      </c>
    </row>
    <row r="369" spans="1:15">
      <c r="A369" t="s">
        <v>921</v>
      </c>
      <c r="G369" cm="1">
        <f t="array" ref="G369:O369">VALUE(_xlfn.TEXTSPLIT(SUBSTITUTE(TRIM(A369),"0.0 %","0.0%")," "))</f>
        <v>6</v>
      </c>
      <c r="H369">
        <v>1.4610000000000001</v>
      </c>
      <c r="I369">
        <v>0.96599999999999997</v>
      </c>
      <c r="J369">
        <v>1.9E-2</v>
      </c>
      <c r="K369">
        <v>13.7</v>
      </c>
      <c r="L369">
        <v>-2.35E-2</v>
      </c>
      <c r="M369">
        <v>2.12E-2</v>
      </c>
      <c r="N369">
        <v>0.5</v>
      </c>
      <c r="O369">
        <v>8.1200000000000005E-3</v>
      </c>
    </row>
    <row r="370" spans="1:15">
      <c r="A370" t="s">
        <v>922</v>
      </c>
      <c r="G370" cm="1">
        <f t="array" ref="G370:O370">VALUE(_xlfn.TEXTSPLIT(SUBSTITUTE(TRIM(A370),"0.0 %","0.0%")," "))</f>
        <v>8</v>
      </c>
      <c r="H370">
        <v>1.38</v>
      </c>
      <c r="I370">
        <v>0.93799999999999994</v>
      </c>
      <c r="J370">
        <v>0.03</v>
      </c>
      <c r="K370">
        <v>13.39</v>
      </c>
      <c r="L370">
        <v>-3.3300000000000003E-2</v>
      </c>
      <c r="M370">
        <v>2.1299999999999999E-2</v>
      </c>
      <c r="N370">
        <v>0.5</v>
      </c>
      <c r="O370">
        <v>1.04E-2</v>
      </c>
    </row>
    <row r="371" spans="1:15">
      <c r="A371" t="s">
        <v>923</v>
      </c>
      <c r="G371" cm="1">
        <f t="array" ref="G371:O371">VALUE(_xlfn.TEXTSPLIT(SUBSTITUTE(TRIM(A371),"0.0 %","0.0%")," "))</f>
        <v>10</v>
      </c>
      <c r="H371">
        <v>1.321</v>
      </c>
      <c r="I371">
        <v>0.91900000000000004</v>
      </c>
      <c r="J371">
        <v>3.9E-2</v>
      </c>
      <c r="K371">
        <v>13.42</v>
      </c>
      <c r="L371">
        <v>-4.1399999999999999E-2</v>
      </c>
      <c r="M371">
        <v>2.1499999999999998E-2</v>
      </c>
      <c r="N371">
        <v>1</v>
      </c>
      <c r="O371">
        <v>1.04E-2</v>
      </c>
    </row>
    <row r="372" spans="1:15">
      <c r="A372" t="s">
        <v>924</v>
      </c>
      <c r="G372" cm="1">
        <f t="array" ref="G372:O372">VALUE(_xlfn.TEXTSPLIT(SUBSTITUTE(TRIM(A372),"0.0 %","0.0%")," "))</f>
        <v>15</v>
      </c>
      <c r="H372">
        <v>1.244</v>
      </c>
      <c r="I372">
        <v>0.84199999999999997</v>
      </c>
      <c r="J372">
        <v>7.1999999999999995E-2</v>
      </c>
      <c r="K372">
        <v>13.87</v>
      </c>
      <c r="L372">
        <v>-7.0999999999999994E-2</v>
      </c>
      <c r="M372">
        <v>0.03</v>
      </c>
      <c r="N372">
        <v>3</v>
      </c>
      <c r="O372">
        <v>1.737E-2</v>
      </c>
    </row>
    <row r="375" spans="1:15">
      <c r="A375" t="s">
        <v>925</v>
      </c>
      <c r="G375" t="str">
        <f>A375</f>
        <v xml:space="preserve">                  POTASSIUM MEDIUM, AIR RESPONSE</v>
      </c>
    </row>
    <row r="377" spans="1:15">
      <c r="A377" t="s">
        <v>610</v>
      </c>
      <c r="G377" t="str" cm="1">
        <f t="array" ref="G377:O377">_xlfn.TEXTSPLIT(TRIM(A377)," ")</f>
        <v>E(MEV)</v>
      </c>
      <c r="H377" t="str">
        <v>B</v>
      </c>
      <c r="I377" t="str">
        <v>C</v>
      </c>
      <c r="J377" t="str">
        <v>A</v>
      </c>
      <c r="K377" t="str">
        <v>XK</v>
      </c>
      <c r="L377" t="str">
        <v>D</v>
      </c>
      <c r="M377" t="str">
        <v>MAX.D</v>
      </c>
      <c r="N377" t="str">
        <v>XMAX</v>
      </c>
      <c r="O377" t="str">
        <v>S.D</v>
      </c>
    </row>
    <row r="378" spans="1:15">
      <c r="A378" t="s">
        <v>611</v>
      </c>
      <c r="G378" s="6" t="s">
        <v>1289</v>
      </c>
      <c r="H378" s="6" t="s">
        <v>1289</v>
      </c>
      <c r="I378" s="6" t="s">
        <v>1289</v>
      </c>
      <c r="J378" s="6" t="s">
        <v>1289</v>
      </c>
      <c r="K378" s="6" t="s">
        <v>1289</v>
      </c>
      <c r="L378" s="6" t="s">
        <v>1289</v>
      </c>
      <c r="M378" s="6" t="s">
        <v>1289</v>
      </c>
      <c r="N378" s="6" t="s">
        <v>1289</v>
      </c>
      <c r="O378" s="6" t="s">
        <v>1289</v>
      </c>
    </row>
    <row r="379" spans="1:15">
      <c r="A379" t="s">
        <v>926</v>
      </c>
      <c r="G379" cm="1">
        <f t="array" ref="G379:O379">VALUE(_xlfn.TEXTSPLIT(SUBSTITUTE(TRIM(A379),"0.0 %","0.0%")," "))</f>
        <v>1.4999999999999999E-2</v>
      </c>
      <c r="H379">
        <v>1.012</v>
      </c>
      <c r="I379">
        <v>0.13</v>
      </c>
      <c r="J379">
        <v>0.62</v>
      </c>
      <c r="K379">
        <v>11.39</v>
      </c>
      <c r="L379">
        <v>-0.61619999999999997</v>
      </c>
      <c r="M379">
        <v>4.3E-3</v>
      </c>
      <c r="N379">
        <v>2</v>
      </c>
      <c r="O379">
        <v>2.1900000000000001E-3</v>
      </c>
    </row>
    <row r="380" spans="1:15">
      <c r="A380" t="s">
        <v>927</v>
      </c>
      <c r="G380" cm="1">
        <f t="array" ref="G380:O380">VALUE(_xlfn.TEXTSPLIT(SUBSTITUTE(TRIM(A380),"0.0 %","0.0%")," "))</f>
        <v>0.02</v>
      </c>
      <c r="H380">
        <v>1.024</v>
      </c>
      <c r="I380">
        <v>0.28899999999999998</v>
      </c>
      <c r="J380">
        <v>0.28899999999999998</v>
      </c>
      <c r="K380">
        <v>12.38</v>
      </c>
      <c r="L380">
        <v>-0.14530000000000001</v>
      </c>
      <c r="M380">
        <v>4.1000000000000003E-3</v>
      </c>
      <c r="N380">
        <v>6</v>
      </c>
      <c r="O380">
        <v>2.6900000000000001E-3</v>
      </c>
    </row>
    <row r="381" spans="1:15">
      <c r="A381" t="s">
        <v>928</v>
      </c>
      <c r="G381" cm="1">
        <f t="array" ref="G381:O381">VALUE(_xlfn.TEXTSPLIT(SUBSTITUTE(TRIM(A381),"0.0 %","0.0%")," "))</f>
        <v>0.03</v>
      </c>
      <c r="H381">
        <v>1.0669999999999999</v>
      </c>
      <c r="I381">
        <v>0.38400000000000001</v>
      </c>
      <c r="J381">
        <v>0.215</v>
      </c>
      <c r="K381">
        <v>12.44</v>
      </c>
      <c r="L381">
        <v>-0.11409999999999999</v>
      </c>
      <c r="M381">
        <v>7.1000000000000004E-3</v>
      </c>
      <c r="N381">
        <v>0.5</v>
      </c>
      <c r="O381">
        <v>3.2599999999999999E-3</v>
      </c>
    </row>
    <row r="382" spans="1:15">
      <c r="A382" t="s">
        <v>929</v>
      </c>
      <c r="G382" cm="1">
        <f t="array" ref="G382:O382">VALUE(_xlfn.TEXTSPLIT(SUBSTITUTE(TRIM(A382),"0.0 %","0.0%")," "))</f>
        <v>0.04</v>
      </c>
      <c r="H382">
        <v>1.151</v>
      </c>
      <c r="I382">
        <v>0.38200000000000001</v>
      </c>
      <c r="J382">
        <v>0.222</v>
      </c>
      <c r="K382">
        <v>13.92</v>
      </c>
      <c r="L382">
        <v>-0.1229</v>
      </c>
      <c r="M382">
        <v>1.26E-2</v>
      </c>
      <c r="N382">
        <v>0.5</v>
      </c>
      <c r="O382">
        <v>5.5399999999999998E-3</v>
      </c>
    </row>
    <row r="383" spans="1:15">
      <c r="A383" t="s">
        <v>930</v>
      </c>
      <c r="G383" cm="1">
        <f t="array" ref="G383:O383">VALUE(_xlfn.TEXTSPLIT(SUBSTITUTE(TRIM(A383),"0.0 %","0.0%")," "))</f>
        <v>0.05</v>
      </c>
      <c r="H383">
        <v>1.2689999999999999</v>
      </c>
      <c r="I383">
        <v>0.40799999999999997</v>
      </c>
      <c r="J383">
        <v>0.217</v>
      </c>
      <c r="K383">
        <v>14.2</v>
      </c>
      <c r="L383">
        <v>-0.12740000000000001</v>
      </c>
      <c r="M383">
        <v>1.77E-2</v>
      </c>
      <c r="N383">
        <v>0.5</v>
      </c>
      <c r="O383">
        <v>7.7799999999999996E-3</v>
      </c>
    </row>
    <row r="384" spans="1:15">
      <c r="A384" t="s">
        <v>931</v>
      </c>
      <c r="G384" cm="1">
        <f t="array" ref="G384:O384">VALUE(_xlfn.TEXTSPLIT(SUBSTITUTE(TRIM(A384),"0.0 %","0.0%")," "))</f>
        <v>0.06</v>
      </c>
      <c r="H384">
        <v>1.3919999999999999</v>
      </c>
      <c r="I384">
        <v>0.48299999999999998</v>
      </c>
      <c r="J384">
        <v>0.17799999999999999</v>
      </c>
      <c r="K384">
        <v>14.36</v>
      </c>
      <c r="L384">
        <v>-9.8799999999999999E-2</v>
      </c>
      <c r="M384">
        <v>1.8200000000000001E-2</v>
      </c>
      <c r="N384">
        <v>0.5</v>
      </c>
      <c r="O384">
        <v>8.0300000000000007E-3</v>
      </c>
    </row>
    <row r="385" spans="1:15">
      <c r="A385" t="s">
        <v>932</v>
      </c>
      <c r="G385" cm="1">
        <f t="array" ref="G385:O385">VALUE(_xlfn.TEXTSPLIT(SUBSTITUTE(TRIM(A385),"0.0 %","0.0%")," "))</f>
        <v>0.08</v>
      </c>
      <c r="H385">
        <v>1.6439999999999999</v>
      </c>
      <c r="I385">
        <v>0.60899999999999999</v>
      </c>
      <c r="J385">
        <v>0.129</v>
      </c>
      <c r="K385">
        <v>14.32</v>
      </c>
      <c r="L385">
        <v>-7.4200000000000002E-2</v>
      </c>
      <c r="M385">
        <v>2.23E-2</v>
      </c>
      <c r="N385">
        <v>0.5</v>
      </c>
      <c r="O385">
        <v>1.0200000000000001E-2</v>
      </c>
    </row>
    <row r="386" spans="1:15">
      <c r="A386" t="s">
        <v>933</v>
      </c>
      <c r="G386" cm="1">
        <f t="array" ref="G386:O386">VALUE(_xlfn.TEXTSPLIT(SUBSTITUTE(TRIM(A386),"0.0 %","0.0%")," "))</f>
        <v>0.1</v>
      </c>
      <c r="H386">
        <v>1.853</v>
      </c>
      <c r="I386">
        <v>0.75700000000000001</v>
      </c>
      <c r="J386">
        <v>7.6999999999999999E-2</v>
      </c>
      <c r="K386">
        <v>14.33</v>
      </c>
      <c r="L386">
        <v>-5.0200000000000002E-2</v>
      </c>
      <c r="M386">
        <v>2.5499999999999998E-2</v>
      </c>
      <c r="N386">
        <v>0.5</v>
      </c>
      <c r="O386">
        <v>1.021E-2</v>
      </c>
    </row>
    <row r="387" spans="1:15">
      <c r="A387" t="s">
        <v>934</v>
      </c>
      <c r="G387" cm="1">
        <f t="array" ref="G387:O387">VALUE(_xlfn.TEXTSPLIT(SUBSTITUTE(TRIM(A387),"0.0 %","0.0%")," "))</f>
        <v>0.15</v>
      </c>
      <c r="H387">
        <v>2.1459999999999999</v>
      </c>
      <c r="I387">
        <v>1.0049999999999999</v>
      </c>
      <c r="J387">
        <v>0.01</v>
      </c>
      <c r="K387">
        <v>13.7</v>
      </c>
      <c r="L387">
        <v>-2.1600000000000001E-2</v>
      </c>
      <c r="M387">
        <v>9.5999999999999992E-3</v>
      </c>
      <c r="N387">
        <v>4</v>
      </c>
      <c r="O387">
        <v>6.1700000000000001E-3</v>
      </c>
    </row>
    <row r="388" spans="1:15">
      <c r="A388" t="s">
        <v>935</v>
      </c>
      <c r="G388" cm="1">
        <f t="array" ref="G388:O388">VALUE(_xlfn.TEXTSPLIT(SUBSTITUTE(TRIM(A388),"0.0 %","0.0%")," "))</f>
        <v>0.2</v>
      </c>
      <c r="H388">
        <v>2.2349999999999999</v>
      </c>
      <c r="I388">
        <v>1.1659999999999999</v>
      </c>
      <c r="J388">
        <v>-2.1999999999999999E-2</v>
      </c>
      <c r="K388">
        <v>11.91</v>
      </c>
      <c r="L388">
        <v>-1.43E-2</v>
      </c>
      <c r="M388">
        <v>6.7000000000000002E-3</v>
      </c>
      <c r="N388">
        <v>1</v>
      </c>
      <c r="O388">
        <v>4.3800000000000002E-3</v>
      </c>
    </row>
    <row r="389" spans="1:15">
      <c r="A389" t="s">
        <v>936</v>
      </c>
      <c r="G389" cm="1">
        <f t="array" ref="G389:O389">VALUE(_xlfn.TEXTSPLIT(SUBSTITUTE(TRIM(A389),"0.0 %","0.0%")," "))</f>
        <v>0.3</v>
      </c>
      <c r="H389">
        <v>2.2530000000000001</v>
      </c>
      <c r="I389">
        <v>1.282</v>
      </c>
      <c r="J389">
        <v>-4.2999999999999997E-2</v>
      </c>
      <c r="K389">
        <v>10.15</v>
      </c>
      <c r="L389">
        <v>-1.11E-2</v>
      </c>
      <c r="M389">
        <v>1.6799999999999999E-2</v>
      </c>
      <c r="N389">
        <v>0.5</v>
      </c>
      <c r="O389">
        <v>5.9100000000000003E-3</v>
      </c>
    </row>
    <row r="390" spans="1:15">
      <c r="A390" t="s">
        <v>937</v>
      </c>
      <c r="G390" cm="1">
        <f t="array" ref="G390:O390">VALUE(_xlfn.TEXTSPLIT(SUBSTITUTE(TRIM(A390),"0.0 %","0.0%")," "))</f>
        <v>0.4</v>
      </c>
      <c r="H390">
        <v>2.1989999999999998</v>
      </c>
      <c r="I390">
        <v>1.343</v>
      </c>
      <c r="J390">
        <v>-5.8000000000000003E-2</v>
      </c>
      <c r="K390">
        <v>25.46</v>
      </c>
      <c r="L390">
        <v>9.4000000000000004E-3</v>
      </c>
      <c r="M390">
        <v>1.3100000000000001E-2</v>
      </c>
      <c r="N390">
        <v>0.5</v>
      </c>
      <c r="O390">
        <v>6.5599999999999999E-3</v>
      </c>
    </row>
    <row r="391" spans="1:15">
      <c r="A391" t="s">
        <v>938</v>
      </c>
      <c r="G391" cm="1">
        <f t="array" ref="G391:O391">VALUE(_xlfn.TEXTSPLIT(SUBSTITUTE(TRIM(A391),"0.0 %","0.0%")," "))</f>
        <v>0.5</v>
      </c>
      <c r="H391">
        <v>2.1219999999999999</v>
      </c>
      <c r="I391">
        <v>1.361</v>
      </c>
      <c r="J391">
        <v>-6.3E-2</v>
      </c>
      <c r="K391">
        <v>20.95</v>
      </c>
      <c r="L391">
        <v>1.37E-2</v>
      </c>
      <c r="M391">
        <v>1.1900000000000001E-2</v>
      </c>
      <c r="N391">
        <v>0.5</v>
      </c>
      <c r="O391">
        <v>4.8500000000000001E-3</v>
      </c>
    </row>
    <row r="392" spans="1:15">
      <c r="A392" t="s">
        <v>939</v>
      </c>
      <c r="G392" cm="1">
        <f t="array" ref="G392:O392">VALUE(_xlfn.TEXTSPLIT(SUBSTITUTE(TRIM(A392),"0.0 %","0.0%")," "))</f>
        <v>0.6</v>
      </c>
      <c r="H392">
        <v>2.0699999999999998</v>
      </c>
      <c r="I392">
        <v>1.353</v>
      </c>
      <c r="J392">
        <v>-6.3E-2</v>
      </c>
      <c r="K392">
        <v>18.25</v>
      </c>
      <c r="L392">
        <v>1.23E-2</v>
      </c>
      <c r="M392">
        <v>7.4000000000000003E-3</v>
      </c>
      <c r="N392">
        <v>0.5</v>
      </c>
      <c r="O392">
        <v>4.0200000000000001E-3</v>
      </c>
    </row>
    <row r="393" spans="1:15">
      <c r="A393" t="s">
        <v>940</v>
      </c>
      <c r="G393" cm="1">
        <f t="array" ref="G393:O393">VALUE(_xlfn.TEXTSPLIT(SUBSTITUTE(TRIM(A393),"0.0 %","0.0%")," "))</f>
        <v>0.8</v>
      </c>
      <c r="H393">
        <v>1.9790000000000001</v>
      </c>
      <c r="I393">
        <v>1.3280000000000001</v>
      </c>
      <c r="J393">
        <v>-6.0999999999999999E-2</v>
      </c>
      <c r="K393">
        <v>16.89</v>
      </c>
      <c r="L393">
        <v>1.37E-2</v>
      </c>
      <c r="M393">
        <v>7.1000000000000004E-3</v>
      </c>
      <c r="N393">
        <v>0.5</v>
      </c>
      <c r="O393">
        <v>3.13E-3</v>
      </c>
    </row>
    <row r="394" spans="1:15">
      <c r="A394" t="s">
        <v>941</v>
      </c>
      <c r="G394" cm="1">
        <f t="array" ref="G394:O394">VALUE(_xlfn.TEXTSPLIT(SUBSTITUTE(TRIM(A394),"0.0 %","0.0%")," "))</f>
        <v>1</v>
      </c>
      <c r="H394">
        <v>1.9139999999999999</v>
      </c>
      <c r="I394">
        <v>1.294</v>
      </c>
      <c r="J394">
        <v>-5.7000000000000002E-2</v>
      </c>
      <c r="K394">
        <v>15.83</v>
      </c>
      <c r="L394">
        <v>1.46E-2</v>
      </c>
      <c r="M394">
        <v>5.4000000000000003E-3</v>
      </c>
      <c r="N394">
        <v>40</v>
      </c>
      <c r="O394">
        <v>2.4499999999999999E-3</v>
      </c>
    </row>
    <row r="395" spans="1:15">
      <c r="A395" t="s">
        <v>942</v>
      </c>
      <c r="G395" cm="1">
        <f t="array" ref="G395:O395">VALUE(_xlfn.TEXTSPLIT(SUBSTITUTE(TRIM(A395),"0.0 %","0.0%")," "))</f>
        <v>1.5</v>
      </c>
      <c r="H395">
        <v>1.804</v>
      </c>
      <c r="I395">
        <v>1.214</v>
      </c>
      <c r="J395">
        <v>-4.3999999999999997E-2</v>
      </c>
      <c r="K395">
        <v>15.26</v>
      </c>
      <c r="L395">
        <v>1.3100000000000001E-2</v>
      </c>
      <c r="M395">
        <v>4.4999999999999997E-3</v>
      </c>
      <c r="N395">
        <v>35</v>
      </c>
      <c r="O395">
        <v>2.0300000000000001E-3</v>
      </c>
    </row>
    <row r="396" spans="1:15">
      <c r="A396" t="s">
        <v>943</v>
      </c>
      <c r="G396" cm="1">
        <f t="array" ref="G396:O396">VALUE(_xlfn.TEXTSPLIT(SUBSTITUTE(TRIM(A396),"0.0 %","0.0%")," "))</f>
        <v>2</v>
      </c>
      <c r="H396">
        <v>1.744</v>
      </c>
      <c r="I396">
        <v>1.1439999999999999</v>
      </c>
      <c r="J396">
        <v>-2.9000000000000001E-2</v>
      </c>
      <c r="K396">
        <v>16.510000000000002</v>
      </c>
      <c r="L396">
        <v>6.1000000000000004E-3</v>
      </c>
      <c r="M396">
        <v>3.3999999999999998E-3</v>
      </c>
      <c r="N396">
        <v>1</v>
      </c>
      <c r="O396">
        <v>1.57E-3</v>
      </c>
    </row>
    <row r="397" spans="1:15">
      <c r="A397" t="s">
        <v>944</v>
      </c>
      <c r="G397" cm="1">
        <f t="array" ref="G397:O397">VALUE(_xlfn.TEXTSPLIT(SUBSTITUTE(TRIM(A397),"0.0 %","0.0%")," "))</f>
        <v>3</v>
      </c>
      <c r="H397">
        <v>1.6579999999999999</v>
      </c>
      <c r="I397">
        <v>1.0469999999999999</v>
      </c>
      <c r="J397">
        <v>-4.0000000000000001E-3</v>
      </c>
      <c r="K397">
        <v>11.27</v>
      </c>
      <c r="L397">
        <v>-1.0800000000000001E-2</v>
      </c>
      <c r="M397">
        <v>1.3100000000000001E-2</v>
      </c>
      <c r="N397">
        <v>1</v>
      </c>
      <c r="O397">
        <v>4.8799999999999998E-3</v>
      </c>
    </row>
    <row r="398" spans="1:15">
      <c r="A398" t="s">
        <v>945</v>
      </c>
      <c r="G398" cm="1">
        <f t="array" ref="G398:O398">VALUE(_xlfn.TEXTSPLIT(SUBSTITUTE(TRIM(A398),"0.0 %","0.0%")," "))</f>
        <v>4</v>
      </c>
      <c r="H398">
        <v>1.579</v>
      </c>
      <c r="I398">
        <v>1.002</v>
      </c>
      <c r="J398">
        <v>8.9999999999999993E-3</v>
      </c>
      <c r="K398">
        <v>11.56</v>
      </c>
      <c r="L398">
        <v>-1.83E-2</v>
      </c>
      <c r="M398">
        <v>7.7999999999999996E-3</v>
      </c>
      <c r="N398">
        <v>0.5</v>
      </c>
      <c r="O398">
        <v>4.9199999999999999E-3</v>
      </c>
    </row>
    <row r="399" spans="1:15">
      <c r="A399" t="s">
        <v>946</v>
      </c>
      <c r="G399" cm="1">
        <f t="array" ref="G399:O399">VALUE(_xlfn.TEXTSPLIT(SUBSTITUTE(TRIM(A399),"0.0 %","0.0%")," "))</f>
        <v>5</v>
      </c>
      <c r="H399">
        <v>1.508</v>
      </c>
      <c r="I399">
        <v>0.98599999999999999</v>
      </c>
      <c r="J399">
        <v>1.2999999999999999E-2</v>
      </c>
      <c r="K399">
        <v>13.41</v>
      </c>
      <c r="L399">
        <v>-0.02</v>
      </c>
      <c r="M399">
        <v>1.44E-2</v>
      </c>
      <c r="N399">
        <v>1</v>
      </c>
      <c r="O399">
        <v>6.8300000000000001E-3</v>
      </c>
    </row>
    <row r="400" spans="1:15">
      <c r="A400" t="s">
        <v>947</v>
      </c>
      <c r="G400" cm="1">
        <f t="array" ref="G400:O400">VALUE(_xlfn.TEXTSPLIT(SUBSTITUTE(TRIM(A400),"0.0 %","0.0%")," "))</f>
        <v>6</v>
      </c>
      <c r="H400">
        <v>1.4630000000000001</v>
      </c>
      <c r="I400">
        <v>0.95799999999999996</v>
      </c>
      <c r="J400">
        <v>2.3E-2</v>
      </c>
      <c r="K400">
        <v>13.42</v>
      </c>
      <c r="L400">
        <v>-2.8799999999999999E-2</v>
      </c>
      <c r="M400">
        <v>1.9900000000000001E-2</v>
      </c>
      <c r="N400">
        <v>0.5</v>
      </c>
      <c r="O400">
        <v>8.6499999999999997E-3</v>
      </c>
    </row>
    <row r="401" spans="1:15">
      <c r="A401" t="s">
        <v>948</v>
      </c>
      <c r="G401" cm="1">
        <f t="array" ref="G401:O401">VALUE(_xlfn.TEXTSPLIT(SUBSTITUTE(TRIM(A401),"0.0 %","0.0%")," "))</f>
        <v>8</v>
      </c>
      <c r="H401">
        <v>1.3819999999999999</v>
      </c>
      <c r="I401">
        <v>0.93100000000000005</v>
      </c>
      <c r="J401">
        <v>3.4000000000000002E-2</v>
      </c>
      <c r="K401">
        <v>13.47</v>
      </c>
      <c r="L401">
        <v>-3.8899999999999997E-2</v>
      </c>
      <c r="M401">
        <v>0.02</v>
      </c>
      <c r="N401">
        <v>0.5</v>
      </c>
      <c r="O401">
        <v>9.7800000000000005E-3</v>
      </c>
    </row>
    <row r="402" spans="1:15">
      <c r="A402" t="s">
        <v>949</v>
      </c>
      <c r="G402" cm="1">
        <f t="array" ref="G402:O402">VALUE(_xlfn.TEXTSPLIT(SUBSTITUTE(TRIM(A402),"0.0 %","0.0%")," "))</f>
        <v>10</v>
      </c>
      <c r="H402">
        <v>1.3160000000000001</v>
      </c>
      <c r="I402">
        <v>0.92700000000000005</v>
      </c>
      <c r="J402">
        <v>3.7999999999999999E-2</v>
      </c>
      <c r="K402">
        <v>13.53</v>
      </c>
      <c r="L402">
        <v>-4.2700000000000002E-2</v>
      </c>
      <c r="M402">
        <v>2.35E-2</v>
      </c>
      <c r="N402">
        <v>0.5</v>
      </c>
      <c r="O402">
        <v>1.085E-2</v>
      </c>
    </row>
    <row r="403" spans="1:15">
      <c r="A403" t="s">
        <v>950</v>
      </c>
      <c r="G403" cm="1">
        <f t="array" ref="G403:O403">VALUE(_xlfn.TEXTSPLIT(SUBSTITUTE(TRIM(A403),"0.0 %","0.0%")," "))</f>
        <v>15</v>
      </c>
      <c r="H403">
        <v>1.218</v>
      </c>
      <c r="I403">
        <v>0.92</v>
      </c>
      <c r="J403">
        <v>4.7E-2</v>
      </c>
      <c r="K403">
        <v>13.48</v>
      </c>
      <c r="L403">
        <v>-5.1799999999999999E-2</v>
      </c>
      <c r="M403">
        <v>2.5600000000000001E-2</v>
      </c>
      <c r="N403">
        <v>1</v>
      </c>
      <c r="O403">
        <v>1.163E-2</v>
      </c>
    </row>
    <row r="406" spans="1:15">
      <c r="A406" t="s">
        <v>951</v>
      </c>
      <c r="G406" t="str">
        <f>A406</f>
        <v xml:space="preserve">                  CALCIUM MEDIUM, AIR RESPONSE</v>
      </c>
    </row>
    <row r="408" spans="1:15">
      <c r="A408" t="s">
        <v>610</v>
      </c>
      <c r="G408" t="str" cm="1">
        <f t="array" ref="G408:O408">_xlfn.TEXTSPLIT(TRIM(A408)," ")</f>
        <v>E(MEV)</v>
      </c>
      <c r="H408" t="str">
        <v>B</v>
      </c>
      <c r="I408" t="str">
        <v>C</v>
      </c>
      <c r="J408" t="str">
        <v>A</v>
      </c>
      <c r="K408" t="str">
        <v>XK</v>
      </c>
      <c r="L408" t="str">
        <v>D</v>
      </c>
      <c r="M408" t="str">
        <v>MAX.D</v>
      </c>
      <c r="N408" t="str">
        <v>XMAX</v>
      </c>
      <c r="O408" t="str">
        <v>S.D</v>
      </c>
    </row>
    <row r="409" spans="1:15">
      <c r="A409" t="s">
        <v>611</v>
      </c>
      <c r="G409" s="6" t="s">
        <v>1289</v>
      </c>
      <c r="H409" s="6" t="s">
        <v>1289</v>
      </c>
      <c r="I409" s="6" t="s">
        <v>1289</v>
      </c>
      <c r="J409" s="6" t="s">
        <v>1289</v>
      </c>
      <c r="K409" s="6" t="s">
        <v>1289</v>
      </c>
      <c r="L409" s="6" t="s">
        <v>1289</v>
      </c>
      <c r="M409" s="6" t="s">
        <v>1289</v>
      </c>
      <c r="N409" s="6" t="s">
        <v>1289</v>
      </c>
      <c r="O409" s="6" t="s">
        <v>1289</v>
      </c>
    </row>
    <row r="410" spans="1:15">
      <c r="A410" t="s">
        <v>952</v>
      </c>
      <c r="G410" cm="1">
        <f t="array" ref="G410:O410">VALUE(_xlfn.TEXTSPLIT(SUBSTITUTE(TRIM(A410),"0.0 %","0.0%")," "))</f>
        <v>1.4999999999999999E-2</v>
      </c>
      <c r="H410">
        <v>1.01</v>
      </c>
      <c r="I410">
        <v>0.17699999999999999</v>
      </c>
      <c r="J410">
        <v>0.47</v>
      </c>
      <c r="K410">
        <v>15.29</v>
      </c>
      <c r="L410">
        <v>-0.43730000000000002</v>
      </c>
      <c r="M410">
        <v>4.7999999999999996E-3</v>
      </c>
      <c r="N410">
        <v>4</v>
      </c>
      <c r="O410">
        <v>2.5999999999999999E-3</v>
      </c>
    </row>
    <row r="411" spans="1:15">
      <c r="A411" t="s">
        <v>953</v>
      </c>
      <c r="G411" cm="1">
        <f t="array" ref="G411:O411">VALUE(_xlfn.TEXTSPLIT(SUBSTITUTE(TRIM(A411),"0.0 %","0.0%")," "))</f>
        <v>0.02</v>
      </c>
      <c r="H411">
        <v>1.016</v>
      </c>
      <c r="I411">
        <v>0.441</v>
      </c>
      <c r="J411">
        <v>0.18</v>
      </c>
      <c r="K411">
        <v>10.89</v>
      </c>
      <c r="L411">
        <v>-8.4500000000000006E-2</v>
      </c>
      <c r="M411">
        <v>3.8999999999999998E-3</v>
      </c>
      <c r="N411">
        <v>1</v>
      </c>
      <c r="O411">
        <v>2.6199999999999999E-3</v>
      </c>
    </row>
    <row r="412" spans="1:15">
      <c r="A412" t="s">
        <v>954</v>
      </c>
      <c r="G412" cm="1">
        <f t="array" ref="G412:O412">VALUE(_xlfn.TEXTSPLIT(SUBSTITUTE(TRIM(A412),"0.0 %","0.0%")," "))</f>
        <v>0.03</v>
      </c>
      <c r="H412">
        <v>1.0569999999999999</v>
      </c>
      <c r="I412">
        <v>0.372</v>
      </c>
      <c r="J412">
        <v>0.22600000000000001</v>
      </c>
      <c r="K412">
        <v>11.52</v>
      </c>
      <c r="L412">
        <v>-0.1182</v>
      </c>
      <c r="M412">
        <v>6.4000000000000003E-3</v>
      </c>
      <c r="N412">
        <v>3</v>
      </c>
      <c r="O412">
        <v>2.7699999999999999E-3</v>
      </c>
    </row>
    <row r="413" spans="1:15">
      <c r="A413" t="s">
        <v>955</v>
      </c>
      <c r="G413" cm="1">
        <f t="array" ref="G413:O413">VALUE(_xlfn.TEXTSPLIT(SUBSTITUTE(TRIM(A413),"0.0 %","0.0%")," "))</f>
        <v>0.04</v>
      </c>
      <c r="H413">
        <v>1.129</v>
      </c>
      <c r="I413">
        <v>0.36399999999999999</v>
      </c>
      <c r="J413">
        <v>0.23400000000000001</v>
      </c>
      <c r="K413">
        <v>14.07</v>
      </c>
      <c r="L413">
        <v>-0.13569999999999999</v>
      </c>
      <c r="M413">
        <v>6.6E-3</v>
      </c>
      <c r="N413">
        <v>3</v>
      </c>
      <c r="O413">
        <v>3.4399999999999999E-3</v>
      </c>
    </row>
    <row r="414" spans="1:15">
      <c r="A414" t="s">
        <v>956</v>
      </c>
      <c r="G414" cm="1">
        <f t="array" ref="G414:O414">VALUE(_xlfn.TEXTSPLIT(SUBSTITUTE(TRIM(A414),"0.0 %","0.0%")," "))</f>
        <v>0.05</v>
      </c>
      <c r="H414">
        <v>1.226</v>
      </c>
      <c r="I414">
        <v>0.40500000000000003</v>
      </c>
      <c r="J414">
        <v>0.21299999999999999</v>
      </c>
      <c r="K414">
        <v>14.14</v>
      </c>
      <c r="L414">
        <v>-0.1172</v>
      </c>
      <c r="M414">
        <v>1.55E-2</v>
      </c>
      <c r="N414">
        <v>0.5</v>
      </c>
      <c r="O414">
        <v>6.6899999999999998E-3</v>
      </c>
    </row>
    <row r="415" spans="1:15">
      <c r="A415" t="s">
        <v>957</v>
      </c>
      <c r="G415" cm="1">
        <f t="array" ref="G415:O415">VALUE(_xlfn.TEXTSPLIT(SUBSTITUTE(TRIM(A415),"0.0 %","0.0%")," "))</f>
        <v>0.06</v>
      </c>
      <c r="H415">
        <v>1.335</v>
      </c>
      <c r="I415">
        <v>0.45600000000000002</v>
      </c>
      <c r="J415">
        <v>0.192</v>
      </c>
      <c r="K415">
        <v>14.25</v>
      </c>
      <c r="L415">
        <v>-0.11070000000000001</v>
      </c>
      <c r="M415">
        <v>2.01E-2</v>
      </c>
      <c r="N415">
        <v>0.5</v>
      </c>
      <c r="O415">
        <v>8.7100000000000007E-3</v>
      </c>
    </row>
    <row r="416" spans="1:15">
      <c r="A416" t="s">
        <v>958</v>
      </c>
      <c r="G416" cm="1">
        <f t="array" ref="G416:O416">VALUE(_xlfn.TEXTSPLIT(SUBSTITUTE(TRIM(A416),"0.0 %","0.0%")," "))</f>
        <v>0.08</v>
      </c>
      <c r="H416">
        <v>1.5640000000000001</v>
      </c>
      <c r="I416">
        <v>0.57399999999999995</v>
      </c>
      <c r="J416">
        <v>0.14199999999999999</v>
      </c>
      <c r="K416">
        <v>14.35</v>
      </c>
      <c r="L416">
        <v>-8.0100000000000005E-2</v>
      </c>
      <c r="M416">
        <v>2.3800000000000002E-2</v>
      </c>
      <c r="N416">
        <v>0.5</v>
      </c>
      <c r="O416">
        <v>1.0699999999999999E-2</v>
      </c>
    </row>
    <row r="417" spans="1:15">
      <c r="A417" t="s">
        <v>959</v>
      </c>
      <c r="G417" cm="1">
        <f t="array" ref="G417:O417">VALUE(_xlfn.TEXTSPLIT(SUBSTITUTE(TRIM(A417),"0.0 %","0.0%")," "))</f>
        <v>0.1</v>
      </c>
      <c r="H417">
        <v>1.76</v>
      </c>
      <c r="I417">
        <v>0.70799999999999996</v>
      </c>
      <c r="J417">
        <v>9.2999999999999999E-2</v>
      </c>
      <c r="K417">
        <v>14.3</v>
      </c>
      <c r="L417">
        <v>-5.8000000000000003E-2</v>
      </c>
      <c r="M417">
        <v>2.8199999999999999E-2</v>
      </c>
      <c r="N417">
        <v>0.5</v>
      </c>
      <c r="O417">
        <v>1.112E-2</v>
      </c>
    </row>
    <row r="418" spans="1:15">
      <c r="A418" t="s">
        <v>960</v>
      </c>
      <c r="G418" cm="1">
        <f t="array" ref="G418:O418">VALUE(_xlfn.TEXTSPLIT(SUBSTITUTE(TRIM(A418),"0.0 %","0.0%")," "))</f>
        <v>0.15</v>
      </c>
      <c r="H418">
        <v>2.0619999999999998</v>
      </c>
      <c r="I418">
        <v>0.94899999999999995</v>
      </c>
      <c r="J418">
        <v>2.4E-2</v>
      </c>
      <c r="K418">
        <v>13.69</v>
      </c>
      <c r="L418">
        <v>-2.8000000000000001E-2</v>
      </c>
      <c r="M418">
        <v>1.9E-2</v>
      </c>
      <c r="N418">
        <v>0.5</v>
      </c>
      <c r="O418">
        <v>7.9500000000000005E-3</v>
      </c>
    </row>
    <row r="419" spans="1:15">
      <c r="A419" t="s">
        <v>961</v>
      </c>
      <c r="G419" cm="1">
        <f t="array" ref="G419:O419">VALUE(_xlfn.TEXTSPLIT(SUBSTITUTE(TRIM(A419),"0.0 %","0.0%")," "))</f>
        <v>0.2</v>
      </c>
      <c r="H419">
        <v>2.1749999999999998</v>
      </c>
      <c r="I419">
        <v>1.1180000000000001</v>
      </c>
      <c r="J419">
        <v>-1.2E-2</v>
      </c>
      <c r="K419">
        <v>12.58</v>
      </c>
      <c r="L419">
        <v>-1.8800000000000001E-2</v>
      </c>
      <c r="M419">
        <v>1.8800000000000001E-2</v>
      </c>
      <c r="N419">
        <v>0.5</v>
      </c>
      <c r="O419">
        <v>7.9900000000000006E-3</v>
      </c>
    </row>
    <row r="420" spans="1:15">
      <c r="A420" t="s">
        <v>962</v>
      </c>
      <c r="G420" cm="1">
        <f t="array" ref="G420:O420">VALUE(_xlfn.TEXTSPLIT(SUBSTITUTE(TRIM(A420),"0.0 %","0.0%")," "))</f>
        <v>0.3</v>
      </c>
      <c r="H420">
        <v>2.2040000000000002</v>
      </c>
      <c r="I420">
        <v>1.2569999999999999</v>
      </c>
      <c r="J420">
        <v>-3.9E-2</v>
      </c>
      <c r="K420">
        <v>10.26</v>
      </c>
      <c r="L420">
        <v>-1.1299999999999999E-2</v>
      </c>
      <c r="M420">
        <v>1.04E-2</v>
      </c>
      <c r="N420">
        <v>0.5</v>
      </c>
      <c r="O420">
        <v>5.2100000000000002E-3</v>
      </c>
    </row>
    <row r="421" spans="1:15">
      <c r="A421" t="s">
        <v>963</v>
      </c>
      <c r="G421" cm="1">
        <f t="array" ref="G421:O421">VALUE(_xlfn.TEXTSPLIT(SUBSTITUTE(TRIM(A421),"0.0 %","0.0%")," "))</f>
        <v>0.4</v>
      </c>
      <c r="H421">
        <v>2.1669999999999998</v>
      </c>
      <c r="I421">
        <v>1.3049999999999999</v>
      </c>
      <c r="J421">
        <v>-4.9000000000000002E-2</v>
      </c>
      <c r="K421">
        <v>9.8000000000000007</v>
      </c>
      <c r="L421">
        <v>-5.8999999999999999E-3</v>
      </c>
      <c r="M421">
        <v>1.2999999999999999E-2</v>
      </c>
      <c r="N421">
        <v>0.5</v>
      </c>
      <c r="O421">
        <v>6.1199999999999996E-3</v>
      </c>
    </row>
    <row r="422" spans="1:15">
      <c r="A422" t="s">
        <v>964</v>
      </c>
      <c r="G422" cm="1">
        <f t="array" ref="G422:O422">VALUE(_xlfn.TEXTSPLIT(SUBSTITUTE(TRIM(A422),"0.0 %","0.0%")," "))</f>
        <v>0.5</v>
      </c>
      <c r="H422">
        <v>2.101</v>
      </c>
      <c r="I422">
        <v>1.3440000000000001</v>
      </c>
      <c r="J422">
        <v>-0.06</v>
      </c>
      <c r="K422">
        <v>24.54</v>
      </c>
      <c r="L422">
        <v>1.72E-2</v>
      </c>
      <c r="M422">
        <v>1.04E-2</v>
      </c>
      <c r="N422">
        <v>0.5</v>
      </c>
      <c r="O422">
        <v>5.4200000000000003E-3</v>
      </c>
    </row>
    <row r="423" spans="1:15">
      <c r="A423" t="s">
        <v>965</v>
      </c>
      <c r="G423" cm="1">
        <f t="array" ref="G423:O423">VALUE(_xlfn.TEXTSPLIT(SUBSTITUTE(TRIM(A423),"0.0 %","0.0%")," "))</f>
        <v>0.6</v>
      </c>
      <c r="H423">
        <v>2.0579999999999998</v>
      </c>
      <c r="I423">
        <v>1.333</v>
      </c>
      <c r="J423">
        <v>-5.8999999999999997E-2</v>
      </c>
      <c r="K423">
        <v>23.64</v>
      </c>
      <c r="L423">
        <v>1.4999999999999999E-2</v>
      </c>
      <c r="M423">
        <v>1.03E-2</v>
      </c>
      <c r="N423">
        <v>3</v>
      </c>
      <c r="O423">
        <v>5.2300000000000003E-3</v>
      </c>
    </row>
    <row r="424" spans="1:15">
      <c r="A424" t="s">
        <v>966</v>
      </c>
      <c r="G424" cm="1">
        <f t="array" ref="G424:O424">VALUE(_xlfn.TEXTSPLIT(SUBSTITUTE(TRIM(A424),"0.0 %","0.0%")," "))</f>
        <v>0.8</v>
      </c>
      <c r="H424">
        <v>1.9630000000000001</v>
      </c>
      <c r="I424">
        <v>1.3220000000000001</v>
      </c>
      <c r="J424">
        <v>-0.06</v>
      </c>
      <c r="K424">
        <v>18.989999999999998</v>
      </c>
      <c r="L424">
        <v>1.66E-2</v>
      </c>
      <c r="M424">
        <v>1.17E-2</v>
      </c>
      <c r="N424">
        <v>0.5</v>
      </c>
      <c r="O424">
        <v>3.6900000000000001E-3</v>
      </c>
    </row>
    <row r="425" spans="1:15">
      <c r="A425" t="s">
        <v>967</v>
      </c>
      <c r="G425" cm="1">
        <f t="array" ref="G425:O425">VALUE(_xlfn.TEXTSPLIT(SUBSTITUTE(TRIM(A425),"0.0 %","0.0%")," "))</f>
        <v>1</v>
      </c>
      <c r="H425">
        <v>1.9039999999999999</v>
      </c>
      <c r="I425">
        <v>1.2889999999999999</v>
      </c>
      <c r="J425">
        <v>-5.6000000000000001E-2</v>
      </c>
      <c r="K425">
        <v>17.12</v>
      </c>
      <c r="L425">
        <v>1.5900000000000001E-2</v>
      </c>
      <c r="M425">
        <v>7.7000000000000002E-3</v>
      </c>
      <c r="N425">
        <v>0.5</v>
      </c>
      <c r="O425">
        <v>3.0699999999999998E-3</v>
      </c>
    </row>
    <row r="426" spans="1:15">
      <c r="A426" t="s">
        <v>968</v>
      </c>
      <c r="G426" cm="1">
        <f t="array" ref="G426:O426">VALUE(_xlfn.TEXTSPLIT(SUBSTITUTE(TRIM(A426),"0.0 %","0.0%")," "))</f>
        <v>1.5</v>
      </c>
      <c r="H426">
        <v>1.796</v>
      </c>
      <c r="I426">
        <v>1.21</v>
      </c>
      <c r="J426">
        <v>-4.2999999999999997E-2</v>
      </c>
      <c r="K426">
        <v>15.77</v>
      </c>
      <c r="L426">
        <v>1.2800000000000001E-2</v>
      </c>
      <c r="M426">
        <v>3.3E-3</v>
      </c>
      <c r="N426">
        <v>8</v>
      </c>
      <c r="O426">
        <v>1.67E-3</v>
      </c>
    </row>
    <row r="427" spans="1:15">
      <c r="A427" t="s">
        <v>969</v>
      </c>
      <c r="G427" cm="1">
        <f t="array" ref="G427:O427">VALUE(_xlfn.TEXTSPLIT(SUBSTITUTE(TRIM(A427),"0.0 %","0.0%")," "))</f>
        <v>2</v>
      </c>
      <c r="H427">
        <v>1.7370000000000001</v>
      </c>
      <c r="I427">
        <v>1.1479999999999999</v>
      </c>
      <c r="J427">
        <v>-0.03</v>
      </c>
      <c r="K427">
        <v>17.57</v>
      </c>
      <c r="L427">
        <v>7.9000000000000008E-3</v>
      </c>
      <c r="M427">
        <v>4.4999999999999997E-3</v>
      </c>
      <c r="N427">
        <v>0.5</v>
      </c>
      <c r="O427">
        <v>2.2399999999999998E-3</v>
      </c>
    </row>
    <row r="428" spans="1:15">
      <c r="A428" t="s">
        <v>970</v>
      </c>
      <c r="G428" cm="1">
        <f t="array" ref="G428:O428">VALUE(_xlfn.TEXTSPLIT(SUBSTITUTE(TRIM(A428),"0.0 %","0.0%")," "))</f>
        <v>3</v>
      </c>
      <c r="H428">
        <v>1.64</v>
      </c>
      <c r="I428">
        <v>1.07</v>
      </c>
      <c r="J428">
        <v>-1.0999999999999999E-2</v>
      </c>
      <c r="K428">
        <v>13.24</v>
      </c>
      <c r="L428">
        <v>-6.7000000000000002E-3</v>
      </c>
      <c r="M428">
        <v>6.6E-3</v>
      </c>
      <c r="N428">
        <v>40</v>
      </c>
      <c r="O428">
        <v>3.1700000000000001E-3</v>
      </c>
    </row>
    <row r="429" spans="1:15">
      <c r="A429" t="s">
        <v>971</v>
      </c>
      <c r="G429" cm="1">
        <f t="array" ref="G429:O429">VALUE(_xlfn.TEXTSPLIT(SUBSTITUTE(TRIM(A429),"0.0 %","0.0%")," "))</f>
        <v>4</v>
      </c>
      <c r="H429">
        <v>1.5740000000000001</v>
      </c>
      <c r="I429">
        <v>1.0089999999999999</v>
      </c>
      <c r="J429">
        <v>7.0000000000000001E-3</v>
      </c>
      <c r="K429">
        <v>12.05</v>
      </c>
      <c r="L429">
        <v>-1.67E-2</v>
      </c>
      <c r="M429">
        <v>1.03E-2</v>
      </c>
      <c r="N429">
        <v>0.5</v>
      </c>
      <c r="O429">
        <v>5.79E-3</v>
      </c>
    </row>
    <row r="430" spans="1:15">
      <c r="A430" t="s">
        <v>972</v>
      </c>
      <c r="G430" cm="1">
        <f t="array" ref="G430:O430">VALUE(_xlfn.TEXTSPLIT(SUBSTITUTE(TRIM(A430),"0.0 %","0.0%")," "))</f>
        <v>5</v>
      </c>
      <c r="H430">
        <v>1.508</v>
      </c>
      <c r="I430">
        <v>0.98299999999999998</v>
      </c>
      <c r="J430">
        <v>1.4999999999999999E-2</v>
      </c>
      <c r="K430">
        <v>13.21</v>
      </c>
      <c r="L430">
        <v>-2.3099999999999999E-2</v>
      </c>
      <c r="M430">
        <v>1.12E-2</v>
      </c>
      <c r="N430">
        <v>0.5</v>
      </c>
      <c r="O430">
        <v>6.6499999999999997E-3</v>
      </c>
    </row>
    <row r="431" spans="1:15">
      <c r="A431" t="s">
        <v>973</v>
      </c>
      <c r="G431" cm="1">
        <f t="array" ref="G431:O431">VALUE(_xlfn.TEXTSPLIT(SUBSTITUTE(TRIM(A431),"0.0 %","0.0%")," "))</f>
        <v>6</v>
      </c>
      <c r="H431">
        <v>1.4590000000000001</v>
      </c>
      <c r="I431">
        <v>0.96199999999999997</v>
      </c>
      <c r="J431">
        <v>2.3E-2</v>
      </c>
      <c r="K431">
        <v>13.19</v>
      </c>
      <c r="L431">
        <v>-3.0300000000000001E-2</v>
      </c>
      <c r="M431">
        <v>2.1700000000000001E-2</v>
      </c>
      <c r="N431">
        <v>0.5</v>
      </c>
      <c r="O431">
        <v>9.1800000000000007E-3</v>
      </c>
    </row>
    <row r="432" spans="1:15">
      <c r="A432" t="s">
        <v>974</v>
      </c>
      <c r="G432" cm="1">
        <f t="array" ref="G432:O432">VALUE(_xlfn.TEXTSPLIT(SUBSTITUTE(TRIM(A432),"0.0 %","0.0%")," "))</f>
        <v>8</v>
      </c>
      <c r="H432">
        <v>1.3759999999999999</v>
      </c>
      <c r="I432">
        <v>0.94299999999999995</v>
      </c>
      <c r="J432">
        <v>3.1E-2</v>
      </c>
      <c r="K432">
        <v>13.52</v>
      </c>
      <c r="L432">
        <v>-3.6299999999999999E-2</v>
      </c>
      <c r="M432">
        <v>2.3099999999999999E-2</v>
      </c>
      <c r="N432">
        <v>0.5</v>
      </c>
      <c r="O432">
        <v>1.091E-2</v>
      </c>
    </row>
    <row r="433" spans="1:15">
      <c r="A433" t="s">
        <v>975</v>
      </c>
      <c r="G433" cm="1">
        <f t="array" ref="G433:O433">VALUE(_xlfn.TEXTSPLIT(SUBSTITUTE(TRIM(A433),"0.0 %","0.0%")," "))</f>
        <v>10</v>
      </c>
      <c r="H433">
        <v>1.3129999999999999</v>
      </c>
      <c r="I433">
        <v>0.93400000000000005</v>
      </c>
      <c r="J433">
        <v>3.6999999999999998E-2</v>
      </c>
      <c r="K433">
        <v>13.6</v>
      </c>
      <c r="L433">
        <v>-4.24E-2</v>
      </c>
      <c r="M433">
        <v>2.5100000000000001E-2</v>
      </c>
      <c r="N433">
        <v>0.5</v>
      </c>
      <c r="O433">
        <v>1.1469999999999999E-2</v>
      </c>
    </row>
    <row r="434" spans="1:15">
      <c r="A434" t="s">
        <v>976</v>
      </c>
      <c r="G434" cm="1">
        <f t="array" ref="G434:O434">VALUE(_xlfn.TEXTSPLIT(SUBSTITUTE(TRIM(A434),"0.0 %","0.0%")," "))</f>
        <v>15</v>
      </c>
      <c r="H434">
        <v>1.2190000000000001</v>
      </c>
      <c r="I434">
        <v>0.91600000000000004</v>
      </c>
      <c r="J434">
        <v>0.05</v>
      </c>
      <c r="K434">
        <v>13.91</v>
      </c>
      <c r="L434">
        <v>-5.5100000000000003E-2</v>
      </c>
      <c r="M434">
        <v>2.4799999999999999E-2</v>
      </c>
      <c r="N434">
        <v>1</v>
      </c>
      <c r="O434">
        <v>1.277E-2</v>
      </c>
    </row>
    <row r="437" spans="1:15">
      <c r="A437" t="s">
        <v>978</v>
      </c>
      <c r="G437" t="str">
        <f>A437</f>
        <v xml:space="preserve">                  IRON MEDIUM, AIR RESPONSE</v>
      </c>
    </row>
    <row r="439" spans="1:15">
      <c r="A439" t="s">
        <v>610</v>
      </c>
      <c r="G439" t="str" cm="1">
        <f t="array" ref="G439:O439">_xlfn.TEXTSPLIT(TRIM(A439)," ")</f>
        <v>E(MEV)</v>
      </c>
      <c r="H439" t="str">
        <v>B</v>
      </c>
      <c r="I439" t="str">
        <v>C</v>
      </c>
      <c r="J439" t="str">
        <v>A</v>
      </c>
      <c r="K439" t="str">
        <v>XK</v>
      </c>
      <c r="L439" t="str">
        <v>D</v>
      </c>
      <c r="M439" t="str">
        <v>MAX.D</v>
      </c>
      <c r="N439" t="str">
        <v>XMAX</v>
      </c>
      <c r="O439" t="str">
        <v>S.D</v>
      </c>
    </row>
    <row r="440" spans="1:15">
      <c r="A440" t="s">
        <v>611</v>
      </c>
      <c r="G440" s="6" t="s">
        <v>1289</v>
      </c>
      <c r="H440" s="6" t="s">
        <v>1289</v>
      </c>
      <c r="I440" s="6" t="s">
        <v>1289</v>
      </c>
      <c r="J440" s="6" t="s">
        <v>1289</v>
      </c>
      <c r="K440" s="6" t="s">
        <v>1289</v>
      </c>
      <c r="L440" s="6" t="s">
        <v>1289</v>
      </c>
      <c r="M440" s="6" t="s">
        <v>1289</v>
      </c>
      <c r="N440" s="6" t="s">
        <v>1289</v>
      </c>
      <c r="O440" s="6" t="s">
        <v>1289</v>
      </c>
    </row>
    <row r="441" spans="1:15">
      <c r="A441" t="s">
        <v>977</v>
      </c>
      <c r="G441" cm="1">
        <f t="array" ref="G441:O441">VALUE(_xlfn.TEXTSPLIT(SUBSTITUTE(TRIM(A441),"0.0 %","0.0%")," "))</f>
        <v>1.4999999999999999E-2</v>
      </c>
      <c r="H441">
        <v>1.004</v>
      </c>
      <c r="I441">
        <v>1.5609999999999999</v>
      </c>
      <c r="J441">
        <v>-0.55400000000000005</v>
      </c>
      <c r="K441">
        <v>5.6</v>
      </c>
      <c r="L441">
        <v>0.35239999999999999</v>
      </c>
      <c r="M441">
        <v>4.0000000000000001E-3</v>
      </c>
      <c r="N441">
        <v>1</v>
      </c>
      <c r="O441">
        <v>1.2899999999999999E-3</v>
      </c>
    </row>
    <row r="442" spans="1:15">
      <c r="A442" t="s">
        <v>979</v>
      </c>
      <c r="G442" cm="1">
        <f t="array" ref="G442:O442">VALUE(_xlfn.TEXTSPLIT(SUBSTITUTE(TRIM(A442),"0.0 %","0.0%")," "))</f>
        <v>0.02</v>
      </c>
      <c r="H442">
        <v>1.012</v>
      </c>
      <c r="I442">
        <v>0.13</v>
      </c>
      <c r="J442">
        <v>0.62</v>
      </c>
      <c r="K442">
        <v>11.39</v>
      </c>
      <c r="L442">
        <v>-0.61619999999999997</v>
      </c>
      <c r="M442">
        <v>4.3E-3</v>
      </c>
      <c r="N442">
        <v>2</v>
      </c>
      <c r="O442">
        <v>2.1900000000000001E-3</v>
      </c>
    </row>
    <row r="443" spans="1:15">
      <c r="A443" t="s">
        <v>980</v>
      </c>
      <c r="G443" cm="1">
        <f t="array" ref="G443:O443">VALUE(_xlfn.TEXTSPLIT(SUBSTITUTE(TRIM(A443),"0.0 %","0.0%")," "))</f>
        <v>0.03</v>
      </c>
      <c r="H443">
        <v>1.028</v>
      </c>
      <c r="I443">
        <v>0.374</v>
      </c>
      <c r="J443">
        <v>0.19</v>
      </c>
      <c r="K443">
        <v>29.34</v>
      </c>
      <c r="L443">
        <v>-0.317</v>
      </c>
      <c r="M443">
        <v>6.4999999999999997E-3</v>
      </c>
      <c r="N443">
        <v>3</v>
      </c>
      <c r="O443">
        <v>2.81E-3</v>
      </c>
    </row>
    <row r="444" spans="1:15">
      <c r="A444" t="s">
        <v>981</v>
      </c>
      <c r="G444" cm="1">
        <f t="array" ref="G444:O444">VALUE(_xlfn.TEXTSPLIT(SUBSTITUTE(TRIM(A444),"0.0 %","0.0%")," "))</f>
        <v>0.04</v>
      </c>
      <c r="H444">
        <v>1.0580000000000001</v>
      </c>
      <c r="I444">
        <v>0.33600000000000002</v>
      </c>
      <c r="J444">
        <v>0.248</v>
      </c>
      <c r="K444">
        <v>11.65</v>
      </c>
      <c r="L444">
        <v>-0.1188</v>
      </c>
      <c r="M444">
        <v>5.0000000000000001E-3</v>
      </c>
      <c r="N444">
        <v>7</v>
      </c>
      <c r="O444">
        <v>2.3800000000000002E-3</v>
      </c>
    </row>
    <row r="445" spans="1:15">
      <c r="A445" t="s">
        <v>982</v>
      </c>
      <c r="G445" cm="1">
        <f t="array" ref="G445:O445">VALUE(_xlfn.TEXTSPLIT(SUBSTITUTE(TRIM(A445),"0.0 %","0.0%")," "))</f>
        <v>0.05</v>
      </c>
      <c r="H445">
        <v>1.099</v>
      </c>
      <c r="I445">
        <v>0.36599999999999999</v>
      </c>
      <c r="J445">
        <v>0.23200000000000001</v>
      </c>
      <c r="K445">
        <v>14.01</v>
      </c>
      <c r="L445">
        <v>-0.13539999999999999</v>
      </c>
      <c r="M445">
        <v>6.4999999999999997E-3</v>
      </c>
      <c r="N445">
        <v>3</v>
      </c>
      <c r="O445">
        <v>3.4299999999999999E-3</v>
      </c>
    </row>
    <row r="446" spans="1:15">
      <c r="A446" t="s">
        <v>983</v>
      </c>
      <c r="G446" cm="1">
        <f t="array" ref="G446:O446">VALUE(_xlfn.TEXTSPLIT(SUBSTITUTE(TRIM(A446),"0.0 %","0.0%")," "))</f>
        <v>0.06</v>
      </c>
      <c r="H446">
        <v>1.1479999999999999</v>
      </c>
      <c r="I446">
        <v>0.40500000000000003</v>
      </c>
      <c r="J446">
        <v>0.20799999999999999</v>
      </c>
      <c r="K446">
        <v>14.17</v>
      </c>
      <c r="L446">
        <v>-0.1142</v>
      </c>
      <c r="M446">
        <v>1.5299999999999999E-2</v>
      </c>
      <c r="N446">
        <v>0.5</v>
      </c>
      <c r="O446">
        <v>5.77E-3</v>
      </c>
    </row>
    <row r="447" spans="1:15">
      <c r="A447" t="s">
        <v>984</v>
      </c>
      <c r="G447" cm="1">
        <f t="array" ref="G447:O447">VALUE(_xlfn.TEXTSPLIT(SUBSTITUTE(TRIM(A447),"0.0 %","0.0%")," "))</f>
        <v>0.08</v>
      </c>
      <c r="H447">
        <v>1.2669999999999999</v>
      </c>
      <c r="I447">
        <v>0.47</v>
      </c>
      <c r="J447">
        <v>0.18</v>
      </c>
      <c r="K447">
        <v>14.48</v>
      </c>
      <c r="L447">
        <v>-9.74E-2</v>
      </c>
      <c r="M447">
        <v>2.3199999999999998E-2</v>
      </c>
      <c r="N447">
        <v>0.5</v>
      </c>
      <c r="O447">
        <v>8.9200000000000008E-3</v>
      </c>
    </row>
    <row r="448" spans="1:15">
      <c r="A448" t="s">
        <v>985</v>
      </c>
      <c r="G448" cm="1">
        <f t="array" ref="G448:O448">VALUE(_xlfn.TEXTSPLIT(SUBSTITUTE(TRIM(A448),"0.0 %","0.0%")," "))</f>
        <v>0.1</v>
      </c>
      <c r="H448">
        <v>1.389</v>
      </c>
      <c r="I448">
        <v>0.55700000000000005</v>
      </c>
      <c r="J448">
        <v>0.14399999999999999</v>
      </c>
      <c r="K448">
        <v>14.11</v>
      </c>
      <c r="L448">
        <v>-7.9100000000000004E-2</v>
      </c>
      <c r="M448">
        <v>2.58E-2</v>
      </c>
      <c r="N448">
        <v>0.5</v>
      </c>
      <c r="O448">
        <v>1.04E-2</v>
      </c>
    </row>
    <row r="449" spans="1:15">
      <c r="A449" t="s">
        <v>986</v>
      </c>
      <c r="G449" cm="1">
        <f t="array" ref="G449:O449">VALUE(_xlfn.TEXTSPLIT(SUBSTITUTE(TRIM(A449),"0.0 %","0.0%")," "))</f>
        <v>0.15</v>
      </c>
      <c r="H449">
        <v>1.66</v>
      </c>
      <c r="I449">
        <v>0.74299999999999999</v>
      </c>
      <c r="J449">
        <v>7.9000000000000001E-2</v>
      </c>
      <c r="K449">
        <v>14.12</v>
      </c>
      <c r="L449">
        <v>-4.7600000000000003E-2</v>
      </c>
      <c r="M449">
        <v>2.93E-2</v>
      </c>
      <c r="N449">
        <v>0.5</v>
      </c>
      <c r="O449">
        <v>1.1429999999999999E-2</v>
      </c>
    </row>
    <row r="450" spans="1:15">
      <c r="A450" t="s">
        <v>987</v>
      </c>
      <c r="G450" cm="1">
        <f t="array" ref="G450:O450">VALUE(_xlfn.TEXTSPLIT(SUBSTITUTE(TRIM(A450),"0.0 %","0.0%")," "))</f>
        <v>0.2</v>
      </c>
      <c r="H450">
        <v>1.839</v>
      </c>
      <c r="I450">
        <v>0.91100000000000003</v>
      </c>
      <c r="J450">
        <v>3.4000000000000002E-2</v>
      </c>
      <c r="K450">
        <v>13.23</v>
      </c>
      <c r="L450">
        <v>-3.3399999999999999E-2</v>
      </c>
      <c r="M450">
        <v>2.5999999999999999E-2</v>
      </c>
      <c r="N450">
        <v>0.5</v>
      </c>
      <c r="O450">
        <v>1.1690000000000001E-2</v>
      </c>
    </row>
    <row r="451" spans="1:15">
      <c r="A451" t="s">
        <v>988</v>
      </c>
      <c r="G451" cm="1">
        <f t="array" ref="G451:O451">VALUE(_xlfn.TEXTSPLIT(SUBSTITUTE(TRIM(A451),"0.0 %","0.0%")," "))</f>
        <v>0.3</v>
      </c>
      <c r="H451">
        <v>1.9730000000000001</v>
      </c>
      <c r="I451">
        <v>1.095</v>
      </c>
      <c r="J451">
        <v>-8.9999999999999993E-3</v>
      </c>
      <c r="K451">
        <v>11.86</v>
      </c>
      <c r="L451">
        <v>-1.83E-2</v>
      </c>
      <c r="M451">
        <v>2.3400000000000001E-2</v>
      </c>
      <c r="N451">
        <v>0.5</v>
      </c>
      <c r="O451">
        <v>9.5499999999999995E-3</v>
      </c>
    </row>
    <row r="452" spans="1:15">
      <c r="A452" t="s">
        <v>989</v>
      </c>
      <c r="G452" cm="1">
        <f t="array" ref="G452:O452">VALUE(_xlfn.TEXTSPLIT(SUBSTITUTE(TRIM(A452),"0.0 %","0.0%")," "))</f>
        <v>0.4</v>
      </c>
      <c r="H452">
        <v>1.992</v>
      </c>
      <c r="I452">
        <v>1.1870000000000001</v>
      </c>
      <c r="J452">
        <v>-2.7E-2</v>
      </c>
      <c r="K452">
        <v>10.72</v>
      </c>
      <c r="L452">
        <v>-1.4E-2</v>
      </c>
      <c r="M452">
        <v>1.84E-2</v>
      </c>
      <c r="N452">
        <v>0.5</v>
      </c>
      <c r="O452">
        <v>7.77E-3</v>
      </c>
    </row>
    <row r="453" spans="1:15">
      <c r="A453" t="s">
        <v>990</v>
      </c>
      <c r="G453" cm="1">
        <f t="array" ref="G453:O453">VALUE(_xlfn.TEXTSPLIT(SUBSTITUTE(TRIM(A453),"0.0 %","0.0%")," "))</f>
        <v>0.5</v>
      </c>
      <c r="H453">
        <v>1.9570000000000001</v>
      </c>
      <c r="I453">
        <v>1.2609999999999999</v>
      </c>
      <c r="J453">
        <v>-4.5999999999999999E-2</v>
      </c>
      <c r="K453">
        <v>24.77</v>
      </c>
      <c r="L453">
        <v>8.3999999999999995E-3</v>
      </c>
      <c r="M453">
        <v>2.23E-2</v>
      </c>
      <c r="N453">
        <v>0.5</v>
      </c>
      <c r="O453">
        <v>8.3700000000000007E-3</v>
      </c>
    </row>
    <row r="454" spans="1:15">
      <c r="A454" t="s">
        <v>991</v>
      </c>
      <c r="G454" cm="1">
        <f t="array" ref="G454:O454">VALUE(_xlfn.TEXTSPLIT(SUBSTITUTE(TRIM(A454),"0.0 %","0.0%")," "))</f>
        <v>0.6</v>
      </c>
      <c r="H454">
        <v>1.9319999999999999</v>
      </c>
      <c r="I454">
        <v>1.274</v>
      </c>
      <c r="J454">
        <v>-4.9000000000000002E-2</v>
      </c>
      <c r="K454">
        <v>22.82</v>
      </c>
      <c r="L454">
        <v>9.7000000000000003E-3</v>
      </c>
      <c r="M454">
        <v>1.7899999999999999E-2</v>
      </c>
      <c r="N454">
        <v>0.5</v>
      </c>
      <c r="O454">
        <v>6.7400000000000003E-3</v>
      </c>
    </row>
    <row r="455" spans="1:15">
      <c r="A455" t="s">
        <v>992</v>
      </c>
      <c r="G455" cm="1">
        <f t="array" ref="G455:O455">VALUE(_xlfn.TEXTSPLIT(SUBSTITUTE(TRIM(A455),"0.0 %","0.0%")," "))</f>
        <v>0.8</v>
      </c>
      <c r="H455">
        <v>1.8839999999999999</v>
      </c>
      <c r="I455">
        <v>1.27</v>
      </c>
      <c r="J455">
        <v>-0.05</v>
      </c>
      <c r="K455">
        <v>20.3</v>
      </c>
      <c r="L455">
        <v>1.2E-2</v>
      </c>
      <c r="M455">
        <v>1.2699999999999999E-2</v>
      </c>
      <c r="N455">
        <v>0.5</v>
      </c>
      <c r="O455">
        <v>5.13E-3</v>
      </c>
    </row>
    <row r="456" spans="1:15">
      <c r="A456" t="s">
        <v>993</v>
      </c>
      <c r="G456" cm="1">
        <f t="array" ref="G456:O456">VALUE(_xlfn.TEXTSPLIT(SUBSTITUTE(TRIM(A456),"0.0 %","0.0%")," "))</f>
        <v>1</v>
      </c>
      <c r="H456">
        <v>1.841</v>
      </c>
      <c r="I456">
        <v>1.25</v>
      </c>
      <c r="J456">
        <v>-4.8000000000000001E-2</v>
      </c>
      <c r="K456">
        <v>19.489999999999998</v>
      </c>
      <c r="L456">
        <v>1.4E-2</v>
      </c>
      <c r="M456">
        <v>1.1599999999999999E-2</v>
      </c>
      <c r="N456">
        <v>0.5</v>
      </c>
      <c r="O456">
        <v>4.0000000000000001E-3</v>
      </c>
    </row>
    <row r="457" spans="1:15">
      <c r="A457" t="s">
        <v>994</v>
      </c>
      <c r="G457" cm="1">
        <f t="array" ref="G457:O457">VALUE(_xlfn.TEXTSPLIT(SUBSTITUTE(TRIM(A457),"0.0 %","0.0%")," "))</f>
        <v>1.5</v>
      </c>
      <c r="H457">
        <v>1.75</v>
      </c>
      <c r="I457">
        <v>1.1970000000000001</v>
      </c>
      <c r="J457">
        <v>-0.04</v>
      </c>
      <c r="K457">
        <v>15.9</v>
      </c>
      <c r="L457">
        <v>1.0999999999999999E-2</v>
      </c>
      <c r="M457">
        <v>1.0500000000000001E-2</v>
      </c>
      <c r="N457">
        <v>0.5</v>
      </c>
      <c r="O457">
        <v>3.1800000000000001E-3</v>
      </c>
    </row>
    <row r="458" spans="1:15">
      <c r="A458" t="s">
        <v>995</v>
      </c>
      <c r="G458" cm="1">
        <f t="array" ref="G458:O458">VALUE(_xlfn.TEXTSPLIT(SUBSTITUTE(TRIM(A458),"0.0 %","0.0%")," "))</f>
        <v>2</v>
      </c>
      <c r="H458">
        <v>1.7030000000000001</v>
      </c>
      <c r="I458">
        <v>1.143</v>
      </c>
      <c r="J458">
        <v>-2.8000000000000001E-2</v>
      </c>
      <c r="K458">
        <v>20.420000000000002</v>
      </c>
      <c r="L458">
        <v>7.0000000000000001E-3</v>
      </c>
      <c r="M458">
        <v>8.8000000000000005E-3</v>
      </c>
      <c r="N458">
        <v>0.5</v>
      </c>
      <c r="O458">
        <v>3.0899999999999999E-3</v>
      </c>
    </row>
    <row r="459" spans="1:15">
      <c r="A459" t="s">
        <v>996</v>
      </c>
      <c r="G459" cm="1">
        <f t="array" ref="G459:O459">VALUE(_xlfn.TEXTSPLIT(SUBSTITUTE(TRIM(A459),"0.0 %","0.0%")," "))</f>
        <v>3</v>
      </c>
      <c r="H459">
        <v>1.627</v>
      </c>
      <c r="I459">
        <v>1.0589999999999999</v>
      </c>
      <c r="J459">
        <v>-5.0000000000000001E-3</v>
      </c>
      <c r="K459">
        <v>11.99</v>
      </c>
      <c r="L459">
        <v>-1.32E-2</v>
      </c>
      <c r="M459">
        <v>8.5000000000000006E-3</v>
      </c>
      <c r="N459">
        <v>0.5</v>
      </c>
      <c r="O459">
        <v>5.0699999999999999E-3</v>
      </c>
    </row>
    <row r="460" spans="1:15">
      <c r="A460" t="s">
        <v>997</v>
      </c>
      <c r="G460" cm="1">
        <f t="array" ref="G460:O460">VALUE(_xlfn.TEXTSPLIT(SUBSTITUTE(TRIM(A460),"0.0 %","0.0%")," "))</f>
        <v>4</v>
      </c>
      <c r="H460">
        <v>1.5529999999999999</v>
      </c>
      <c r="I460">
        <v>1.026</v>
      </c>
      <c r="J460">
        <v>5.0000000000000001E-3</v>
      </c>
      <c r="K460">
        <v>12.93</v>
      </c>
      <c r="L460">
        <v>-1.9099999999999999E-2</v>
      </c>
      <c r="M460">
        <v>1.9300000000000001E-2</v>
      </c>
      <c r="N460">
        <v>0.5</v>
      </c>
      <c r="O460">
        <v>7.9100000000000004E-3</v>
      </c>
    </row>
    <row r="461" spans="1:15">
      <c r="A461" t="s">
        <v>998</v>
      </c>
      <c r="G461" cm="1">
        <f t="array" ref="G461:O461">VALUE(_xlfn.TEXTSPLIT(SUBSTITUTE(TRIM(A461),"0.0 %","0.0%")," "))</f>
        <v>5</v>
      </c>
      <c r="H461">
        <v>1.4830000000000001</v>
      </c>
      <c r="I461">
        <v>1.0089999999999999</v>
      </c>
      <c r="J461">
        <v>1.2E-2</v>
      </c>
      <c r="K461">
        <v>13.12</v>
      </c>
      <c r="L461">
        <v>-2.58E-2</v>
      </c>
      <c r="M461">
        <v>2.24E-2</v>
      </c>
      <c r="N461">
        <v>0.5</v>
      </c>
      <c r="O461">
        <v>9.3900000000000008E-3</v>
      </c>
    </row>
    <row r="462" spans="1:15">
      <c r="A462" t="s">
        <v>999</v>
      </c>
      <c r="G462" cm="1">
        <f t="array" ref="G462:O462">VALUE(_xlfn.TEXTSPLIT(SUBSTITUTE(TRIM(A462),"0.0 %","0.0%")," "))</f>
        <v>6</v>
      </c>
      <c r="H462">
        <v>1.4419999999999999</v>
      </c>
      <c r="I462">
        <v>0.98</v>
      </c>
      <c r="J462">
        <v>2.3E-2</v>
      </c>
      <c r="K462">
        <v>13.37</v>
      </c>
      <c r="L462">
        <v>-3.5499999999999997E-2</v>
      </c>
      <c r="M462">
        <v>2.1600000000000001E-2</v>
      </c>
      <c r="N462">
        <v>0.5</v>
      </c>
      <c r="O462">
        <v>1.12E-2</v>
      </c>
    </row>
    <row r="463" spans="1:15">
      <c r="A463" t="s">
        <v>1000</v>
      </c>
      <c r="G463" cm="1">
        <f t="array" ref="G463:O463">VALUE(_xlfn.TEXTSPLIT(SUBSTITUTE(TRIM(A463),"0.0 %","0.0%")," "))</f>
        <v>8</v>
      </c>
      <c r="H463">
        <v>1.3540000000000001</v>
      </c>
      <c r="I463">
        <v>0.97399999999999998</v>
      </c>
      <c r="J463">
        <v>2.9000000000000001E-2</v>
      </c>
      <c r="K463">
        <v>13.65</v>
      </c>
      <c r="L463">
        <v>-4.24E-2</v>
      </c>
      <c r="M463">
        <v>3.3599999999999998E-2</v>
      </c>
      <c r="N463">
        <v>0.5</v>
      </c>
      <c r="O463">
        <v>1.37E-2</v>
      </c>
    </row>
    <row r="464" spans="1:15">
      <c r="A464" t="s">
        <v>1001</v>
      </c>
      <c r="G464" cm="1">
        <f t="array" ref="G464:O464">VALUE(_xlfn.TEXTSPLIT(SUBSTITUTE(TRIM(A464),"0.0 %","0.0%")," "))</f>
        <v>10</v>
      </c>
      <c r="H464">
        <v>1.2969999999999999</v>
      </c>
      <c r="I464">
        <v>0.94899999999999995</v>
      </c>
      <c r="J464">
        <v>4.2000000000000003E-2</v>
      </c>
      <c r="K464">
        <v>13.97</v>
      </c>
      <c r="L464">
        <v>-5.6099999999999997E-2</v>
      </c>
      <c r="M464">
        <v>3.2300000000000002E-2</v>
      </c>
      <c r="N464">
        <v>0.5</v>
      </c>
      <c r="O464">
        <v>1.4999999999999999E-2</v>
      </c>
    </row>
    <row r="465" spans="1:15">
      <c r="A465" t="s">
        <v>1002</v>
      </c>
      <c r="G465" cm="1">
        <f t="array" ref="G465:O465">VALUE(_xlfn.TEXTSPLIT(SUBSTITUTE(TRIM(A465),"0.0 %","0.0%")," "))</f>
        <v>15</v>
      </c>
      <c r="H465">
        <v>1.1990000000000001</v>
      </c>
      <c r="I465">
        <v>0.95699999999999996</v>
      </c>
      <c r="J465">
        <v>4.9000000000000002E-2</v>
      </c>
      <c r="K465">
        <v>14.37</v>
      </c>
      <c r="L465">
        <v>-5.9400000000000001E-2</v>
      </c>
      <c r="M465">
        <v>3.3799999999999997E-2</v>
      </c>
      <c r="N465">
        <v>0.5</v>
      </c>
      <c r="O465">
        <v>1.553E-2</v>
      </c>
    </row>
    <row r="468" spans="1:15">
      <c r="A468" t="s">
        <v>1005</v>
      </c>
      <c r="G468" t="str">
        <f>A468</f>
        <v xml:space="preserve">                  COPPER MEDIUM, AIR RESPONSE</v>
      </c>
    </row>
    <row r="470" spans="1:15">
      <c r="A470" t="s">
        <v>610</v>
      </c>
      <c r="G470" t="str" cm="1">
        <f t="array" ref="G470:O470">_xlfn.TEXTSPLIT(TRIM(A470)," ")</f>
        <v>E(MEV)</v>
      </c>
      <c r="H470" t="str">
        <v>B</v>
      </c>
      <c r="I470" t="str">
        <v>C</v>
      </c>
      <c r="J470" t="str">
        <v>A</v>
      </c>
      <c r="K470" t="str">
        <v>XK</v>
      </c>
      <c r="L470" t="str">
        <v>D</v>
      </c>
      <c r="M470" t="str">
        <v>MAX.D</v>
      </c>
      <c r="N470" t="str">
        <v>XMAX</v>
      </c>
      <c r="O470" t="str">
        <v>S.D</v>
      </c>
    </row>
    <row r="471" spans="1:15">
      <c r="A471" t="s">
        <v>611</v>
      </c>
      <c r="G471" s="6" t="s">
        <v>1289</v>
      </c>
      <c r="H471" s="6" t="s">
        <v>1289</v>
      </c>
      <c r="I471" s="6" t="s">
        <v>1289</v>
      </c>
      <c r="J471" s="6" t="s">
        <v>1289</v>
      </c>
      <c r="K471" s="6" t="s">
        <v>1289</v>
      </c>
      <c r="L471" s="6" t="s">
        <v>1289</v>
      </c>
      <c r="M471" s="6" t="s">
        <v>1289</v>
      </c>
      <c r="N471" s="6" t="s">
        <v>1289</v>
      </c>
      <c r="O471" s="6" t="s">
        <v>1289</v>
      </c>
    </row>
    <row r="472" spans="1:15">
      <c r="A472" t="s">
        <v>1003</v>
      </c>
      <c r="G472" cm="1">
        <f t="array" ref="G472:O472">VALUE(_xlfn.TEXTSPLIT(SUBSTITUTE(TRIM(A472),"0.0 %","0.0%")," "))</f>
        <v>1.4999999999999999E-2</v>
      </c>
      <c r="H472">
        <v>1.0009999999999999</v>
      </c>
      <c r="I472">
        <v>2.044</v>
      </c>
      <c r="J472">
        <v>-0.31</v>
      </c>
      <c r="K472">
        <v>11.15</v>
      </c>
      <c r="L472">
        <v>0.25190000000000001</v>
      </c>
      <c r="M472">
        <v>4.5999999999999999E-3</v>
      </c>
      <c r="N472">
        <v>3</v>
      </c>
      <c r="O472">
        <v>1.75E-3</v>
      </c>
    </row>
    <row r="473" spans="1:15">
      <c r="A473" t="s">
        <v>1006</v>
      </c>
      <c r="G473" cm="1">
        <f t="array" ref="G473:O473">VALUE(_xlfn.TEXTSPLIT(SUBSTITUTE(TRIM(A473),"0.0 %","0.0%")," "))</f>
        <v>0.02</v>
      </c>
      <c r="H473">
        <v>1.0089999999999999</v>
      </c>
      <c r="I473">
        <v>0.10299999999999999</v>
      </c>
      <c r="J473">
        <v>0.76400000000000001</v>
      </c>
      <c r="K473">
        <v>10.78</v>
      </c>
      <c r="L473">
        <v>-1.0612999999999999</v>
      </c>
      <c r="M473">
        <v>4.7999999999999996E-3</v>
      </c>
      <c r="N473">
        <v>7</v>
      </c>
      <c r="O473">
        <v>2.4299999999999999E-3</v>
      </c>
    </row>
    <row r="474" spans="1:15">
      <c r="A474" t="s">
        <v>1007</v>
      </c>
      <c r="G474" cm="1">
        <f t="array" ref="G474:O474">VALUE(_xlfn.TEXTSPLIT(SUBSTITUTE(TRIM(A474),"0.0 %","0.0%")," "))</f>
        <v>0.03</v>
      </c>
      <c r="H474">
        <v>1.02</v>
      </c>
      <c r="I474">
        <v>0.35899999999999999</v>
      </c>
      <c r="J474">
        <v>0.20499999999999999</v>
      </c>
      <c r="K474">
        <v>12</v>
      </c>
      <c r="L474">
        <v>-5.0999999999999997E-2</v>
      </c>
      <c r="M474">
        <v>3.7000000000000002E-3</v>
      </c>
      <c r="N474">
        <v>8</v>
      </c>
      <c r="O474">
        <v>2.47E-3</v>
      </c>
    </row>
    <row r="475" spans="1:15">
      <c r="A475" t="s">
        <v>1008</v>
      </c>
      <c r="G475" cm="1">
        <f t="array" ref="G475:O475">VALUE(_xlfn.TEXTSPLIT(SUBSTITUTE(TRIM(A475),"0.0 %","0.0%")," "))</f>
        <v>0.04</v>
      </c>
      <c r="H475">
        <v>1.042</v>
      </c>
      <c r="I475">
        <v>0.33</v>
      </c>
      <c r="J475">
        <v>0.23899999999999999</v>
      </c>
      <c r="K475">
        <v>14.45</v>
      </c>
      <c r="L475">
        <v>-9.6199999999999994E-2</v>
      </c>
      <c r="M475">
        <v>3.8E-3</v>
      </c>
      <c r="N475">
        <v>4</v>
      </c>
      <c r="O475">
        <v>2.15E-3</v>
      </c>
    </row>
    <row r="476" spans="1:15">
      <c r="A476" t="s">
        <v>1004</v>
      </c>
      <c r="G476" cm="1">
        <f t="array" ref="G476:O476">VALUE(_xlfn.TEXTSPLIT(SUBSTITUTE(TRIM(A476),"0.0 %","0.0%")," "))</f>
        <v>0.05</v>
      </c>
      <c r="H476">
        <v>1.071</v>
      </c>
      <c r="I476">
        <v>0.35299999999999998</v>
      </c>
      <c r="J476">
        <v>0.24299999999999999</v>
      </c>
      <c r="K476">
        <v>12.89</v>
      </c>
      <c r="L476">
        <v>-0.14069999999999999</v>
      </c>
      <c r="M476">
        <v>3.8999999999999998E-3</v>
      </c>
      <c r="N476">
        <v>0.5</v>
      </c>
      <c r="O476">
        <v>1.6299999999999999E-3</v>
      </c>
    </row>
    <row r="477" spans="1:15">
      <c r="A477" t="s">
        <v>1009</v>
      </c>
      <c r="G477" cm="1">
        <f t="array" ref="G477:O477">VALUE(_xlfn.TEXTSPLIT(SUBSTITUTE(TRIM(A477),"0.0 %","0.0%")," "))</f>
        <v>0.06</v>
      </c>
      <c r="H477">
        <v>1.109</v>
      </c>
      <c r="I477">
        <v>0.36399999999999999</v>
      </c>
      <c r="J477">
        <v>0.23699999999999999</v>
      </c>
      <c r="K477">
        <v>13.54</v>
      </c>
      <c r="L477">
        <v>-0.13489999999999999</v>
      </c>
      <c r="M477">
        <v>9.1999999999999998E-3</v>
      </c>
      <c r="N477">
        <v>0.5</v>
      </c>
      <c r="O477">
        <v>4.1000000000000003E-3</v>
      </c>
    </row>
    <row r="478" spans="1:15">
      <c r="A478" t="s">
        <v>1010</v>
      </c>
      <c r="G478" cm="1">
        <f t="array" ref="G478:O478">VALUE(_xlfn.TEXTSPLIT(SUBSTITUTE(TRIM(A478),"0.0 %","0.0%")," "))</f>
        <v>0.08</v>
      </c>
      <c r="H478">
        <v>1.1890000000000001</v>
      </c>
      <c r="I478">
        <v>0.44600000000000001</v>
      </c>
      <c r="J478">
        <v>0.192</v>
      </c>
      <c r="K478">
        <v>13.97</v>
      </c>
      <c r="L478">
        <v>-0.1094</v>
      </c>
      <c r="M478">
        <v>2.0799999999999999E-2</v>
      </c>
      <c r="N478">
        <v>0.5</v>
      </c>
      <c r="O478">
        <v>7.4799999999999997E-3</v>
      </c>
    </row>
    <row r="479" spans="1:15">
      <c r="A479" t="s">
        <v>1011</v>
      </c>
      <c r="G479" cm="1">
        <f t="array" ref="G479:O479">VALUE(_xlfn.TEXTSPLIT(SUBSTITUTE(TRIM(A479),"0.0 %","0.0%")," "))</f>
        <v>0.1</v>
      </c>
      <c r="H479">
        <v>1.2869999999999999</v>
      </c>
      <c r="I479">
        <v>0.50700000000000001</v>
      </c>
      <c r="J479">
        <v>0.16500000000000001</v>
      </c>
      <c r="K479">
        <v>13.89</v>
      </c>
      <c r="L479">
        <v>-9.2399999999999996E-2</v>
      </c>
      <c r="M479">
        <v>2.3699999999999999E-2</v>
      </c>
      <c r="N479">
        <v>0.5</v>
      </c>
      <c r="O479">
        <v>9.2099999999999994E-3</v>
      </c>
    </row>
    <row r="480" spans="1:15">
      <c r="A480" t="s">
        <v>1012</v>
      </c>
      <c r="G480" cm="1">
        <f t="array" ref="G480:O480">VALUE(_xlfn.TEXTSPLIT(SUBSTITUTE(TRIM(A480),"0.0 %","0.0%")," "))</f>
        <v>0.15</v>
      </c>
      <c r="H480">
        <v>1.518</v>
      </c>
      <c r="I480">
        <v>0.67500000000000004</v>
      </c>
      <c r="J480">
        <v>0.1</v>
      </c>
      <c r="K480">
        <v>13.99</v>
      </c>
      <c r="L480">
        <v>-5.5500000000000001E-2</v>
      </c>
      <c r="M480">
        <v>3.1E-2</v>
      </c>
      <c r="N480">
        <v>0.5</v>
      </c>
      <c r="O480">
        <v>1.1089999999999999E-2</v>
      </c>
    </row>
    <row r="481" spans="1:15">
      <c r="A481" t="s">
        <v>1013</v>
      </c>
      <c r="G481" cm="1">
        <f t="array" ref="G481:O481">VALUE(_xlfn.TEXTSPLIT(SUBSTITUTE(TRIM(A481),"0.0 %","0.0%")," "))</f>
        <v>0.2</v>
      </c>
      <c r="H481">
        <v>1.6950000000000001</v>
      </c>
      <c r="I481">
        <v>0.83499999999999996</v>
      </c>
      <c r="J481">
        <v>5.1999999999999998E-2</v>
      </c>
      <c r="K481">
        <v>13.62</v>
      </c>
      <c r="L481">
        <v>-3.6400000000000002E-2</v>
      </c>
      <c r="M481">
        <v>3.1E-2</v>
      </c>
      <c r="N481">
        <v>0.5</v>
      </c>
      <c r="O481">
        <v>1.163E-2</v>
      </c>
    </row>
    <row r="482" spans="1:15">
      <c r="A482" t="s">
        <v>1014</v>
      </c>
      <c r="G482" cm="1">
        <f t="array" ref="G482:O482">VALUE(_xlfn.TEXTSPLIT(SUBSTITUTE(TRIM(A482),"0.0 %","0.0%")," "))</f>
        <v>0.3</v>
      </c>
      <c r="H482">
        <v>1.865</v>
      </c>
      <c r="I482">
        <v>1.0229999999999999</v>
      </c>
      <c r="J482">
        <v>5.0000000000000001E-3</v>
      </c>
      <c r="K482">
        <v>12.51</v>
      </c>
      <c r="L482">
        <v>-1.9699999999999999E-2</v>
      </c>
      <c r="M482">
        <v>2.69E-2</v>
      </c>
      <c r="N482">
        <v>0.5</v>
      </c>
      <c r="O482">
        <v>1.004E-2</v>
      </c>
    </row>
    <row r="483" spans="1:15">
      <c r="A483" t="s">
        <v>1015</v>
      </c>
      <c r="G483" cm="1">
        <f t="array" ref="G483:O483">VALUE(_xlfn.TEXTSPLIT(SUBSTITUTE(TRIM(A483),"0.0 %","0.0%")," "))</f>
        <v>0.4</v>
      </c>
      <c r="H483">
        <v>1.9079999999999999</v>
      </c>
      <c r="I483">
        <v>1.135</v>
      </c>
      <c r="J483">
        <v>-1.7999999999999999E-2</v>
      </c>
      <c r="K483">
        <v>11.46</v>
      </c>
      <c r="L483">
        <v>-1.37E-2</v>
      </c>
      <c r="M483">
        <v>2.1600000000000001E-2</v>
      </c>
      <c r="N483">
        <v>0.5</v>
      </c>
      <c r="O483">
        <v>8.6199999999999992E-3</v>
      </c>
    </row>
    <row r="484" spans="1:15">
      <c r="A484" t="s">
        <v>1016</v>
      </c>
      <c r="G484" cm="1">
        <f t="array" ref="G484:O484">VALUE(_xlfn.TEXTSPLIT(SUBSTITUTE(TRIM(A484),"0.0 %","0.0%")," "))</f>
        <v>0.5</v>
      </c>
      <c r="H484">
        <v>1.899</v>
      </c>
      <c r="I484">
        <v>1.2150000000000001</v>
      </c>
      <c r="J484">
        <v>-3.7999999999999999E-2</v>
      </c>
      <c r="K484">
        <v>16.22</v>
      </c>
      <c r="L484">
        <v>2.5999999999999999E-3</v>
      </c>
      <c r="M484">
        <v>2.4199999999999999E-2</v>
      </c>
      <c r="N484">
        <v>0.5</v>
      </c>
      <c r="O484">
        <v>9.8600000000000007E-3</v>
      </c>
    </row>
    <row r="485" spans="1:15">
      <c r="A485" t="s">
        <v>1017</v>
      </c>
      <c r="G485" cm="1">
        <f t="array" ref="G485:O485">VALUE(_xlfn.TEXTSPLIT(SUBSTITUTE(TRIM(A485),"0.0 %","0.0%")," "))</f>
        <v>0.6</v>
      </c>
      <c r="H485">
        <v>1.8819999999999999</v>
      </c>
      <c r="I485">
        <v>1.2350000000000001</v>
      </c>
      <c r="J485">
        <v>-4.2000000000000003E-2</v>
      </c>
      <c r="K485">
        <v>23.77</v>
      </c>
      <c r="L485">
        <v>6.1999999999999998E-3</v>
      </c>
      <c r="M485">
        <v>2.4400000000000002E-2</v>
      </c>
      <c r="N485">
        <v>0.5</v>
      </c>
      <c r="O485">
        <v>8.3400000000000002E-3</v>
      </c>
    </row>
    <row r="486" spans="1:15">
      <c r="A486" t="s">
        <v>1018</v>
      </c>
      <c r="G486" cm="1">
        <f t="array" ref="G486:O486">VALUE(_xlfn.TEXTSPLIT(SUBSTITUTE(TRIM(A486),"0.0 %","0.0%")," "))</f>
        <v>0.8</v>
      </c>
      <c r="H486">
        <v>1.8540000000000001</v>
      </c>
      <c r="I486">
        <v>1.2390000000000001</v>
      </c>
      <c r="J486">
        <v>-4.3999999999999997E-2</v>
      </c>
      <c r="K486">
        <v>17.25</v>
      </c>
      <c r="L486">
        <v>5.7000000000000002E-3</v>
      </c>
      <c r="M486">
        <v>1.35E-2</v>
      </c>
      <c r="N486">
        <v>0.5</v>
      </c>
      <c r="O486">
        <v>7.0000000000000001E-3</v>
      </c>
    </row>
    <row r="487" spans="1:15">
      <c r="A487" t="s">
        <v>1019</v>
      </c>
      <c r="G487" cm="1">
        <f t="array" ref="G487:O487">VALUE(_xlfn.TEXTSPLIT(SUBSTITUTE(TRIM(A487),"0.0 %","0.0%")," "))</f>
        <v>1</v>
      </c>
      <c r="H487">
        <v>1.8129999999999999</v>
      </c>
      <c r="I487">
        <v>1.226</v>
      </c>
      <c r="J487">
        <v>-4.2999999999999997E-2</v>
      </c>
      <c r="K487">
        <v>21.74</v>
      </c>
      <c r="L487">
        <v>1.2E-2</v>
      </c>
      <c r="M487">
        <v>1.23E-2</v>
      </c>
      <c r="N487">
        <v>0.5</v>
      </c>
      <c r="O487">
        <v>4.6899999999999997E-3</v>
      </c>
    </row>
    <row r="488" spans="1:15">
      <c r="A488" t="s">
        <v>1020</v>
      </c>
      <c r="G488" cm="1">
        <f t="array" ref="G488:O488">VALUE(_xlfn.TEXTSPLIT(SUBSTITUTE(TRIM(A488),"0.0 %","0.0%")," "))</f>
        <v>1.5</v>
      </c>
      <c r="H488">
        <v>1.7330000000000001</v>
      </c>
      <c r="I488">
        <v>1.1850000000000001</v>
      </c>
      <c r="J488">
        <v>-3.6999999999999998E-2</v>
      </c>
      <c r="K488">
        <v>18.36</v>
      </c>
      <c r="L488">
        <v>1.06E-2</v>
      </c>
      <c r="M488">
        <v>8.3999999999999995E-3</v>
      </c>
      <c r="N488">
        <v>0.5</v>
      </c>
      <c r="O488">
        <v>3.0200000000000001E-3</v>
      </c>
    </row>
    <row r="489" spans="1:15">
      <c r="A489" t="s">
        <v>1021</v>
      </c>
      <c r="G489" cm="1">
        <f t="array" ref="G489:O489">VALUE(_xlfn.TEXTSPLIT(SUBSTITUTE(TRIM(A489),"0.0 %","0.0%")," "))</f>
        <v>2</v>
      </c>
      <c r="H489">
        <v>1.694</v>
      </c>
      <c r="I489">
        <v>1.1279999999999999</v>
      </c>
      <c r="J489">
        <v>-2.4E-2</v>
      </c>
      <c r="K489">
        <v>24.48</v>
      </c>
      <c r="L489">
        <v>2.5999999999999999E-3</v>
      </c>
      <c r="M489">
        <v>1.0999999999999999E-2</v>
      </c>
      <c r="N489">
        <v>0.5</v>
      </c>
      <c r="O489">
        <v>4.0800000000000003E-3</v>
      </c>
    </row>
    <row r="490" spans="1:15">
      <c r="A490" t="s">
        <v>1022</v>
      </c>
      <c r="G490" cm="1">
        <f t="array" ref="G490:O490">VALUE(_xlfn.TEXTSPLIT(SUBSTITUTE(TRIM(A490),"0.0 %","0.0%")," "))</f>
        <v>3</v>
      </c>
      <c r="H490">
        <v>1.617</v>
      </c>
      <c r="I490">
        <v>1.0589999999999999</v>
      </c>
      <c r="J490">
        <v>-4.0000000000000001E-3</v>
      </c>
      <c r="K490">
        <v>12.21</v>
      </c>
      <c r="L490">
        <v>-1.46E-2</v>
      </c>
      <c r="M490">
        <v>1.2200000000000001E-2</v>
      </c>
      <c r="N490">
        <v>0.5</v>
      </c>
      <c r="O490">
        <v>6.0800000000000003E-3</v>
      </c>
    </row>
    <row r="491" spans="1:15">
      <c r="A491" t="s">
        <v>1023</v>
      </c>
      <c r="G491" cm="1">
        <f t="array" ref="G491:O491">VALUE(_xlfn.TEXTSPLIT(SUBSTITUTE(TRIM(A491),"0.0 %","0.0%")," "))</f>
        <v>4</v>
      </c>
      <c r="H491">
        <v>1.546</v>
      </c>
      <c r="I491">
        <v>1.022</v>
      </c>
      <c r="J491">
        <v>8.9999999999999993E-3</v>
      </c>
      <c r="K491">
        <v>12.92</v>
      </c>
      <c r="L491">
        <v>-2.58E-2</v>
      </c>
      <c r="M491">
        <v>2.1600000000000001E-2</v>
      </c>
      <c r="N491">
        <v>0.5</v>
      </c>
      <c r="O491">
        <v>9.7599999999999996E-3</v>
      </c>
    </row>
    <row r="492" spans="1:15">
      <c r="A492" t="s">
        <v>1024</v>
      </c>
      <c r="G492" cm="1">
        <f t="array" ref="G492:O492">VALUE(_xlfn.TEXTSPLIT(SUBSTITUTE(TRIM(A492),"0.0 %","0.0%")," "))</f>
        <v>5</v>
      </c>
      <c r="H492">
        <v>1.4790000000000001</v>
      </c>
      <c r="I492">
        <v>1.008</v>
      </c>
      <c r="J492">
        <v>1.4999999999999999E-2</v>
      </c>
      <c r="K492">
        <v>13.26</v>
      </c>
      <c r="L492">
        <v>-3.1E-2</v>
      </c>
      <c r="M492">
        <v>2.3900000000000001E-2</v>
      </c>
      <c r="N492">
        <v>0.5</v>
      </c>
      <c r="O492">
        <v>1.1050000000000001E-2</v>
      </c>
    </row>
    <row r="493" spans="1:15">
      <c r="A493" t="s">
        <v>1025</v>
      </c>
      <c r="G493" cm="1">
        <f t="array" ref="G493:O493">VALUE(_xlfn.TEXTSPLIT(SUBSTITUTE(TRIM(A493),"0.0 %","0.0%")," "))</f>
        <v>6</v>
      </c>
      <c r="H493">
        <v>1.4279999999999999</v>
      </c>
      <c r="I493">
        <v>0.995</v>
      </c>
      <c r="J493">
        <v>2.1000000000000001E-2</v>
      </c>
      <c r="K493">
        <v>13.23</v>
      </c>
      <c r="L493">
        <v>-3.7100000000000001E-2</v>
      </c>
      <c r="M493">
        <v>2.8000000000000001E-2</v>
      </c>
      <c r="N493">
        <v>0.5</v>
      </c>
      <c r="O493">
        <v>1.201E-2</v>
      </c>
    </row>
    <row r="494" spans="1:15">
      <c r="A494" t="s">
        <v>1026</v>
      </c>
      <c r="G494" cm="1">
        <f t="array" ref="G494:O494">VALUE(_xlfn.TEXTSPLIT(SUBSTITUTE(TRIM(A494),"0.0 %","0.0%")," "))</f>
        <v>8</v>
      </c>
      <c r="H494">
        <v>1.353</v>
      </c>
      <c r="I494">
        <v>0.96</v>
      </c>
      <c r="J494">
        <v>3.7999999999999999E-2</v>
      </c>
      <c r="K494">
        <v>13.5</v>
      </c>
      <c r="L494">
        <v>-5.4699999999999999E-2</v>
      </c>
      <c r="M494">
        <v>3.32E-2</v>
      </c>
      <c r="N494">
        <v>0.5</v>
      </c>
      <c r="O494">
        <v>1.576E-2</v>
      </c>
    </row>
    <row r="495" spans="1:15">
      <c r="A495" t="s">
        <v>1027</v>
      </c>
      <c r="G495" cm="1">
        <f t="array" ref="G495:O495">VALUE(_xlfn.TEXTSPLIT(SUBSTITUTE(TRIM(A495),"0.0 %","0.0%")," "))</f>
        <v>10</v>
      </c>
      <c r="H495">
        <v>1.2889999999999999</v>
      </c>
      <c r="I495">
        <v>0.96199999999999997</v>
      </c>
      <c r="J495">
        <v>4.2000000000000003E-2</v>
      </c>
      <c r="K495">
        <v>13.91</v>
      </c>
      <c r="L495">
        <v>-5.7700000000000001E-2</v>
      </c>
      <c r="M495">
        <v>3.6200000000000003E-2</v>
      </c>
      <c r="N495">
        <v>0.5</v>
      </c>
      <c r="O495">
        <v>1.627E-2</v>
      </c>
    </row>
    <row r="496" spans="1:15">
      <c r="A496" t="s">
        <v>1028</v>
      </c>
      <c r="G496" cm="1">
        <f t="array" ref="G496:O496">VALUE(_xlfn.TEXTSPLIT(SUBSTITUTE(TRIM(A496),"0.0 %","0.0%")," "))</f>
        <v>15</v>
      </c>
      <c r="H496">
        <v>1.1910000000000001</v>
      </c>
      <c r="I496">
        <v>0.96899999999999997</v>
      </c>
      <c r="J496">
        <v>5.1999999999999998E-2</v>
      </c>
      <c r="K496">
        <v>14.48</v>
      </c>
      <c r="L496">
        <v>-6.4000000000000001E-2</v>
      </c>
      <c r="M496">
        <v>3.95E-2</v>
      </c>
      <c r="N496">
        <v>1</v>
      </c>
      <c r="O496">
        <v>1.7569999999999999E-2</v>
      </c>
    </row>
    <row r="499" spans="1:15">
      <c r="A499" t="s">
        <v>1029</v>
      </c>
      <c r="G499" t="str">
        <f>A499</f>
        <v xml:space="preserve">                  MOLYBDENUM MEDIUM, AIR RESPONSE</v>
      </c>
    </row>
    <row r="501" spans="1:15">
      <c r="A501" t="s">
        <v>610</v>
      </c>
      <c r="G501" t="str" cm="1">
        <f t="array" ref="G501:O501">_xlfn.TEXTSPLIT(TRIM(A501)," ")</f>
        <v>E(MEV)</v>
      </c>
      <c r="H501" t="str">
        <v>B</v>
      </c>
      <c r="I501" t="str">
        <v>C</v>
      </c>
      <c r="J501" t="str">
        <v>A</v>
      </c>
      <c r="K501" t="str">
        <v>XK</v>
      </c>
      <c r="L501" t="str">
        <v>D</v>
      </c>
      <c r="M501" t="str">
        <v>MAX.D</v>
      </c>
      <c r="N501" t="str">
        <v>XMAX</v>
      </c>
      <c r="O501" t="str">
        <v>S.D</v>
      </c>
    </row>
    <row r="502" spans="1:15">
      <c r="A502" t="s">
        <v>611</v>
      </c>
      <c r="G502" s="6" t="s">
        <v>1289</v>
      </c>
      <c r="H502" s="6" t="s">
        <v>1289</v>
      </c>
      <c r="I502" s="6" t="s">
        <v>1289</v>
      </c>
      <c r="J502" s="6" t="s">
        <v>1289</v>
      </c>
      <c r="K502" s="6" t="s">
        <v>1289</v>
      </c>
      <c r="L502" s="6" t="s">
        <v>1289</v>
      </c>
      <c r="M502" s="6" t="s">
        <v>1289</v>
      </c>
      <c r="N502" s="6" t="s">
        <v>1289</v>
      </c>
      <c r="O502" s="6" t="s">
        <v>1289</v>
      </c>
    </row>
    <row r="503" spans="1:15">
      <c r="A503" t="s">
        <v>1030</v>
      </c>
      <c r="G503" cm="1">
        <f t="array" ref="G503:O503">VALUE(_xlfn.TEXTSPLIT(SUBSTITUTE(TRIM(A503),"0.0 %","0.0%")," "))</f>
        <v>1.4999999999999999E-2</v>
      </c>
      <c r="H503">
        <v>1.0089999999999999</v>
      </c>
      <c r="I503">
        <v>0.36599999999999999</v>
      </c>
      <c r="J503">
        <v>0.223</v>
      </c>
      <c r="K503">
        <v>12.62</v>
      </c>
      <c r="L503">
        <v>-0.1086</v>
      </c>
      <c r="M503">
        <v>0</v>
      </c>
      <c r="N503">
        <v>10</v>
      </c>
      <c r="O503">
        <v>1.8000000000000001E-4</v>
      </c>
    </row>
    <row r="504" spans="1:15">
      <c r="A504" t="s">
        <v>1031</v>
      </c>
      <c r="G504" cm="1">
        <f t="array" ref="G504:O504">VALUE(_xlfn.TEXTSPLIT(SUBSTITUTE(TRIM(A504),"0.0 %","0.0%")," "))</f>
        <v>0.02</v>
      </c>
      <c r="H504">
        <v>2.556</v>
      </c>
      <c r="I504">
        <v>2.0270000000000001</v>
      </c>
      <c r="J504">
        <v>2.3E-2</v>
      </c>
      <c r="K504">
        <v>13.3</v>
      </c>
      <c r="L504">
        <v>-1.23E-2</v>
      </c>
      <c r="M504">
        <v>9.7000000000000003E-2</v>
      </c>
      <c r="N504">
        <v>3</v>
      </c>
      <c r="O504">
        <v>4.6219999999999997E-2</v>
      </c>
    </row>
    <row r="505" spans="1:15">
      <c r="A505" t="s">
        <v>1032</v>
      </c>
      <c r="G505" cm="1">
        <f t="array" ref="G505:O505">VALUE(_xlfn.TEXTSPLIT(SUBSTITUTE(TRIM(A505),"0.0 %","0.0%")," "))</f>
        <v>0.03</v>
      </c>
      <c r="H505">
        <v>3.6419999999999999</v>
      </c>
      <c r="I505">
        <v>1.0920000000000001</v>
      </c>
      <c r="J505">
        <v>0.109</v>
      </c>
      <c r="K505">
        <v>32.14</v>
      </c>
      <c r="L505">
        <v>-0.2177</v>
      </c>
      <c r="M505">
        <v>6.6000000000000003E-2</v>
      </c>
      <c r="N505">
        <v>0.5</v>
      </c>
      <c r="O505">
        <v>3.4040000000000001E-2</v>
      </c>
    </row>
    <row r="506" spans="1:15">
      <c r="A506" t="s">
        <v>1033</v>
      </c>
      <c r="G506" cm="1">
        <f t="array" ref="G506:O506">VALUE(_xlfn.TEXTSPLIT(SUBSTITUTE(TRIM(A506),"0.0 %","0.0%")," "))</f>
        <v>0.04</v>
      </c>
      <c r="H506">
        <v>3.9409999999999998</v>
      </c>
      <c r="I506">
        <v>0.32200000000000001</v>
      </c>
      <c r="J506">
        <v>8.7999999999999995E-2</v>
      </c>
      <c r="K506">
        <v>23.37</v>
      </c>
      <c r="L506">
        <v>-3.2099999999999997E-2</v>
      </c>
      <c r="M506">
        <v>8.9999999999999993E-3</v>
      </c>
      <c r="N506">
        <v>10</v>
      </c>
      <c r="O506">
        <v>4.4600000000000004E-3</v>
      </c>
    </row>
    <row r="507" spans="1:15">
      <c r="A507" t="s">
        <v>1034</v>
      </c>
      <c r="G507" cm="1">
        <f t="array" ref="G507:O507">VALUE(_xlfn.TEXTSPLIT(SUBSTITUTE(TRIM(A507),"0.0 %","0.0%")," "))</f>
        <v>0.05</v>
      </c>
      <c r="H507">
        <v>3.109</v>
      </c>
      <c r="I507">
        <v>3.7999999999999999E-2</v>
      </c>
      <c r="J507">
        <v>-0.317</v>
      </c>
      <c r="K507">
        <v>11.96</v>
      </c>
      <c r="L507">
        <v>5.5800000000000002E-2</v>
      </c>
      <c r="M507">
        <v>2.1999999999999999E-2</v>
      </c>
      <c r="N507">
        <v>1</v>
      </c>
      <c r="O507">
        <v>9.4900000000000002E-3</v>
      </c>
    </row>
    <row r="508" spans="1:15">
      <c r="A508" t="s">
        <v>1035</v>
      </c>
      <c r="G508" cm="1">
        <f t="array" ref="G508:O508">VALUE(_xlfn.TEXTSPLIT(SUBSTITUTE(TRIM(A508),"0.0 %","0.0%")," "))</f>
        <v>0.06</v>
      </c>
      <c r="H508">
        <v>2.4079999999999999</v>
      </c>
      <c r="I508">
        <v>4.0000000000000001E-3</v>
      </c>
      <c r="J508">
        <v>1.103</v>
      </c>
      <c r="K508">
        <v>17.52</v>
      </c>
      <c r="L508">
        <v>-0.1479</v>
      </c>
      <c r="M508">
        <v>1.2999999999999999E-2</v>
      </c>
      <c r="N508">
        <v>1</v>
      </c>
      <c r="O508">
        <v>4.1700000000000001E-3</v>
      </c>
    </row>
    <row r="509" spans="1:15">
      <c r="A509" t="s">
        <v>1036</v>
      </c>
      <c r="G509" cm="1">
        <f t="array" ref="G509:O509">VALUE(_xlfn.TEXTSPLIT(SUBSTITUTE(TRIM(A509),"0.0 %","0.0%")," "))</f>
        <v>0.08</v>
      </c>
      <c r="H509">
        <v>1.661</v>
      </c>
      <c r="I509">
        <v>3.3000000000000002E-2</v>
      </c>
      <c r="J509">
        <v>0.76700000000000002</v>
      </c>
      <c r="K509">
        <v>14.4</v>
      </c>
      <c r="L509">
        <v>-0.25600000000000001</v>
      </c>
      <c r="M509">
        <v>1.7999999999999999E-2</v>
      </c>
      <c r="N509">
        <v>0.5</v>
      </c>
      <c r="O509">
        <v>7.6E-3</v>
      </c>
    </row>
    <row r="510" spans="1:15">
      <c r="A510" t="s">
        <v>1037</v>
      </c>
      <c r="G510" cm="1">
        <f t="array" ref="G510:O510">VALUE(_xlfn.TEXTSPLIT(SUBSTITUTE(TRIM(A510),"0.0 %","0.0%")," "))</f>
        <v>0.1</v>
      </c>
      <c r="H510">
        <v>1.1579999999999999</v>
      </c>
      <c r="I510">
        <v>0.3</v>
      </c>
      <c r="J510">
        <v>0.28999999999999998</v>
      </c>
      <c r="K510">
        <v>13.75</v>
      </c>
      <c r="L510">
        <v>-0.15540000000000001</v>
      </c>
      <c r="M510">
        <v>1.0999999999999999E-2</v>
      </c>
      <c r="N510">
        <v>0.5</v>
      </c>
      <c r="O510">
        <v>4.45E-3</v>
      </c>
    </row>
    <row r="511" spans="1:15">
      <c r="A511" t="s">
        <v>1038</v>
      </c>
      <c r="G511" cm="1">
        <f t="array" ref="G511:O511">VALUE(_xlfn.TEXTSPLIT(SUBSTITUTE(TRIM(A511),"0.0 %","0.0%")," "))</f>
        <v>0.15</v>
      </c>
      <c r="H511">
        <v>1.2410000000000001</v>
      </c>
      <c r="I511">
        <v>0.49</v>
      </c>
      <c r="J511">
        <v>0.17399999999999999</v>
      </c>
      <c r="K511">
        <v>14.42</v>
      </c>
      <c r="L511">
        <v>-9.01E-2</v>
      </c>
      <c r="M511">
        <v>8.0000000000000002E-3</v>
      </c>
      <c r="N511">
        <v>0.5</v>
      </c>
      <c r="O511">
        <v>4.0800000000000003E-3</v>
      </c>
    </row>
    <row r="512" spans="1:15">
      <c r="A512" t="s">
        <v>1039</v>
      </c>
      <c r="G512" cm="1">
        <f t="array" ref="G512:O512">VALUE(_xlfn.TEXTSPLIT(SUBSTITUTE(TRIM(A512),"0.0 %","0.0%")," "))</f>
        <v>0.2</v>
      </c>
      <c r="H512">
        <v>1.474</v>
      </c>
      <c r="I512">
        <v>0.51400000000000001</v>
      </c>
      <c r="J512">
        <v>0.17299999999999999</v>
      </c>
      <c r="K512">
        <v>14.29</v>
      </c>
      <c r="L512">
        <v>-9.9299999999999999E-2</v>
      </c>
      <c r="M512">
        <v>2.1000000000000001E-2</v>
      </c>
      <c r="N512">
        <v>0.5</v>
      </c>
      <c r="O512">
        <v>8.43E-3</v>
      </c>
    </row>
    <row r="513" spans="1:15">
      <c r="A513" t="s">
        <v>1040</v>
      </c>
      <c r="G513" cm="1">
        <f t="array" ref="G513:O513">VALUE(_xlfn.TEXTSPLIT(SUBSTITUTE(TRIM(A513),"0.0 %","0.0%")," "))</f>
        <v>0.3</v>
      </c>
      <c r="H513">
        <v>1.589</v>
      </c>
      <c r="I513">
        <v>0.73299999999999998</v>
      </c>
      <c r="J513">
        <v>0.08</v>
      </c>
      <c r="K513">
        <v>14.49</v>
      </c>
      <c r="L513">
        <v>-4.2799999999999998E-2</v>
      </c>
      <c r="M513">
        <v>8.9999999999999993E-3</v>
      </c>
      <c r="N513">
        <v>5</v>
      </c>
      <c r="O513">
        <v>3.9100000000000003E-3</v>
      </c>
    </row>
    <row r="514" spans="1:15">
      <c r="A514" t="s">
        <v>1041</v>
      </c>
      <c r="G514" cm="1">
        <f t="array" ref="G514:O514">VALUE(_xlfn.TEXTSPLIT(SUBSTITUTE(TRIM(A514),"0.0 %","0.0%")," "))</f>
        <v>0.4</v>
      </c>
      <c r="H514">
        <v>1.7110000000000001</v>
      </c>
      <c r="I514">
        <v>0.89100000000000001</v>
      </c>
      <c r="J514">
        <v>3.7999999999999999E-2</v>
      </c>
      <c r="K514">
        <v>14.18</v>
      </c>
      <c r="L514">
        <v>-3.3300000000000003E-2</v>
      </c>
      <c r="M514">
        <v>0.01</v>
      </c>
      <c r="N514">
        <v>5</v>
      </c>
      <c r="O514">
        <v>4.7600000000000003E-3</v>
      </c>
    </row>
    <row r="515" spans="1:15">
      <c r="A515" t="s">
        <v>1042</v>
      </c>
      <c r="G515" cm="1">
        <f t="array" ref="G515:O515">VALUE(_xlfn.TEXTSPLIT(SUBSTITUTE(TRIM(A515),"0.0 %","0.0%")," "))</f>
        <v>0.5</v>
      </c>
      <c r="H515">
        <v>1.7729999999999999</v>
      </c>
      <c r="I515">
        <v>0.97799999999999998</v>
      </c>
      <c r="J515">
        <v>1.6E-2</v>
      </c>
      <c r="K515">
        <v>14.33</v>
      </c>
      <c r="L515">
        <v>-2.3800000000000002E-2</v>
      </c>
      <c r="M515">
        <v>1.2E-2</v>
      </c>
      <c r="N515">
        <v>5</v>
      </c>
      <c r="O515">
        <v>4.3299999999999996E-3</v>
      </c>
    </row>
    <row r="516" spans="1:15">
      <c r="A516" t="s">
        <v>1043</v>
      </c>
      <c r="G516" cm="1">
        <f t="array" ref="G516:O516">VALUE(_xlfn.TEXTSPLIT(SUBSTITUTE(TRIM(A516),"0.0 %","0.0%")," "))</f>
        <v>0.6</v>
      </c>
      <c r="H516">
        <v>1.796</v>
      </c>
      <c r="I516">
        <v>1.024</v>
      </c>
      <c r="J516">
        <v>4.0000000000000001E-3</v>
      </c>
      <c r="K516">
        <v>13.94</v>
      </c>
      <c r="L516">
        <v>-1.83E-2</v>
      </c>
      <c r="M516">
        <v>8.9999999999999993E-3</v>
      </c>
      <c r="N516">
        <v>5</v>
      </c>
      <c r="O516">
        <v>3.8400000000000001E-3</v>
      </c>
    </row>
    <row r="517" spans="1:15">
      <c r="A517" t="s">
        <v>1044</v>
      </c>
      <c r="G517" cm="1">
        <f t="array" ref="G517:O517">VALUE(_xlfn.TEXTSPLIT(SUBSTITUTE(TRIM(A517),"0.0 %","0.0%")," "))</f>
        <v>0.8</v>
      </c>
      <c r="H517">
        <v>1.804</v>
      </c>
      <c r="I517">
        <v>1.073</v>
      </c>
      <c r="J517">
        <v>-8.0000000000000002E-3</v>
      </c>
      <c r="K517">
        <v>14.02</v>
      </c>
      <c r="L517">
        <v>-1.29E-2</v>
      </c>
      <c r="M517">
        <v>8.9999999999999993E-3</v>
      </c>
      <c r="N517">
        <v>5</v>
      </c>
      <c r="O517">
        <v>3.8500000000000001E-3</v>
      </c>
    </row>
    <row r="518" spans="1:15">
      <c r="A518" t="s">
        <v>1045</v>
      </c>
      <c r="G518" cm="1">
        <f t="array" ref="G518:O518">VALUE(_xlfn.TEXTSPLIT(SUBSTITUTE(TRIM(A518),"0.0 %","0.0%")," "))</f>
        <v>1</v>
      </c>
      <c r="H518">
        <v>1.784</v>
      </c>
      <c r="I518">
        <v>1.0920000000000001</v>
      </c>
      <c r="J518">
        <v>-1.2999999999999999E-2</v>
      </c>
      <c r="K518">
        <v>13.43</v>
      </c>
      <c r="L518">
        <v>-1.03E-2</v>
      </c>
      <c r="M518">
        <v>8.9999999999999993E-3</v>
      </c>
      <c r="N518">
        <v>3</v>
      </c>
      <c r="O518">
        <v>3.9399999999999999E-3</v>
      </c>
    </row>
    <row r="519" spans="1:15">
      <c r="A519" t="s">
        <v>1046</v>
      </c>
      <c r="G519" cm="1">
        <f t="array" ref="G519:O519">VALUE(_xlfn.TEXTSPLIT(SUBSTITUTE(TRIM(A519),"0.0 %","0.0%")," "))</f>
        <v>1.5</v>
      </c>
      <c r="H519">
        <v>1.6240000000000001</v>
      </c>
      <c r="I519">
        <v>1.161</v>
      </c>
      <c r="J519">
        <v>-0.03</v>
      </c>
      <c r="K519">
        <v>7.13</v>
      </c>
      <c r="L519">
        <v>8.9999999999999998E-4</v>
      </c>
      <c r="M519">
        <v>1.2999999999999999E-2</v>
      </c>
      <c r="N519">
        <v>0.5</v>
      </c>
      <c r="O519">
        <v>4.5900000000000003E-3</v>
      </c>
    </row>
    <row r="520" spans="1:15">
      <c r="A520" t="s">
        <v>1047</v>
      </c>
      <c r="G520" cm="1">
        <f t="array" ref="G520:O520">VALUE(_xlfn.TEXTSPLIT(SUBSTITUTE(TRIM(A520),"0.0 %","0.0%")," "))</f>
        <v>2</v>
      </c>
      <c r="H520">
        <v>1.601</v>
      </c>
      <c r="I520">
        <v>1.127</v>
      </c>
      <c r="J520">
        <v>-2.1000000000000001E-2</v>
      </c>
      <c r="K520">
        <v>12.62</v>
      </c>
      <c r="L520">
        <v>-5.4000000000000003E-3</v>
      </c>
      <c r="M520">
        <v>7.0000000000000001E-3</v>
      </c>
      <c r="N520">
        <v>5</v>
      </c>
      <c r="O520">
        <v>2.9199999999999999E-3</v>
      </c>
    </row>
    <row r="521" spans="1:15">
      <c r="A521" t="s">
        <v>1048</v>
      </c>
      <c r="G521" cm="1">
        <f t="array" ref="G521:O521">VALUE(_xlfn.TEXTSPLIT(SUBSTITUTE(TRIM(A521),"0.0 %","0.0%")," "))</f>
        <v>3</v>
      </c>
      <c r="H521">
        <v>1.5569999999999999</v>
      </c>
      <c r="I521">
        <v>1.0649999999999999</v>
      </c>
      <c r="J521">
        <v>0</v>
      </c>
      <c r="K521">
        <v>12.84</v>
      </c>
      <c r="L521">
        <v>-2.8299999999999999E-2</v>
      </c>
      <c r="M521">
        <v>1.9E-2</v>
      </c>
      <c r="N521">
        <v>1</v>
      </c>
      <c r="O521">
        <v>9.5300000000000003E-3</v>
      </c>
    </row>
    <row r="522" spans="1:15">
      <c r="A522" t="s">
        <v>1049</v>
      </c>
      <c r="G522" cm="1">
        <f t="array" ref="G522:O522">VALUE(_xlfn.TEXTSPLIT(SUBSTITUTE(TRIM(A522),"0.0 %","0.0%")," "))</f>
        <v>4</v>
      </c>
      <c r="H522">
        <v>1.5049999999999999</v>
      </c>
      <c r="I522">
        <v>1.0229999999999999</v>
      </c>
      <c r="J522">
        <v>1.6E-2</v>
      </c>
      <c r="K522">
        <v>13.36</v>
      </c>
      <c r="L522">
        <v>-4.2799999999999998E-2</v>
      </c>
      <c r="M522">
        <v>2.7E-2</v>
      </c>
      <c r="N522">
        <v>0.5</v>
      </c>
      <c r="O522">
        <v>1.3350000000000001E-2</v>
      </c>
    </row>
    <row r="523" spans="1:15">
      <c r="A523" t="s">
        <v>1050</v>
      </c>
      <c r="G523" cm="1">
        <f t="array" ref="G523:O523">VALUE(_xlfn.TEXTSPLIT(SUBSTITUTE(TRIM(A523),"0.0 %","0.0%")," "))</f>
        <v>5</v>
      </c>
      <c r="H523">
        <v>1.5189999999999999</v>
      </c>
      <c r="I523">
        <v>0.94199999999999995</v>
      </c>
      <c r="J523">
        <v>4.5999999999999999E-2</v>
      </c>
      <c r="K523">
        <v>13.59</v>
      </c>
      <c r="L523">
        <v>-7.0199999999999999E-2</v>
      </c>
      <c r="M523">
        <v>3.4000000000000002E-2</v>
      </c>
      <c r="N523">
        <v>0.5</v>
      </c>
      <c r="O523">
        <v>1.9570000000000001E-2</v>
      </c>
    </row>
    <row r="524" spans="1:15">
      <c r="A524" t="s">
        <v>1051</v>
      </c>
      <c r="G524" cm="1">
        <f t="array" ref="G524:O524">VALUE(_xlfn.TEXTSPLIT(SUBSTITUTE(TRIM(A524),"0.0 %","0.0%")," "))</f>
        <v>6</v>
      </c>
      <c r="H524">
        <v>1.4970000000000001</v>
      </c>
      <c r="I524">
        <v>0.92100000000000004</v>
      </c>
      <c r="J524">
        <v>5.7000000000000002E-2</v>
      </c>
      <c r="K524">
        <v>13.82</v>
      </c>
      <c r="L524">
        <v>-7.9600000000000004E-2</v>
      </c>
      <c r="M524">
        <v>0.04</v>
      </c>
      <c r="N524">
        <v>1</v>
      </c>
      <c r="O524">
        <v>2.155E-2</v>
      </c>
    </row>
    <row r="525" spans="1:15">
      <c r="A525" t="s">
        <v>1052</v>
      </c>
      <c r="G525" cm="1">
        <f t="array" ref="G525:O525">VALUE(_xlfn.TEXTSPLIT(SUBSTITUTE(TRIM(A525),"0.0 %","0.0%")," "))</f>
        <v>8</v>
      </c>
      <c r="H525">
        <v>1.5309999999999999</v>
      </c>
      <c r="I525">
        <v>0.878</v>
      </c>
      <c r="J525">
        <v>0.08</v>
      </c>
      <c r="K525">
        <v>14.15</v>
      </c>
      <c r="L525">
        <v>-9.8500000000000004E-2</v>
      </c>
      <c r="M525">
        <v>4.3999999999999997E-2</v>
      </c>
      <c r="N525">
        <v>1</v>
      </c>
      <c r="O525">
        <v>2.3810000000000001E-2</v>
      </c>
    </row>
    <row r="526" spans="1:15">
      <c r="A526" t="s">
        <v>1053</v>
      </c>
      <c r="G526" cm="1">
        <f t="array" ref="G526:O526">VALUE(_xlfn.TEXTSPLIT(SUBSTITUTE(TRIM(A526),"0.0 %","0.0%")," "))</f>
        <v>10</v>
      </c>
      <c r="H526">
        <v>1.502</v>
      </c>
      <c r="I526">
        <v>0.96499999999999997</v>
      </c>
      <c r="J526">
        <v>5.8999999999999997E-2</v>
      </c>
      <c r="K526">
        <v>14.21</v>
      </c>
      <c r="L526">
        <v>-7.8399999999999997E-2</v>
      </c>
      <c r="M526">
        <v>3.9E-2</v>
      </c>
      <c r="N526">
        <v>1</v>
      </c>
      <c r="O526">
        <v>2.0240000000000001E-2</v>
      </c>
    </row>
    <row r="527" spans="1:15">
      <c r="A527" t="s">
        <v>1054</v>
      </c>
      <c r="G527" cm="1">
        <f t="array" ref="G527:O527">VALUE(_xlfn.TEXTSPLIT(SUBSTITUTE(TRIM(A527),"0.0 %","0.0%")," "))</f>
        <v>15</v>
      </c>
      <c r="H527">
        <v>1.573</v>
      </c>
      <c r="I527">
        <v>1.1180000000000001</v>
      </c>
      <c r="J527">
        <v>3.5000000000000003E-2</v>
      </c>
      <c r="K527">
        <v>14.16</v>
      </c>
      <c r="L527">
        <v>-5.9900000000000002E-2</v>
      </c>
      <c r="M527">
        <v>3.3000000000000002E-2</v>
      </c>
      <c r="N527">
        <v>1</v>
      </c>
      <c r="O527">
        <v>1.6029999999999999E-2</v>
      </c>
    </row>
    <row r="530" spans="1:15">
      <c r="A530" t="s">
        <v>1055</v>
      </c>
      <c r="G530" t="str">
        <f>A530</f>
        <v xml:space="preserve">                  TIN MEDIUM, AIR RESPONSE</v>
      </c>
    </row>
    <row r="532" spans="1:15">
      <c r="A532" t="s">
        <v>610</v>
      </c>
      <c r="G532" t="str" cm="1">
        <f t="array" ref="G532:O532">_xlfn.TEXTSPLIT(TRIM(A532)," ")</f>
        <v>E(MEV)</v>
      </c>
      <c r="H532" t="str">
        <v>B</v>
      </c>
      <c r="I532" t="str">
        <v>C</v>
      </c>
      <c r="J532" t="str">
        <v>A</v>
      </c>
      <c r="K532" t="str">
        <v>XK</v>
      </c>
      <c r="L532" t="str">
        <v>D</v>
      </c>
      <c r="M532" t="str">
        <v>MAX.D</v>
      </c>
      <c r="N532" t="str">
        <v>XMAX</v>
      </c>
      <c r="O532" t="str">
        <v>S.D</v>
      </c>
    </row>
    <row r="533" spans="1:15">
      <c r="A533" t="s">
        <v>611</v>
      </c>
      <c r="G533" s="6" t="s">
        <v>1289</v>
      </c>
      <c r="H533" s="6" t="s">
        <v>1289</v>
      </c>
      <c r="I533" s="6" t="s">
        <v>1289</v>
      </c>
      <c r="J533" s="6" t="s">
        <v>1289</v>
      </c>
      <c r="K533" s="6" t="s">
        <v>1289</v>
      </c>
      <c r="L533" s="6" t="s">
        <v>1289</v>
      </c>
      <c r="M533" s="6" t="s">
        <v>1289</v>
      </c>
      <c r="N533" s="6" t="s">
        <v>1289</v>
      </c>
      <c r="O533" s="6" t="s">
        <v>1289</v>
      </c>
    </row>
    <row r="534" spans="1:15">
      <c r="A534" t="s">
        <v>1056</v>
      </c>
      <c r="G534" cm="1">
        <f t="array" ref="G534:O534">VALUE(_xlfn.TEXTSPLIT(SUBSTITUTE(TRIM(A534),"0.0 %","0.0%")," "))</f>
        <v>1.4999999999999999E-2</v>
      </c>
      <c r="H534">
        <v>1.0049999999999999</v>
      </c>
      <c r="I534">
        <v>0.432</v>
      </c>
      <c r="J534">
        <v>0.16</v>
      </c>
      <c r="K534">
        <v>26.1</v>
      </c>
      <c r="L534">
        <v>-0.1522</v>
      </c>
      <c r="M534">
        <v>0</v>
      </c>
      <c r="N534">
        <v>2</v>
      </c>
      <c r="O534">
        <v>2.1000000000000001E-4</v>
      </c>
    </row>
    <row r="535" spans="1:15">
      <c r="A535" t="s">
        <v>1057</v>
      </c>
      <c r="G535" cm="1">
        <f t="array" ref="G535:O535">VALUE(_xlfn.TEXTSPLIT(SUBSTITUTE(TRIM(A535),"0.0 %","0.0%")," "))</f>
        <v>0.02</v>
      </c>
      <c r="H535">
        <v>1.0109999999999999</v>
      </c>
      <c r="I535">
        <v>0.38900000000000001</v>
      </c>
      <c r="J535">
        <v>0.192</v>
      </c>
      <c r="K535">
        <v>14.26</v>
      </c>
      <c r="L535">
        <v>-6.9500000000000006E-2</v>
      </c>
      <c r="M535">
        <v>1E-3</v>
      </c>
      <c r="N535">
        <v>6</v>
      </c>
      <c r="O535">
        <v>2.5999999999999998E-4</v>
      </c>
    </row>
    <row r="536" spans="1:15">
      <c r="A536" t="s">
        <v>1058</v>
      </c>
      <c r="G536" cm="1">
        <f t="array" ref="G536:O536">VALUE(_xlfn.TEXTSPLIT(SUBSTITUTE(TRIM(A536),"0.0 %","0.0%")," "))</f>
        <v>0.03</v>
      </c>
      <c r="H536">
        <v>2.8969999999999998</v>
      </c>
      <c r="I536">
        <v>1.873</v>
      </c>
      <c r="J536">
        <v>0.04</v>
      </c>
      <c r="K536">
        <v>10.77</v>
      </c>
      <c r="L536">
        <v>-3.1099999999999999E-2</v>
      </c>
      <c r="M536">
        <v>0.113</v>
      </c>
      <c r="N536">
        <v>3</v>
      </c>
      <c r="O536">
        <v>4.9979999999999997E-2</v>
      </c>
    </row>
    <row r="537" spans="1:15">
      <c r="A537" t="s">
        <v>1059</v>
      </c>
      <c r="G537" cm="1">
        <f t="array" ref="G537:O537">VALUE(_xlfn.TEXTSPLIT(SUBSTITUTE(TRIM(A537),"0.0 %","0.0%")," "))</f>
        <v>0.04</v>
      </c>
      <c r="H537">
        <v>3.5739999999999998</v>
      </c>
      <c r="I537">
        <v>1.2210000000000001</v>
      </c>
      <c r="J537">
        <v>9.7000000000000003E-2</v>
      </c>
      <c r="K537">
        <v>26.32</v>
      </c>
      <c r="L537">
        <v>-0.12520000000000001</v>
      </c>
      <c r="M537">
        <v>8.7999999999999995E-2</v>
      </c>
      <c r="N537">
        <v>3</v>
      </c>
      <c r="O537">
        <v>4.3159999999999997E-2</v>
      </c>
    </row>
    <row r="538" spans="1:15">
      <c r="A538" t="s">
        <v>1060</v>
      </c>
      <c r="G538" cm="1">
        <f t="array" ref="G538:O538">VALUE(_xlfn.TEXTSPLIT(SUBSTITUTE(TRIM(A538),"0.0 %","0.0%")," "))</f>
        <v>0.05</v>
      </c>
      <c r="H538">
        <v>3.4870000000000001</v>
      </c>
      <c r="I538">
        <v>0.49099999999999999</v>
      </c>
      <c r="J538">
        <v>0.28000000000000003</v>
      </c>
      <c r="K538">
        <v>16.8</v>
      </c>
      <c r="L538">
        <v>-0.23719999999999999</v>
      </c>
      <c r="M538">
        <v>2.3E-2</v>
      </c>
      <c r="N538">
        <v>0.5</v>
      </c>
      <c r="O538">
        <v>1.2070000000000001E-2</v>
      </c>
    </row>
    <row r="539" spans="1:15">
      <c r="A539" t="s">
        <v>1061</v>
      </c>
      <c r="G539" cm="1">
        <f t="array" ref="G539:O539">VALUE(_xlfn.TEXTSPLIT(SUBSTITUTE(TRIM(A539),"0.0 %","0.0%")," "))</f>
        <v>0.06</v>
      </c>
      <c r="H539">
        <v>2.9449999999999998</v>
      </c>
      <c r="I539">
        <v>0.23400000000000001</v>
      </c>
      <c r="J539">
        <v>-2.8000000000000001E-2</v>
      </c>
      <c r="K539">
        <v>5</v>
      </c>
      <c r="L539">
        <v>-5.57E-2</v>
      </c>
      <c r="M539">
        <v>6.0000000000000001E-3</v>
      </c>
      <c r="N539">
        <v>40</v>
      </c>
      <c r="O539">
        <v>3.63E-3</v>
      </c>
    </row>
    <row r="540" spans="1:15">
      <c r="A540" t="s">
        <v>1062</v>
      </c>
      <c r="G540" cm="1">
        <f t="array" ref="G540:O540">VALUE(_xlfn.TEXTSPLIT(SUBSTITUTE(TRIM(A540),"0.0 %","0.0%")," "))</f>
        <v>0.08</v>
      </c>
      <c r="H540">
        <v>1.8080000000000001</v>
      </c>
      <c r="I540">
        <v>1.7000000000000001E-2</v>
      </c>
      <c r="J540">
        <v>0.81100000000000005</v>
      </c>
      <c r="K540">
        <v>15.45</v>
      </c>
      <c r="L540">
        <v>-0.15260000000000001</v>
      </c>
      <c r="M540">
        <v>1.0999999999999999E-2</v>
      </c>
      <c r="N540">
        <v>1</v>
      </c>
      <c r="O540">
        <v>3.64E-3</v>
      </c>
    </row>
    <row r="541" spans="1:15">
      <c r="A541" t="s">
        <v>1063</v>
      </c>
      <c r="G541" cm="1">
        <f t="array" ref="G541:O541">VALUE(_xlfn.TEXTSPLIT(SUBSTITUTE(TRIM(A541),"0.0 %","0.0%")," "))</f>
        <v>0.1</v>
      </c>
      <c r="H541">
        <v>1.3959999999999999</v>
      </c>
      <c r="I541">
        <v>5.6000000000000001E-2</v>
      </c>
      <c r="J541">
        <v>0.68799999999999994</v>
      </c>
      <c r="K541">
        <v>13.79</v>
      </c>
      <c r="L541">
        <v>-0.3221</v>
      </c>
      <c r="M541">
        <v>1.7000000000000001E-2</v>
      </c>
      <c r="N541">
        <v>2</v>
      </c>
      <c r="O541">
        <v>7.7400000000000004E-3</v>
      </c>
    </row>
    <row r="542" spans="1:15">
      <c r="A542" t="s">
        <v>1064</v>
      </c>
      <c r="G542" cm="1">
        <f t="array" ref="G542:O542">VALUE(_xlfn.TEXTSPLIT(SUBSTITUTE(TRIM(A542),"0.0 %","0.0%")," "))</f>
        <v>0.15</v>
      </c>
      <c r="H542">
        <v>1.2190000000000001</v>
      </c>
      <c r="I542">
        <v>0.32600000000000001</v>
      </c>
      <c r="J542">
        <v>0.27900000000000003</v>
      </c>
      <c r="K542">
        <v>13.95</v>
      </c>
      <c r="L542">
        <v>-0.15540000000000001</v>
      </c>
      <c r="M542">
        <v>1.4E-2</v>
      </c>
      <c r="N542">
        <v>0.5</v>
      </c>
      <c r="O542">
        <v>5.9899999999999997E-3</v>
      </c>
    </row>
    <row r="543" spans="1:15">
      <c r="A543" t="s">
        <v>1065</v>
      </c>
      <c r="G543" cm="1">
        <f t="array" ref="G543:O543">VALUE(_xlfn.TEXTSPLIT(SUBSTITUTE(TRIM(A543),"0.0 %","0.0%")," "))</f>
        <v>0.2</v>
      </c>
      <c r="H543">
        <v>1.2609999999999999</v>
      </c>
      <c r="I543">
        <v>0.5</v>
      </c>
      <c r="J543">
        <v>0.17100000000000001</v>
      </c>
      <c r="K543">
        <v>14.62</v>
      </c>
      <c r="L543">
        <v>-9.1800000000000007E-2</v>
      </c>
      <c r="M543">
        <v>1.0999999999999999E-2</v>
      </c>
      <c r="N543">
        <v>0.5</v>
      </c>
      <c r="O543">
        <v>4.8399999999999997E-3</v>
      </c>
    </row>
    <row r="544" spans="1:15">
      <c r="A544" t="s">
        <v>1066</v>
      </c>
      <c r="G544" cm="1">
        <f t="array" ref="G544:O544">VALUE(_xlfn.TEXTSPLIT(SUBSTITUTE(TRIM(A544),"0.0 %","0.0%")," "))</f>
        <v>0.3</v>
      </c>
      <c r="H544">
        <v>1.405</v>
      </c>
      <c r="I544">
        <v>0.64700000000000002</v>
      </c>
      <c r="J544">
        <v>0.106</v>
      </c>
      <c r="K544">
        <v>14.23</v>
      </c>
      <c r="L544">
        <v>-5.0099999999999999E-2</v>
      </c>
      <c r="M544">
        <v>8.0000000000000002E-3</v>
      </c>
      <c r="N544">
        <v>5</v>
      </c>
      <c r="O544">
        <v>3.9100000000000003E-3</v>
      </c>
    </row>
    <row r="545" spans="1:15">
      <c r="A545" t="s">
        <v>1067</v>
      </c>
      <c r="G545" cm="1">
        <f t="array" ref="G545:O545">VALUE(_xlfn.TEXTSPLIT(SUBSTITUTE(TRIM(A545),"0.0 %","0.0%")," "))</f>
        <v>0.4</v>
      </c>
      <c r="H545">
        <v>1.5309999999999999</v>
      </c>
      <c r="I545">
        <v>0.78800000000000003</v>
      </c>
      <c r="J545">
        <v>6.5000000000000002E-2</v>
      </c>
      <c r="K545">
        <v>14.14</v>
      </c>
      <c r="L545">
        <v>-4.24E-2</v>
      </c>
      <c r="M545">
        <v>8.9999999999999993E-3</v>
      </c>
      <c r="N545">
        <v>5</v>
      </c>
      <c r="O545">
        <v>4.7499999999999999E-3</v>
      </c>
    </row>
    <row r="546" spans="1:15">
      <c r="A546" t="s">
        <v>1068</v>
      </c>
      <c r="G546" cm="1">
        <f t="array" ref="G546:O546">VALUE(_xlfn.TEXTSPLIT(SUBSTITUTE(TRIM(A546),"0.0 %","0.0%")," "))</f>
        <v>0.5</v>
      </c>
      <c r="H546">
        <v>1.61</v>
      </c>
      <c r="I546">
        <v>0.871</v>
      </c>
      <c r="J546">
        <v>4.2999999999999997E-2</v>
      </c>
      <c r="K546">
        <v>14.06</v>
      </c>
      <c r="L546">
        <v>-3.5499999999999997E-2</v>
      </c>
      <c r="M546">
        <v>0.01</v>
      </c>
      <c r="N546">
        <v>5</v>
      </c>
      <c r="O546">
        <v>4.7600000000000003E-3</v>
      </c>
    </row>
    <row r="547" spans="1:15">
      <c r="A547" t="s">
        <v>1069</v>
      </c>
      <c r="G547" cm="1">
        <f t="array" ref="G547:O547">VALUE(_xlfn.TEXTSPLIT(SUBSTITUTE(TRIM(A547),"0.0 %","0.0%")," "))</f>
        <v>0.6</v>
      </c>
      <c r="H547">
        <v>1.645</v>
      </c>
      <c r="I547">
        <v>0.93500000000000005</v>
      </c>
      <c r="J547">
        <v>2.4E-2</v>
      </c>
      <c r="K547">
        <v>14.02</v>
      </c>
      <c r="L547">
        <v>-2.4899999999999999E-2</v>
      </c>
      <c r="M547">
        <v>8.9999999999999993E-3</v>
      </c>
      <c r="N547">
        <v>5</v>
      </c>
      <c r="O547">
        <v>4.2700000000000004E-3</v>
      </c>
    </row>
    <row r="548" spans="1:15">
      <c r="A548" t="s">
        <v>1070</v>
      </c>
      <c r="G548" cm="1">
        <f t="array" ref="G548:O548">VALUE(_xlfn.TEXTSPLIT(SUBSTITUTE(TRIM(A548),"0.0 %","0.0%")," "))</f>
        <v>0.8</v>
      </c>
      <c r="H548">
        <v>1.6830000000000001</v>
      </c>
      <c r="I548">
        <v>0.999</v>
      </c>
      <c r="J548">
        <v>8.0000000000000002E-3</v>
      </c>
      <c r="K548">
        <v>14.09</v>
      </c>
      <c r="L548">
        <v>-1.83E-2</v>
      </c>
      <c r="M548">
        <v>0.01</v>
      </c>
      <c r="N548">
        <v>5</v>
      </c>
      <c r="O548">
        <v>3.9300000000000003E-3</v>
      </c>
    </row>
    <row r="549" spans="1:15">
      <c r="A549" t="s">
        <v>1071</v>
      </c>
      <c r="G549" cm="1">
        <f t="array" ref="G549:O549">VALUE(_xlfn.TEXTSPLIT(SUBSTITUTE(TRIM(A549),"0.0 %","0.0%")," "))</f>
        <v>1</v>
      </c>
      <c r="H549">
        <v>1.6850000000000001</v>
      </c>
      <c r="I549">
        <v>1.0289999999999999</v>
      </c>
      <c r="J549">
        <v>1E-3</v>
      </c>
      <c r="K549">
        <v>13.43</v>
      </c>
      <c r="L549">
        <v>-1.6199999999999999E-2</v>
      </c>
      <c r="M549">
        <v>8.9999999999999993E-3</v>
      </c>
      <c r="N549">
        <v>5</v>
      </c>
      <c r="O549">
        <v>3.62E-3</v>
      </c>
    </row>
    <row r="550" spans="1:15">
      <c r="A550" t="s">
        <v>1072</v>
      </c>
      <c r="G550" cm="1">
        <f t="array" ref="G550:O550">VALUE(_xlfn.TEXTSPLIT(SUBSTITUTE(TRIM(A550),"0.0 %","0.0%")," "))</f>
        <v>1.5</v>
      </c>
      <c r="H550">
        <v>1.57</v>
      </c>
      <c r="I550">
        <v>1.1220000000000001</v>
      </c>
      <c r="J550">
        <v>-2.1000000000000001E-2</v>
      </c>
      <c r="K550">
        <v>14.3</v>
      </c>
      <c r="L550">
        <v>-4.4999999999999997E-3</v>
      </c>
      <c r="M550">
        <v>8.9999999999999993E-3</v>
      </c>
      <c r="N550">
        <v>0.5</v>
      </c>
      <c r="O550">
        <v>3.46E-3</v>
      </c>
    </row>
    <row r="551" spans="1:15">
      <c r="A551" t="s">
        <v>1073</v>
      </c>
      <c r="G551" cm="1">
        <f t="array" ref="G551:O551">VALUE(_xlfn.TEXTSPLIT(SUBSTITUTE(TRIM(A551),"0.0 %","0.0%")," "))</f>
        <v>2</v>
      </c>
      <c r="H551">
        <v>1.556</v>
      </c>
      <c r="I551">
        <v>1.1080000000000001</v>
      </c>
      <c r="J551">
        <v>-1.6E-2</v>
      </c>
      <c r="K551">
        <v>13.1</v>
      </c>
      <c r="L551">
        <v>-8.6999999999999994E-3</v>
      </c>
      <c r="M551">
        <v>8.0000000000000002E-3</v>
      </c>
      <c r="N551">
        <v>1</v>
      </c>
      <c r="O551">
        <v>3.5200000000000001E-3</v>
      </c>
    </row>
    <row r="552" spans="1:15">
      <c r="A552" t="s">
        <v>1074</v>
      </c>
      <c r="G552" cm="1">
        <f t="array" ref="G552:O552">VALUE(_xlfn.TEXTSPLIT(SUBSTITUTE(TRIM(A552),"0.0 %","0.0%")," "))</f>
        <v>3</v>
      </c>
      <c r="H552">
        <v>1.5229999999999999</v>
      </c>
      <c r="I552">
        <v>1.0580000000000001</v>
      </c>
      <c r="J552">
        <v>4.0000000000000001E-3</v>
      </c>
      <c r="K552">
        <v>12.99</v>
      </c>
      <c r="L552">
        <v>-3.3099999999999997E-2</v>
      </c>
      <c r="M552">
        <v>2.1999999999999999E-2</v>
      </c>
      <c r="N552">
        <v>0.5</v>
      </c>
      <c r="O552">
        <v>1.149E-2</v>
      </c>
    </row>
    <row r="553" spans="1:15">
      <c r="A553" t="s">
        <v>1075</v>
      </c>
      <c r="G553" cm="1">
        <f t="array" ref="G553:O553">VALUE(_xlfn.TEXTSPLIT(SUBSTITUTE(TRIM(A553),"0.0 %","0.0%")," "))</f>
        <v>4</v>
      </c>
      <c r="H553">
        <v>1.47</v>
      </c>
      <c r="I553">
        <v>1.0349999999999999</v>
      </c>
      <c r="J553">
        <v>1.6E-2</v>
      </c>
      <c r="K553">
        <v>13.43</v>
      </c>
      <c r="L553">
        <v>-4.4900000000000002E-2</v>
      </c>
      <c r="M553">
        <v>3.4000000000000002E-2</v>
      </c>
      <c r="N553">
        <v>0.5</v>
      </c>
      <c r="O553">
        <v>1.516E-2</v>
      </c>
    </row>
    <row r="554" spans="1:15">
      <c r="A554" t="s">
        <v>1076</v>
      </c>
      <c r="G554" cm="1">
        <f t="array" ref="G554:O554">VALUE(_xlfn.TEXTSPLIT(SUBSTITUTE(TRIM(A554),"0.0 %","0.0%")," "))</f>
        <v>5</v>
      </c>
      <c r="H554">
        <v>1.49</v>
      </c>
      <c r="I554">
        <v>0.95699999999999996</v>
      </c>
      <c r="J554">
        <v>4.5999999999999999E-2</v>
      </c>
      <c r="K554">
        <v>13.69</v>
      </c>
      <c r="L554">
        <v>-7.2900000000000006E-2</v>
      </c>
      <c r="M554">
        <v>4.2999999999999997E-2</v>
      </c>
      <c r="N554">
        <v>0.5</v>
      </c>
      <c r="O554">
        <v>2.163E-2</v>
      </c>
    </row>
    <row r="555" spans="1:15">
      <c r="A555" t="s">
        <v>1077</v>
      </c>
      <c r="G555" cm="1">
        <f t="array" ref="G555:O555">VALUE(_xlfn.TEXTSPLIT(SUBSTITUTE(TRIM(A555),"0.0 %","0.0%")," "))</f>
        <v>6</v>
      </c>
      <c r="H555">
        <v>1.4790000000000001</v>
      </c>
      <c r="I555">
        <v>0.93300000000000005</v>
      </c>
      <c r="J555">
        <v>5.8999999999999997E-2</v>
      </c>
      <c r="K555">
        <v>13.92</v>
      </c>
      <c r="L555">
        <v>-8.4199999999999997E-2</v>
      </c>
      <c r="M555">
        <v>4.4999999999999998E-2</v>
      </c>
      <c r="N555">
        <v>0.5</v>
      </c>
      <c r="O555">
        <v>2.3279999999999999E-2</v>
      </c>
    </row>
    <row r="556" spans="1:15">
      <c r="A556" t="s">
        <v>1078</v>
      </c>
      <c r="G556" cm="1">
        <f t="array" ref="G556:O556">VALUE(_xlfn.TEXTSPLIT(SUBSTITUTE(TRIM(A556),"0.0 %","0.0%")," "))</f>
        <v>8</v>
      </c>
      <c r="H556">
        <v>1.5249999999999999</v>
      </c>
      <c r="I556">
        <v>0.91300000000000003</v>
      </c>
      <c r="J556">
        <v>7.5999999999999998E-2</v>
      </c>
      <c r="K556">
        <v>14.16</v>
      </c>
      <c r="L556">
        <v>-9.8299999999999998E-2</v>
      </c>
      <c r="M556">
        <v>4.7E-2</v>
      </c>
      <c r="N556">
        <v>1</v>
      </c>
      <c r="O556">
        <v>2.538E-2</v>
      </c>
    </row>
    <row r="557" spans="1:15">
      <c r="A557" t="s">
        <v>1079</v>
      </c>
      <c r="G557" cm="1">
        <f t="array" ref="G557:O557">VALUE(_xlfn.TEXTSPLIT(SUBSTITUTE(TRIM(A557),"0.0 %","0.0%")," "))</f>
        <v>10</v>
      </c>
      <c r="H557">
        <v>1.504</v>
      </c>
      <c r="I557">
        <v>1.0329999999999999</v>
      </c>
      <c r="J557">
        <v>4.8000000000000001E-2</v>
      </c>
      <c r="K557">
        <v>14.18</v>
      </c>
      <c r="L557">
        <v>-7.0999999999999994E-2</v>
      </c>
      <c r="M557">
        <v>4.1000000000000002E-2</v>
      </c>
      <c r="N557">
        <v>1</v>
      </c>
      <c r="O557">
        <v>2.0830000000000001E-2</v>
      </c>
    </row>
    <row r="558" spans="1:15">
      <c r="A558" t="s">
        <v>1080</v>
      </c>
      <c r="G558" cm="1">
        <f t="array" ref="G558:O558">VALUE(_xlfn.TEXTSPLIT(SUBSTITUTE(TRIM(A558),"0.0 %","0.0%")," "))</f>
        <v>15</v>
      </c>
      <c r="H558">
        <v>1.5920000000000001</v>
      </c>
      <c r="I558">
        <v>1.2070000000000001</v>
      </c>
      <c r="J558">
        <v>2.5999999999999999E-2</v>
      </c>
      <c r="K558">
        <v>13.91</v>
      </c>
      <c r="L558">
        <v>-5.6599999999999998E-2</v>
      </c>
      <c r="M558">
        <v>3.5999999999999997E-2</v>
      </c>
      <c r="N558">
        <v>1</v>
      </c>
      <c r="O558">
        <v>1.6709999999999999E-2</v>
      </c>
    </row>
    <row r="561" spans="1:15">
      <c r="A561" t="s">
        <v>1081</v>
      </c>
      <c r="G561" t="str">
        <f>A561</f>
        <v xml:space="preserve">                  LANTHANUM MEDIUM, AIR RESPONSE</v>
      </c>
    </row>
    <row r="563" spans="1:15">
      <c r="A563" t="s">
        <v>610</v>
      </c>
      <c r="G563" t="str" cm="1">
        <f t="array" ref="G563:O563">_xlfn.TEXTSPLIT(TRIM(A563)," ")</f>
        <v>E(MEV)</v>
      </c>
      <c r="H563" t="str">
        <v>B</v>
      </c>
      <c r="I563" t="str">
        <v>C</v>
      </c>
      <c r="J563" t="str">
        <v>A</v>
      </c>
      <c r="K563" t="str">
        <v>XK</v>
      </c>
      <c r="L563" t="str">
        <v>D</v>
      </c>
      <c r="M563" t="str">
        <v>MAX.D</v>
      </c>
      <c r="N563" t="str">
        <v>XMAX</v>
      </c>
      <c r="O563" t="str">
        <v>S.D</v>
      </c>
    </row>
    <row r="564" spans="1:15">
      <c r="A564" t="s">
        <v>611</v>
      </c>
      <c r="G564" s="6" t="s">
        <v>1289</v>
      </c>
      <c r="H564" s="6" t="s">
        <v>1289</v>
      </c>
      <c r="I564" s="6" t="s">
        <v>1289</v>
      </c>
      <c r="J564" s="6" t="s">
        <v>1289</v>
      </c>
      <c r="K564" s="6" t="s">
        <v>1289</v>
      </c>
      <c r="L564" s="6" t="s">
        <v>1289</v>
      </c>
      <c r="M564" s="6" t="s">
        <v>1289</v>
      </c>
      <c r="N564" s="6" t="s">
        <v>1289</v>
      </c>
      <c r="O564" s="6" t="s">
        <v>1289</v>
      </c>
    </row>
    <row r="565" spans="1:15">
      <c r="A565" t="s">
        <v>1082</v>
      </c>
      <c r="G565" cm="1">
        <f t="array" ref="G565:O565">VALUE(_xlfn.TEXTSPLIT(SUBSTITUTE(TRIM(A565),"0.0 %","0.0%")," "))</f>
        <v>1.4999999999999999E-2</v>
      </c>
      <c r="H565">
        <v>1.0029999999999999</v>
      </c>
      <c r="I565">
        <v>0.501</v>
      </c>
      <c r="J565">
        <v>0.128</v>
      </c>
      <c r="K565">
        <v>11.6</v>
      </c>
      <c r="L565">
        <v>-3.8699999999999998E-2</v>
      </c>
      <c r="M565">
        <v>1E-3</v>
      </c>
      <c r="N565">
        <v>6</v>
      </c>
      <c r="O565">
        <v>2.7999999999999998E-4</v>
      </c>
    </row>
    <row r="566" spans="1:15">
      <c r="A566" t="s">
        <v>1083</v>
      </c>
      <c r="G566" cm="1">
        <f t="array" ref="G566:O566">VALUE(_xlfn.TEXTSPLIT(SUBSTITUTE(TRIM(A566),"0.0 %","0.0%")," "))</f>
        <v>0.02</v>
      </c>
      <c r="H566">
        <v>1.0069999999999999</v>
      </c>
      <c r="I566">
        <v>0.41399999999999998</v>
      </c>
      <c r="J566">
        <v>0.17199999999999999</v>
      </c>
      <c r="K566">
        <v>17.100000000000001</v>
      </c>
      <c r="L566">
        <v>-6.0299999999999999E-2</v>
      </c>
      <c r="M566">
        <v>1E-3</v>
      </c>
      <c r="N566">
        <v>0.5</v>
      </c>
      <c r="O566">
        <v>2.7999999999999998E-4</v>
      </c>
    </row>
    <row r="567" spans="1:15">
      <c r="A567" t="s">
        <v>1084</v>
      </c>
      <c r="G567" cm="1">
        <f t="array" ref="G567:O567">VALUE(_xlfn.TEXTSPLIT(SUBSTITUTE(TRIM(A567),"0.0 %","0.0%")," "))</f>
        <v>0.03</v>
      </c>
      <c r="H567">
        <v>1.022</v>
      </c>
      <c r="I567">
        <v>0.32200000000000001</v>
      </c>
      <c r="J567">
        <v>0.24399999999999999</v>
      </c>
      <c r="K567">
        <v>13.95</v>
      </c>
      <c r="L567">
        <v>-9.0899999999999995E-2</v>
      </c>
      <c r="M567">
        <v>1E-3</v>
      </c>
      <c r="N567">
        <v>35</v>
      </c>
      <c r="O567">
        <v>2.9E-4</v>
      </c>
    </row>
    <row r="568" spans="1:15">
      <c r="A568" t="s">
        <v>1085</v>
      </c>
      <c r="G568" cm="1">
        <f t="array" ref="G568:O568">VALUE(_xlfn.TEXTSPLIT(SUBSTITUTE(TRIM(A568),"0.0 %","0.0%")," "))</f>
        <v>0.04</v>
      </c>
      <c r="H568">
        <v>2.9209999999999998</v>
      </c>
      <c r="I568">
        <v>1.788</v>
      </c>
      <c r="J568">
        <v>4.9000000000000002E-2</v>
      </c>
      <c r="K568">
        <v>10.98</v>
      </c>
      <c r="L568">
        <v>-3.5799999999999998E-2</v>
      </c>
      <c r="M568">
        <v>0.123</v>
      </c>
      <c r="N568">
        <v>3</v>
      </c>
      <c r="O568">
        <v>5.3359999999999998E-2</v>
      </c>
    </row>
    <row r="569" spans="1:15">
      <c r="A569" t="s">
        <v>1086</v>
      </c>
      <c r="G569" cm="1">
        <f t="array" ref="G569:O569">VALUE(_xlfn.TEXTSPLIT(SUBSTITUTE(TRIM(A569),"0.0 %","0.0%")," "))</f>
        <v>0.05</v>
      </c>
      <c r="H569">
        <v>3.1269999999999998</v>
      </c>
      <c r="I569">
        <v>1.3109999999999999</v>
      </c>
      <c r="J569">
        <v>8.8999999999999996E-2</v>
      </c>
      <c r="K569">
        <v>20.239999999999998</v>
      </c>
      <c r="L569">
        <v>-7.7100000000000002E-2</v>
      </c>
      <c r="M569">
        <v>9.0999999999999998E-2</v>
      </c>
      <c r="N569">
        <v>3</v>
      </c>
      <c r="O569">
        <v>5.1529999999999999E-2</v>
      </c>
    </row>
    <row r="570" spans="1:15">
      <c r="A570" t="s">
        <v>1087</v>
      </c>
      <c r="G570" cm="1">
        <f t="array" ref="G570:O570">VALUE(_xlfn.TEXTSPLIT(SUBSTITUTE(TRIM(A570),"0.0 %","0.0%")," "))</f>
        <v>0.06</v>
      </c>
      <c r="H570">
        <v>2.8250000000000002</v>
      </c>
      <c r="I570">
        <v>0.77400000000000002</v>
      </c>
      <c r="J570">
        <v>0.184</v>
      </c>
      <c r="K570">
        <v>16.36</v>
      </c>
      <c r="L570">
        <v>-0.1517</v>
      </c>
      <c r="M570">
        <v>2.8000000000000001E-2</v>
      </c>
      <c r="N570">
        <v>1</v>
      </c>
      <c r="O570">
        <v>1.54E-2</v>
      </c>
    </row>
    <row r="571" spans="1:15">
      <c r="A571" t="s">
        <v>1088</v>
      </c>
      <c r="G571" cm="1">
        <f t="array" ref="G571:O571">VALUE(_xlfn.TEXTSPLIT(SUBSTITUTE(TRIM(A571),"0.0 %","0.0%")," "))</f>
        <v>0.08</v>
      </c>
      <c r="H571">
        <v>2.048</v>
      </c>
      <c r="I571">
        <v>0.21199999999999999</v>
      </c>
      <c r="J571">
        <v>-0.124</v>
      </c>
      <c r="K571">
        <v>16.38</v>
      </c>
      <c r="L571">
        <v>6.6299999999999998E-2</v>
      </c>
      <c r="M571">
        <v>7.0000000000000001E-3</v>
      </c>
      <c r="N571">
        <v>1</v>
      </c>
      <c r="O571">
        <v>3.1900000000000001E-3</v>
      </c>
    </row>
    <row r="572" spans="1:15">
      <c r="A572" t="s">
        <v>1089</v>
      </c>
      <c r="G572" cm="1">
        <f t="array" ref="G572:O572">VALUE(_xlfn.TEXTSPLIT(SUBSTITUTE(TRIM(A572),"0.0 %","0.0%")," "))</f>
        <v>0.1</v>
      </c>
      <c r="H572">
        <v>1.47</v>
      </c>
      <c r="I572">
        <v>3.9E-2</v>
      </c>
      <c r="J572">
        <v>0.66100000000000003</v>
      </c>
      <c r="K572">
        <v>14.46</v>
      </c>
      <c r="L572">
        <v>-0.16639999999999999</v>
      </c>
      <c r="M572">
        <v>7.0000000000000001E-3</v>
      </c>
      <c r="N572">
        <v>1</v>
      </c>
      <c r="O572">
        <v>2.7000000000000001E-3</v>
      </c>
    </row>
    <row r="573" spans="1:15">
      <c r="A573" t="s">
        <v>1090</v>
      </c>
      <c r="G573" cm="1">
        <f t="array" ref="G573:O573">VALUE(_xlfn.TEXTSPLIT(SUBSTITUTE(TRIM(A573),"0.0 %","0.0%")," "))</f>
        <v>0.15</v>
      </c>
      <c r="H573">
        <v>1.194</v>
      </c>
      <c r="I573">
        <v>0.23599999999999999</v>
      </c>
      <c r="J573">
        <v>0.36099999999999999</v>
      </c>
      <c r="K573">
        <v>13.74</v>
      </c>
      <c r="L573">
        <v>-0.20610000000000001</v>
      </c>
      <c r="M573">
        <v>1.4E-2</v>
      </c>
      <c r="N573">
        <v>0.5</v>
      </c>
      <c r="O573">
        <v>5.8700000000000002E-3</v>
      </c>
    </row>
    <row r="574" spans="1:15">
      <c r="A574" t="s">
        <v>1091</v>
      </c>
      <c r="G574" cm="1">
        <f t="array" ref="G574:O574">VALUE(_xlfn.TEXTSPLIT(SUBSTITUTE(TRIM(A574),"0.0 %","0.0%")," "))</f>
        <v>0.2</v>
      </c>
      <c r="H574">
        <v>1.194</v>
      </c>
      <c r="I574">
        <v>0.45</v>
      </c>
      <c r="J574">
        <v>0.19500000000000001</v>
      </c>
      <c r="K574">
        <v>14.2</v>
      </c>
      <c r="L574">
        <v>-0.10440000000000001</v>
      </c>
      <c r="M574">
        <v>1.0999999999999999E-2</v>
      </c>
      <c r="N574">
        <v>0.5</v>
      </c>
      <c r="O574">
        <v>4.4099999999999999E-3</v>
      </c>
    </row>
    <row r="575" spans="1:15">
      <c r="A575" t="s">
        <v>1092</v>
      </c>
      <c r="G575" cm="1">
        <f t="array" ref="G575:O575">VALUE(_xlfn.TEXTSPLIT(SUBSTITUTE(TRIM(A575),"0.0 %","0.0%")," "))</f>
        <v>0.3</v>
      </c>
      <c r="H575">
        <v>1.3080000000000001</v>
      </c>
      <c r="I575">
        <v>0.57999999999999996</v>
      </c>
      <c r="J575">
        <v>0.13100000000000001</v>
      </c>
      <c r="K575">
        <v>13.84</v>
      </c>
      <c r="L575">
        <v>-6.2300000000000001E-2</v>
      </c>
      <c r="M575">
        <v>6.0000000000000001E-3</v>
      </c>
      <c r="N575">
        <v>5</v>
      </c>
      <c r="O575">
        <v>3.8500000000000001E-3</v>
      </c>
    </row>
    <row r="576" spans="1:15">
      <c r="A576" t="s">
        <v>1093</v>
      </c>
      <c r="G576" cm="1">
        <f t="array" ref="G576:O576">VALUE(_xlfn.TEXTSPLIT(SUBSTITUTE(TRIM(A576),"0.0 %","0.0%")," "))</f>
        <v>0.4</v>
      </c>
      <c r="H576">
        <v>1.4159999999999999</v>
      </c>
      <c r="I576">
        <v>0.71299999999999997</v>
      </c>
      <c r="J576">
        <v>8.6999999999999994E-2</v>
      </c>
      <c r="K576">
        <v>14.12</v>
      </c>
      <c r="L576">
        <v>-5.0500000000000003E-2</v>
      </c>
      <c r="M576">
        <v>8.0000000000000002E-3</v>
      </c>
      <c r="N576">
        <v>5</v>
      </c>
      <c r="O576">
        <v>4.5900000000000003E-3</v>
      </c>
    </row>
    <row r="577" spans="1:15">
      <c r="A577" t="s">
        <v>1094</v>
      </c>
      <c r="G577" cm="1">
        <f t="array" ref="G577:O577">VALUE(_xlfn.TEXTSPLIT(SUBSTITUTE(TRIM(A577),"0.0 %","0.0%")," "))</f>
        <v>0.5</v>
      </c>
      <c r="H577">
        <v>1.488</v>
      </c>
      <c r="I577">
        <v>0.80300000000000005</v>
      </c>
      <c r="J577">
        <v>0.06</v>
      </c>
      <c r="K577">
        <v>14.1</v>
      </c>
      <c r="L577">
        <v>-3.9899999999999998E-2</v>
      </c>
      <c r="M577">
        <v>8.9999999999999993E-3</v>
      </c>
      <c r="N577">
        <v>5</v>
      </c>
      <c r="O577">
        <v>4.64E-3</v>
      </c>
    </row>
    <row r="578" spans="1:15">
      <c r="A578" t="s">
        <v>1095</v>
      </c>
      <c r="G578" cm="1">
        <f t="array" ref="G578:O578">VALUE(_xlfn.TEXTSPLIT(SUBSTITUTE(TRIM(A578),"0.0 %","0.0%")," "))</f>
        <v>0.6</v>
      </c>
      <c r="H578">
        <v>1.534</v>
      </c>
      <c r="I578">
        <v>0.86499999999999999</v>
      </c>
      <c r="J578">
        <v>4.1000000000000002E-2</v>
      </c>
      <c r="K578">
        <v>13.81</v>
      </c>
      <c r="L578">
        <v>-3.04E-2</v>
      </c>
      <c r="M578">
        <v>8.9999999999999993E-3</v>
      </c>
      <c r="N578">
        <v>5</v>
      </c>
      <c r="O578">
        <v>4.45E-3</v>
      </c>
    </row>
    <row r="579" spans="1:15">
      <c r="A579" t="s">
        <v>1096</v>
      </c>
      <c r="G579" cm="1">
        <f t="array" ref="G579:O579">VALUE(_xlfn.TEXTSPLIT(SUBSTITUTE(TRIM(A579),"0.0 %","0.0%")," "))</f>
        <v>0.8</v>
      </c>
      <c r="H579">
        <v>1.5880000000000001</v>
      </c>
      <c r="I579">
        <v>0.93400000000000005</v>
      </c>
      <c r="J579">
        <v>2.3E-2</v>
      </c>
      <c r="K579">
        <v>13.66</v>
      </c>
      <c r="L579">
        <v>-2.3400000000000001E-2</v>
      </c>
      <c r="M579">
        <v>8.9999999999999993E-3</v>
      </c>
      <c r="N579">
        <v>5</v>
      </c>
      <c r="O579">
        <v>3.9399999999999999E-3</v>
      </c>
    </row>
    <row r="580" spans="1:15">
      <c r="A580" t="s">
        <v>1097</v>
      </c>
      <c r="G580" cm="1">
        <f t="array" ref="G580:O580">VALUE(_xlfn.TEXTSPLIT(SUBSTITUTE(TRIM(A580),"0.0 %","0.0%")," "))</f>
        <v>1</v>
      </c>
      <c r="H580">
        <v>1.6020000000000001</v>
      </c>
      <c r="I580">
        <v>0.97399999999999998</v>
      </c>
      <c r="J580">
        <v>1.4E-2</v>
      </c>
      <c r="K580">
        <v>13.24</v>
      </c>
      <c r="L580">
        <v>-2.2200000000000001E-2</v>
      </c>
      <c r="M580">
        <v>7.0000000000000001E-3</v>
      </c>
      <c r="N580">
        <v>25</v>
      </c>
      <c r="O580">
        <v>4.1200000000000004E-3</v>
      </c>
    </row>
    <row r="581" spans="1:15">
      <c r="A581" t="s">
        <v>1098</v>
      </c>
      <c r="G581" cm="1">
        <f t="array" ref="G581:O581">VALUE(_xlfn.TEXTSPLIT(SUBSTITUTE(TRIM(A581),"0.0 %","0.0%")," "))</f>
        <v>1.5</v>
      </c>
      <c r="H581">
        <v>1.538</v>
      </c>
      <c r="I581">
        <v>1.0720000000000001</v>
      </c>
      <c r="J581">
        <v>-8.9999999999999993E-3</v>
      </c>
      <c r="K581">
        <v>13.64</v>
      </c>
      <c r="L581">
        <v>-1.0800000000000001E-2</v>
      </c>
      <c r="M581">
        <v>6.0000000000000001E-3</v>
      </c>
      <c r="N581">
        <v>1</v>
      </c>
      <c r="O581">
        <v>2.7699999999999999E-3</v>
      </c>
    </row>
    <row r="582" spans="1:15">
      <c r="A582" t="s">
        <v>1099</v>
      </c>
      <c r="G582" cm="1">
        <f t="array" ref="G582:O582">VALUE(_xlfn.TEXTSPLIT(SUBSTITUTE(TRIM(A582),"0.0 %","0.0%")," "))</f>
        <v>2</v>
      </c>
      <c r="H582">
        <v>1.5529999999999999</v>
      </c>
      <c r="I582">
        <v>1.044</v>
      </c>
      <c r="J582">
        <v>2E-3</v>
      </c>
      <c r="K582">
        <v>13.08</v>
      </c>
      <c r="L582">
        <v>-2.2499999999999999E-2</v>
      </c>
      <c r="M582">
        <v>8.9999999999999993E-3</v>
      </c>
      <c r="N582">
        <v>4</v>
      </c>
      <c r="O582">
        <v>6.28E-3</v>
      </c>
    </row>
    <row r="583" spans="1:15">
      <c r="A583" t="s">
        <v>1100</v>
      </c>
      <c r="G583" cm="1">
        <f t="array" ref="G583:O583">VALUE(_xlfn.TEXTSPLIT(SUBSTITUTE(TRIM(A583),"0.0 %","0.0%")," "))</f>
        <v>3</v>
      </c>
      <c r="H583">
        <v>1.5429999999999999</v>
      </c>
      <c r="I583">
        <v>1.0089999999999999</v>
      </c>
      <c r="J583">
        <v>1.9E-2</v>
      </c>
      <c r="K583">
        <v>13.39</v>
      </c>
      <c r="L583">
        <v>-4.4699999999999997E-2</v>
      </c>
      <c r="M583">
        <v>3.4000000000000002E-2</v>
      </c>
      <c r="N583">
        <v>0.5</v>
      </c>
      <c r="O583">
        <v>1.5180000000000001E-2</v>
      </c>
    </row>
    <row r="584" spans="1:15">
      <c r="A584" t="s">
        <v>1101</v>
      </c>
      <c r="G584" cm="1">
        <f t="array" ref="G584:O584">VALUE(_xlfn.TEXTSPLIT(SUBSTITUTE(TRIM(A584),"0.0 %","0.0%")," "))</f>
        <v>4</v>
      </c>
      <c r="H584">
        <v>1.5229999999999999</v>
      </c>
      <c r="I584">
        <v>0.97</v>
      </c>
      <c r="J584">
        <v>3.6999999999999998E-2</v>
      </c>
      <c r="K584">
        <v>13.74</v>
      </c>
      <c r="L584">
        <v>-6.0900000000000003E-2</v>
      </c>
      <c r="M584">
        <v>4.1000000000000002E-2</v>
      </c>
      <c r="N584">
        <v>0.5</v>
      </c>
      <c r="O584">
        <v>1.821E-2</v>
      </c>
    </row>
    <row r="585" spans="1:15">
      <c r="A585" t="s">
        <v>1102</v>
      </c>
      <c r="G585" cm="1">
        <f t="array" ref="G585:O585">VALUE(_xlfn.TEXTSPLIT(SUBSTITUTE(TRIM(A585),"0.0 %","0.0%")," "))</f>
        <v>5</v>
      </c>
      <c r="H585">
        <v>1.611</v>
      </c>
      <c r="I585">
        <v>0.88800000000000001</v>
      </c>
      <c r="J585">
        <v>7.0000000000000007E-2</v>
      </c>
      <c r="K585">
        <v>13.96</v>
      </c>
      <c r="L585">
        <v>-8.9300000000000004E-2</v>
      </c>
      <c r="M585">
        <v>4.8000000000000001E-2</v>
      </c>
      <c r="N585">
        <v>0.5</v>
      </c>
      <c r="O585">
        <v>2.332E-2</v>
      </c>
    </row>
    <row r="586" spans="1:15">
      <c r="A586" t="s">
        <v>1103</v>
      </c>
      <c r="G586" cm="1">
        <f t="array" ref="G586:O586">VALUE(_xlfn.TEXTSPLIT(SUBSTITUTE(TRIM(A586),"0.0 %","0.0%")," "))</f>
        <v>6</v>
      </c>
      <c r="H586">
        <v>1.65</v>
      </c>
      <c r="I586">
        <v>0.88400000000000001</v>
      </c>
      <c r="J586">
        <v>7.5999999999999998E-2</v>
      </c>
      <c r="K586">
        <v>14.19</v>
      </c>
      <c r="L586">
        <v>-9.1899999999999996E-2</v>
      </c>
      <c r="M586">
        <v>4.4999999999999998E-2</v>
      </c>
      <c r="N586">
        <v>0.5</v>
      </c>
      <c r="O586">
        <v>2.307E-2</v>
      </c>
    </row>
    <row r="587" spans="1:15">
      <c r="A587" t="s">
        <v>1104</v>
      </c>
      <c r="G587" cm="1">
        <f t="array" ref="G587:O587">VALUE(_xlfn.TEXTSPLIT(SUBSTITUTE(TRIM(A587),"0.0 %","0.0%")," "))</f>
        <v>8</v>
      </c>
      <c r="H587">
        <v>1.847</v>
      </c>
      <c r="I587">
        <v>0.92900000000000005</v>
      </c>
      <c r="J587">
        <v>7.2999999999999995E-2</v>
      </c>
      <c r="K587">
        <v>14.18</v>
      </c>
      <c r="L587">
        <v>-9.06E-2</v>
      </c>
      <c r="M587">
        <v>0.04</v>
      </c>
      <c r="N587">
        <v>0.5</v>
      </c>
      <c r="O587">
        <v>2.2450000000000001E-2</v>
      </c>
    </row>
    <row r="588" spans="1:15">
      <c r="A588" t="s">
        <v>1105</v>
      </c>
      <c r="G588" cm="1">
        <f t="array" ref="G588:O588">VALUE(_xlfn.TEXTSPLIT(SUBSTITUTE(TRIM(A588),"0.0 %","0.0%")," "))</f>
        <v>10</v>
      </c>
      <c r="H588">
        <v>1.9179999999999999</v>
      </c>
      <c r="I588">
        <v>1.097</v>
      </c>
      <c r="J588">
        <v>3.5000000000000003E-2</v>
      </c>
      <c r="K588">
        <v>14.06</v>
      </c>
      <c r="L588">
        <v>-5.8200000000000002E-2</v>
      </c>
      <c r="M588">
        <v>2.9000000000000001E-2</v>
      </c>
      <c r="N588">
        <v>0.5</v>
      </c>
      <c r="O588">
        <v>1.6389999999999998E-2</v>
      </c>
    </row>
    <row r="589" spans="1:15">
      <c r="A589" t="s">
        <v>1106</v>
      </c>
      <c r="G589" cm="1">
        <f t="array" ref="G589:O589">VALUE(_xlfn.TEXTSPLIT(SUBSTITUTE(TRIM(A589),"0.0 %","0.0%")," "))</f>
        <v>15</v>
      </c>
      <c r="H589">
        <v>2.1800000000000002</v>
      </c>
      <c r="I589">
        <v>1.3160000000000001</v>
      </c>
      <c r="J589">
        <v>8.0000000000000002E-3</v>
      </c>
      <c r="K589">
        <v>13.68</v>
      </c>
      <c r="L589">
        <v>-3.9600000000000003E-2</v>
      </c>
      <c r="M589">
        <v>1.9E-2</v>
      </c>
      <c r="N589">
        <v>1</v>
      </c>
      <c r="O589">
        <v>1.0630000000000001E-2</v>
      </c>
    </row>
    <row r="592" spans="1:15">
      <c r="A592" t="s">
        <v>1107</v>
      </c>
      <c r="G592" t="str">
        <f>A592</f>
        <v xml:space="preserve">                  GADOLINIUM MEDIUM, AIR RESPONSE</v>
      </c>
    </row>
    <row r="594" spans="1:15">
      <c r="A594" t="s">
        <v>610</v>
      </c>
      <c r="G594" t="str" cm="1">
        <f t="array" ref="G594:O594">_xlfn.TEXTSPLIT(TRIM(A594)," ")</f>
        <v>E(MEV)</v>
      </c>
      <c r="H594" t="str">
        <v>B</v>
      </c>
      <c r="I594" t="str">
        <v>C</v>
      </c>
      <c r="J594" t="str">
        <v>A</v>
      </c>
      <c r="K594" t="str">
        <v>XK</v>
      </c>
      <c r="L594" t="str">
        <v>D</v>
      </c>
      <c r="M594" t="str">
        <v>MAX.D</v>
      </c>
      <c r="N594" t="str">
        <v>XMAX</v>
      </c>
      <c r="O594" t="str">
        <v>S.D</v>
      </c>
    </row>
    <row r="595" spans="1:15">
      <c r="A595" t="s">
        <v>611</v>
      </c>
      <c r="G595" s="6" t="s">
        <v>1289</v>
      </c>
      <c r="H595" s="6" t="s">
        <v>1289</v>
      </c>
      <c r="I595" s="6" t="s">
        <v>1289</v>
      </c>
      <c r="J595" s="6" t="s">
        <v>1289</v>
      </c>
      <c r="K595" s="6" t="s">
        <v>1289</v>
      </c>
      <c r="L595" s="6" t="s">
        <v>1289</v>
      </c>
      <c r="M595" s="6" t="s">
        <v>1289</v>
      </c>
      <c r="N595" s="6" t="s">
        <v>1289</v>
      </c>
      <c r="O595" s="6" t="s">
        <v>1289</v>
      </c>
    </row>
    <row r="596" spans="1:15">
      <c r="A596" t="s">
        <v>1108</v>
      </c>
      <c r="G596" cm="1">
        <f t="array" ref="G596:O596">VALUE(_xlfn.TEXTSPLIT(SUBSTITUTE(TRIM(A596),"0.0 %","0.0%")," "))</f>
        <v>1.4999999999999999E-2</v>
      </c>
      <c r="H596">
        <v>1.0029999999999999</v>
      </c>
      <c r="I596">
        <v>0.26100000000000001</v>
      </c>
      <c r="J596">
        <v>0.29899999999999999</v>
      </c>
      <c r="K596">
        <v>21.25</v>
      </c>
      <c r="L596">
        <v>-0.27710000000000001</v>
      </c>
      <c r="M596">
        <v>1E-3</v>
      </c>
      <c r="N596">
        <v>1</v>
      </c>
      <c r="O596">
        <v>3.4000000000000002E-4</v>
      </c>
    </row>
    <row r="597" spans="1:15">
      <c r="A597" t="s">
        <v>1109</v>
      </c>
      <c r="G597" cm="1">
        <f t="array" ref="G597:O597">VALUE(_xlfn.TEXTSPLIT(SUBSTITUTE(TRIM(A597),"0.0 %","0.0%")," "))</f>
        <v>0.02</v>
      </c>
      <c r="H597">
        <v>1.0049999999999999</v>
      </c>
      <c r="I597">
        <v>0.39300000000000002</v>
      </c>
      <c r="J597">
        <v>0.19500000000000001</v>
      </c>
      <c r="K597">
        <v>12.95</v>
      </c>
      <c r="L597">
        <v>-8.0199999999999994E-2</v>
      </c>
      <c r="M597">
        <v>1E-3</v>
      </c>
      <c r="N597">
        <v>15</v>
      </c>
      <c r="O597">
        <v>2.7999999999999998E-4</v>
      </c>
    </row>
    <row r="598" spans="1:15">
      <c r="A598" t="s">
        <v>1110</v>
      </c>
      <c r="G598" cm="1">
        <f t="array" ref="G598:O598">VALUE(_xlfn.TEXTSPLIT(SUBSTITUTE(TRIM(A598),"0.0 %","0.0%")," "))</f>
        <v>0.03</v>
      </c>
      <c r="H598">
        <v>1.0149999999999999</v>
      </c>
      <c r="I598">
        <v>0.32600000000000001</v>
      </c>
      <c r="J598">
        <v>0.24099999999999999</v>
      </c>
      <c r="K598">
        <v>13.87</v>
      </c>
      <c r="L598">
        <v>-8.8499999999999995E-2</v>
      </c>
      <c r="M598">
        <v>1E-3</v>
      </c>
      <c r="N598">
        <v>35</v>
      </c>
      <c r="O598">
        <v>2.2000000000000001E-4</v>
      </c>
    </row>
    <row r="599" spans="1:15">
      <c r="A599" t="s">
        <v>1111</v>
      </c>
      <c r="G599" cm="1">
        <f t="array" ref="G599:O599">VALUE(_xlfn.TEXTSPLIT(SUBSTITUTE(TRIM(A599),"0.0 %","0.0%")," "))</f>
        <v>0.04</v>
      </c>
      <c r="H599">
        <v>1.0309999999999999</v>
      </c>
      <c r="I599">
        <v>0.312</v>
      </c>
      <c r="J599">
        <v>0.25600000000000001</v>
      </c>
      <c r="K599">
        <v>14.14</v>
      </c>
      <c r="L599">
        <v>-9.9699999999999997E-2</v>
      </c>
      <c r="M599">
        <v>1E-3</v>
      </c>
      <c r="N599">
        <v>8</v>
      </c>
      <c r="O599">
        <v>3.2000000000000003E-4</v>
      </c>
    </row>
    <row r="600" spans="1:15">
      <c r="A600" t="s">
        <v>1112</v>
      </c>
      <c r="G600" cm="1">
        <f t="array" ref="G600:O600">VALUE(_xlfn.TEXTSPLIT(SUBSTITUTE(TRIM(A600),"0.0 %","0.0%")," "))</f>
        <v>0.05</v>
      </c>
      <c r="H600">
        <v>1.0509999999999999</v>
      </c>
      <c r="I600">
        <v>0.32400000000000001</v>
      </c>
      <c r="J600">
        <v>0.248</v>
      </c>
      <c r="K600">
        <v>14.02</v>
      </c>
      <c r="L600">
        <v>-0.105</v>
      </c>
      <c r="M600">
        <v>1E-3</v>
      </c>
      <c r="N600">
        <v>10</v>
      </c>
      <c r="O600">
        <v>6.4999999999999997E-4</v>
      </c>
    </row>
    <row r="601" spans="1:15">
      <c r="A601" t="s">
        <v>1113</v>
      </c>
      <c r="G601" cm="1">
        <f t="array" ref="G601:O601">VALUE(_xlfn.TEXTSPLIT(SUBSTITUTE(TRIM(A601),"0.0 %","0.0%")," "))</f>
        <v>0.06</v>
      </c>
      <c r="H601">
        <v>2.512</v>
      </c>
      <c r="I601">
        <v>1.51</v>
      </c>
      <c r="J601">
        <v>6.2E-2</v>
      </c>
      <c r="K601">
        <v>28.83</v>
      </c>
      <c r="L601">
        <v>-0.10539999999999999</v>
      </c>
      <c r="M601">
        <v>0.104</v>
      </c>
      <c r="N601">
        <v>20</v>
      </c>
      <c r="O601">
        <v>5.6570000000000002E-2</v>
      </c>
    </row>
    <row r="602" spans="1:15">
      <c r="A602" t="s">
        <v>1114</v>
      </c>
      <c r="G602" cm="1">
        <f t="array" ref="G602:O602">VALUE(_xlfn.TEXTSPLIT(SUBSTITUTE(TRIM(A602),"0.0 %","0.0%")," "))</f>
        <v>0.08</v>
      </c>
      <c r="H602">
        <v>2.1040000000000001</v>
      </c>
      <c r="I602">
        <v>0.59299999999999997</v>
      </c>
      <c r="J602">
        <v>0.24299999999999999</v>
      </c>
      <c r="K602">
        <v>15.93</v>
      </c>
      <c r="L602">
        <v>-0.21510000000000001</v>
      </c>
      <c r="M602">
        <v>2.4E-2</v>
      </c>
      <c r="N602">
        <v>35</v>
      </c>
      <c r="O602">
        <v>1.3899999999999999E-2</v>
      </c>
    </row>
    <row r="603" spans="1:15">
      <c r="A603" t="s">
        <v>1115</v>
      </c>
      <c r="G603" cm="1">
        <f t="array" ref="G603:O603">VALUE(_xlfn.TEXTSPLIT(SUBSTITUTE(TRIM(A603),"0.0 %","0.0%")," "))</f>
        <v>0.1</v>
      </c>
      <c r="H603">
        <v>1.617</v>
      </c>
      <c r="I603">
        <v>0.24099999999999999</v>
      </c>
      <c r="J603">
        <v>-7.0000000000000001E-3</v>
      </c>
      <c r="K603">
        <v>19.329999999999998</v>
      </c>
      <c r="L603">
        <v>6.08E-2</v>
      </c>
      <c r="M603">
        <v>3.0000000000000001E-3</v>
      </c>
      <c r="N603">
        <v>0.5</v>
      </c>
      <c r="O603">
        <v>1.73E-3</v>
      </c>
    </row>
    <row r="604" spans="1:15">
      <c r="A604" t="s">
        <v>1116</v>
      </c>
      <c r="G604" cm="1">
        <f t="array" ref="G604:O604">VALUE(_xlfn.TEXTSPLIT(SUBSTITUTE(TRIM(A604),"0.0 %","0.0%")," "))</f>
        <v>0.15</v>
      </c>
      <c r="H604">
        <v>1.198</v>
      </c>
      <c r="I604">
        <v>0.14899999999999999</v>
      </c>
      <c r="J604">
        <v>0.47299999999999998</v>
      </c>
      <c r="K604">
        <v>13.83</v>
      </c>
      <c r="L604">
        <v>-0.26019999999999999</v>
      </c>
      <c r="M604">
        <v>0.01</v>
      </c>
      <c r="N604">
        <v>0.5</v>
      </c>
      <c r="O604">
        <v>4.9800000000000001E-3</v>
      </c>
    </row>
    <row r="605" spans="1:15">
      <c r="A605" t="s">
        <v>1117</v>
      </c>
      <c r="G605" cm="1">
        <f t="array" ref="G605:O605">VALUE(_xlfn.TEXTSPLIT(SUBSTITUTE(TRIM(A605),"0.0 %","0.0%")," "))</f>
        <v>0.2</v>
      </c>
      <c r="H605">
        <v>1.159</v>
      </c>
      <c r="I605">
        <v>0.38900000000000001</v>
      </c>
      <c r="J605">
        <v>0.22900000000000001</v>
      </c>
      <c r="K605">
        <v>14.18</v>
      </c>
      <c r="L605">
        <v>-0.12180000000000001</v>
      </c>
      <c r="M605">
        <v>1.0999999999999999E-2</v>
      </c>
      <c r="N605">
        <v>0.5</v>
      </c>
      <c r="O605">
        <v>4.4200000000000003E-3</v>
      </c>
    </row>
    <row r="606" spans="1:15">
      <c r="A606" t="s">
        <v>1118</v>
      </c>
      <c r="G606" cm="1">
        <f t="array" ref="G606:O606">VALUE(_xlfn.TEXTSPLIT(SUBSTITUTE(TRIM(A606),"0.0 %","0.0%")," "))</f>
        <v>0.3</v>
      </c>
      <c r="H606">
        <v>1.2330000000000001</v>
      </c>
      <c r="I606">
        <v>0.54400000000000004</v>
      </c>
      <c r="J606">
        <v>0.14299999999999999</v>
      </c>
      <c r="K606">
        <v>13.81</v>
      </c>
      <c r="L606">
        <v>-6.59E-2</v>
      </c>
      <c r="M606">
        <v>5.0000000000000001E-3</v>
      </c>
      <c r="N606">
        <v>0.5</v>
      </c>
      <c r="O606">
        <v>3.3500000000000001E-3</v>
      </c>
    </row>
    <row r="607" spans="1:15">
      <c r="A607" t="s">
        <v>1119</v>
      </c>
      <c r="G607" cm="1">
        <f t="array" ref="G607:O607">VALUE(_xlfn.TEXTSPLIT(SUBSTITUTE(TRIM(A607),"0.0 %","0.0%")," "))</f>
        <v>0.4</v>
      </c>
      <c r="H607">
        <v>1.321</v>
      </c>
      <c r="I607">
        <v>0.66900000000000004</v>
      </c>
      <c r="J607">
        <v>9.9000000000000005E-2</v>
      </c>
      <c r="K607">
        <v>14.23</v>
      </c>
      <c r="L607">
        <v>-5.3400000000000003E-2</v>
      </c>
      <c r="M607">
        <v>7.0000000000000001E-3</v>
      </c>
      <c r="N607">
        <v>35</v>
      </c>
      <c r="O607">
        <v>4.13E-3</v>
      </c>
    </row>
    <row r="608" spans="1:15">
      <c r="A608" t="s">
        <v>1120</v>
      </c>
      <c r="G608" cm="1">
        <f t="array" ref="G608:O608">VALUE(_xlfn.TEXTSPLIT(SUBSTITUTE(TRIM(A608),"0.0 %","0.0%")," "))</f>
        <v>0.5</v>
      </c>
      <c r="H608">
        <v>1.3939999999999999</v>
      </c>
      <c r="I608">
        <v>0.74399999999999999</v>
      </c>
      <c r="J608">
        <v>7.5999999999999998E-2</v>
      </c>
      <c r="K608">
        <v>14.15</v>
      </c>
      <c r="L608">
        <v>-4.4699999999999997E-2</v>
      </c>
      <c r="M608">
        <v>7.0000000000000001E-3</v>
      </c>
      <c r="N608">
        <v>5</v>
      </c>
      <c r="O608">
        <v>4.4299999999999999E-3</v>
      </c>
    </row>
    <row r="609" spans="1:15">
      <c r="A609" t="s">
        <v>1121</v>
      </c>
      <c r="G609" cm="1">
        <f t="array" ref="G609:O609">VALUE(_xlfn.TEXTSPLIT(SUBSTITUTE(TRIM(A609),"0.0 %","0.0%")," "))</f>
        <v>0.6</v>
      </c>
      <c r="H609">
        <v>1.4419999999999999</v>
      </c>
      <c r="I609">
        <v>0.8</v>
      </c>
      <c r="J609">
        <v>5.8000000000000003E-2</v>
      </c>
      <c r="K609">
        <v>13.75</v>
      </c>
      <c r="L609">
        <v>-3.5900000000000001E-2</v>
      </c>
      <c r="M609">
        <v>8.0000000000000002E-3</v>
      </c>
      <c r="N609">
        <v>5</v>
      </c>
      <c r="O609">
        <v>4.6100000000000004E-3</v>
      </c>
    </row>
    <row r="610" spans="1:15">
      <c r="A610" t="s">
        <v>1122</v>
      </c>
      <c r="G610" cm="1">
        <f t="array" ref="G610:O610">VALUE(_xlfn.TEXTSPLIT(SUBSTITUTE(TRIM(A610),"0.0 %","0.0%")," "))</f>
        <v>0.8</v>
      </c>
      <c r="H610">
        <v>1.506</v>
      </c>
      <c r="I610">
        <v>0.872</v>
      </c>
      <c r="J610">
        <v>3.7999999999999999E-2</v>
      </c>
      <c r="K610">
        <v>13.69</v>
      </c>
      <c r="L610">
        <v>-2.7900000000000001E-2</v>
      </c>
      <c r="M610">
        <v>8.9999999999999993E-3</v>
      </c>
      <c r="N610">
        <v>5</v>
      </c>
      <c r="O610">
        <v>4.3099999999999996E-3</v>
      </c>
    </row>
    <row r="611" spans="1:15">
      <c r="A611" t="s">
        <v>1123</v>
      </c>
      <c r="G611" cm="1">
        <f t="array" ref="G611:O611">VALUE(_xlfn.TEXTSPLIT(SUBSTITUTE(TRIM(A611),"0.0 %","0.0%")," "))</f>
        <v>1</v>
      </c>
      <c r="H611">
        <v>1.5269999999999999</v>
      </c>
      <c r="I611">
        <v>0.92900000000000005</v>
      </c>
      <c r="J611">
        <v>2.3E-2</v>
      </c>
      <c r="K611">
        <v>13.52</v>
      </c>
      <c r="L611">
        <v>-2.2200000000000001E-2</v>
      </c>
      <c r="M611">
        <v>8.9999999999999993E-3</v>
      </c>
      <c r="N611">
        <v>5</v>
      </c>
      <c r="O611">
        <v>4.1399999999999996E-3</v>
      </c>
    </row>
    <row r="612" spans="1:15">
      <c r="A612" t="s">
        <v>1124</v>
      </c>
      <c r="G612" cm="1">
        <f t="array" ref="G612:O612">VALUE(_xlfn.TEXTSPLIT(SUBSTITUTE(TRIM(A612),"0.0 %","0.0%")," "))</f>
        <v>1.5</v>
      </c>
      <c r="H612">
        <v>1.4950000000000001</v>
      </c>
      <c r="I612">
        <v>1.0229999999999999</v>
      </c>
      <c r="J612">
        <v>3.0000000000000001E-3</v>
      </c>
      <c r="K612">
        <v>14.01</v>
      </c>
      <c r="L612">
        <v>-1.7600000000000001E-2</v>
      </c>
      <c r="M612">
        <v>6.0000000000000001E-3</v>
      </c>
      <c r="N612">
        <v>35</v>
      </c>
      <c r="O612">
        <v>2.7899999999999999E-3</v>
      </c>
    </row>
    <row r="613" spans="1:15">
      <c r="A613" t="s">
        <v>1125</v>
      </c>
      <c r="G613" cm="1">
        <f t="array" ref="G613:O613">VALUE(_xlfn.TEXTSPLIT(SUBSTITUTE(TRIM(A613),"0.0 %","0.0%")," "))</f>
        <v>2</v>
      </c>
      <c r="H613">
        <v>1.496</v>
      </c>
      <c r="I613">
        <v>1.042</v>
      </c>
      <c r="J613">
        <v>1E-3</v>
      </c>
      <c r="K613">
        <v>13.15</v>
      </c>
      <c r="L613">
        <v>-1.9199999999999998E-2</v>
      </c>
      <c r="M613">
        <v>1.4999999999999999E-2</v>
      </c>
      <c r="N613">
        <v>0.5</v>
      </c>
      <c r="O613">
        <v>6.5700000000000003E-3</v>
      </c>
    </row>
    <row r="614" spans="1:15">
      <c r="A614" t="s">
        <v>1126</v>
      </c>
      <c r="G614" cm="1">
        <f t="array" ref="G614:O614">VALUE(_xlfn.TEXTSPLIT(SUBSTITUTE(TRIM(A614),"0.0 %","0.0%")," "))</f>
        <v>3</v>
      </c>
      <c r="H614">
        <v>1.488</v>
      </c>
      <c r="I614">
        <v>1.014</v>
      </c>
      <c r="J614">
        <v>1.7999999999999999E-2</v>
      </c>
      <c r="K614">
        <v>13.26</v>
      </c>
      <c r="L614">
        <v>-4.3799999999999999E-2</v>
      </c>
      <c r="M614">
        <v>3.5999999999999997E-2</v>
      </c>
      <c r="N614">
        <v>0.5</v>
      </c>
      <c r="O614">
        <v>1.536E-2</v>
      </c>
    </row>
    <row r="615" spans="1:15">
      <c r="A615" t="s">
        <v>1127</v>
      </c>
      <c r="G615" cm="1">
        <f t="array" ref="G615:O615">VALUE(_xlfn.TEXTSPLIT(SUBSTITUTE(TRIM(A615),"0.0 %","0.0%")," "))</f>
        <v>4</v>
      </c>
      <c r="H615">
        <v>1.466</v>
      </c>
      <c r="I615">
        <v>0.98699999999999999</v>
      </c>
      <c r="J615">
        <v>3.3000000000000002E-2</v>
      </c>
      <c r="K615">
        <v>13.74</v>
      </c>
      <c r="L615">
        <v>-5.7200000000000001E-2</v>
      </c>
      <c r="M615">
        <v>4.2000000000000003E-2</v>
      </c>
      <c r="N615">
        <v>0.5</v>
      </c>
      <c r="O615">
        <v>1.804E-2</v>
      </c>
    </row>
    <row r="616" spans="1:15">
      <c r="A616" t="s">
        <v>1128</v>
      </c>
      <c r="G616" cm="1">
        <f t="array" ref="G616:O616">VALUE(_xlfn.TEXTSPLIT(SUBSTITUTE(TRIM(A616),"0.0 %","0.0%")," "))</f>
        <v>5</v>
      </c>
      <c r="H616">
        <v>1.5329999999999999</v>
      </c>
      <c r="I616">
        <v>0.91500000000000004</v>
      </c>
      <c r="J616">
        <v>6.3E-2</v>
      </c>
      <c r="K616">
        <v>13.98</v>
      </c>
      <c r="L616">
        <v>-8.3500000000000005E-2</v>
      </c>
      <c r="M616">
        <v>5.3999999999999999E-2</v>
      </c>
      <c r="N616">
        <v>0.5</v>
      </c>
      <c r="O616">
        <v>2.3769999999999999E-2</v>
      </c>
    </row>
    <row r="617" spans="1:15">
      <c r="A617" t="s">
        <v>1129</v>
      </c>
      <c r="G617" cm="1">
        <f t="array" ref="G617:O617">VALUE(_xlfn.TEXTSPLIT(SUBSTITUTE(TRIM(A617),"0.0 %","0.0%")," "))</f>
        <v>6</v>
      </c>
      <c r="H617">
        <v>1.5629999999999999</v>
      </c>
      <c r="I617">
        <v>0.91500000000000004</v>
      </c>
      <c r="J617">
        <v>6.9000000000000006E-2</v>
      </c>
      <c r="K617">
        <v>14.16</v>
      </c>
      <c r="L617">
        <v>-8.7300000000000003E-2</v>
      </c>
      <c r="M617">
        <v>5.1999999999999998E-2</v>
      </c>
      <c r="N617">
        <v>0.5</v>
      </c>
      <c r="O617">
        <v>2.3779999999999999E-2</v>
      </c>
    </row>
    <row r="618" spans="1:15">
      <c r="A618" t="s">
        <v>1130</v>
      </c>
      <c r="G618" cm="1">
        <f t="array" ref="G618:O618">VALUE(_xlfn.TEXTSPLIT(SUBSTITUTE(TRIM(A618),"0.0 %","0.0%")," "))</f>
        <v>8</v>
      </c>
      <c r="H618">
        <v>1.726</v>
      </c>
      <c r="I618">
        <v>0.96599999999999997</v>
      </c>
      <c r="J618">
        <v>6.6000000000000003E-2</v>
      </c>
      <c r="K618">
        <v>14.13</v>
      </c>
      <c r="L618">
        <v>-8.6099999999999996E-2</v>
      </c>
      <c r="M618">
        <v>0.05</v>
      </c>
      <c r="N618">
        <v>0.5</v>
      </c>
      <c r="O618">
        <v>2.3980000000000001E-2</v>
      </c>
    </row>
    <row r="619" spans="1:15">
      <c r="A619" t="s">
        <v>1131</v>
      </c>
      <c r="G619" cm="1">
        <f t="array" ref="G619:O619">VALUE(_xlfn.TEXTSPLIT(SUBSTITUTE(TRIM(A619),"0.0 %","0.0%")," "))</f>
        <v>10</v>
      </c>
      <c r="H619">
        <v>1.7929999999999999</v>
      </c>
      <c r="I619">
        <v>1.127</v>
      </c>
      <c r="J619">
        <v>3.3000000000000002E-2</v>
      </c>
      <c r="K619">
        <v>13.96</v>
      </c>
      <c r="L619">
        <v>-5.8700000000000002E-2</v>
      </c>
      <c r="M619">
        <v>3.4000000000000002E-2</v>
      </c>
      <c r="N619">
        <v>0.5</v>
      </c>
      <c r="O619">
        <v>1.736E-2</v>
      </c>
    </row>
    <row r="620" spans="1:15">
      <c r="A620" t="s">
        <v>1132</v>
      </c>
      <c r="G620" cm="1">
        <f t="array" ref="G620:O620">VALUE(_xlfn.TEXTSPLIT(SUBSTITUTE(TRIM(A620),"0.0 %","0.0%")," "))</f>
        <v>15</v>
      </c>
      <c r="H620">
        <v>2</v>
      </c>
      <c r="I620">
        <v>1.3580000000000001</v>
      </c>
      <c r="J620">
        <v>5.0000000000000001E-3</v>
      </c>
      <c r="K620">
        <v>13.71</v>
      </c>
      <c r="L620">
        <v>-3.6999999999999998E-2</v>
      </c>
      <c r="M620">
        <v>2.7E-2</v>
      </c>
      <c r="N620">
        <v>1</v>
      </c>
      <c r="O620">
        <v>1.2529999999999999E-2</v>
      </c>
    </row>
    <row r="623" spans="1:15">
      <c r="A623" t="s">
        <v>1134</v>
      </c>
      <c r="G623" t="str">
        <f>A623</f>
        <v xml:space="preserve">                  TUNGSTEN MEDIUM, AIR RESPONSE</v>
      </c>
    </row>
    <row r="625" spans="1:15">
      <c r="A625" t="s">
        <v>610</v>
      </c>
      <c r="G625" t="str" cm="1">
        <f t="array" ref="G625:O625">_xlfn.TEXTSPLIT(TRIM(A625)," ")</f>
        <v>E(MEV)</v>
      </c>
      <c r="H625" t="str">
        <v>B</v>
      </c>
      <c r="I625" t="str">
        <v>C</v>
      </c>
      <c r="J625" t="str">
        <v>A</v>
      </c>
      <c r="K625" t="str">
        <v>XK</v>
      </c>
      <c r="L625" t="str">
        <v>D</v>
      </c>
      <c r="M625" t="str">
        <v>MAX.D</v>
      </c>
      <c r="N625" t="str">
        <v>XMAX</v>
      </c>
      <c r="O625" t="str">
        <v>S.D</v>
      </c>
    </row>
    <row r="626" spans="1:15">
      <c r="A626" t="s">
        <v>611</v>
      </c>
      <c r="G626" s="6" t="s">
        <v>1289</v>
      </c>
      <c r="H626" s="6" t="s">
        <v>1289</v>
      </c>
      <c r="I626" s="6" t="s">
        <v>1289</v>
      </c>
      <c r="J626" s="6" t="s">
        <v>1289</v>
      </c>
      <c r="K626" s="6" t="s">
        <v>1289</v>
      </c>
      <c r="L626" s="6" t="s">
        <v>1289</v>
      </c>
      <c r="M626" s="6" t="s">
        <v>1289</v>
      </c>
      <c r="N626" s="6" t="s">
        <v>1289</v>
      </c>
      <c r="O626" s="6" t="s">
        <v>1289</v>
      </c>
    </row>
    <row r="627" spans="1:15">
      <c r="A627" t="s">
        <v>1135</v>
      </c>
      <c r="G627" cm="1">
        <f t="array" ref="G627:O627">VALUE(_xlfn.TEXTSPLIT(SUBSTITUTE(TRIM(A627),"0.0 %","0.0%")," "))</f>
        <v>1.4999999999999999E-2</v>
      </c>
      <c r="H627">
        <v>1.002</v>
      </c>
      <c r="I627">
        <v>0.317</v>
      </c>
      <c r="J627">
        <v>0.22800000000000001</v>
      </c>
      <c r="K627">
        <v>33.67</v>
      </c>
      <c r="L627">
        <v>-0.4556</v>
      </c>
      <c r="M627">
        <v>1E-3</v>
      </c>
      <c r="N627">
        <v>2</v>
      </c>
      <c r="O627">
        <v>3.2000000000000003E-4</v>
      </c>
    </row>
    <row r="628" spans="1:15">
      <c r="A628" t="s">
        <v>1133</v>
      </c>
      <c r="G628" cm="1">
        <f t="array" ref="G628:O628">VALUE(_xlfn.TEXTSPLIT(SUBSTITUTE(TRIM(A628),"0.0 %","0.0%")," "))</f>
        <v>0.02</v>
      </c>
      <c r="H628">
        <v>1.0029999999999999</v>
      </c>
      <c r="I628">
        <v>0.46800000000000003</v>
      </c>
      <c r="J628">
        <v>0.13700000000000001</v>
      </c>
      <c r="K628">
        <v>25.3</v>
      </c>
      <c r="L628">
        <v>-8.2000000000000003E-2</v>
      </c>
      <c r="M628">
        <v>1E-3</v>
      </c>
      <c r="N628">
        <v>3</v>
      </c>
      <c r="O628">
        <v>2.7999999999999998E-4</v>
      </c>
    </row>
    <row r="629" spans="1:15">
      <c r="A629" t="s">
        <v>1136</v>
      </c>
      <c r="G629" cm="1">
        <f t="array" ref="G629:O629">VALUE(_xlfn.TEXTSPLIT(SUBSTITUTE(TRIM(A629),"0.0 %","0.0%")," "))</f>
        <v>0.03</v>
      </c>
      <c r="H629">
        <v>1.0089999999999999</v>
      </c>
      <c r="I629">
        <v>0.38800000000000001</v>
      </c>
      <c r="J629">
        <v>0.187</v>
      </c>
      <c r="K629">
        <v>19.12</v>
      </c>
      <c r="L629">
        <v>-8.43E-2</v>
      </c>
      <c r="M629">
        <v>1E-3</v>
      </c>
      <c r="N629">
        <v>1</v>
      </c>
      <c r="O629">
        <v>3.1E-4</v>
      </c>
    </row>
    <row r="630" spans="1:15">
      <c r="A630" t="s">
        <v>1137</v>
      </c>
      <c r="G630" cm="1">
        <f t="array" ref="G630:O630">VALUE(_xlfn.TEXTSPLIT(SUBSTITUTE(TRIM(A630),"0.0 %","0.0%")," "))</f>
        <v>0.04</v>
      </c>
      <c r="H630">
        <v>1.0189999999999999</v>
      </c>
      <c r="I630">
        <v>0.32</v>
      </c>
      <c r="J630">
        <v>0.251</v>
      </c>
      <c r="K630">
        <v>13.89</v>
      </c>
      <c r="L630">
        <v>-0.1026</v>
      </c>
      <c r="M630">
        <v>1E-3</v>
      </c>
      <c r="N630">
        <v>1</v>
      </c>
      <c r="O630">
        <v>3.8000000000000002E-4</v>
      </c>
    </row>
    <row r="631" spans="1:15">
      <c r="A631" t="s">
        <v>1138</v>
      </c>
      <c r="G631" cm="1">
        <f t="array" ref="G631:O631">VALUE(_xlfn.TEXTSPLIT(SUBSTITUTE(TRIM(A631),"0.0 %","0.0%")," "))</f>
        <v>0.05</v>
      </c>
      <c r="H631">
        <v>1.0329999999999999</v>
      </c>
      <c r="I631">
        <v>0.29899999999999999</v>
      </c>
      <c r="J631">
        <v>0.26400000000000001</v>
      </c>
      <c r="K631">
        <v>13.96</v>
      </c>
      <c r="L631">
        <v>-0.1066</v>
      </c>
      <c r="M631">
        <v>1E-3</v>
      </c>
      <c r="N631">
        <v>7</v>
      </c>
      <c r="O631">
        <v>5.2999999999999998E-4</v>
      </c>
    </row>
    <row r="632" spans="1:15">
      <c r="A632" t="s">
        <v>1139</v>
      </c>
      <c r="G632" cm="1">
        <f t="array" ref="G632:O632">VALUE(_xlfn.TEXTSPLIT(SUBSTITUTE(TRIM(A632),"0.0 %","0.0%")," "))</f>
        <v>0.06</v>
      </c>
      <c r="H632">
        <v>1.048</v>
      </c>
      <c r="I632">
        <v>0.314</v>
      </c>
      <c r="J632">
        <v>0.25700000000000001</v>
      </c>
      <c r="K632">
        <v>14.2</v>
      </c>
      <c r="L632">
        <v>-0.11</v>
      </c>
      <c r="M632">
        <v>1E-3</v>
      </c>
      <c r="N632">
        <v>35</v>
      </c>
      <c r="O632">
        <v>8.8000000000000003E-4</v>
      </c>
    </row>
    <row r="633" spans="1:15">
      <c r="A633" t="s">
        <v>1140</v>
      </c>
      <c r="G633" cm="1">
        <f t="array" ref="G633:O633">VALUE(_xlfn.TEXTSPLIT(SUBSTITUTE(TRIM(A633),"0.0 %","0.0%")," "))</f>
        <v>0.08</v>
      </c>
      <c r="H633">
        <v>2.238</v>
      </c>
      <c r="I633">
        <v>1.4419999999999999</v>
      </c>
      <c r="J633">
        <v>7.9000000000000001E-2</v>
      </c>
      <c r="K633">
        <v>17.8</v>
      </c>
      <c r="L633">
        <v>-8.5800000000000001E-2</v>
      </c>
      <c r="M633">
        <v>0.109</v>
      </c>
      <c r="N633">
        <v>25</v>
      </c>
      <c r="O633">
        <v>6.2489999999999997E-2</v>
      </c>
    </row>
    <row r="634" spans="1:15">
      <c r="A634" t="s">
        <v>1141</v>
      </c>
      <c r="G634" cm="1">
        <f t="array" ref="G634:O634">VALUE(_xlfn.TEXTSPLIT(SUBSTITUTE(TRIM(A634),"0.0 %","0.0%")," "))</f>
        <v>0.1</v>
      </c>
      <c r="H634">
        <v>1.764</v>
      </c>
      <c r="I634">
        <v>0.86699999999999999</v>
      </c>
      <c r="J634">
        <v>0.16</v>
      </c>
      <c r="K634">
        <v>15.88</v>
      </c>
      <c r="L634">
        <v>-0.1366</v>
      </c>
      <c r="M634">
        <v>2.9000000000000001E-2</v>
      </c>
      <c r="N634">
        <v>4</v>
      </c>
      <c r="O634">
        <v>1.753E-2</v>
      </c>
    </row>
    <row r="635" spans="1:15">
      <c r="A635" t="s">
        <v>1142</v>
      </c>
      <c r="G635" cm="1">
        <f t="array" ref="G635:O635">VALUE(_xlfn.TEXTSPLIT(SUBSTITUTE(TRIM(A635),"0.0 %","0.0%")," "))</f>
        <v>0.15</v>
      </c>
      <c r="H635">
        <v>1.2529999999999999</v>
      </c>
      <c r="I635">
        <v>0.14499999999999999</v>
      </c>
      <c r="J635">
        <v>0.35299999999999998</v>
      </c>
      <c r="K635">
        <v>15.12</v>
      </c>
      <c r="L635">
        <v>-8.4500000000000006E-2</v>
      </c>
      <c r="M635">
        <v>4.0000000000000001E-3</v>
      </c>
      <c r="N635">
        <v>0.5</v>
      </c>
      <c r="O635">
        <v>1.5200000000000001E-3</v>
      </c>
    </row>
    <row r="636" spans="1:15">
      <c r="A636" t="s">
        <v>1143</v>
      </c>
      <c r="G636" cm="1">
        <f t="array" ref="G636:O636">VALUE(_xlfn.TEXTSPLIT(SUBSTITUTE(TRIM(A636),"0.0 %","0.0%")," "))</f>
        <v>0.2</v>
      </c>
      <c r="H636">
        <v>1.155</v>
      </c>
      <c r="I636">
        <v>0.248</v>
      </c>
      <c r="J636">
        <v>0.34699999999999998</v>
      </c>
      <c r="K636">
        <v>13.68</v>
      </c>
      <c r="L636">
        <v>-0.1966</v>
      </c>
      <c r="M636">
        <v>8.9999999999999993E-3</v>
      </c>
      <c r="N636">
        <v>0.5</v>
      </c>
      <c r="O636">
        <v>4.6600000000000001E-3</v>
      </c>
    </row>
    <row r="637" spans="1:15">
      <c r="A637" t="s">
        <v>1144</v>
      </c>
      <c r="G637" cm="1">
        <f t="array" ref="G637:O637">VALUE(_xlfn.TEXTSPLIT(SUBSTITUTE(TRIM(A637),"0.0 %","0.0%")," "))</f>
        <v>0.3</v>
      </c>
      <c r="H637">
        <v>1.17</v>
      </c>
      <c r="I637">
        <v>0.48699999999999999</v>
      </c>
      <c r="J637">
        <v>0.16800000000000001</v>
      </c>
      <c r="K637">
        <v>13.62</v>
      </c>
      <c r="L637">
        <v>-8.1199999999999994E-2</v>
      </c>
      <c r="M637">
        <v>6.0000000000000001E-3</v>
      </c>
      <c r="N637">
        <v>0.5</v>
      </c>
      <c r="O637">
        <v>3.2599999999999999E-3</v>
      </c>
    </row>
    <row r="638" spans="1:15">
      <c r="A638" t="s">
        <v>1145</v>
      </c>
      <c r="G638" cm="1">
        <f t="array" ref="G638:O638">VALUE(_xlfn.TEXTSPLIT(SUBSTITUTE(TRIM(A638),"0.0 %","0.0%")," "))</f>
        <v>0.4</v>
      </c>
      <c r="H638">
        <v>1.234</v>
      </c>
      <c r="I638">
        <v>0.60099999999999998</v>
      </c>
      <c r="J638">
        <v>0.123</v>
      </c>
      <c r="K638">
        <v>14.14</v>
      </c>
      <c r="L638">
        <v>-6.4699999999999994E-2</v>
      </c>
      <c r="M638">
        <v>6.0000000000000001E-3</v>
      </c>
      <c r="N638">
        <v>25</v>
      </c>
      <c r="O638">
        <v>3.7799999999999999E-3</v>
      </c>
    </row>
    <row r="639" spans="1:15">
      <c r="A639" t="s">
        <v>1146</v>
      </c>
      <c r="G639" cm="1">
        <f t="array" ref="G639:O639">VALUE(_xlfn.TEXTSPLIT(SUBSTITUTE(TRIM(A639),"0.0 %","0.0%")," "))</f>
        <v>0.5</v>
      </c>
      <c r="H639">
        <v>1.2929999999999999</v>
      </c>
      <c r="I639">
        <v>0.67200000000000004</v>
      </c>
      <c r="J639">
        <v>9.8000000000000004E-2</v>
      </c>
      <c r="K639">
        <v>14.13</v>
      </c>
      <c r="L639">
        <v>-5.3199999999999997E-2</v>
      </c>
      <c r="M639">
        <v>6.0000000000000001E-3</v>
      </c>
      <c r="N639">
        <v>25</v>
      </c>
      <c r="O639">
        <v>4.0499999999999998E-3</v>
      </c>
    </row>
    <row r="640" spans="1:15">
      <c r="A640" t="s">
        <v>1147</v>
      </c>
      <c r="G640" cm="1">
        <f t="array" ref="G640:O640">VALUE(_xlfn.TEXTSPLIT(SUBSTITUTE(TRIM(A640),"0.0 %","0.0%")," "))</f>
        <v>0.6</v>
      </c>
      <c r="H640">
        <v>1.3380000000000001</v>
      </c>
      <c r="I640">
        <v>0.72199999999999998</v>
      </c>
      <c r="J640">
        <v>0.08</v>
      </c>
      <c r="K640">
        <v>13.69</v>
      </c>
      <c r="L640">
        <v>-4.3799999999999999E-2</v>
      </c>
      <c r="M640">
        <v>7.0000000000000001E-3</v>
      </c>
      <c r="N640">
        <v>5</v>
      </c>
      <c r="O640">
        <v>4.15E-3</v>
      </c>
    </row>
    <row r="641" spans="1:15">
      <c r="A641" t="s">
        <v>1148</v>
      </c>
      <c r="G641" cm="1">
        <f t="array" ref="G641:O641">VALUE(_xlfn.TEXTSPLIT(SUBSTITUTE(TRIM(A641),"0.0 %","0.0%")," "))</f>
        <v>0.8</v>
      </c>
      <c r="H641">
        <v>1.4019999999999999</v>
      </c>
      <c r="I641">
        <v>0.79700000000000004</v>
      </c>
      <c r="J641">
        <v>5.7000000000000002E-2</v>
      </c>
      <c r="K641">
        <v>13.71</v>
      </c>
      <c r="L641">
        <v>-3.3399999999999999E-2</v>
      </c>
      <c r="M641">
        <v>7.0000000000000001E-3</v>
      </c>
      <c r="N641">
        <v>25</v>
      </c>
      <c r="O641">
        <v>4.1000000000000003E-3</v>
      </c>
    </row>
    <row r="642" spans="1:15">
      <c r="A642" t="s">
        <v>1149</v>
      </c>
      <c r="G642" cm="1">
        <f t="array" ref="G642:O642">VALUE(_xlfn.TEXTSPLIT(SUBSTITUTE(TRIM(A642),"0.0 %","0.0%")," "))</f>
        <v>1</v>
      </c>
      <c r="H642">
        <v>1.4359999999999999</v>
      </c>
      <c r="I642">
        <v>0.85299999999999998</v>
      </c>
      <c r="J642">
        <v>4.2000000000000003E-2</v>
      </c>
      <c r="K642">
        <v>13.34</v>
      </c>
      <c r="L642">
        <v>-2.8500000000000001E-2</v>
      </c>
      <c r="M642">
        <v>8.0000000000000002E-3</v>
      </c>
      <c r="N642">
        <v>5</v>
      </c>
      <c r="O642">
        <v>4.2599999999999999E-3</v>
      </c>
    </row>
    <row r="643" spans="1:15">
      <c r="A643" t="s">
        <v>1150</v>
      </c>
      <c r="G643" cm="1">
        <f t="array" ref="G643:O643">VALUE(_xlfn.TEXTSPLIT(SUBSTITUTE(TRIM(A643),"0.0 %","0.0%")," "))</f>
        <v>1.5</v>
      </c>
      <c r="H643">
        <v>1.421</v>
      </c>
      <c r="I643">
        <v>0.97699999999999998</v>
      </c>
      <c r="J643">
        <v>1.2999999999999999E-2</v>
      </c>
      <c r="K643">
        <v>14.3</v>
      </c>
      <c r="L643">
        <v>-2.0500000000000001E-2</v>
      </c>
      <c r="M643">
        <v>5.0000000000000001E-3</v>
      </c>
      <c r="N643">
        <v>4</v>
      </c>
      <c r="O643">
        <v>2.5799999999999998E-3</v>
      </c>
    </row>
    <row r="644" spans="1:15">
      <c r="A644" t="s">
        <v>1151</v>
      </c>
      <c r="G644" cm="1">
        <f t="array" ref="G644:O644">VALUE(_xlfn.TEXTSPLIT(SUBSTITUTE(TRIM(A644),"0.0 %","0.0%")," "))</f>
        <v>2</v>
      </c>
      <c r="H644">
        <v>1.4279999999999999</v>
      </c>
      <c r="I644">
        <v>1.012</v>
      </c>
      <c r="J644">
        <v>7.0000000000000001E-3</v>
      </c>
      <c r="K644">
        <v>13.4</v>
      </c>
      <c r="L644">
        <v>-0.02</v>
      </c>
      <c r="M644">
        <v>1.2999999999999999E-2</v>
      </c>
      <c r="N644">
        <v>0.5</v>
      </c>
      <c r="O644">
        <v>6.6499999999999997E-3</v>
      </c>
    </row>
    <row r="645" spans="1:15">
      <c r="A645" t="s">
        <v>1152</v>
      </c>
      <c r="G645" cm="1">
        <f t="array" ref="G645:O645">VALUE(_xlfn.TEXTSPLIT(SUBSTITUTE(TRIM(A645),"0.0 %","0.0%")," "))</f>
        <v>3</v>
      </c>
      <c r="H645">
        <v>1.4059999999999999</v>
      </c>
      <c r="I645">
        <v>1.0229999999999999</v>
      </c>
      <c r="J645">
        <v>1.4E-2</v>
      </c>
      <c r="K645">
        <v>13.42</v>
      </c>
      <c r="L645">
        <v>-3.85E-2</v>
      </c>
      <c r="M645">
        <v>3.3000000000000002E-2</v>
      </c>
      <c r="N645">
        <v>0.5</v>
      </c>
      <c r="O645">
        <v>1.3509999999999999E-2</v>
      </c>
    </row>
    <row r="646" spans="1:15">
      <c r="A646" t="s">
        <v>1153</v>
      </c>
      <c r="G646" cm="1">
        <f t="array" ref="G646:O646">VALUE(_xlfn.TEXTSPLIT(SUBSTITUTE(TRIM(A646),"0.0 %","0.0%")," "))</f>
        <v>4</v>
      </c>
      <c r="H646">
        <v>1.363</v>
      </c>
      <c r="I646">
        <v>1.0369999999999999</v>
      </c>
      <c r="J646">
        <v>1.7999999999999999E-2</v>
      </c>
      <c r="K646">
        <v>13.72</v>
      </c>
      <c r="L646">
        <v>-4.3700000000000003E-2</v>
      </c>
      <c r="M646">
        <v>4.2000000000000003E-2</v>
      </c>
      <c r="N646">
        <v>0.5</v>
      </c>
      <c r="O646">
        <v>1.555E-2</v>
      </c>
    </row>
    <row r="647" spans="1:15">
      <c r="A647" t="s">
        <v>1154</v>
      </c>
      <c r="G647" cm="1">
        <f t="array" ref="G647:O647">VALUE(_xlfn.TEXTSPLIT(SUBSTITUTE(TRIM(A647),"0.0 %","0.0%")," "))</f>
        <v>5</v>
      </c>
      <c r="H647">
        <v>1.393</v>
      </c>
      <c r="I647">
        <v>0.96399999999999997</v>
      </c>
      <c r="J647">
        <v>4.9000000000000002E-2</v>
      </c>
      <c r="K647">
        <v>13.94</v>
      </c>
      <c r="L647">
        <v>-7.2300000000000003E-2</v>
      </c>
      <c r="M647">
        <v>5.3999999999999999E-2</v>
      </c>
      <c r="N647">
        <v>0.5</v>
      </c>
      <c r="O647">
        <v>2.2460000000000001E-2</v>
      </c>
    </row>
    <row r="648" spans="1:15">
      <c r="A648" t="s">
        <v>1155</v>
      </c>
      <c r="G648" cm="1">
        <f t="array" ref="G648:O648">VALUE(_xlfn.TEXTSPLIT(SUBSTITUTE(TRIM(A648),"0.0 %","0.0%")," "))</f>
        <v>6</v>
      </c>
      <c r="H648">
        <v>1.397</v>
      </c>
      <c r="I648">
        <v>0.96299999999999997</v>
      </c>
      <c r="J648">
        <v>5.6000000000000001E-2</v>
      </c>
      <c r="K648">
        <v>14.34</v>
      </c>
      <c r="L648">
        <v>-7.6899999999999996E-2</v>
      </c>
      <c r="M648">
        <v>5.5E-2</v>
      </c>
      <c r="N648">
        <v>0.5</v>
      </c>
      <c r="O648">
        <v>2.3709999999999998E-2</v>
      </c>
    </row>
    <row r="649" spans="1:15">
      <c r="A649" t="s">
        <v>1156</v>
      </c>
      <c r="G649" cm="1">
        <f t="array" ref="G649:O649">VALUE(_xlfn.TEXTSPLIT(SUBSTITUTE(TRIM(A649),"0.0 %","0.0%")," "))</f>
        <v>8</v>
      </c>
      <c r="H649">
        <v>1.4650000000000001</v>
      </c>
      <c r="I649">
        <v>0.99</v>
      </c>
      <c r="J649">
        <v>6.3E-2</v>
      </c>
      <c r="K649">
        <v>14.15</v>
      </c>
      <c r="L649">
        <v>-8.48E-2</v>
      </c>
      <c r="M649">
        <v>5.8000000000000003E-2</v>
      </c>
      <c r="N649">
        <v>0.5</v>
      </c>
      <c r="O649">
        <v>2.5829999999999999E-2</v>
      </c>
    </row>
    <row r="650" spans="1:15">
      <c r="A650" t="s">
        <v>1157</v>
      </c>
      <c r="G650" cm="1">
        <f t="array" ref="G650:O650">VALUE(_xlfn.TEXTSPLIT(SUBSTITUTE(TRIM(A650),"0.0 %","0.0%")," "))</f>
        <v>10</v>
      </c>
      <c r="H650">
        <v>1.4750000000000001</v>
      </c>
      <c r="I650">
        <v>1.151</v>
      </c>
      <c r="J650">
        <v>3.1E-2</v>
      </c>
      <c r="K650">
        <v>14.1</v>
      </c>
      <c r="L650">
        <v>-5.6099999999999997E-2</v>
      </c>
      <c r="M650">
        <v>4.4999999999999998E-2</v>
      </c>
      <c r="N650">
        <v>0.5</v>
      </c>
      <c r="O650">
        <v>1.89E-2</v>
      </c>
    </row>
    <row r="651" spans="1:15">
      <c r="A651" t="s">
        <v>1158</v>
      </c>
      <c r="G651" cm="1">
        <f t="array" ref="G651:O651">VALUE(_xlfn.TEXTSPLIT(SUBSTITUTE(TRIM(A651),"0.0 %","0.0%")," "))</f>
        <v>15</v>
      </c>
      <c r="H651">
        <v>1.589</v>
      </c>
      <c r="I651">
        <v>1.335</v>
      </c>
      <c r="J651">
        <v>1.6E-2</v>
      </c>
      <c r="K651">
        <v>13.6</v>
      </c>
      <c r="L651">
        <v>-4.9399999999999999E-2</v>
      </c>
      <c r="M651">
        <v>3.4000000000000002E-2</v>
      </c>
      <c r="N651">
        <v>0.5</v>
      </c>
      <c r="O651">
        <v>1.7080000000000001E-2</v>
      </c>
    </row>
    <row r="654" spans="1:15">
      <c r="A654" t="s">
        <v>1159</v>
      </c>
      <c r="G654" t="str">
        <f>A654</f>
        <v xml:space="preserve">                  LEAD MEDIUM, AIR RESPONSE</v>
      </c>
    </row>
    <row r="656" spans="1:15">
      <c r="A656" t="s">
        <v>610</v>
      </c>
      <c r="G656" t="str" cm="1">
        <f t="array" ref="G656:O656">_xlfn.TEXTSPLIT(TRIM(A656)," ")</f>
        <v>E(MEV)</v>
      </c>
      <c r="H656" t="str">
        <v>B</v>
      </c>
      <c r="I656" t="str">
        <v>C</v>
      </c>
      <c r="J656" t="str">
        <v>A</v>
      </c>
      <c r="K656" t="str">
        <v>XK</v>
      </c>
      <c r="L656" t="str">
        <v>D</v>
      </c>
      <c r="M656" t="str">
        <v>MAX.D</v>
      </c>
      <c r="N656" t="str">
        <v>XMAX</v>
      </c>
      <c r="O656" t="str">
        <v>S.D</v>
      </c>
    </row>
    <row r="657" spans="1:15">
      <c r="A657" t="s">
        <v>611</v>
      </c>
      <c r="G657" s="6" t="s">
        <v>1289</v>
      </c>
      <c r="H657" s="6" t="s">
        <v>1289</v>
      </c>
      <c r="I657" s="6" t="s">
        <v>1289</v>
      </c>
      <c r="J657" s="6" t="s">
        <v>1289</v>
      </c>
      <c r="K657" s="6" t="s">
        <v>1289</v>
      </c>
      <c r="L657" s="6" t="s">
        <v>1289</v>
      </c>
      <c r="M657" s="6" t="s">
        <v>1289</v>
      </c>
      <c r="N657" s="6" t="s">
        <v>1289</v>
      </c>
      <c r="O657" s="6" t="s">
        <v>1289</v>
      </c>
    </row>
    <row r="658" spans="1:15">
      <c r="A658" t="s">
        <v>1160</v>
      </c>
      <c r="G658" cm="1">
        <f t="array" ref="G658:O658">VALUE(_xlfn.TEXTSPLIT(SUBSTITUTE(TRIM(A658),"0.0 %","0.0%")," "))</f>
        <v>1.4999999999999999E-2</v>
      </c>
      <c r="H658">
        <v>1.0069999999999999</v>
      </c>
      <c r="I658">
        <v>0.32200000000000001</v>
      </c>
      <c r="J658">
        <v>0.246</v>
      </c>
      <c r="K658">
        <v>13.67</v>
      </c>
      <c r="L658">
        <v>-0.10299999999999999</v>
      </c>
      <c r="M658">
        <v>0</v>
      </c>
      <c r="N658">
        <v>0.5</v>
      </c>
      <c r="O658">
        <v>2.0000000000000001E-4</v>
      </c>
    </row>
    <row r="659" spans="1:15">
      <c r="A659" t="s">
        <v>1161</v>
      </c>
      <c r="G659" cm="1">
        <f t="array" ref="G659:O659">VALUE(_xlfn.TEXTSPLIT(SUBSTITUTE(TRIM(A659),"0.0 %","0.0%")," "))</f>
        <v>0.02</v>
      </c>
      <c r="H659">
        <v>1.0069999999999999</v>
      </c>
      <c r="I659">
        <v>0.32200000000000001</v>
      </c>
      <c r="J659">
        <v>0.246</v>
      </c>
      <c r="K659">
        <v>13.67</v>
      </c>
      <c r="L659">
        <v>-0.10299999999999999</v>
      </c>
      <c r="M659">
        <v>0</v>
      </c>
      <c r="N659">
        <v>0.5</v>
      </c>
      <c r="O659">
        <v>2.0000000000000001E-4</v>
      </c>
    </row>
    <row r="660" spans="1:15">
      <c r="A660" t="s">
        <v>1162</v>
      </c>
      <c r="G660" cm="1">
        <f t="array" ref="G660:O660">VALUE(_xlfn.TEXTSPLIT(SUBSTITUTE(TRIM(A660),"0.0 %","0.0%")," "))</f>
        <v>0.03</v>
      </c>
      <c r="H660">
        <v>1.0069999999999999</v>
      </c>
      <c r="I660">
        <v>0.32200000000000001</v>
      </c>
      <c r="J660">
        <v>0.246</v>
      </c>
      <c r="K660">
        <v>13.67</v>
      </c>
      <c r="L660">
        <v>-0.10299999999999999</v>
      </c>
      <c r="M660">
        <v>0</v>
      </c>
      <c r="N660">
        <v>0.5</v>
      </c>
      <c r="O660">
        <v>2.0000000000000001E-4</v>
      </c>
    </row>
    <row r="661" spans="1:15">
      <c r="A661" t="s">
        <v>1163</v>
      </c>
      <c r="G661" cm="1">
        <f t="array" ref="G661:O661">VALUE(_xlfn.TEXTSPLIT(SUBSTITUTE(TRIM(A661),"0.0 %","0.0%")," "))</f>
        <v>0.04</v>
      </c>
      <c r="H661">
        <v>1.014</v>
      </c>
      <c r="I661">
        <v>0.317</v>
      </c>
      <c r="J661">
        <v>0.245</v>
      </c>
      <c r="K661">
        <v>14.95</v>
      </c>
      <c r="L661">
        <v>-8.6699999999999999E-2</v>
      </c>
      <c r="M661">
        <v>1E-3</v>
      </c>
      <c r="N661">
        <v>0.5</v>
      </c>
      <c r="O661">
        <v>3.5E-4</v>
      </c>
    </row>
    <row r="662" spans="1:15">
      <c r="A662" t="s">
        <v>1164</v>
      </c>
      <c r="G662" cm="1">
        <f t="array" ref="G662:O662">VALUE(_xlfn.TEXTSPLIT(SUBSTITUTE(TRIM(A662),"0.0 %","0.0%")," "))</f>
        <v>0.05</v>
      </c>
      <c r="H662">
        <v>1.0229999999999999</v>
      </c>
      <c r="I662">
        <v>0.312</v>
      </c>
      <c r="J662">
        <v>0.252</v>
      </c>
      <c r="K662">
        <v>14.17</v>
      </c>
      <c r="L662">
        <v>-0.10050000000000001</v>
      </c>
      <c r="M662">
        <v>1E-3</v>
      </c>
      <c r="N662">
        <v>0.5</v>
      </c>
      <c r="O662">
        <v>4.4000000000000002E-4</v>
      </c>
    </row>
    <row r="663" spans="1:15">
      <c r="A663" t="s">
        <v>1165</v>
      </c>
      <c r="G663" cm="1">
        <f t="array" ref="G663:O663">VALUE(_xlfn.TEXTSPLIT(SUBSTITUTE(TRIM(A663),"0.0 %","0.0%")," "))</f>
        <v>0.06</v>
      </c>
      <c r="H663">
        <v>1.0329999999999999</v>
      </c>
      <c r="I663">
        <v>0.32</v>
      </c>
      <c r="J663">
        <v>0.26</v>
      </c>
      <c r="K663">
        <v>13.89</v>
      </c>
      <c r="L663">
        <v>-0.12230000000000001</v>
      </c>
      <c r="M663">
        <v>1E-3</v>
      </c>
      <c r="N663">
        <v>4</v>
      </c>
      <c r="O663">
        <v>5.8E-4</v>
      </c>
    </row>
    <row r="664" spans="1:15">
      <c r="A664" t="s">
        <v>1166</v>
      </c>
      <c r="G664" cm="1">
        <f t="array" ref="G664:O664">VALUE(_xlfn.TEXTSPLIT(SUBSTITUTE(TRIM(A664),"0.0 %","0.0%")," "))</f>
        <v>0.08</v>
      </c>
      <c r="H664">
        <v>1.0580000000000001</v>
      </c>
      <c r="I664">
        <v>0.36199999999999999</v>
      </c>
      <c r="J664">
        <v>0.23300000000000001</v>
      </c>
      <c r="K664">
        <v>13.91</v>
      </c>
      <c r="L664">
        <v>-0.11269999999999999</v>
      </c>
      <c r="M664">
        <v>2E-3</v>
      </c>
      <c r="N664">
        <v>0.5</v>
      </c>
      <c r="O664">
        <v>1.15E-3</v>
      </c>
    </row>
    <row r="665" spans="1:15">
      <c r="A665" t="s">
        <v>1167</v>
      </c>
      <c r="G665" cm="1">
        <f t="array" ref="G665:O665">VALUE(_xlfn.TEXTSPLIT(SUBSTITUTE(TRIM(A665),"0.0 %","0.0%")," "))</f>
        <v>0.1</v>
      </c>
      <c r="H665">
        <v>1.93</v>
      </c>
      <c r="I665">
        <v>1.4990000000000001</v>
      </c>
      <c r="J665">
        <v>6.0999999999999999E-2</v>
      </c>
      <c r="K665">
        <v>29.65</v>
      </c>
      <c r="L665">
        <v>-0.1162</v>
      </c>
      <c r="M665">
        <v>0.10100000000000001</v>
      </c>
      <c r="N665">
        <v>40</v>
      </c>
      <c r="O665">
        <v>4.3659999999999997E-2</v>
      </c>
    </row>
    <row r="666" spans="1:15">
      <c r="A666" t="s">
        <v>1168</v>
      </c>
      <c r="G666" cm="1">
        <f t="array" ref="G666:O666">VALUE(_xlfn.TEXTSPLIT(SUBSTITUTE(TRIM(A666),"0.0 %","0.0%")," "))</f>
        <v>0.15</v>
      </c>
      <c r="H666">
        <v>1.4019999999999999</v>
      </c>
      <c r="I666">
        <v>0.35199999999999998</v>
      </c>
      <c r="J666">
        <v>0.26900000000000002</v>
      </c>
      <c r="K666">
        <v>17.09</v>
      </c>
      <c r="L666">
        <v>-2.47E-2</v>
      </c>
      <c r="M666">
        <v>1.0999999999999999E-2</v>
      </c>
      <c r="N666">
        <v>0.5</v>
      </c>
      <c r="O666">
        <v>5.8100000000000001E-3</v>
      </c>
    </row>
    <row r="667" spans="1:15">
      <c r="A667" t="s">
        <v>1169</v>
      </c>
      <c r="G667" cm="1">
        <f t="array" ref="G667:O667">VALUE(_xlfn.TEXTSPLIT(SUBSTITUTE(TRIM(A667),"0.0 %","0.0%")," "))</f>
        <v>0.2</v>
      </c>
      <c r="H667">
        <v>1.2010000000000001</v>
      </c>
      <c r="I667">
        <v>0.158</v>
      </c>
      <c r="J667">
        <v>0.42599999999999999</v>
      </c>
      <c r="K667">
        <v>14.12</v>
      </c>
      <c r="L667">
        <v>-0.18729999999999999</v>
      </c>
      <c r="M667">
        <v>3.0000000000000001E-3</v>
      </c>
      <c r="N667">
        <v>10</v>
      </c>
      <c r="O667">
        <v>2.0200000000000001E-3</v>
      </c>
    </row>
    <row r="668" spans="1:15">
      <c r="A668" t="s">
        <v>1170</v>
      </c>
      <c r="G668" cm="1">
        <f t="array" ref="G668:O668">VALUE(_xlfn.TEXTSPLIT(SUBSTITUTE(TRIM(A668),"0.0 %","0.0%")," "))</f>
        <v>0.3</v>
      </c>
      <c r="H668">
        <v>1.1479999999999999</v>
      </c>
      <c r="I668">
        <v>0.42199999999999999</v>
      </c>
      <c r="J668">
        <v>0.20300000000000001</v>
      </c>
      <c r="K668">
        <v>13.49</v>
      </c>
      <c r="L668">
        <v>-0.1013</v>
      </c>
      <c r="M668">
        <v>8.0000000000000002E-3</v>
      </c>
      <c r="N668">
        <v>0.5</v>
      </c>
      <c r="O668">
        <v>3.64E-3</v>
      </c>
    </row>
    <row r="669" spans="1:15">
      <c r="A669" t="s">
        <v>1171</v>
      </c>
      <c r="G669" cm="1">
        <f t="array" ref="G669:O669">VALUE(_xlfn.TEXTSPLIT(SUBSTITUTE(TRIM(A669),"0.0 %","0.0%")," "))</f>
        <v>0.4</v>
      </c>
      <c r="H669">
        <v>1.1870000000000001</v>
      </c>
      <c r="I669">
        <v>0.56200000000000006</v>
      </c>
      <c r="J669">
        <v>0.13700000000000001</v>
      </c>
      <c r="K669">
        <v>14.19</v>
      </c>
      <c r="L669">
        <v>-7.0599999999999996E-2</v>
      </c>
      <c r="M669">
        <v>6.0000000000000001E-3</v>
      </c>
      <c r="N669">
        <v>0.5</v>
      </c>
      <c r="O669">
        <v>3.5100000000000001E-3</v>
      </c>
    </row>
    <row r="670" spans="1:15">
      <c r="A670" t="s">
        <v>1172</v>
      </c>
      <c r="G670" cm="1">
        <f t="array" ref="G670:O670">VALUE(_xlfn.TEXTSPLIT(SUBSTITUTE(TRIM(A670),"0.0 %","0.0%")," "))</f>
        <v>0.5</v>
      </c>
      <c r="H670">
        <v>1.2330000000000001</v>
      </c>
      <c r="I670">
        <v>0.63400000000000001</v>
      </c>
      <c r="J670">
        <v>0.109</v>
      </c>
      <c r="K670">
        <v>14.2</v>
      </c>
      <c r="L670">
        <v>-5.5599999999999997E-2</v>
      </c>
      <c r="M670">
        <v>6.0000000000000001E-3</v>
      </c>
      <c r="N670">
        <v>0.5</v>
      </c>
      <c r="O670">
        <v>3.8E-3</v>
      </c>
    </row>
    <row r="671" spans="1:15">
      <c r="A671" t="s">
        <v>1173</v>
      </c>
      <c r="G671" cm="1">
        <f t="array" ref="G671:O671">VALUE(_xlfn.TEXTSPLIT(SUBSTITUTE(TRIM(A671),"0.0 %","0.0%")," "))</f>
        <v>0.6</v>
      </c>
      <c r="H671">
        <v>1.2689999999999999</v>
      </c>
      <c r="I671">
        <v>0.68500000000000005</v>
      </c>
      <c r="J671">
        <v>8.8999999999999996E-2</v>
      </c>
      <c r="K671">
        <v>13.78</v>
      </c>
      <c r="L671">
        <v>-4.3999999999999997E-2</v>
      </c>
      <c r="M671">
        <v>6.0000000000000001E-3</v>
      </c>
      <c r="N671">
        <v>1</v>
      </c>
      <c r="O671">
        <v>3.5999999999999999E-3</v>
      </c>
    </row>
    <row r="672" spans="1:15">
      <c r="A672" t="s">
        <v>1174</v>
      </c>
      <c r="G672" cm="1">
        <f t="array" ref="G672:O672">VALUE(_xlfn.TEXTSPLIT(SUBSTITUTE(TRIM(A672),"0.0 %","0.0%")," "))</f>
        <v>0.8</v>
      </c>
      <c r="H672">
        <v>1.329</v>
      </c>
      <c r="I672">
        <v>0.75900000000000001</v>
      </c>
      <c r="J672">
        <v>6.5000000000000002E-2</v>
      </c>
      <c r="K672">
        <v>13.69</v>
      </c>
      <c r="L672">
        <v>-3.1699999999999999E-2</v>
      </c>
      <c r="M672">
        <v>8.0000000000000002E-3</v>
      </c>
      <c r="N672">
        <v>1</v>
      </c>
      <c r="O672">
        <v>3.9399999999999999E-3</v>
      </c>
    </row>
    <row r="673" spans="1:15">
      <c r="A673" t="s">
        <v>1175</v>
      </c>
      <c r="G673" cm="1">
        <f t="array" ref="G673:O673">VALUE(_xlfn.TEXTSPLIT(SUBSTITUTE(TRIM(A673),"0.0 %","0.0%")," "))</f>
        <v>1</v>
      </c>
      <c r="H673">
        <v>1.367</v>
      </c>
      <c r="I673">
        <v>0.81100000000000005</v>
      </c>
      <c r="J673">
        <v>5.0999999999999997E-2</v>
      </c>
      <c r="K673">
        <v>13.67</v>
      </c>
      <c r="L673">
        <v>-2.8299999999999999E-2</v>
      </c>
      <c r="M673">
        <v>8.0000000000000002E-3</v>
      </c>
      <c r="N673">
        <v>1</v>
      </c>
      <c r="O673">
        <v>4.1599999999999996E-3</v>
      </c>
    </row>
    <row r="674" spans="1:15">
      <c r="A674" t="s">
        <v>1176</v>
      </c>
      <c r="G674" cm="1">
        <f t="array" ref="G674:O674">VALUE(_xlfn.TEXTSPLIT(SUBSTITUTE(TRIM(A674),"0.0 %","0.0%")," "))</f>
        <v>1.5</v>
      </c>
      <c r="H674">
        <v>1.369</v>
      </c>
      <c r="I674">
        <v>0.94199999999999995</v>
      </c>
      <c r="J674">
        <v>0.02</v>
      </c>
      <c r="K674">
        <v>14.65</v>
      </c>
      <c r="L674">
        <v>-2.07E-2</v>
      </c>
      <c r="M674">
        <v>8.9999999999999993E-3</v>
      </c>
      <c r="N674">
        <v>1</v>
      </c>
      <c r="O674">
        <v>3.3600000000000001E-3</v>
      </c>
    </row>
    <row r="675" spans="1:15">
      <c r="A675" t="s">
        <v>1177</v>
      </c>
      <c r="G675" cm="1">
        <f t="array" ref="G675:O675">VALUE(_xlfn.TEXTSPLIT(SUBSTITUTE(TRIM(A675),"0.0 %","0.0%")," "))</f>
        <v>2</v>
      </c>
      <c r="H675">
        <v>1.3839999999999999</v>
      </c>
      <c r="I675">
        <v>0.98</v>
      </c>
      <c r="J675">
        <v>1.4E-2</v>
      </c>
      <c r="K675">
        <v>13.51</v>
      </c>
      <c r="L675">
        <v>-2.1600000000000001E-2</v>
      </c>
      <c r="M675">
        <v>1.7000000000000001E-2</v>
      </c>
      <c r="N675">
        <v>0.5</v>
      </c>
      <c r="O675">
        <v>6.7499999999999999E-3</v>
      </c>
    </row>
    <row r="676" spans="1:15">
      <c r="A676" t="s">
        <v>1178</v>
      </c>
      <c r="G676" cm="1">
        <f t="array" ref="G676:O676">VALUE(_xlfn.TEXTSPLIT(SUBSTITUTE(TRIM(A676),"0.0 %","0.0%")," "))</f>
        <v>3</v>
      </c>
      <c r="H676">
        <v>1.367</v>
      </c>
      <c r="I676">
        <v>1.006</v>
      </c>
      <c r="J676">
        <v>1.7000000000000001E-2</v>
      </c>
      <c r="K676">
        <v>13.33</v>
      </c>
      <c r="L676">
        <v>-3.7699999999999997E-2</v>
      </c>
      <c r="M676">
        <v>3.4000000000000002E-2</v>
      </c>
      <c r="N676">
        <v>0.5</v>
      </c>
      <c r="O676">
        <v>1.304E-2</v>
      </c>
    </row>
    <row r="677" spans="1:15">
      <c r="A677" t="s">
        <v>1179</v>
      </c>
      <c r="G677" cm="1">
        <f t="array" ref="G677:O677">VALUE(_xlfn.TEXTSPLIT(SUBSTITUTE(TRIM(A677),"0.0 %","0.0%")," "))</f>
        <v>4</v>
      </c>
      <c r="H677">
        <v>1.337</v>
      </c>
      <c r="I677">
        <v>1.0089999999999999</v>
      </c>
      <c r="J677">
        <v>2.4E-2</v>
      </c>
      <c r="K677">
        <v>14.15</v>
      </c>
      <c r="L677">
        <v>-4.5499999999999999E-2</v>
      </c>
      <c r="M677">
        <v>3.6999999999999998E-2</v>
      </c>
      <c r="N677">
        <v>0.5</v>
      </c>
      <c r="O677">
        <v>1.464E-2</v>
      </c>
    </row>
    <row r="678" spans="1:15">
      <c r="A678" t="s">
        <v>1180</v>
      </c>
      <c r="G678" cm="1">
        <f t="array" ref="G678:O678">VALUE(_xlfn.TEXTSPLIT(SUBSTITUTE(TRIM(A678),"0.0 %","0.0%")," "))</f>
        <v>5</v>
      </c>
      <c r="H678">
        <v>1.36</v>
      </c>
      <c r="I678">
        <v>0.95699999999999996</v>
      </c>
      <c r="J678">
        <v>4.9000000000000002E-2</v>
      </c>
      <c r="K678">
        <v>14.04</v>
      </c>
      <c r="L678">
        <v>-6.83E-2</v>
      </c>
      <c r="M678">
        <v>5.3999999999999999E-2</v>
      </c>
      <c r="N678">
        <v>0.5</v>
      </c>
      <c r="O678">
        <v>2.1170000000000001E-2</v>
      </c>
    </row>
    <row r="679" spans="1:15">
      <c r="A679" t="s">
        <v>1181</v>
      </c>
      <c r="G679" cm="1">
        <f t="array" ref="G679:O679">VALUE(_xlfn.TEXTSPLIT(SUBSTITUTE(TRIM(A679),"0.0 %","0.0%")," "))</f>
        <v>6</v>
      </c>
      <c r="H679">
        <v>1.363</v>
      </c>
      <c r="I679">
        <v>0.96499999999999997</v>
      </c>
      <c r="J679">
        <v>5.3999999999999999E-2</v>
      </c>
      <c r="K679">
        <v>14.21</v>
      </c>
      <c r="L679">
        <v>-7.1599999999999997E-2</v>
      </c>
      <c r="M679">
        <v>5.7000000000000002E-2</v>
      </c>
      <c r="N679">
        <v>0.5</v>
      </c>
      <c r="O679">
        <v>2.2110000000000001E-2</v>
      </c>
    </row>
    <row r="680" spans="1:15">
      <c r="A680" t="s">
        <v>1182</v>
      </c>
      <c r="G680" cm="1">
        <f t="array" ref="G680:O680">VALUE(_xlfn.TEXTSPLIT(SUBSTITUTE(TRIM(A680),"0.0 %","0.0%")," "))</f>
        <v>8</v>
      </c>
      <c r="H680">
        <v>1.4410000000000001</v>
      </c>
      <c r="I680">
        <v>0.99399999999999999</v>
      </c>
      <c r="J680">
        <v>6.0999999999999999E-2</v>
      </c>
      <c r="K680">
        <v>14.18</v>
      </c>
      <c r="L680">
        <v>-0.08</v>
      </c>
      <c r="M680">
        <v>5.8000000000000003E-2</v>
      </c>
      <c r="N680">
        <v>0.5</v>
      </c>
      <c r="O680">
        <v>2.4500000000000001E-2</v>
      </c>
    </row>
    <row r="681" spans="1:15">
      <c r="A681" t="s">
        <v>1183</v>
      </c>
      <c r="G681" cm="1">
        <f t="array" ref="G681:O681">VALUE(_xlfn.TEXTSPLIT(SUBSTITUTE(TRIM(A681),"0.0 %","0.0%")," "))</f>
        <v>10</v>
      </c>
      <c r="H681">
        <v>1.464</v>
      </c>
      <c r="I681">
        <v>1.1479999999999999</v>
      </c>
      <c r="J681">
        <v>3.2000000000000001E-2</v>
      </c>
      <c r="K681">
        <v>14.08</v>
      </c>
      <c r="L681">
        <v>-5.5399999999999998E-2</v>
      </c>
      <c r="M681">
        <v>4.1000000000000002E-2</v>
      </c>
      <c r="N681">
        <v>0.5</v>
      </c>
      <c r="O681">
        <v>1.7330000000000002E-2</v>
      </c>
    </row>
    <row r="682" spans="1:15">
      <c r="A682" t="s">
        <v>1184</v>
      </c>
      <c r="G682" cm="1">
        <f t="array" ref="G682:O682">VALUE(_xlfn.TEXTSPLIT(SUBSTITUTE(TRIM(A682),"0.0 %","0.0%")," "))</f>
        <v>15</v>
      </c>
      <c r="H682">
        <v>1.573</v>
      </c>
      <c r="I682">
        <v>1.337</v>
      </c>
      <c r="J682">
        <v>1.6E-2</v>
      </c>
      <c r="K682">
        <v>13.54</v>
      </c>
      <c r="L682">
        <v>-4.6300000000000001E-2</v>
      </c>
      <c r="M682">
        <v>3.5000000000000003E-2</v>
      </c>
      <c r="N682">
        <v>0.5</v>
      </c>
      <c r="O682">
        <v>1.755E-2</v>
      </c>
    </row>
    <row r="685" spans="1:15">
      <c r="A685" t="s">
        <v>1188</v>
      </c>
      <c r="G685" t="str">
        <f>A685</f>
        <v xml:space="preserve">                  URANIUM MEDIUM, AIR RESPONSE</v>
      </c>
    </row>
    <row r="687" spans="1:15">
      <c r="A687" t="s">
        <v>610</v>
      </c>
      <c r="G687" t="str" cm="1">
        <f t="array" ref="G687:O687">_xlfn.TEXTSPLIT(TRIM(A687)," ")</f>
        <v>E(MEV)</v>
      </c>
      <c r="H687" t="str">
        <v>B</v>
      </c>
      <c r="I687" t="str">
        <v>C</v>
      </c>
      <c r="J687" t="str">
        <v>A</v>
      </c>
      <c r="K687" t="str">
        <v>XK</v>
      </c>
      <c r="L687" t="str">
        <v>D</v>
      </c>
      <c r="M687" t="str">
        <v>MAX.D</v>
      </c>
      <c r="N687" t="str">
        <v>XMAX</v>
      </c>
      <c r="O687" t="str">
        <v>S.D</v>
      </c>
    </row>
    <row r="688" spans="1:15">
      <c r="A688" t="s">
        <v>611</v>
      </c>
      <c r="G688" s="6" t="s">
        <v>1289</v>
      </c>
      <c r="H688" s="6" t="s">
        <v>1289</v>
      </c>
      <c r="I688" s="6" t="s">
        <v>1289</v>
      </c>
      <c r="J688" s="6" t="s">
        <v>1289</v>
      </c>
      <c r="K688" s="6" t="s">
        <v>1289</v>
      </c>
      <c r="L688" s="6" t="s">
        <v>1289</v>
      </c>
      <c r="M688" s="6" t="s">
        <v>1289</v>
      </c>
      <c r="N688" s="6" t="s">
        <v>1289</v>
      </c>
      <c r="O688" s="6" t="s">
        <v>1289</v>
      </c>
    </row>
    <row r="689" spans="1:15">
      <c r="A689" t="s">
        <v>1185</v>
      </c>
      <c r="G689" cm="1">
        <f t="array" ref="G689:O689">VALUE(_xlfn.TEXTSPLIT(SUBSTITUTE(TRIM(A689),"0.0 %","0.0%")," "))</f>
        <v>1.4999999999999999E-2</v>
      </c>
      <c r="H689">
        <v>1.0049999999999999</v>
      </c>
      <c r="I689">
        <v>0.33600000000000002</v>
      </c>
      <c r="J689">
        <v>0.224</v>
      </c>
      <c r="K689">
        <v>25.06</v>
      </c>
      <c r="L689">
        <v>-0.2039</v>
      </c>
      <c r="M689">
        <v>0</v>
      </c>
      <c r="N689">
        <v>8</v>
      </c>
      <c r="O689">
        <v>2.1000000000000001E-4</v>
      </c>
    </row>
    <row r="690" spans="1:15">
      <c r="A690" t="s">
        <v>1186</v>
      </c>
      <c r="G690" cm="1">
        <f t="array" ref="G690:O690">VALUE(_xlfn.TEXTSPLIT(SUBSTITUTE(TRIM(A690),"0.0 %","0.0%")," "))</f>
        <v>0.02</v>
      </c>
      <c r="H690">
        <v>1.0049999999999999</v>
      </c>
      <c r="I690">
        <v>0.33600000000000002</v>
      </c>
      <c r="J690">
        <v>0.224</v>
      </c>
      <c r="K690">
        <v>25.06</v>
      </c>
      <c r="L690">
        <v>-0.2039</v>
      </c>
      <c r="M690">
        <v>0</v>
      </c>
      <c r="N690">
        <v>8</v>
      </c>
      <c r="O690">
        <v>2.1000000000000001E-4</v>
      </c>
    </row>
    <row r="691" spans="1:15">
      <c r="A691" t="s">
        <v>1187</v>
      </c>
      <c r="G691" cm="1">
        <f t="array" ref="G691:O691">VALUE(_xlfn.TEXTSPLIT(SUBSTITUTE(TRIM(A691),"0.0 %","0.0%")," "))</f>
        <v>0.03</v>
      </c>
      <c r="H691">
        <v>1.0049999999999999</v>
      </c>
      <c r="I691">
        <v>0.33600000000000002</v>
      </c>
      <c r="J691">
        <v>0.224</v>
      </c>
      <c r="K691">
        <v>25.06</v>
      </c>
      <c r="L691">
        <v>-0.2039</v>
      </c>
      <c r="M691">
        <v>0</v>
      </c>
      <c r="N691">
        <v>8</v>
      </c>
      <c r="O691">
        <v>2.1000000000000001E-4</v>
      </c>
    </row>
    <row r="692" spans="1:15">
      <c r="A692" t="s">
        <v>1189</v>
      </c>
      <c r="G692" cm="1">
        <f t="array" ref="G692:O692">VALUE(_xlfn.TEXTSPLIT(SUBSTITUTE(TRIM(A692),"0.0 %","0.0%")," "))</f>
        <v>0.04</v>
      </c>
      <c r="H692">
        <v>1.01</v>
      </c>
      <c r="I692">
        <v>0.29599999999999999</v>
      </c>
      <c r="J692">
        <v>0.27200000000000002</v>
      </c>
      <c r="K692">
        <v>14.23</v>
      </c>
      <c r="L692">
        <v>-0.11990000000000001</v>
      </c>
      <c r="M692">
        <v>1E-3</v>
      </c>
      <c r="N692">
        <v>2</v>
      </c>
      <c r="O692">
        <v>2.7999999999999998E-4</v>
      </c>
    </row>
    <row r="693" spans="1:15">
      <c r="A693" t="s">
        <v>1190</v>
      </c>
      <c r="G693" cm="1">
        <f t="array" ref="G693:O693">VALUE(_xlfn.TEXTSPLIT(SUBSTITUTE(TRIM(A693),"0.0 %","0.0%")," "))</f>
        <v>0.05</v>
      </c>
      <c r="H693">
        <v>1.016</v>
      </c>
      <c r="I693">
        <v>0.313</v>
      </c>
      <c r="J693">
        <v>0.248</v>
      </c>
      <c r="K693">
        <v>13.81</v>
      </c>
      <c r="L693">
        <v>-8.9300000000000004E-2</v>
      </c>
      <c r="M693">
        <v>1E-3</v>
      </c>
      <c r="N693">
        <v>10</v>
      </c>
      <c r="O693">
        <v>2.9E-4</v>
      </c>
    </row>
    <row r="694" spans="1:15">
      <c r="A694" t="s">
        <v>1191</v>
      </c>
      <c r="G694" cm="1">
        <f t="array" ref="G694:O694">VALUE(_xlfn.TEXTSPLIT(SUBSTITUTE(TRIM(A694),"0.0 %","0.0%")," "))</f>
        <v>0.06</v>
      </c>
      <c r="H694">
        <v>1.022</v>
      </c>
      <c r="I694">
        <v>0.33600000000000002</v>
      </c>
      <c r="J694">
        <v>0.24399999999999999</v>
      </c>
      <c r="K694">
        <v>14.48</v>
      </c>
      <c r="L694">
        <v>-0.1157</v>
      </c>
      <c r="M694">
        <v>1E-3</v>
      </c>
      <c r="N694">
        <v>2</v>
      </c>
      <c r="O694">
        <v>3.6000000000000002E-4</v>
      </c>
    </row>
    <row r="695" spans="1:15">
      <c r="A695" t="s">
        <v>1192</v>
      </c>
      <c r="G695" cm="1">
        <f t="array" ref="G695:O695">VALUE(_xlfn.TEXTSPLIT(SUBSTITUTE(TRIM(A695),"0.0 %","0.0%")," "))</f>
        <v>0.08</v>
      </c>
      <c r="H695">
        <v>1.0389999999999999</v>
      </c>
      <c r="I695">
        <v>0.35699999999999998</v>
      </c>
      <c r="J695">
        <v>0.23599999999999999</v>
      </c>
      <c r="K695">
        <v>13.87</v>
      </c>
      <c r="L695">
        <v>-0.1154</v>
      </c>
      <c r="M695">
        <v>2E-3</v>
      </c>
      <c r="N695">
        <v>0.5</v>
      </c>
      <c r="O695">
        <v>9.3000000000000005E-4</v>
      </c>
    </row>
    <row r="696" spans="1:15">
      <c r="A696" t="s">
        <v>1193</v>
      </c>
      <c r="G696" cm="1">
        <f t="array" ref="G696:O696">VALUE(_xlfn.TEXTSPLIT(SUBSTITUTE(TRIM(A696),"0.0 %","0.0%")," "))</f>
        <v>0.1</v>
      </c>
      <c r="H696">
        <v>1.0569999999999999</v>
      </c>
      <c r="I696">
        <v>0.39</v>
      </c>
      <c r="J696">
        <v>0.217</v>
      </c>
      <c r="K696">
        <v>13.78</v>
      </c>
      <c r="L696">
        <v>-0.1096</v>
      </c>
      <c r="M696">
        <v>2E-3</v>
      </c>
      <c r="N696">
        <v>3</v>
      </c>
      <c r="O696">
        <v>1.25E-3</v>
      </c>
    </row>
    <row r="697" spans="1:15">
      <c r="A697" t="s">
        <v>1194</v>
      </c>
      <c r="G697" cm="1">
        <f t="array" ref="G697:O697">VALUE(_xlfn.TEXTSPLIT(SUBSTITUTE(TRIM(A697),"0.0 %","0.0%")," "))</f>
        <v>0.15</v>
      </c>
      <c r="H697">
        <v>1.5980000000000001</v>
      </c>
      <c r="I697">
        <v>1.03</v>
      </c>
      <c r="J697">
        <v>0.122</v>
      </c>
      <c r="K697">
        <v>16.02</v>
      </c>
      <c r="L697">
        <v>-9.9599999999999994E-2</v>
      </c>
      <c r="M697">
        <v>0.04</v>
      </c>
      <c r="N697">
        <v>1</v>
      </c>
      <c r="O697">
        <v>2.002E-2</v>
      </c>
    </row>
    <row r="698" spans="1:15">
      <c r="A698" t="s">
        <v>1195</v>
      </c>
      <c r="G698" cm="1">
        <f t="array" ref="G698:O698">VALUE(_xlfn.TEXTSPLIT(SUBSTITUTE(TRIM(A698),"0.0 %","0.0%")," "))</f>
        <v>0.2</v>
      </c>
      <c r="H698">
        <v>1.3240000000000001</v>
      </c>
      <c r="I698">
        <v>0.36599999999999999</v>
      </c>
      <c r="J698">
        <v>0.16700000000000001</v>
      </c>
      <c r="K698">
        <v>13.28</v>
      </c>
      <c r="L698">
        <v>-6.5500000000000003E-2</v>
      </c>
      <c r="M698">
        <v>2E-3</v>
      </c>
      <c r="N698">
        <v>3</v>
      </c>
      <c r="O698">
        <v>1.08E-3</v>
      </c>
    </row>
    <row r="699" spans="1:15">
      <c r="A699" t="s">
        <v>1196</v>
      </c>
      <c r="G699" cm="1">
        <f t="array" ref="G699:O699">VALUE(_xlfn.TEXTSPLIT(SUBSTITUTE(TRIM(A699),"0.0 %","0.0%")," "))</f>
        <v>0.3</v>
      </c>
      <c r="H699">
        <v>1.1599999999999999</v>
      </c>
      <c r="I699">
        <v>0.28399999999999997</v>
      </c>
      <c r="J699">
        <v>0.30399999999999999</v>
      </c>
      <c r="K699">
        <v>13.28</v>
      </c>
      <c r="L699">
        <v>-0.1643</v>
      </c>
      <c r="M699">
        <v>8.0000000000000002E-3</v>
      </c>
      <c r="N699">
        <v>0.5</v>
      </c>
      <c r="O699">
        <v>4.1900000000000001E-3</v>
      </c>
    </row>
    <row r="700" spans="1:15">
      <c r="A700" t="s">
        <v>1197</v>
      </c>
      <c r="G700" cm="1">
        <f t="array" ref="G700:O700">VALUE(_xlfn.TEXTSPLIT(SUBSTITUTE(TRIM(A700),"0.0 %","0.0%")," "))</f>
        <v>0.4</v>
      </c>
      <c r="H700">
        <v>1.157</v>
      </c>
      <c r="I700">
        <v>0.49</v>
      </c>
      <c r="J700">
        <v>0.17100000000000001</v>
      </c>
      <c r="K700">
        <v>13.96</v>
      </c>
      <c r="L700">
        <v>-9.11E-2</v>
      </c>
      <c r="M700">
        <v>8.9999999999999993E-3</v>
      </c>
      <c r="N700">
        <v>0.5</v>
      </c>
      <c r="O700">
        <v>4.1700000000000001E-3</v>
      </c>
    </row>
    <row r="701" spans="1:15">
      <c r="A701" t="s">
        <v>1198</v>
      </c>
      <c r="G701" cm="1">
        <f t="array" ref="G701:O701">VALUE(_xlfn.TEXTSPLIT(SUBSTITUTE(TRIM(A701),"0.0 %","0.0%")," "))</f>
        <v>0.5</v>
      </c>
      <c r="H701">
        <v>1.1850000000000001</v>
      </c>
      <c r="I701">
        <v>0.57699999999999996</v>
      </c>
      <c r="J701">
        <v>0.13100000000000001</v>
      </c>
      <c r="K701">
        <v>14.05</v>
      </c>
      <c r="L701">
        <v>-6.8199999999999997E-2</v>
      </c>
      <c r="M701">
        <v>7.0000000000000001E-3</v>
      </c>
      <c r="N701">
        <v>0.5</v>
      </c>
      <c r="O701">
        <v>3.8899999999999998E-3</v>
      </c>
    </row>
    <row r="702" spans="1:15">
      <c r="A702" t="s">
        <v>1199</v>
      </c>
      <c r="G702" cm="1">
        <f t="array" ref="G702:O702">VALUE(_xlfn.TEXTSPLIT(SUBSTITUTE(TRIM(A702),"0.0 %","0.0%")," "))</f>
        <v>0.6</v>
      </c>
      <c r="H702">
        <v>1.2070000000000001</v>
      </c>
      <c r="I702">
        <v>0.64300000000000002</v>
      </c>
      <c r="J702">
        <v>0.10100000000000001</v>
      </c>
      <c r="K702">
        <v>13.8</v>
      </c>
      <c r="L702">
        <v>-4.7300000000000002E-2</v>
      </c>
      <c r="M702">
        <v>6.0000000000000001E-3</v>
      </c>
      <c r="N702">
        <v>1</v>
      </c>
      <c r="O702">
        <v>3.32E-3</v>
      </c>
    </row>
    <row r="703" spans="1:15">
      <c r="A703" t="s">
        <v>1200</v>
      </c>
      <c r="G703" cm="1">
        <f t="array" ref="G703:O703">VALUE(_xlfn.TEXTSPLIT(SUBSTITUTE(TRIM(A703),"0.0 %","0.0%")," "))</f>
        <v>0.8</v>
      </c>
      <c r="H703">
        <v>1.2609999999999999</v>
      </c>
      <c r="I703">
        <v>0.70499999999999996</v>
      </c>
      <c r="J703">
        <v>0.08</v>
      </c>
      <c r="K703">
        <v>13.89</v>
      </c>
      <c r="L703">
        <v>-3.6200000000000003E-2</v>
      </c>
      <c r="M703">
        <v>7.0000000000000001E-3</v>
      </c>
      <c r="N703">
        <v>1</v>
      </c>
      <c r="O703">
        <v>3.5300000000000002E-3</v>
      </c>
    </row>
    <row r="704" spans="1:15">
      <c r="A704" t="s">
        <v>1201</v>
      </c>
      <c r="G704" cm="1">
        <f t="array" ref="G704:O704">VALUE(_xlfn.TEXTSPLIT(SUBSTITUTE(TRIM(A704),"0.0 %","0.0%")," "))</f>
        <v>1</v>
      </c>
      <c r="H704">
        <v>1.298</v>
      </c>
      <c r="I704">
        <v>0.754</v>
      </c>
      <c r="J704">
        <v>6.6000000000000003E-2</v>
      </c>
      <c r="K704">
        <v>13.69</v>
      </c>
      <c r="L704">
        <v>-3.2500000000000001E-2</v>
      </c>
      <c r="M704">
        <v>7.0000000000000001E-3</v>
      </c>
      <c r="N704">
        <v>1</v>
      </c>
      <c r="O704">
        <v>4.0400000000000002E-3</v>
      </c>
    </row>
    <row r="705" spans="1:15">
      <c r="A705" t="s">
        <v>1202</v>
      </c>
      <c r="G705" cm="1">
        <f t="array" ref="G705:O705">VALUE(_xlfn.TEXTSPLIT(SUBSTITUTE(TRIM(A705),"0.0 %","0.0%")," "))</f>
        <v>1.5</v>
      </c>
      <c r="H705">
        <v>1.32</v>
      </c>
      <c r="I705">
        <v>0.873</v>
      </c>
      <c r="J705">
        <v>3.7999999999999999E-2</v>
      </c>
      <c r="K705">
        <v>14.78</v>
      </c>
      <c r="L705">
        <v>-2.8199999999999999E-2</v>
      </c>
      <c r="M705">
        <v>6.0000000000000001E-3</v>
      </c>
      <c r="N705">
        <v>10</v>
      </c>
      <c r="O705">
        <v>3.4499999999999999E-3</v>
      </c>
    </row>
    <row r="706" spans="1:15">
      <c r="A706" t="s">
        <v>1203</v>
      </c>
      <c r="G706" cm="1">
        <f t="array" ref="G706:O706">VALUE(_xlfn.TEXTSPLIT(SUBSTITUTE(TRIM(A706),"0.0 %","0.0%")," "))</f>
        <v>2</v>
      </c>
      <c r="H706">
        <v>1.3380000000000001</v>
      </c>
      <c r="I706">
        <v>0.92300000000000004</v>
      </c>
      <c r="J706">
        <v>2.8000000000000001E-2</v>
      </c>
      <c r="K706">
        <v>13.56</v>
      </c>
      <c r="L706">
        <v>-2.7400000000000001E-2</v>
      </c>
      <c r="M706">
        <v>1.6E-2</v>
      </c>
      <c r="N706">
        <v>0.5</v>
      </c>
      <c r="O706">
        <v>6.9100000000000003E-3</v>
      </c>
    </row>
    <row r="707" spans="1:15">
      <c r="A707" t="s">
        <v>1204</v>
      </c>
      <c r="G707" cm="1">
        <f t="array" ref="G707:O707">VALUE(_xlfn.TEXTSPLIT(SUBSTITUTE(TRIM(A707),"0.0 %","0.0%")," "))</f>
        <v>3</v>
      </c>
      <c r="H707">
        <v>1.3260000000000001</v>
      </c>
      <c r="I707">
        <v>0.96799999999999997</v>
      </c>
      <c r="J707">
        <v>2.4E-2</v>
      </c>
      <c r="K707">
        <v>13.45</v>
      </c>
      <c r="L707">
        <v>-3.7199999999999997E-2</v>
      </c>
      <c r="M707">
        <v>3.2000000000000001E-2</v>
      </c>
      <c r="N707">
        <v>0.5</v>
      </c>
      <c r="O707">
        <v>1.172E-2</v>
      </c>
    </row>
    <row r="708" spans="1:15">
      <c r="A708" t="s">
        <v>1205</v>
      </c>
      <c r="G708" cm="1">
        <f t="array" ref="G708:O708">VALUE(_xlfn.TEXTSPLIT(SUBSTITUTE(TRIM(A708),"0.0 %","0.0%")," "))</f>
        <v>4</v>
      </c>
      <c r="H708">
        <v>1.2989999999999999</v>
      </c>
      <c r="I708">
        <v>0.98399999999999999</v>
      </c>
      <c r="J708">
        <v>2.7E-2</v>
      </c>
      <c r="K708">
        <v>13.84</v>
      </c>
      <c r="L708">
        <v>-4.1799999999999997E-2</v>
      </c>
      <c r="M708">
        <v>3.5000000000000003E-2</v>
      </c>
      <c r="N708">
        <v>0.5</v>
      </c>
      <c r="O708">
        <v>1.2800000000000001E-2</v>
      </c>
    </row>
    <row r="709" spans="1:15">
      <c r="A709" t="s">
        <v>1206</v>
      </c>
      <c r="G709" cm="1">
        <f t="array" ref="G709:O709">VALUE(_xlfn.TEXTSPLIT(SUBSTITUTE(TRIM(A709),"0.0 %","0.0%")," "))</f>
        <v>5</v>
      </c>
      <c r="H709">
        <v>1.327</v>
      </c>
      <c r="I709">
        <v>0.93200000000000005</v>
      </c>
      <c r="J709">
        <v>5.1999999999999998E-2</v>
      </c>
      <c r="K709">
        <v>14.08</v>
      </c>
      <c r="L709">
        <v>-6.3799999999999996E-2</v>
      </c>
      <c r="M709">
        <v>5.0999999999999997E-2</v>
      </c>
      <c r="N709">
        <v>0.5</v>
      </c>
      <c r="O709">
        <v>1.9029999999999998E-2</v>
      </c>
    </row>
    <row r="710" spans="1:15">
      <c r="A710" t="s">
        <v>1207</v>
      </c>
      <c r="G710" cm="1">
        <f t="array" ref="G710:O710">VALUE(_xlfn.TEXTSPLIT(SUBSTITUTE(TRIM(A710),"0.0 %","0.0%")," "))</f>
        <v>6</v>
      </c>
      <c r="H710">
        <v>1.339</v>
      </c>
      <c r="I710">
        <v>0.93500000000000005</v>
      </c>
      <c r="J710">
        <v>5.8000000000000003E-2</v>
      </c>
      <c r="K710">
        <v>14.53</v>
      </c>
      <c r="L710">
        <v>-6.7599999999999993E-2</v>
      </c>
      <c r="M710">
        <v>5.0999999999999997E-2</v>
      </c>
      <c r="N710">
        <v>0.5</v>
      </c>
      <c r="O710">
        <v>1.9820000000000001E-2</v>
      </c>
    </row>
    <row r="711" spans="1:15">
      <c r="A711" t="s">
        <v>1208</v>
      </c>
      <c r="G711" cm="1">
        <f t="array" ref="G711:O711">VALUE(_xlfn.TEXTSPLIT(SUBSTITUTE(TRIM(A711),"0.0 %","0.0%")," "))</f>
        <v>8</v>
      </c>
      <c r="H711">
        <v>1.4219999999999999</v>
      </c>
      <c r="I711">
        <v>0.97299999999999998</v>
      </c>
      <c r="J711">
        <v>6.3E-2</v>
      </c>
      <c r="K711">
        <v>14.26</v>
      </c>
      <c r="L711">
        <v>-7.6100000000000001E-2</v>
      </c>
      <c r="M711">
        <v>5.2999999999999999E-2</v>
      </c>
      <c r="N711">
        <v>0.5</v>
      </c>
      <c r="O711">
        <v>2.1899999999999999E-2</v>
      </c>
    </row>
    <row r="712" spans="1:15">
      <c r="A712" t="s">
        <v>1209</v>
      </c>
      <c r="G712" cm="1">
        <f t="array" ref="G712:O712">VALUE(_xlfn.TEXTSPLIT(SUBSTITUTE(TRIM(A712),"0.0 %","0.0%")," "))</f>
        <v>10</v>
      </c>
      <c r="H712">
        <v>1.4510000000000001</v>
      </c>
      <c r="I712">
        <v>1.133</v>
      </c>
      <c r="J712">
        <v>3.2000000000000001E-2</v>
      </c>
      <c r="K712">
        <v>14.31</v>
      </c>
      <c r="L712">
        <v>-5.0200000000000002E-2</v>
      </c>
      <c r="M712">
        <v>3.6999999999999998E-2</v>
      </c>
      <c r="N712">
        <v>0.5</v>
      </c>
      <c r="O712">
        <v>1.486E-2</v>
      </c>
    </row>
    <row r="713" spans="1:15">
      <c r="A713" t="s">
        <v>1210</v>
      </c>
      <c r="G713" cm="1">
        <f t="array" ref="G713:O713">VALUE(_xlfn.TEXTSPLIT(SUBSTITUTE(TRIM(A713),"0.0 %","0.0%")," "))</f>
        <v>15</v>
      </c>
      <c r="H713">
        <v>1.5569999999999999</v>
      </c>
      <c r="I713">
        <v>1.3280000000000001</v>
      </c>
      <c r="J713">
        <v>1.4999999999999999E-2</v>
      </c>
      <c r="K713">
        <v>13.75</v>
      </c>
      <c r="L713">
        <v>-4.0500000000000001E-2</v>
      </c>
      <c r="M713">
        <v>3.5999999999999997E-2</v>
      </c>
      <c r="N713">
        <v>0.5</v>
      </c>
      <c r="O713">
        <v>1.5730000000000001E-2</v>
      </c>
    </row>
    <row r="716" spans="1:15">
      <c r="A716" t="s">
        <v>1211</v>
      </c>
      <c r="G716" t="str">
        <f>A716</f>
        <v xml:space="preserve">                  WATER MEDIUM, AIR RESPONSE</v>
      </c>
    </row>
    <row r="718" spans="1:15">
      <c r="A718" t="s">
        <v>610</v>
      </c>
      <c r="G718" t="str" cm="1">
        <f t="array" ref="G718:O718">_xlfn.TEXTSPLIT(TRIM(A718)," ")</f>
        <v>E(MEV)</v>
      </c>
      <c r="H718" t="str">
        <v>B</v>
      </c>
      <c r="I718" t="str">
        <v>C</v>
      </c>
      <c r="J718" t="str">
        <v>A</v>
      </c>
      <c r="K718" t="str">
        <v>XK</v>
      </c>
      <c r="L718" t="str">
        <v>D</v>
      </c>
      <c r="M718" t="str">
        <v>MAX.D</v>
      </c>
      <c r="N718" t="str">
        <v>XMAX</v>
      </c>
      <c r="O718" t="str">
        <v>S.D</v>
      </c>
    </row>
    <row r="719" spans="1:15">
      <c r="A719" t="s">
        <v>611</v>
      </c>
      <c r="G719" s="6" t="s">
        <v>1289</v>
      </c>
      <c r="H719" s="6" t="s">
        <v>1289</v>
      </c>
      <c r="I719" s="6" t="s">
        <v>1289</v>
      </c>
      <c r="J719" s="6" t="s">
        <v>1289</v>
      </c>
      <c r="K719" s="6" t="s">
        <v>1289</v>
      </c>
      <c r="L719" s="6" t="s">
        <v>1289</v>
      </c>
      <c r="M719" s="6" t="s">
        <v>1289</v>
      </c>
      <c r="N719" s="6" t="s">
        <v>1289</v>
      </c>
      <c r="O719" s="6" t="s">
        <v>1289</v>
      </c>
    </row>
    <row r="720" spans="1:15">
      <c r="A720" t="s">
        <v>1212</v>
      </c>
      <c r="G720" cm="1">
        <f t="array" ref="G720:O720">VALUE(_xlfn.TEXTSPLIT(SUBSTITUTE(TRIM(A720),"0.0 %","0.0%")," "))</f>
        <v>1.4999999999999999E-2</v>
      </c>
      <c r="H720">
        <v>1.1819999999999999</v>
      </c>
      <c r="I720">
        <v>0.46300000000000002</v>
      </c>
      <c r="J720">
        <v>0.17499999999999999</v>
      </c>
      <c r="K720">
        <v>14.23</v>
      </c>
      <c r="L720">
        <v>-9.0800000000000006E-2</v>
      </c>
      <c r="M720">
        <v>1.6899999999999998E-2</v>
      </c>
      <c r="N720">
        <v>0.5</v>
      </c>
      <c r="O720">
        <v>6.3400000000000001E-3</v>
      </c>
    </row>
    <row r="721" spans="1:15">
      <c r="A721" t="s">
        <v>1213</v>
      </c>
      <c r="G721" cm="1">
        <f t="array" ref="G721:O721">VALUE(_xlfn.TEXTSPLIT(SUBSTITUTE(TRIM(A721),"0.0 %","0.0%")," "))</f>
        <v>0.02</v>
      </c>
      <c r="H721">
        <v>1.427</v>
      </c>
      <c r="I721">
        <v>0.54900000000000004</v>
      </c>
      <c r="J721">
        <v>0.14299999999999999</v>
      </c>
      <c r="K721">
        <v>14.86</v>
      </c>
      <c r="L721">
        <v>-7.0699999999999999E-2</v>
      </c>
      <c r="M721">
        <v>2.3099999999999999E-2</v>
      </c>
      <c r="N721">
        <v>0.5</v>
      </c>
      <c r="O721">
        <v>7.7999999999999996E-3</v>
      </c>
    </row>
    <row r="722" spans="1:15">
      <c r="A722" t="s">
        <v>1214</v>
      </c>
      <c r="G722" cm="1">
        <f t="array" ref="G722:O722">VALUE(_xlfn.TEXTSPLIT(SUBSTITUTE(TRIM(A722),"0.0 %","0.0%")," "))</f>
        <v>0.03</v>
      </c>
      <c r="H722">
        <v>2.335</v>
      </c>
      <c r="I722">
        <v>0.73599999999999999</v>
      </c>
      <c r="J722">
        <v>8.6999999999999994E-2</v>
      </c>
      <c r="K722">
        <v>13.28</v>
      </c>
      <c r="L722">
        <v>-4.19E-2</v>
      </c>
      <c r="M722">
        <v>2.3400000000000001E-2</v>
      </c>
      <c r="N722">
        <v>0.5</v>
      </c>
      <c r="O722">
        <v>1.18E-2</v>
      </c>
    </row>
    <row r="723" spans="1:15">
      <c r="A723" t="s">
        <v>1215</v>
      </c>
      <c r="G723" cm="1">
        <f t="array" ref="G723:O723">VALUE(_xlfn.TEXTSPLIT(SUBSTITUTE(TRIM(A723),"0.0 %","0.0%")," "))</f>
        <v>0.04</v>
      </c>
      <c r="H723">
        <v>3.4769999999999999</v>
      </c>
      <c r="I723">
        <v>1.117</v>
      </c>
      <c r="J723">
        <v>-1.9E-2</v>
      </c>
      <c r="K723">
        <v>11.67</v>
      </c>
      <c r="L723">
        <v>2.5999999999999999E-3</v>
      </c>
      <c r="M723">
        <v>8.8999999999999999E-3</v>
      </c>
      <c r="N723">
        <v>0.5</v>
      </c>
      <c r="O723">
        <v>2.98E-3</v>
      </c>
    </row>
    <row r="724" spans="1:15">
      <c r="A724" t="s">
        <v>1216</v>
      </c>
      <c r="G724" cm="1">
        <f t="array" ref="G724:O724">VALUE(_xlfn.TEXTSPLIT(SUBSTITUTE(TRIM(A724),"0.0 %","0.0%")," "))</f>
        <v>0.05</v>
      </c>
      <c r="H724">
        <v>4.4610000000000003</v>
      </c>
      <c r="I724">
        <v>1.4570000000000001</v>
      </c>
      <c r="J724">
        <v>-8.4000000000000005E-2</v>
      </c>
      <c r="K724">
        <v>13.62</v>
      </c>
      <c r="L724">
        <v>3.4099999999999998E-2</v>
      </c>
      <c r="M724">
        <v>1.26E-2</v>
      </c>
      <c r="N724">
        <v>10</v>
      </c>
      <c r="O724">
        <v>8.5000000000000006E-3</v>
      </c>
    </row>
    <row r="725" spans="1:15">
      <c r="A725" t="s">
        <v>1217</v>
      </c>
      <c r="G725" cm="1">
        <f t="array" ref="G725:O725">VALUE(_xlfn.TEXTSPLIT(SUBSTITUTE(TRIM(A725),"0.0 %","0.0%")," "))</f>
        <v>0.06</v>
      </c>
      <c r="H725">
        <v>4.9829999999999997</v>
      </c>
      <c r="I725">
        <v>1.73</v>
      </c>
      <c r="J725">
        <v>-0.126</v>
      </c>
      <c r="K725">
        <v>13.64</v>
      </c>
      <c r="L725">
        <v>5.6099999999999997E-2</v>
      </c>
      <c r="M725">
        <v>2.2200000000000001E-2</v>
      </c>
      <c r="N725">
        <v>10</v>
      </c>
      <c r="O725">
        <v>1.5630000000000002E-2</v>
      </c>
    </row>
    <row r="726" spans="1:15">
      <c r="A726" t="s">
        <v>1218</v>
      </c>
      <c r="G726" cm="1">
        <f t="array" ref="G726:O726">VALUE(_xlfn.TEXTSPLIT(SUBSTITUTE(TRIM(A726),"0.0 %","0.0%")," "))</f>
        <v>0.08</v>
      </c>
      <c r="H726">
        <v>5.0590000000000002</v>
      </c>
      <c r="I726">
        <v>2.0590000000000002</v>
      </c>
      <c r="J726">
        <v>-0.16800000000000001</v>
      </c>
      <c r="K726">
        <v>13.67</v>
      </c>
      <c r="L726">
        <v>7.6999999999999999E-2</v>
      </c>
      <c r="M726">
        <v>2.9399999999999999E-2</v>
      </c>
      <c r="N726">
        <v>35</v>
      </c>
      <c r="O726">
        <v>1.9460000000000002E-2</v>
      </c>
    </row>
    <row r="727" spans="1:15">
      <c r="A727" t="s">
        <v>1219</v>
      </c>
      <c r="G727" cm="1">
        <f t="array" ref="G727:O727">VALUE(_xlfn.TEXTSPLIT(SUBSTITUTE(TRIM(A727),"0.0 %","0.0%")," "))</f>
        <v>0.1</v>
      </c>
      <c r="H727">
        <v>4.6630000000000003</v>
      </c>
      <c r="I727">
        <v>2.2210000000000001</v>
      </c>
      <c r="J727">
        <v>-0.186</v>
      </c>
      <c r="K727">
        <v>13.33</v>
      </c>
      <c r="L727">
        <v>8.2600000000000007E-2</v>
      </c>
      <c r="M727">
        <v>3.0200000000000001E-2</v>
      </c>
      <c r="N727">
        <v>10</v>
      </c>
      <c r="O727">
        <v>1.925E-2</v>
      </c>
    </row>
    <row r="728" spans="1:15">
      <c r="A728" t="s">
        <v>1220</v>
      </c>
      <c r="G728" cm="1">
        <f t="array" ref="G728:O728">VALUE(_xlfn.TEXTSPLIT(SUBSTITUTE(TRIM(A728),"0.0 %","0.0%")," "))</f>
        <v>0.15</v>
      </c>
      <c r="H728">
        <v>3.8969999999999998</v>
      </c>
      <c r="I728">
        <v>2.242</v>
      </c>
      <c r="J728">
        <v>-0.185</v>
      </c>
      <c r="K728">
        <v>14.19</v>
      </c>
      <c r="L728">
        <v>7.7700000000000005E-2</v>
      </c>
      <c r="M728">
        <v>2.5499999999999998E-2</v>
      </c>
      <c r="N728">
        <v>15</v>
      </c>
      <c r="O728">
        <v>1.584E-2</v>
      </c>
    </row>
    <row r="729" spans="1:15">
      <c r="A729" t="s">
        <v>1221</v>
      </c>
      <c r="G729" cm="1">
        <f t="array" ref="G729:O729">VALUE(_xlfn.TEXTSPLIT(SUBSTITUTE(TRIM(A729),"0.0 %","0.0%")," "))</f>
        <v>0.2</v>
      </c>
      <c r="H729">
        <v>3.4780000000000002</v>
      </c>
      <c r="I729">
        <v>2.1539999999999999</v>
      </c>
      <c r="J729">
        <v>-0.17599999999999999</v>
      </c>
      <c r="K729">
        <v>14.5</v>
      </c>
      <c r="L729">
        <v>7.7399999999999997E-2</v>
      </c>
      <c r="M729">
        <v>2.5000000000000001E-2</v>
      </c>
      <c r="N729">
        <v>0.5</v>
      </c>
      <c r="O729">
        <v>1.4919999999999999E-2</v>
      </c>
    </row>
    <row r="730" spans="1:15">
      <c r="A730" t="s">
        <v>1222</v>
      </c>
      <c r="G730" cm="1">
        <f t="array" ref="G730:O730">VALUE(_xlfn.TEXTSPLIT(SUBSTITUTE(TRIM(A730),"0.0 %","0.0%")," "))</f>
        <v>0.3</v>
      </c>
      <c r="H730">
        <v>2.92</v>
      </c>
      <c r="I730">
        <v>2.0219999999999998</v>
      </c>
      <c r="J730">
        <v>-0.16400000000000001</v>
      </c>
      <c r="K730">
        <v>14.21</v>
      </c>
      <c r="L730">
        <v>6.5500000000000003E-2</v>
      </c>
      <c r="M730">
        <v>2.46E-2</v>
      </c>
      <c r="N730">
        <v>1</v>
      </c>
      <c r="O730">
        <v>1.4710000000000001E-2</v>
      </c>
    </row>
    <row r="731" spans="1:15">
      <c r="A731" t="s">
        <v>1223</v>
      </c>
      <c r="G731" cm="1">
        <f t="array" ref="G731:O731">VALUE(_xlfn.TEXTSPLIT(SUBSTITUTE(TRIM(A731),"0.0 %","0.0%")," "))</f>
        <v>0.4</v>
      </c>
      <c r="H731">
        <v>2.66</v>
      </c>
      <c r="I731">
        <v>1.8819999999999999</v>
      </c>
      <c r="J731">
        <v>-0.14899999999999999</v>
      </c>
      <c r="K731">
        <v>14.24</v>
      </c>
      <c r="L731">
        <v>5.9499999999999997E-2</v>
      </c>
      <c r="M731">
        <v>2.1700000000000001E-2</v>
      </c>
      <c r="N731">
        <v>35</v>
      </c>
      <c r="O731">
        <v>1.372E-2</v>
      </c>
    </row>
    <row r="732" spans="1:15">
      <c r="A732" t="s">
        <v>1224</v>
      </c>
      <c r="G732" cm="1">
        <f t="array" ref="G732:O732">VALUE(_xlfn.TEXTSPLIT(SUBSTITUTE(TRIM(A732),"0.0 %","0.0%")," "))</f>
        <v>0.5</v>
      </c>
      <c r="H732">
        <v>2.5</v>
      </c>
      <c r="I732">
        <v>1.766</v>
      </c>
      <c r="J732">
        <v>-0.13500000000000001</v>
      </c>
      <c r="K732">
        <v>14.33</v>
      </c>
      <c r="L732">
        <v>5.4600000000000003E-2</v>
      </c>
      <c r="M732">
        <v>2.46E-2</v>
      </c>
      <c r="N732">
        <v>1</v>
      </c>
      <c r="O732">
        <v>1.38E-2</v>
      </c>
    </row>
    <row r="733" spans="1:15">
      <c r="A733" t="s">
        <v>1225</v>
      </c>
      <c r="G733" cm="1">
        <f t="array" ref="G733:O733">VALUE(_xlfn.TEXTSPLIT(SUBSTITUTE(TRIM(A733),"0.0 %","0.0%")," "))</f>
        <v>0.6</v>
      </c>
      <c r="H733">
        <v>2.3769999999999998</v>
      </c>
      <c r="I733">
        <v>1.679</v>
      </c>
      <c r="J733">
        <v>-0.124</v>
      </c>
      <c r="K733">
        <v>14.23</v>
      </c>
      <c r="L733">
        <v>5.0299999999999997E-2</v>
      </c>
      <c r="M733">
        <v>2.0199999999999999E-2</v>
      </c>
      <c r="N733">
        <v>1</v>
      </c>
      <c r="O733">
        <v>1.265E-2</v>
      </c>
    </row>
    <row r="734" spans="1:15">
      <c r="A734" t="s">
        <v>1226</v>
      </c>
      <c r="G734" cm="1">
        <f t="array" ref="G734:O734">VALUE(_xlfn.TEXTSPLIT(SUBSTITUTE(TRIM(A734),"0.0 %","0.0%")," "))</f>
        <v>0.8</v>
      </c>
      <c r="H734">
        <v>2.2120000000000002</v>
      </c>
      <c r="I734">
        <v>1.544</v>
      </c>
      <c r="J734">
        <v>-0.105</v>
      </c>
      <c r="K734">
        <v>14.36</v>
      </c>
      <c r="L734">
        <v>4.3700000000000003E-2</v>
      </c>
      <c r="M734">
        <v>1.9699999999999999E-2</v>
      </c>
      <c r="N734">
        <v>0.5</v>
      </c>
      <c r="O734">
        <v>1.1860000000000001E-2</v>
      </c>
    </row>
    <row r="735" spans="1:15">
      <c r="A735" t="s">
        <v>1227</v>
      </c>
      <c r="G735" cm="1">
        <f t="array" ref="G735:O735">VALUE(_xlfn.TEXTSPLIT(SUBSTITUTE(TRIM(A735),"0.0 %","0.0%")," "))</f>
        <v>1</v>
      </c>
      <c r="H735">
        <v>2.1030000000000002</v>
      </c>
      <c r="I735">
        <v>1.4410000000000001</v>
      </c>
      <c r="J735">
        <v>-8.8999999999999996E-2</v>
      </c>
      <c r="K735">
        <v>14.22</v>
      </c>
      <c r="L735">
        <v>3.78E-2</v>
      </c>
      <c r="M735">
        <v>1.55E-2</v>
      </c>
      <c r="N735">
        <v>0.5</v>
      </c>
      <c r="O735">
        <v>8.9499999999999996E-3</v>
      </c>
    </row>
    <row r="736" spans="1:15">
      <c r="A736" t="s">
        <v>1228</v>
      </c>
      <c r="G736" cm="1">
        <f t="array" ref="G736:O736">VALUE(_xlfn.TEXTSPLIT(SUBSTITUTE(TRIM(A736),"0.0 %","0.0%")," "))</f>
        <v>1.5</v>
      </c>
      <c r="H736">
        <v>1.9390000000000001</v>
      </c>
      <c r="I736">
        <v>1.2689999999999999</v>
      </c>
      <c r="J736">
        <v>-5.8000000000000003E-2</v>
      </c>
      <c r="K736">
        <v>14.52</v>
      </c>
      <c r="L736">
        <v>2.46E-2</v>
      </c>
      <c r="M736">
        <v>1.9099999999999999E-2</v>
      </c>
      <c r="N736">
        <v>0.5</v>
      </c>
      <c r="O736">
        <v>7.5700000000000003E-3</v>
      </c>
    </row>
    <row r="737" spans="1:15">
      <c r="A737" t="s">
        <v>1229</v>
      </c>
      <c r="G737" cm="1">
        <f t="array" ref="G737:O737">VALUE(_xlfn.TEXTSPLIT(SUBSTITUTE(TRIM(A737),"0.0 %","0.0%")," "))</f>
        <v>2</v>
      </c>
      <c r="H737">
        <v>1.839</v>
      </c>
      <c r="I737">
        <v>1.173</v>
      </c>
      <c r="J737">
        <v>-3.9E-2</v>
      </c>
      <c r="K737">
        <v>14.07</v>
      </c>
      <c r="L737">
        <v>1.61E-2</v>
      </c>
      <c r="M737">
        <v>1.4500000000000001E-2</v>
      </c>
      <c r="N737">
        <v>0.5</v>
      </c>
      <c r="O737">
        <v>5.2199999999999998E-3</v>
      </c>
    </row>
    <row r="738" spans="1:15">
      <c r="A738" t="s">
        <v>1230</v>
      </c>
      <c r="G738" cm="1">
        <f t="array" ref="G738:O738">VALUE(_xlfn.TEXTSPLIT(SUBSTITUTE(TRIM(A738),"0.0 %","0.0%")," "))</f>
        <v>3</v>
      </c>
      <c r="H738">
        <v>1.71</v>
      </c>
      <c r="I738">
        <v>1.056</v>
      </c>
      <c r="J738">
        <v>-1.2999999999999999E-2</v>
      </c>
      <c r="K738">
        <v>11.82</v>
      </c>
      <c r="L738">
        <v>4.7000000000000002E-3</v>
      </c>
      <c r="M738">
        <v>7.0000000000000001E-3</v>
      </c>
      <c r="N738">
        <v>0.5</v>
      </c>
      <c r="O738">
        <v>2.3900000000000002E-3</v>
      </c>
    </row>
    <row r="739" spans="1:15">
      <c r="A739" t="s">
        <v>1231</v>
      </c>
      <c r="G739" cm="1">
        <f t="array" ref="G739:O739">VALUE(_xlfn.TEXTSPLIT(SUBSTITUTE(TRIM(A739),"0.0 %","0.0%")," "))</f>
        <v>4</v>
      </c>
      <c r="H739">
        <v>1.621</v>
      </c>
      <c r="I739">
        <v>0.98899999999999999</v>
      </c>
      <c r="J739">
        <v>4.0000000000000001E-3</v>
      </c>
      <c r="K739">
        <v>13.45</v>
      </c>
      <c r="L739">
        <v>-4.1000000000000003E-3</v>
      </c>
      <c r="M739">
        <v>5.4999999999999997E-3</v>
      </c>
      <c r="N739">
        <v>1</v>
      </c>
      <c r="O739">
        <v>2.1099999999999999E-3</v>
      </c>
    </row>
    <row r="740" spans="1:15">
      <c r="A740" t="s">
        <v>1232</v>
      </c>
      <c r="G740" cm="1">
        <f t="array" ref="G740:O740">VALUE(_xlfn.TEXTSPLIT(SUBSTITUTE(TRIM(A740),"0.0 %","0.0%")," "))</f>
        <v>5</v>
      </c>
      <c r="H740">
        <v>1.554</v>
      </c>
      <c r="I740">
        <v>0.93899999999999995</v>
      </c>
      <c r="J740">
        <v>1.7999999999999999E-2</v>
      </c>
      <c r="K740">
        <v>13.55</v>
      </c>
      <c r="L740">
        <v>-1.2200000000000001E-2</v>
      </c>
      <c r="M740">
        <v>5.1000000000000004E-3</v>
      </c>
      <c r="N740">
        <v>30</v>
      </c>
      <c r="O740">
        <v>3.3300000000000001E-3</v>
      </c>
    </row>
    <row r="741" spans="1:15">
      <c r="A741" t="s">
        <v>1233</v>
      </c>
      <c r="G741" cm="1">
        <f t="array" ref="G741:O741">VALUE(_xlfn.TEXTSPLIT(SUBSTITUTE(TRIM(A741),"0.0 %","0.0%")," "))</f>
        <v>6</v>
      </c>
      <c r="H741">
        <v>1.5069999999999999</v>
      </c>
      <c r="I741">
        <v>0.90300000000000002</v>
      </c>
      <c r="J741">
        <v>2.9000000000000001E-2</v>
      </c>
      <c r="K741">
        <v>16.13</v>
      </c>
      <c r="L741">
        <v>-2.7199999999999998E-2</v>
      </c>
      <c r="M741">
        <v>8.5000000000000006E-3</v>
      </c>
      <c r="N741">
        <v>25</v>
      </c>
      <c r="O741">
        <v>4.7499999999999999E-3</v>
      </c>
    </row>
    <row r="742" spans="1:15">
      <c r="A742" t="s">
        <v>1234</v>
      </c>
      <c r="G742" cm="1">
        <f t="array" ref="G742:O742">VALUE(_xlfn.TEXTSPLIT(SUBSTITUTE(TRIM(A742),"0.0 %","0.0%")," "))</f>
        <v>8</v>
      </c>
      <c r="H742">
        <v>1.4219999999999999</v>
      </c>
      <c r="I742">
        <v>0.879</v>
      </c>
      <c r="J742">
        <v>3.5000000000000003E-2</v>
      </c>
      <c r="K742">
        <v>13.36</v>
      </c>
      <c r="L742">
        <v>-1.9099999999999999E-2</v>
      </c>
      <c r="M742">
        <v>8.8999999999999999E-3</v>
      </c>
      <c r="N742">
        <v>0.5</v>
      </c>
      <c r="O742">
        <v>4.45E-3</v>
      </c>
    </row>
    <row r="743" spans="1:15">
      <c r="A743" t="s">
        <v>1235</v>
      </c>
      <c r="G743" cm="1">
        <f t="array" ref="G743:O743">VALUE(_xlfn.TEXTSPLIT(SUBSTITUTE(TRIM(A743),"0.0 %","0.0%")," "))</f>
        <v>10</v>
      </c>
      <c r="H743">
        <v>1.3620000000000001</v>
      </c>
      <c r="I743">
        <v>0.85899999999999999</v>
      </c>
      <c r="J743">
        <v>4.2000000000000003E-2</v>
      </c>
      <c r="K743">
        <v>13.37</v>
      </c>
      <c r="L743">
        <v>-2.47E-2</v>
      </c>
      <c r="M743">
        <v>8.9999999999999993E-3</v>
      </c>
      <c r="N743">
        <v>0.5</v>
      </c>
      <c r="O743">
        <v>4.5300000000000002E-3</v>
      </c>
    </row>
    <row r="744" spans="1:15">
      <c r="A744" t="s">
        <v>1236</v>
      </c>
      <c r="G744" cm="1">
        <f t="array" ref="G744:O744">VALUE(_xlfn.TEXTSPLIT(SUBSTITUTE(TRIM(A744),"0.0 %","0.0%")," "))</f>
        <v>15</v>
      </c>
      <c r="H744">
        <v>1.2669999999999999</v>
      </c>
      <c r="I744">
        <v>0.84299999999999997</v>
      </c>
      <c r="J744">
        <v>4.7E-2</v>
      </c>
      <c r="K744">
        <v>15.08</v>
      </c>
      <c r="L744">
        <v>-3.3599999999999998E-2</v>
      </c>
      <c r="M744">
        <v>1.0200000000000001E-2</v>
      </c>
      <c r="N744">
        <v>1</v>
      </c>
      <c r="O744">
        <v>6.0400000000000002E-3</v>
      </c>
    </row>
    <row r="747" spans="1:15">
      <c r="A747" t="s">
        <v>1237</v>
      </c>
      <c r="G747" t="str">
        <f>A747</f>
        <v xml:space="preserve">                  CONCRETE MEDIUM, AIR RESPONSE</v>
      </c>
    </row>
    <row r="749" spans="1:15">
      <c r="A749" t="s">
        <v>610</v>
      </c>
      <c r="G749" t="str" cm="1">
        <f t="array" ref="G749:O749">_xlfn.TEXTSPLIT(TRIM(A749)," ")</f>
        <v>E(MEV)</v>
      </c>
      <c r="H749" t="str">
        <v>B</v>
      </c>
      <c r="I749" t="str">
        <v>C</v>
      </c>
      <c r="J749" t="str">
        <v>A</v>
      </c>
      <c r="K749" t="str">
        <v>XK</v>
      </c>
      <c r="L749" t="str">
        <v>D</v>
      </c>
      <c r="M749" t="str">
        <v>MAX.D</v>
      </c>
      <c r="N749" t="str">
        <v>XMAX</v>
      </c>
      <c r="O749" t="str">
        <v>S.D</v>
      </c>
    </row>
    <row r="750" spans="1:15">
      <c r="A750" t="s">
        <v>611</v>
      </c>
      <c r="G750" s="6" t="s">
        <v>1289</v>
      </c>
      <c r="H750" s="6" t="s">
        <v>1289</v>
      </c>
      <c r="I750" s="6" t="s">
        <v>1289</v>
      </c>
      <c r="J750" s="6" t="s">
        <v>1289</v>
      </c>
      <c r="K750" s="6" t="s">
        <v>1289</v>
      </c>
      <c r="L750" s="6" t="s">
        <v>1289</v>
      </c>
      <c r="M750" s="6" t="s">
        <v>1289</v>
      </c>
      <c r="N750" s="6" t="s">
        <v>1289</v>
      </c>
      <c r="O750" s="6" t="s">
        <v>1289</v>
      </c>
    </row>
    <row r="751" spans="1:15">
      <c r="A751" t="s">
        <v>794</v>
      </c>
      <c r="G751" cm="1">
        <f t="array" ref="G751:O751">VALUE(_xlfn.TEXTSPLIT(SUBSTITUTE(TRIM(A751),"0.0 %","0.0%")," "))</f>
        <v>1.4999999999999999E-2</v>
      </c>
      <c r="H751">
        <v>1.0289999999999999</v>
      </c>
      <c r="I751">
        <v>0.36399999999999999</v>
      </c>
      <c r="J751">
        <v>0.24</v>
      </c>
      <c r="K751">
        <v>14.12</v>
      </c>
      <c r="L751">
        <v>-0.1704</v>
      </c>
      <c r="M751">
        <v>4.5999999999999999E-3</v>
      </c>
      <c r="N751">
        <v>25</v>
      </c>
      <c r="O751">
        <v>2.3600000000000001E-3</v>
      </c>
    </row>
    <row r="752" spans="1:15">
      <c r="A752" t="s">
        <v>1238</v>
      </c>
      <c r="G752" cm="1">
        <f t="array" ref="G752:O752">VALUE(_xlfn.TEXTSPLIT(SUBSTITUTE(TRIM(A752),"0.0 %","0.0%")," "))</f>
        <v>0.02</v>
      </c>
      <c r="H752">
        <v>1.0669999999999999</v>
      </c>
      <c r="I752">
        <v>0.38900000000000001</v>
      </c>
      <c r="J752">
        <v>0.214</v>
      </c>
      <c r="K752">
        <v>12.68</v>
      </c>
      <c r="L752">
        <v>-0.11260000000000001</v>
      </c>
      <c r="M752">
        <v>7.1999999999999998E-3</v>
      </c>
      <c r="N752">
        <v>0.5</v>
      </c>
      <c r="O752">
        <v>3.5899999999999999E-3</v>
      </c>
    </row>
    <row r="753" spans="1:15">
      <c r="A753" t="s">
        <v>1239</v>
      </c>
      <c r="G753" cm="1">
        <f t="array" ref="G753:O753">VALUE(_xlfn.TEXTSPLIT(SUBSTITUTE(TRIM(A753),"0.0 %","0.0%")," "))</f>
        <v>0.03</v>
      </c>
      <c r="H753">
        <v>1.212</v>
      </c>
      <c r="I753">
        <v>0.42099999999999999</v>
      </c>
      <c r="J753">
        <v>0.20100000000000001</v>
      </c>
      <c r="K753">
        <v>14.12</v>
      </c>
      <c r="L753">
        <v>-0.1079</v>
      </c>
      <c r="M753">
        <v>1.5599999999999999E-2</v>
      </c>
      <c r="N753">
        <v>0.5</v>
      </c>
      <c r="O753">
        <v>6.1000000000000004E-3</v>
      </c>
    </row>
    <row r="754" spans="1:15">
      <c r="A754" t="s">
        <v>1240</v>
      </c>
      <c r="G754" cm="1">
        <f t="array" ref="G754:O754">VALUE(_xlfn.TEXTSPLIT(SUBSTITUTE(TRIM(A754),"0.0 %","0.0%")," "))</f>
        <v>0.04</v>
      </c>
      <c r="H754">
        <v>1.4550000000000001</v>
      </c>
      <c r="I754">
        <v>0.49299999999999999</v>
      </c>
      <c r="J754">
        <v>0.17100000000000001</v>
      </c>
      <c r="K754">
        <v>14.53</v>
      </c>
      <c r="L754">
        <v>-9.2499999999999999E-2</v>
      </c>
      <c r="M754">
        <v>2.01E-2</v>
      </c>
      <c r="N754">
        <v>0.5</v>
      </c>
      <c r="O754">
        <v>8.3099999999999997E-3</v>
      </c>
    </row>
    <row r="755" spans="1:15">
      <c r="A755" t="s">
        <v>1241</v>
      </c>
      <c r="G755" cm="1">
        <f t="array" ref="G755:O755">VALUE(_xlfn.TEXTSPLIT(SUBSTITUTE(TRIM(A755),"0.0 %","0.0%")," "))</f>
        <v>0.05</v>
      </c>
      <c r="H755">
        <v>1.7370000000000001</v>
      </c>
      <c r="I755">
        <v>0.628</v>
      </c>
      <c r="J755">
        <v>0.115</v>
      </c>
      <c r="K755">
        <v>15.82</v>
      </c>
      <c r="L755">
        <v>-0.06</v>
      </c>
      <c r="M755">
        <v>9.7000000000000003E-3</v>
      </c>
      <c r="N755">
        <v>2</v>
      </c>
      <c r="O755">
        <v>4.9899999999999996E-3</v>
      </c>
    </row>
    <row r="756" spans="1:15">
      <c r="A756" t="s">
        <v>1242</v>
      </c>
      <c r="G756" cm="1">
        <f t="array" ref="G756:O756">VALUE(_xlfn.TEXTSPLIT(SUBSTITUTE(TRIM(A756),"0.0 %","0.0%")," "))</f>
        <v>0.06</v>
      </c>
      <c r="H756">
        <v>2.125</v>
      </c>
      <c r="I756">
        <v>0.66400000000000003</v>
      </c>
      <c r="J756">
        <v>0.11799999999999999</v>
      </c>
      <c r="K756">
        <v>11.9</v>
      </c>
      <c r="L756">
        <v>-6.1499999999999999E-2</v>
      </c>
      <c r="M756">
        <v>2.9000000000000001E-2</v>
      </c>
      <c r="N756">
        <v>0.5</v>
      </c>
      <c r="O756">
        <v>1.389E-2</v>
      </c>
    </row>
    <row r="757" spans="1:15">
      <c r="A757" t="s">
        <v>1243</v>
      </c>
      <c r="G757" cm="1">
        <f t="array" ref="G757:O757">VALUE(_xlfn.TEXTSPLIT(SUBSTITUTE(TRIM(A757),"0.0 %","0.0%")," "))</f>
        <v>0.08</v>
      </c>
      <c r="H757">
        <v>2.5569999999999999</v>
      </c>
      <c r="I757">
        <v>0.89500000000000002</v>
      </c>
      <c r="J757">
        <v>4.2000000000000003E-2</v>
      </c>
      <c r="K757">
        <v>14.37</v>
      </c>
      <c r="L757">
        <v>-4.1300000000000003E-2</v>
      </c>
      <c r="M757">
        <v>1.8599999999999998E-2</v>
      </c>
      <c r="N757">
        <v>0.5</v>
      </c>
      <c r="O757">
        <v>9.58E-3</v>
      </c>
    </row>
    <row r="758" spans="1:15">
      <c r="A758" t="s">
        <v>1244</v>
      </c>
      <c r="G758" cm="1">
        <f t="array" ref="G758:O758">VALUE(_xlfn.TEXTSPLIT(SUBSTITUTE(TRIM(A758),"0.0 %","0.0%")," "))</f>
        <v>0.1</v>
      </c>
      <c r="H758">
        <v>2.766</v>
      </c>
      <c r="I758">
        <v>1.069</v>
      </c>
      <c r="J758">
        <v>1E-3</v>
      </c>
      <c r="K758">
        <v>12.64</v>
      </c>
      <c r="L758">
        <v>-2.5100000000000001E-2</v>
      </c>
      <c r="M758">
        <v>1.14E-2</v>
      </c>
      <c r="N758">
        <v>35</v>
      </c>
      <c r="O758">
        <v>6.2300000000000003E-3</v>
      </c>
    </row>
    <row r="759" spans="1:15">
      <c r="A759" t="s">
        <v>1245</v>
      </c>
      <c r="G759" cm="1">
        <f t="array" ref="G759:O759">VALUE(_xlfn.TEXTSPLIT(SUBSTITUTE(TRIM(A759),"0.0 %","0.0%")," "))</f>
        <v>0.15</v>
      </c>
      <c r="H759">
        <v>2.8119999999999998</v>
      </c>
      <c r="I759">
        <v>1.319</v>
      </c>
      <c r="J759">
        <v>-0.05</v>
      </c>
      <c r="K759">
        <v>8.75</v>
      </c>
      <c r="L759">
        <v>-4.0000000000000001E-3</v>
      </c>
      <c r="M759">
        <v>4.1000000000000003E-3</v>
      </c>
      <c r="N759">
        <v>5</v>
      </c>
      <c r="O759">
        <v>2.6900000000000001E-3</v>
      </c>
    </row>
    <row r="760" spans="1:15">
      <c r="A760" t="s">
        <v>1246</v>
      </c>
      <c r="G760" cm="1">
        <f t="array" ref="G760:O760">VALUE(_xlfn.TEXTSPLIT(SUBSTITUTE(TRIM(A760),"0.0 %","0.0%")," "))</f>
        <v>0.2</v>
      </c>
      <c r="H760">
        <v>2.7160000000000002</v>
      </c>
      <c r="I760">
        <v>1.43</v>
      </c>
      <c r="J760">
        <v>-7.0000000000000007E-2</v>
      </c>
      <c r="K760">
        <v>18.52</v>
      </c>
      <c r="L760">
        <v>1.0800000000000001E-2</v>
      </c>
      <c r="M760">
        <v>5.0000000000000001E-3</v>
      </c>
      <c r="N760">
        <v>0.5</v>
      </c>
      <c r="O760">
        <v>1.64E-3</v>
      </c>
    </row>
    <row r="761" spans="1:15">
      <c r="A761" t="s">
        <v>1247</v>
      </c>
      <c r="G761" cm="1">
        <f t="array" ref="G761:O761">VALUE(_xlfn.TEXTSPLIT(SUBSTITUTE(TRIM(A761),"0.0 %","0.0%")," "))</f>
        <v>0.3</v>
      </c>
      <c r="H761">
        <v>2.5219999999999998</v>
      </c>
      <c r="I761">
        <v>1.492</v>
      </c>
      <c r="J761">
        <v>-8.2000000000000003E-2</v>
      </c>
      <c r="K761">
        <v>16.59</v>
      </c>
      <c r="L761">
        <v>1.61E-2</v>
      </c>
      <c r="M761">
        <v>4.8999999999999998E-3</v>
      </c>
      <c r="N761">
        <v>40</v>
      </c>
      <c r="O761">
        <v>2.4599999999999999E-3</v>
      </c>
    </row>
    <row r="762" spans="1:15">
      <c r="A762" t="s">
        <v>1248</v>
      </c>
      <c r="G762" cm="1">
        <f t="array" ref="G762:O762">VALUE(_xlfn.TEXTSPLIT(SUBSTITUTE(TRIM(A762),"0.0 %","0.0%")," "))</f>
        <v>0.4</v>
      </c>
      <c r="H762">
        <v>2.3719999999999999</v>
      </c>
      <c r="I762">
        <v>1.494</v>
      </c>
      <c r="J762">
        <v>-8.5000000000000006E-2</v>
      </c>
      <c r="K762">
        <v>15.96</v>
      </c>
      <c r="L762">
        <v>1.9400000000000001E-2</v>
      </c>
      <c r="M762">
        <v>4.0000000000000001E-3</v>
      </c>
      <c r="N762">
        <v>25</v>
      </c>
      <c r="O762">
        <v>1.9499999999999999E-3</v>
      </c>
    </row>
    <row r="763" spans="1:15">
      <c r="A763" t="s">
        <v>1249</v>
      </c>
      <c r="G763" cm="1">
        <f t="array" ref="G763:O763">VALUE(_xlfn.TEXTSPLIT(SUBSTITUTE(TRIM(A763),"0.0 %","0.0%")," "))</f>
        <v>0.5</v>
      </c>
      <c r="H763">
        <v>2.2709999999999999</v>
      </c>
      <c r="I763">
        <v>1.466</v>
      </c>
      <c r="J763">
        <v>-8.2000000000000003E-2</v>
      </c>
      <c r="K763">
        <v>16.25</v>
      </c>
      <c r="L763">
        <v>1.95E-2</v>
      </c>
      <c r="M763">
        <v>2.8E-3</v>
      </c>
      <c r="N763">
        <v>15</v>
      </c>
      <c r="O763">
        <v>1.6299999999999999E-3</v>
      </c>
    </row>
    <row r="764" spans="1:15">
      <c r="A764" t="s">
        <v>1250</v>
      </c>
      <c r="G764" cm="1">
        <f t="array" ref="G764:O764">VALUE(_xlfn.TEXTSPLIT(SUBSTITUTE(TRIM(A764),"0.0 %","0.0%")," "))</f>
        <v>0.6</v>
      </c>
      <c r="H764">
        <v>2.1920000000000002</v>
      </c>
      <c r="I764">
        <v>1.4339999999999999</v>
      </c>
      <c r="J764">
        <v>-7.8E-2</v>
      </c>
      <c r="K764">
        <v>17.02</v>
      </c>
      <c r="L764">
        <v>1.9900000000000001E-2</v>
      </c>
      <c r="M764">
        <v>5.4999999999999997E-3</v>
      </c>
      <c r="N764">
        <v>1</v>
      </c>
      <c r="O764">
        <v>2.4199999999999998E-3</v>
      </c>
    </row>
    <row r="765" spans="1:15">
      <c r="A765" t="s">
        <v>1251</v>
      </c>
      <c r="G765" cm="1">
        <f t="array" ref="G765:O765">VALUE(_xlfn.TEXTSPLIT(SUBSTITUTE(TRIM(A765),"0.0 %","0.0%")," "))</f>
        <v>0.8</v>
      </c>
      <c r="H765">
        <v>2.0659999999999998</v>
      </c>
      <c r="I765">
        <v>1.3859999999999999</v>
      </c>
      <c r="J765">
        <v>-7.2999999999999995E-2</v>
      </c>
      <c r="K765">
        <v>15.07</v>
      </c>
      <c r="L765">
        <v>2.0199999999999999E-2</v>
      </c>
      <c r="M765">
        <v>6.7999999999999996E-3</v>
      </c>
      <c r="N765">
        <v>35</v>
      </c>
      <c r="O765">
        <v>2.96E-3</v>
      </c>
    </row>
    <row r="766" spans="1:15">
      <c r="A766" t="s">
        <v>1252</v>
      </c>
      <c r="G766" cm="1">
        <f t="array" ref="G766:O766">VALUE(_xlfn.TEXTSPLIT(SUBSTITUTE(TRIM(A766),"0.0 %","0.0%")," "))</f>
        <v>1</v>
      </c>
      <c r="H766">
        <v>1.982</v>
      </c>
      <c r="I766">
        <v>1.3320000000000001</v>
      </c>
      <c r="J766">
        <v>-6.5000000000000002E-2</v>
      </c>
      <c r="K766">
        <v>15.38</v>
      </c>
      <c r="L766">
        <v>1.9300000000000001E-2</v>
      </c>
      <c r="M766">
        <v>4.5999999999999999E-3</v>
      </c>
      <c r="N766">
        <v>35</v>
      </c>
      <c r="O766">
        <v>1.89E-3</v>
      </c>
    </row>
    <row r="767" spans="1:15">
      <c r="A767" t="s">
        <v>1253</v>
      </c>
      <c r="G767" cm="1">
        <f t="array" ref="G767:O767">VALUE(_xlfn.TEXTSPLIT(SUBSTITUTE(TRIM(A767),"0.0 %","0.0%")," "))</f>
        <v>1.5</v>
      </c>
      <c r="H767">
        <v>1.8480000000000001</v>
      </c>
      <c r="I767">
        <v>1.2270000000000001</v>
      </c>
      <c r="J767">
        <v>-4.7E-2</v>
      </c>
      <c r="K767">
        <v>16.41</v>
      </c>
      <c r="L767">
        <v>1.6E-2</v>
      </c>
      <c r="M767">
        <v>6.4000000000000003E-3</v>
      </c>
      <c r="N767">
        <v>0.5</v>
      </c>
      <c r="O767">
        <v>3.1700000000000001E-3</v>
      </c>
    </row>
    <row r="768" spans="1:15">
      <c r="A768" t="s">
        <v>1254</v>
      </c>
      <c r="G768" cm="1">
        <f t="array" ref="G768:O768">VALUE(_xlfn.TEXTSPLIT(SUBSTITUTE(TRIM(A768),"0.0 %","0.0%")," "))</f>
        <v>2</v>
      </c>
      <c r="H768">
        <v>1.7749999999999999</v>
      </c>
      <c r="I768">
        <v>1.1539999999999999</v>
      </c>
      <c r="J768">
        <v>-3.3000000000000002E-2</v>
      </c>
      <c r="K768">
        <v>14.35</v>
      </c>
      <c r="L768">
        <v>0.01</v>
      </c>
      <c r="M768">
        <v>6.4000000000000003E-3</v>
      </c>
      <c r="N768">
        <v>40</v>
      </c>
      <c r="O768">
        <v>1.9400000000000001E-3</v>
      </c>
    </row>
    <row r="769" spans="1:15">
      <c r="A769" t="s">
        <v>1255</v>
      </c>
      <c r="G769" cm="1">
        <f t="array" ref="G769:O769">VALUE(_xlfn.TEXTSPLIT(SUBSTITUTE(TRIM(A769),"0.0 %","0.0%")," "))</f>
        <v>3</v>
      </c>
      <c r="H769">
        <v>1.671</v>
      </c>
      <c r="I769">
        <v>1.054</v>
      </c>
      <c r="J769">
        <v>-0.01</v>
      </c>
      <c r="K769">
        <v>10.47</v>
      </c>
      <c r="L769">
        <v>-8.0000000000000004E-4</v>
      </c>
      <c r="M769">
        <v>3.0999999999999999E-3</v>
      </c>
      <c r="N769">
        <v>3</v>
      </c>
      <c r="O769">
        <v>1.5200000000000001E-3</v>
      </c>
    </row>
    <row r="770" spans="1:15">
      <c r="A770" t="s">
        <v>1256</v>
      </c>
      <c r="G770" cm="1">
        <f t="array" ref="G770:O770">VALUE(_xlfn.TEXTSPLIT(SUBSTITUTE(TRIM(A770),"0.0 %","0.0%")," "))</f>
        <v>4</v>
      </c>
      <c r="H770">
        <v>1.597</v>
      </c>
      <c r="I770">
        <v>0.98799999999999999</v>
      </c>
      <c r="J770">
        <v>8.0000000000000002E-3</v>
      </c>
      <c r="K770">
        <v>12.53</v>
      </c>
      <c r="L770">
        <v>-1.15E-2</v>
      </c>
      <c r="M770">
        <v>8.0999999999999996E-3</v>
      </c>
      <c r="N770">
        <v>1</v>
      </c>
      <c r="O770">
        <v>4.3299999999999996E-3</v>
      </c>
    </row>
    <row r="771" spans="1:15">
      <c r="A771" t="s">
        <v>1257</v>
      </c>
      <c r="G771" cm="1">
        <f t="array" ref="G771:O771">VALUE(_xlfn.TEXTSPLIT(SUBSTITUTE(TRIM(A771),"0.0 %","0.0%")," "))</f>
        <v>5</v>
      </c>
      <c r="H771">
        <v>1.5309999999999999</v>
      </c>
      <c r="I771">
        <v>0.94499999999999995</v>
      </c>
      <c r="J771">
        <v>2.1999999999999999E-2</v>
      </c>
      <c r="K771">
        <v>10.26</v>
      </c>
      <c r="L771">
        <v>-1.9900000000000001E-2</v>
      </c>
      <c r="M771">
        <v>5.8999999999999999E-3</v>
      </c>
      <c r="N771">
        <v>40</v>
      </c>
      <c r="O771">
        <v>3.3500000000000001E-3</v>
      </c>
    </row>
    <row r="772" spans="1:15">
      <c r="A772" t="s">
        <v>1258</v>
      </c>
      <c r="G772" cm="1">
        <f t="array" ref="G772:O772">VALUE(_xlfn.TEXTSPLIT(SUBSTITUTE(TRIM(A772),"0.0 %","0.0%")," "))</f>
        <v>6</v>
      </c>
      <c r="H772">
        <v>1.478</v>
      </c>
      <c r="I772">
        <v>0.94</v>
      </c>
      <c r="J772">
        <v>2.1000000000000001E-2</v>
      </c>
      <c r="K772">
        <v>13.11</v>
      </c>
      <c r="L772">
        <v>-1.6299999999999999E-2</v>
      </c>
      <c r="M772">
        <v>1.2999999999999999E-2</v>
      </c>
      <c r="N772">
        <v>0.5</v>
      </c>
      <c r="O772">
        <v>5.5999999999999999E-3</v>
      </c>
    </row>
    <row r="773" spans="1:15">
      <c r="A773" t="s">
        <v>1259</v>
      </c>
      <c r="G773" cm="1">
        <f t="array" ref="G773:O773">VALUE(_xlfn.TEXTSPLIT(SUBSTITUTE(TRIM(A773),"0.0 %","0.0%")," "))</f>
        <v>8</v>
      </c>
      <c r="H773">
        <v>1.395</v>
      </c>
      <c r="I773">
        <v>0.91700000000000004</v>
      </c>
      <c r="J773">
        <v>2.8000000000000001E-2</v>
      </c>
      <c r="K773">
        <v>13.45</v>
      </c>
      <c r="L773">
        <v>-2.1299999999999999E-2</v>
      </c>
      <c r="M773">
        <v>1.4200000000000001E-2</v>
      </c>
      <c r="N773">
        <v>0.5</v>
      </c>
      <c r="O773">
        <v>6.0400000000000002E-3</v>
      </c>
    </row>
    <row r="774" spans="1:15">
      <c r="A774" t="s">
        <v>1260</v>
      </c>
      <c r="G774" cm="1">
        <f t="array" ref="G774:O774">VALUE(_xlfn.TEXTSPLIT(SUBSTITUTE(TRIM(A774),"0.0 %","0.0%")," "))</f>
        <v>10</v>
      </c>
      <c r="H774">
        <v>1.3340000000000001</v>
      </c>
      <c r="I774">
        <v>0.90100000000000002</v>
      </c>
      <c r="J774">
        <v>3.5000000000000003E-2</v>
      </c>
      <c r="K774">
        <v>12.56</v>
      </c>
      <c r="L774">
        <v>-2.6700000000000002E-2</v>
      </c>
      <c r="M774">
        <v>1.4800000000000001E-2</v>
      </c>
      <c r="N774">
        <v>0.5</v>
      </c>
      <c r="O774">
        <v>6.2300000000000003E-3</v>
      </c>
    </row>
    <row r="775" spans="1:15">
      <c r="A775" t="s">
        <v>1261</v>
      </c>
      <c r="G775" cm="1">
        <f t="array" ref="G775:O775">VALUE(_xlfn.TEXTSPLIT(SUBSTITUTE(TRIM(A775),"0.0 %","0.0%")," "))</f>
        <v>15</v>
      </c>
      <c r="H775">
        <v>1.26</v>
      </c>
      <c r="I775">
        <v>0.82299999999999995</v>
      </c>
      <c r="J775">
        <v>6.5000000000000002E-2</v>
      </c>
      <c r="K775">
        <v>14.28</v>
      </c>
      <c r="L775">
        <v>-5.8099999999999999E-2</v>
      </c>
      <c r="M775">
        <v>1.9599999999999999E-2</v>
      </c>
      <c r="N775">
        <v>3</v>
      </c>
      <c r="O775">
        <v>1.1509999999999999E-2</v>
      </c>
    </row>
    <row r="778" spans="1:15">
      <c r="A778" t="s">
        <v>1262</v>
      </c>
      <c r="G778" t="str">
        <f>A778</f>
        <v xml:space="preserve">                  AIR MEDIUM, AIR RESPONSE</v>
      </c>
    </row>
    <row r="780" spans="1:15">
      <c r="A780" t="s">
        <v>610</v>
      </c>
      <c r="G780" t="str" cm="1">
        <f t="array" ref="G780:O780">_xlfn.TEXTSPLIT(TRIM(A780)," ")</f>
        <v>E(MEV)</v>
      </c>
      <c r="H780" t="str">
        <v>B</v>
      </c>
      <c r="I780" t="str">
        <v>C</v>
      </c>
      <c r="J780" t="str">
        <v>A</v>
      </c>
      <c r="K780" t="str">
        <v>XK</v>
      </c>
      <c r="L780" t="str">
        <v>D</v>
      </c>
      <c r="M780" t="str">
        <v>MAX.D</v>
      </c>
      <c r="N780" t="str">
        <v>XMAX</v>
      </c>
      <c r="O780" t="str">
        <v>S.D</v>
      </c>
    </row>
    <row r="781" spans="1:15">
      <c r="A781" t="s">
        <v>611</v>
      </c>
      <c r="G781" s="6" t="s">
        <v>1289</v>
      </c>
      <c r="H781" s="6" t="s">
        <v>1289</v>
      </c>
      <c r="I781" s="6" t="s">
        <v>1289</v>
      </c>
      <c r="J781" s="6" t="s">
        <v>1289</v>
      </c>
      <c r="K781" s="6" t="s">
        <v>1289</v>
      </c>
      <c r="L781" s="6" t="s">
        <v>1289</v>
      </c>
      <c r="M781" s="6" t="s">
        <v>1289</v>
      </c>
      <c r="N781" s="6" t="s">
        <v>1289</v>
      </c>
      <c r="O781" s="6" t="s">
        <v>1289</v>
      </c>
    </row>
    <row r="782" spans="1:15">
      <c r="A782" t="s">
        <v>1263</v>
      </c>
      <c r="G782" cm="1">
        <f t="array" ref="G782:O782">VALUE(_xlfn.TEXTSPLIT(SUBSTITUTE(TRIM(A782),"0.0 %","0.0%")," "))</f>
        <v>1.4999999999999999E-2</v>
      </c>
      <c r="H782">
        <v>1.17</v>
      </c>
      <c r="I782">
        <v>0.45900000000000002</v>
      </c>
      <c r="J782">
        <v>0.17499999999999999</v>
      </c>
      <c r="K782">
        <v>13.73</v>
      </c>
      <c r="L782">
        <v>-8.6199999999999999E-2</v>
      </c>
      <c r="M782">
        <v>1.4500000000000001E-2</v>
      </c>
      <c r="N782">
        <v>0.5</v>
      </c>
      <c r="O782">
        <v>5.1200000000000004E-3</v>
      </c>
    </row>
    <row r="783" spans="1:15">
      <c r="A783" t="s">
        <v>1264</v>
      </c>
      <c r="G783" cm="1">
        <f t="array" ref="G783:O783">VALUE(_xlfn.TEXTSPLIT(SUBSTITUTE(TRIM(A783),"0.0 %","0.0%")," "))</f>
        <v>0.02</v>
      </c>
      <c r="H783">
        <v>1.407</v>
      </c>
      <c r="I783">
        <v>0.51200000000000001</v>
      </c>
      <c r="J783">
        <v>0.161</v>
      </c>
      <c r="K783">
        <v>14.4</v>
      </c>
      <c r="L783">
        <v>-8.1900000000000001E-2</v>
      </c>
      <c r="M783">
        <v>2.1499999999999998E-2</v>
      </c>
      <c r="N783">
        <v>0.5</v>
      </c>
      <c r="O783">
        <v>8.3000000000000001E-3</v>
      </c>
    </row>
    <row r="784" spans="1:15">
      <c r="A784" t="s">
        <v>1265</v>
      </c>
      <c r="G784" cm="1">
        <f t="array" ref="G784:O784">VALUE(_xlfn.TEXTSPLIT(SUBSTITUTE(TRIM(A784),"0.0 %","0.0%")," "))</f>
        <v>0.03</v>
      </c>
      <c r="H784">
        <v>2.2919999999999998</v>
      </c>
      <c r="I784">
        <v>0.69299999999999995</v>
      </c>
      <c r="J784">
        <v>0.10199999999999999</v>
      </c>
      <c r="K784">
        <v>13.34</v>
      </c>
      <c r="L784">
        <v>-4.8399999999999999E-2</v>
      </c>
      <c r="M784">
        <v>2.4799999999999999E-2</v>
      </c>
      <c r="N784">
        <v>0.5</v>
      </c>
      <c r="O784">
        <v>1.24E-2</v>
      </c>
    </row>
    <row r="785" spans="1:15">
      <c r="A785" t="s">
        <v>1266</v>
      </c>
      <c r="G785" cm="1">
        <f t="array" ref="G785:O785">VALUE(_xlfn.TEXTSPLIT(SUBSTITUTE(TRIM(A785),"0.0 %","0.0%")," "))</f>
        <v>0.04</v>
      </c>
      <c r="H785">
        <v>3.39</v>
      </c>
      <c r="I785">
        <v>1.052</v>
      </c>
      <c r="J785">
        <v>-4.0000000000000001E-3</v>
      </c>
      <c r="K785">
        <v>19.760000000000002</v>
      </c>
      <c r="L785">
        <v>-6.7999999999999996E-3</v>
      </c>
      <c r="M785">
        <v>9.4999999999999998E-3</v>
      </c>
      <c r="N785">
        <v>0.5</v>
      </c>
      <c r="O785">
        <v>3.8300000000000001E-3</v>
      </c>
    </row>
    <row r="786" spans="1:15">
      <c r="A786" t="s">
        <v>1267</v>
      </c>
      <c r="G786" cm="1">
        <f t="array" ref="G786:O786">VALUE(_xlfn.TEXTSPLIT(SUBSTITUTE(TRIM(A786),"0.0 %","0.0%")," "))</f>
        <v>0.05</v>
      </c>
      <c r="H786">
        <v>4.3220000000000001</v>
      </c>
      <c r="I786">
        <v>1.383</v>
      </c>
      <c r="J786">
        <v>-7.0999999999999994E-2</v>
      </c>
      <c r="K786">
        <v>13.51</v>
      </c>
      <c r="L786">
        <v>2.7E-2</v>
      </c>
      <c r="M786">
        <v>1.1900000000000001E-2</v>
      </c>
      <c r="N786">
        <v>4</v>
      </c>
      <c r="O786">
        <v>7.8200000000000006E-3</v>
      </c>
    </row>
    <row r="787" spans="1:15">
      <c r="A787" t="s">
        <v>1268</v>
      </c>
      <c r="G787" cm="1">
        <f t="array" ref="G787:O787">VALUE(_xlfn.TEXTSPLIT(SUBSTITUTE(TRIM(A787),"0.0 %","0.0%")," "))</f>
        <v>0.06</v>
      </c>
      <c r="H787">
        <v>4.8369999999999997</v>
      </c>
      <c r="I787">
        <v>1.653</v>
      </c>
      <c r="J787">
        <v>-0.115</v>
      </c>
      <c r="K787">
        <v>13.66</v>
      </c>
      <c r="L787">
        <v>5.11E-2</v>
      </c>
      <c r="M787">
        <v>2.3699999999999999E-2</v>
      </c>
      <c r="N787">
        <v>0.5</v>
      </c>
      <c r="O787">
        <v>1.422E-2</v>
      </c>
    </row>
    <row r="788" spans="1:15">
      <c r="A788" t="s">
        <v>1269</v>
      </c>
      <c r="G788" cm="1">
        <f t="array" ref="G788:O788">VALUE(_xlfn.TEXTSPLIT(SUBSTITUTE(TRIM(A788),"0.0 %","0.0%")," "))</f>
        <v>0.08</v>
      </c>
      <c r="H788">
        <v>4.9290000000000003</v>
      </c>
      <c r="I788">
        <v>1.9830000000000001</v>
      </c>
      <c r="J788">
        <v>-0.159</v>
      </c>
      <c r="K788">
        <v>13.74</v>
      </c>
      <c r="L788">
        <v>7.2999999999999995E-2</v>
      </c>
      <c r="M788">
        <v>2.7300000000000001E-2</v>
      </c>
      <c r="N788">
        <v>10</v>
      </c>
      <c r="O788">
        <v>1.9089999999999999E-2</v>
      </c>
    </row>
    <row r="789" spans="1:15">
      <c r="A789" t="s">
        <v>1270</v>
      </c>
      <c r="G789" cm="1">
        <f t="array" ref="G789:O789">VALUE(_xlfn.TEXTSPLIT(SUBSTITUTE(TRIM(A789),"0.0 %","0.0%")," "))</f>
        <v>0.1</v>
      </c>
      <c r="H789">
        <v>4.58</v>
      </c>
      <c r="I789">
        <v>2.1459999999999999</v>
      </c>
      <c r="J789">
        <v>-0.17799999999999999</v>
      </c>
      <c r="K789">
        <v>12.83</v>
      </c>
      <c r="L789">
        <v>7.5899999999999995E-2</v>
      </c>
      <c r="M789">
        <v>2.69E-2</v>
      </c>
      <c r="N789">
        <v>1</v>
      </c>
      <c r="O789">
        <v>1.7330000000000002E-2</v>
      </c>
    </row>
    <row r="790" spans="1:15">
      <c r="A790" t="s">
        <v>1271</v>
      </c>
      <c r="G790" cm="1">
        <f t="array" ref="G790:O790">VALUE(_xlfn.TEXTSPLIT(SUBSTITUTE(TRIM(A790),"0.0 %","0.0%")," "))</f>
        <v>0.15</v>
      </c>
      <c r="H790">
        <v>3.8940000000000001</v>
      </c>
      <c r="I790">
        <v>2.1480000000000001</v>
      </c>
      <c r="J790">
        <v>-0.17299999999999999</v>
      </c>
      <c r="K790">
        <v>14.46</v>
      </c>
      <c r="L790">
        <v>6.9800000000000001E-2</v>
      </c>
      <c r="M790">
        <v>2.5100000000000001E-2</v>
      </c>
      <c r="N790">
        <v>35</v>
      </c>
      <c r="O790">
        <v>1.506E-2</v>
      </c>
    </row>
    <row r="791" spans="1:15">
      <c r="A791" t="s">
        <v>1272</v>
      </c>
      <c r="G791" cm="1">
        <f t="array" ref="G791:O791">VALUE(_xlfn.TEXTSPLIT(SUBSTITUTE(TRIM(A791),"0.0 %","0.0%")," "))</f>
        <v>0.2</v>
      </c>
      <c r="H791">
        <v>3.3450000000000002</v>
      </c>
      <c r="I791">
        <v>2.1469999999999998</v>
      </c>
      <c r="J791">
        <v>-0.17599999999999999</v>
      </c>
      <c r="K791">
        <v>14.08</v>
      </c>
      <c r="L791">
        <v>7.1900000000000006E-2</v>
      </c>
      <c r="M791">
        <v>2.5100000000000001E-2</v>
      </c>
      <c r="N791">
        <v>35</v>
      </c>
      <c r="O791">
        <v>1.54E-2</v>
      </c>
    </row>
    <row r="792" spans="1:15">
      <c r="A792" t="s">
        <v>1273</v>
      </c>
      <c r="G792" cm="1">
        <f t="array" ref="G792:O792">VALUE(_xlfn.TEXTSPLIT(SUBSTITUTE(TRIM(A792),"0.0 %","0.0%")," "))</f>
        <v>0.3</v>
      </c>
      <c r="H792">
        <v>2.887</v>
      </c>
      <c r="I792">
        <v>1.99</v>
      </c>
      <c r="J792">
        <v>-0.16</v>
      </c>
      <c r="K792">
        <v>14.13</v>
      </c>
      <c r="L792">
        <v>6.3299999999999995E-2</v>
      </c>
      <c r="M792">
        <v>2.29E-2</v>
      </c>
      <c r="N792">
        <v>25</v>
      </c>
      <c r="O792">
        <v>1.4500000000000001E-2</v>
      </c>
    </row>
    <row r="793" spans="1:15">
      <c r="A793" t="s">
        <v>1274</v>
      </c>
      <c r="G793" cm="1">
        <f t="array" ref="G793:O793">VALUE(_xlfn.TEXTSPLIT(SUBSTITUTE(TRIM(A793),"0.0 %","0.0%")," "))</f>
        <v>0.4</v>
      </c>
      <c r="H793">
        <v>2.6349999999999998</v>
      </c>
      <c r="I793">
        <v>1.86</v>
      </c>
      <c r="J793">
        <v>-0.14599999999999999</v>
      </c>
      <c r="K793">
        <v>14.24</v>
      </c>
      <c r="L793">
        <v>5.8299999999999998E-2</v>
      </c>
      <c r="M793">
        <v>2.1700000000000001E-2</v>
      </c>
      <c r="N793">
        <v>35</v>
      </c>
      <c r="O793">
        <v>1.3769999999999999E-2</v>
      </c>
    </row>
    <row r="794" spans="1:15">
      <c r="A794" t="s">
        <v>1275</v>
      </c>
      <c r="G794" cm="1">
        <f t="array" ref="G794:O794">VALUE(_xlfn.TEXTSPLIT(SUBSTITUTE(TRIM(A794),"0.0 %","0.0%")," "))</f>
        <v>0.5</v>
      </c>
      <c r="H794">
        <v>2.496</v>
      </c>
      <c r="I794">
        <v>1.736</v>
      </c>
      <c r="J794">
        <v>-0.13</v>
      </c>
      <c r="K794">
        <v>14.32</v>
      </c>
      <c r="L794">
        <v>5.0500000000000003E-2</v>
      </c>
      <c r="M794">
        <v>2.3E-2</v>
      </c>
      <c r="N794">
        <v>1</v>
      </c>
      <c r="O794">
        <v>1.2670000000000001E-2</v>
      </c>
    </row>
    <row r="795" spans="1:15">
      <c r="A795" t="s">
        <v>1276</v>
      </c>
      <c r="G795" cm="1">
        <f t="array" ref="G795:O795">VALUE(_xlfn.TEXTSPLIT(SUBSTITUTE(TRIM(A795),"0.0 %","0.0%")," "))</f>
        <v>0.6</v>
      </c>
      <c r="H795">
        <v>2.371</v>
      </c>
      <c r="I795">
        <v>1.6559999999999999</v>
      </c>
      <c r="J795">
        <v>-0.12</v>
      </c>
      <c r="K795">
        <v>14.27</v>
      </c>
      <c r="L795">
        <v>4.7199999999999999E-2</v>
      </c>
      <c r="M795">
        <v>1.7999999999999999E-2</v>
      </c>
      <c r="N795">
        <v>25</v>
      </c>
      <c r="O795">
        <v>1.1979999999999999E-2</v>
      </c>
    </row>
    <row r="796" spans="1:15">
      <c r="A796" t="s">
        <v>1277</v>
      </c>
      <c r="G796" cm="1">
        <f t="array" ref="G796:O796">VALUE(_xlfn.TEXTSPLIT(SUBSTITUTE(TRIM(A796),"0.0 %","0.0%")," "))</f>
        <v>0.8</v>
      </c>
      <c r="H796">
        <v>2.2069999999999999</v>
      </c>
      <c r="I796">
        <v>1.532</v>
      </c>
      <c r="J796">
        <v>-0.10299999999999999</v>
      </c>
      <c r="K796">
        <v>14.12</v>
      </c>
      <c r="L796">
        <v>4.2500000000000003E-2</v>
      </c>
      <c r="M796">
        <v>1.9199999999999998E-2</v>
      </c>
      <c r="N796">
        <v>0.5</v>
      </c>
      <c r="O796">
        <v>1.1310000000000001E-2</v>
      </c>
    </row>
    <row r="797" spans="1:15">
      <c r="A797" t="s">
        <v>1278</v>
      </c>
      <c r="G797" cm="1">
        <f t="array" ref="G797:O797">VALUE(_xlfn.TEXTSPLIT(SUBSTITUTE(TRIM(A797),"0.0 %","0.0%")," "))</f>
        <v>1</v>
      </c>
      <c r="H797">
        <v>2.1019999999999999</v>
      </c>
      <c r="I797">
        <v>1.4279999999999999</v>
      </c>
      <c r="J797">
        <v>-8.5999999999999993E-2</v>
      </c>
      <c r="K797">
        <v>14.35</v>
      </c>
      <c r="L797">
        <v>3.44E-2</v>
      </c>
      <c r="M797">
        <v>1.6299999999999999E-2</v>
      </c>
      <c r="N797">
        <v>0.5</v>
      </c>
      <c r="O797">
        <v>8.5800000000000008E-3</v>
      </c>
    </row>
    <row r="798" spans="1:15">
      <c r="A798" t="s">
        <v>1279</v>
      </c>
      <c r="G798" cm="1">
        <f t="array" ref="G798:O798">VALUE(_xlfn.TEXTSPLIT(SUBSTITUTE(TRIM(A798),"0.0 %","0.0%")," "))</f>
        <v>1.5</v>
      </c>
      <c r="H798">
        <v>1.9390000000000001</v>
      </c>
      <c r="I798">
        <v>1.2649999999999999</v>
      </c>
      <c r="J798">
        <v>-5.7000000000000002E-2</v>
      </c>
      <c r="K798">
        <v>14.24</v>
      </c>
      <c r="L798">
        <v>2.3199999999999998E-2</v>
      </c>
      <c r="M798">
        <v>1.2200000000000001E-2</v>
      </c>
      <c r="N798">
        <v>0.5</v>
      </c>
      <c r="O798">
        <v>6.1000000000000004E-3</v>
      </c>
    </row>
    <row r="799" spans="1:15">
      <c r="A799" t="s">
        <v>1280</v>
      </c>
      <c r="G799" cm="1">
        <f t="array" ref="G799:O799">VALUE(_xlfn.TEXTSPLIT(SUBSTITUTE(TRIM(A799),"0.0 %","0.0%")," "))</f>
        <v>2</v>
      </c>
      <c r="H799">
        <v>1.835</v>
      </c>
      <c r="I799">
        <v>1.173</v>
      </c>
      <c r="J799">
        <v>-3.9E-2</v>
      </c>
      <c r="K799">
        <v>14.07</v>
      </c>
      <c r="L799">
        <v>1.61E-2</v>
      </c>
      <c r="M799">
        <v>1.3100000000000001E-2</v>
      </c>
      <c r="N799">
        <v>0.5</v>
      </c>
      <c r="O799">
        <v>5.3400000000000001E-3</v>
      </c>
    </row>
    <row r="800" spans="1:15">
      <c r="A800" t="s">
        <v>1281</v>
      </c>
      <c r="G800" cm="1">
        <f t="array" ref="G800:O800">VALUE(_xlfn.TEXTSPLIT(SUBSTITUTE(TRIM(A800),"0.0 %","0.0%")," "))</f>
        <v>3</v>
      </c>
      <c r="H800">
        <v>1.712</v>
      </c>
      <c r="I800">
        <v>1.0509999999999999</v>
      </c>
      <c r="J800">
        <v>-1.0999999999999999E-2</v>
      </c>
      <c r="K800">
        <v>13.67</v>
      </c>
      <c r="L800">
        <v>2.3999999999999998E-3</v>
      </c>
      <c r="M800">
        <v>8.0999999999999996E-3</v>
      </c>
      <c r="N800">
        <v>0.5</v>
      </c>
      <c r="O800">
        <v>2.5400000000000002E-3</v>
      </c>
    </row>
    <row r="801" spans="1:15">
      <c r="A801" t="s">
        <v>1282</v>
      </c>
      <c r="G801" cm="1">
        <f t="array" ref="G801:O801">VALUE(_xlfn.TEXTSPLIT(SUBSTITUTE(TRIM(A801),"0.0 %","0.0%")," "))</f>
        <v>4</v>
      </c>
      <c r="H801">
        <v>1.627</v>
      </c>
      <c r="I801">
        <v>0.98299999999999998</v>
      </c>
      <c r="J801">
        <v>6.0000000000000001E-3</v>
      </c>
      <c r="K801">
        <v>13.51</v>
      </c>
      <c r="L801">
        <v>-5.1000000000000004E-3</v>
      </c>
      <c r="M801">
        <v>4.4000000000000003E-3</v>
      </c>
      <c r="N801">
        <v>5</v>
      </c>
      <c r="O801">
        <v>2.5699999999999998E-3</v>
      </c>
    </row>
    <row r="802" spans="1:15">
      <c r="A802" t="s">
        <v>1283</v>
      </c>
      <c r="G802" cm="1">
        <f t="array" ref="G802:O802">VALUE(_xlfn.TEXTSPLIT(SUBSTITUTE(TRIM(A802),"0.0 %","0.0%")," "))</f>
        <v>5</v>
      </c>
      <c r="H802">
        <v>1.5580000000000001</v>
      </c>
      <c r="I802">
        <v>0.94299999999999995</v>
      </c>
      <c r="J802">
        <v>1.7000000000000001E-2</v>
      </c>
      <c r="K802">
        <v>13.82</v>
      </c>
      <c r="L802">
        <v>-1.17E-2</v>
      </c>
      <c r="M802">
        <v>7.6E-3</v>
      </c>
      <c r="N802">
        <v>1</v>
      </c>
      <c r="O802">
        <v>3.7100000000000002E-3</v>
      </c>
    </row>
    <row r="803" spans="1:15">
      <c r="A803" t="s">
        <v>1284</v>
      </c>
      <c r="G803" cm="1">
        <f t="array" ref="G803:O803">VALUE(_xlfn.TEXTSPLIT(SUBSTITUTE(TRIM(A803),"0.0 %","0.0%")," "))</f>
        <v>6</v>
      </c>
      <c r="H803">
        <v>1.5049999999999999</v>
      </c>
      <c r="I803">
        <v>0.91500000000000004</v>
      </c>
      <c r="J803">
        <v>2.5000000000000001E-2</v>
      </c>
      <c r="K803">
        <v>16.37</v>
      </c>
      <c r="L803">
        <v>-2.3099999999999999E-2</v>
      </c>
      <c r="M803">
        <v>9.9000000000000008E-3</v>
      </c>
      <c r="N803">
        <v>1</v>
      </c>
      <c r="O803">
        <v>5.13E-3</v>
      </c>
    </row>
    <row r="804" spans="1:15">
      <c r="A804" t="s">
        <v>1285</v>
      </c>
      <c r="G804" cm="1">
        <f t="array" ref="G804:O804">VALUE(_xlfn.TEXTSPLIT(SUBSTITUTE(TRIM(A804),"0.0 %","0.0%")," "))</f>
        <v>8</v>
      </c>
      <c r="H804">
        <v>1.4179999999999999</v>
      </c>
      <c r="I804">
        <v>0.89100000000000001</v>
      </c>
      <c r="J804">
        <v>3.2000000000000001E-2</v>
      </c>
      <c r="K804">
        <v>12.06</v>
      </c>
      <c r="L804">
        <v>-1.67E-2</v>
      </c>
      <c r="M804">
        <v>1.12E-2</v>
      </c>
      <c r="N804">
        <v>0.5</v>
      </c>
      <c r="O804">
        <v>4.1799999999999997E-3</v>
      </c>
    </row>
    <row r="805" spans="1:15">
      <c r="A805" t="s">
        <v>1286</v>
      </c>
      <c r="G805" cm="1">
        <f t="array" ref="G805:O805">VALUE(_xlfn.TEXTSPLIT(SUBSTITUTE(TRIM(A805),"0.0 %","0.0%")," "))</f>
        <v>10</v>
      </c>
      <c r="H805">
        <v>1.3580000000000001</v>
      </c>
      <c r="I805">
        <v>0.875</v>
      </c>
      <c r="J805">
        <v>3.6999999999999998E-2</v>
      </c>
      <c r="K805">
        <v>14.01</v>
      </c>
      <c r="L805">
        <v>-2.2599999999999999E-2</v>
      </c>
      <c r="M805">
        <v>1.1599999999999999E-2</v>
      </c>
      <c r="N805">
        <v>0.5</v>
      </c>
      <c r="O805">
        <v>5.47E-3</v>
      </c>
    </row>
    <row r="806" spans="1:15">
      <c r="A806" t="s">
        <v>1287</v>
      </c>
      <c r="G806" cm="1">
        <f t="array" ref="G806:O806">VALUE(_xlfn.TEXTSPLIT(SUBSTITUTE(TRIM(A806),"0.0 %","0.0%")," "))</f>
        <v>15</v>
      </c>
      <c r="H806">
        <v>1.2669999999999999</v>
      </c>
      <c r="I806">
        <v>0.84399999999999997</v>
      </c>
      <c r="J806">
        <v>4.8000000000000001E-2</v>
      </c>
      <c r="K806">
        <v>14.55</v>
      </c>
      <c r="L806">
        <v>-3.44E-2</v>
      </c>
      <c r="M806">
        <v>1.0800000000000001E-2</v>
      </c>
      <c r="N806">
        <v>4</v>
      </c>
      <c r="O806">
        <v>6.5100000000000002E-3</v>
      </c>
    </row>
    <row r="807" spans="1:15">
      <c r="A807" t="s">
        <v>1288</v>
      </c>
    </row>
    <row r="809" spans="1:15" ht="21">
      <c r="A809" s="9" t="s">
        <v>608</v>
      </c>
    </row>
    <row r="810" spans="1:15">
      <c r="A810" t="s">
        <v>1029</v>
      </c>
      <c r="G810" t="str">
        <f>A810</f>
        <v xml:space="preserve">                  MOLYBDENUM MEDIUM, AIR RESPONSE</v>
      </c>
    </row>
    <row r="812" spans="1:15">
      <c r="A812" t="s">
        <v>610</v>
      </c>
      <c r="G812" t="str" cm="1">
        <f t="array" ref="G812:O812">_xlfn.TEXTSPLIT(TRIM(A812)," ")</f>
        <v>E(MEV)</v>
      </c>
      <c r="H812" t="str">
        <v>B</v>
      </c>
      <c r="I812" t="str">
        <v>C</v>
      </c>
      <c r="J812" t="str">
        <v>A</v>
      </c>
      <c r="K812" t="str">
        <v>XK</v>
      </c>
      <c r="L812" t="str">
        <v>D</v>
      </c>
      <c r="M812" t="str">
        <v>MAX.D</v>
      </c>
      <c r="N812" t="str">
        <v>XMAX</v>
      </c>
      <c r="O812" t="str">
        <v>S.D</v>
      </c>
    </row>
    <row r="813" spans="1:15">
      <c r="A813" t="s">
        <v>611</v>
      </c>
      <c r="G813" s="6" t="s">
        <v>1289</v>
      </c>
      <c r="H813" s="6" t="s">
        <v>1289</v>
      </c>
      <c r="I813" s="6" t="s">
        <v>1289</v>
      </c>
      <c r="J813" s="6" t="s">
        <v>1289</v>
      </c>
      <c r="K813" s="6" t="s">
        <v>1289</v>
      </c>
      <c r="L813" s="6" t="s">
        <v>1289</v>
      </c>
      <c r="M813" s="6" t="s">
        <v>1289</v>
      </c>
      <c r="N813" s="6" t="s">
        <v>1289</v>
      </c>
      <c r="O813" s="6" t="s">
        <v>1289</v>
      </c>
    </row>
    <row r="814" spans="1:15">
      <c r="A814" t="s">
        <v>1290</v>
      </c>
      <c r="G814" cm="1">
        <f t="array" ref="G814:O814">VALUE(_xlfn.TEXTSPLIT(SUBSTITUTE(TRIM(A814),"0.0 %","0.0%")," "))</f>
        <v>1.4999999999999999E-2</v>
      </c>
      <c r="H814">
        <v>1.0089999999999999</v>
      </c>
      <c r="I814">
        <v>0.36599999999999999</v>
      </c>
      <c r="J814">
        <v>0.223</v>
      </c>
      <c r="K814">
        <v>12.62</v>
      </c>
      <c r="L814">
        <v>-0.1086</v>
      </c>
      <c r="M814">
        <v>0</v>
      </c>
      <c r="N814">
        <v>10</v>
      </c>
      <c r="O814">
        <v>0.02</v>
      </c>
    </row>
    <row r="815" spans="1:15">
      <c r="A815" t="s">
        <v>1291</v>
      </c>
      <c r="G815" cm="1">
        <f t="array" ref="G815:O815">VALUE(_xlfn.TEXTSPLIT(SUBSTITUTE(TRIM(A815),"0.0 %","0.0%")," "))</f>
        <v>1.9E-2</v>
      </c>
      <c r="H815">
        <v>1.0169999999999999</v>
      </c>
      <c r="I815">
        <v>0.38300000000000001</v>
      </c>
      <c r="J815">
        <v>0.193</v>
      </c>
      <c r="K815">
        <v>15.61</v>
      </c>
      <c r="L815">
        <v>-6.7199999999999996E-2</v>
      </c>
      <c r="M815">
        <v>0</v>
      </c>
      <c r="N815">
        <v>2</v>
      </c>
      <c r="O815">
        <v>0.02</v>
      </c>
    </row>
    <row r="816" spans="1:15">
      <c r="A816" t="s">
        <v>1292</v>
      </c>
      <c r="G816" cm="1">
        <f t="array" ref="G816:O816">VALUE(_xlfn.TEXTSPLIT(SUBSTITUTE(TRIM(A816),"0.0 %","0.0%")," "))</f>
        <v>0.02</v>
      </c>
      <c r="H816">
        <v>2.556</v>
      </c>
      <c r="I816">
        <v>2.0270000000000001</v>
      </c>
      <c r="J816">
        <v>2.3E-2</v>
      </c>
      <c r="K816">
        <v>13.3</v>
      </c>
      <c r="L816">
        <v>-1.23E-2</v>
      </c>
      <c r="M816">
        <v>9.6999999999999993</v>
      </c>
      <c r="N816">
        <v>3</v>
      </c>
      <c r="O816">
        <v>4.62</v>
      </c>
    </row>
    <row r="817" spans="1:15">
      <c r="A817" t="s">
        <v>1293</v>
      </c>
      <c r="G817" cm="1">
        <f t="array" ref="G817:O817">VALUE(_xlfn.TEXTSPLIT(SUBSTITUTE(TRIM(A817),"0.0 %","0.0%")," "))</f>
        <v>2.1000000000000001E-2</v>
      </c>
      <c r="H817">
        <v>2.758</v>
      </c>
      <c r="I817">
        <v>1.901</v>
      </c>
      <c r="J817">
        <v>3.5999999999999997E-2</v>
      </c>
      <c r="K817">
        <v>10.61</v>
      </c>
      <c r="L817">
        <v>-2.86E-2</v>
      </c>
      <c r="M817">
        <v>10.7</v>
      </c>
      <c r="N817">
        <v>3</v>
      </c>
      <c r="O817">
        <v>4.71</v>
      </c>
    </row>
    <row r="818" spans="1:15">
      <c r="A818" t="s">
        <v>1294</v>
      </c>
      <c r="G818" cm="1">
        <f t="array" ref="G818:O818">VALUE(_xlfn.TEXTSPLIT(SUBSTITUTE(TRIM(A818),"0.0 %","0.0%")," "))</f>
        <v>2.1999999999999999E-2</v>
      </c>
      <c r="H818">
        <v>2.9769999999999999</v>
      </c>
      <c r="I818">
        <v>1.762</v>
      </c>
      <c r="J818">
        <v>5.0999999999999997E-2</v>
      </c>
      <c r="K818">
        <v>10.41</v>
      </c>
      <c r="L818">
        <v>-4.2700000000000002E-2</v>
      </c>
      <c r="M818">
        <v>12.4</v>
      </c>
      <c r="N818">
        <v>3</v>
      </c>
      <c r="O818">
        <v>5.32</v>
      </c>
    </row>
    <row r="819" spans="1:15">
      <c r="A819" t="s">
        <v>1295</v>
      </c>
      <c r="G819" cm="1">
        <f t="array" ref="G819:O819">VALUE(_xlfn.TEXTSPLIT(SUBSTITUTE(TRIM(A819),"0.0 %","0.0%")," "))</f>
        <v>2.4E-2</v>
      </c>
      <c r="H819">
        <v>3.266</v>
      </c>
      <c r="I819">
        <v>1.5840000000000001</v>
      </c>
      <c r="J819">
        <v>6.5000000000000002E-2</v>
      </c>
      <c r="K819">
        <v>10.029999999999999</v>
      </c>
      <c r="L819">
        <v>-4.3999999999999997E-2</v>
      </c>
      <c r="M819">
        <v>12.5</v>
      </c>
      <c r="N819">
        <v>3</v>
      </c>
      <c r="O819">
        <v>5.5</v>
      </c>
    </row>
    <row r="820" spans="1:15">
      <c r="A820" t="s">
        <v>1296</v>
      </c>
      <c r="G820" cm="1">
        <f t="array" ref="G820:O820">VALUE(_xlfn.TEXTSPLIT(SUBSTITUTE(TRIM(A820),"0.0 %","0.0%")," "))</f>
        <v>2.5999999999999999E-2</v>
      </c>
      <c r="H820">
        <v>3.29</v>
      </c>
      <c r="I820">
        <v>1.4990000000000001</v>
      </c>
      <c r="J820">
        <v>5.8999999999999997E-2</v>
      </c>
      <c r="K820">
        <v>34.29</v>
      </c>
      <c r="L820">
        <v>-0.10150000000000001</v>
      </c>
      <c r="M820">
        <v>10.5</v>
      </c>
      <c r="N820">
        <v>40</v>
      </c>
      <c r="O820">
        <v>5.65</v>
      </c>
    </row>
    <row r="821" spans="1:15">
      <c r="A821" t="s">
        <v>1297</v>
      </c>
      <c r="G821" cm="1">
        <f t="array" ref="G821:O821">VALUE(_xlfn.TEXTSPLIT(SUBSTITUTE(TRIM(A821),"0.0 %","0.0%")," "))</f>
        <v>2.8000000000000001E-2</v>
      </c>
      <c r="H821">
        <v>3.6379999999999999</v>
      </c>
      <c r="I821">
        <v>1.258</v>
      </c>
      <c r="J821">
        <v>8.8999999999999996E-2</v>
      </c>
      <c r="K821">
        <v>28.63</v>
      </c>
      <c r="L821">
        <v>-0.1109</v>
      </c>
      <c r="M821">
        <v>9.5</v>
      </c>
      <c r="N821">
        <v>3</v>
      </c>
      <c r="O821">
        <v>4.5199999999999996</v>
      </c>
    </row>
    <row r="822" spans="1:15">
      <c r="A822" t="s">
        <v>1298</v>
      </c>
      <c r="G822" cm="1">
        <f t="array" ref="G822:O822">VALUE(_xlfn.TEXTSPLIT(SUBSTITUTE(TRIM(A822),"0.0 %","0.0%")," "))</f>
        <v>0.03</v>
      </c>
      <c r="H822">
        <v>3.6419999999999999</v>
      </c>
      <c r="I822">
        <v>1.0920000000000001</v>
      </c>
      <c r="J822">
        <v>0.109</v>
      </c>
      <c r="K822">
        <v>32.14</v>
      </c>
      <c r="L822">
        <v>-0.2177</v>
      </c>
      <c r="M822">
        <v>6.6</v>
      </c>
      <c r="N822">
        <v>0.5</v>
      </c>
      <c r="O822">
        <v>3.4</v>
      </c>
    </row>
    <row r="823" spans="1:15">
      <c r="A823" t="s">
        <v>1299</v>
      </c>
      <c r="G823" cm="1">
        <f t="array" ref="G823:O823">VALUE(_xlfn.TEXTSPLIT(SUBSTITUTE(TRIM(A823),"0.0 %","0.0%")," "))</f>
        <v>3.5000000000000003E-2</v>
      </c>
      <c r="H823">
        <v>3.9580000000000002</v>
      </c>
      <c r="I823">
        <v>0.52900000000000003</v>
      </c>
      <c r="J823">
        <v>0.25900000000000001</v>
      </c>
      <c r="K823">
        <v>17.14</v>
      </c>
      <c r="L823">
        <v>-0.2127</v>
      </c>
      <c r="M823">
        <v>2</v>
      </c>
      <c r="N823">
        <v>0.5</v>
      </c>
      <c r="O823">
        <v>0.94</v>
      </c>
    </row>
    <row r="824" spans="1:15">
      <c r="A824" t="s">
        <v>1300</v>
      </c>
      <c r="G824" cm="1">
        <f t="array" ref="G824:O824">VALUE(_xlfn.TEXTSPLIT(SUBSTITUTE(TRIM(A824),"0.0 %","0.0%")," "))</f>
        <v>0.04</v>
      </c>
      <c r="H824">
        <v>3.9409999999999998</v>
      </c>
      <c r="I824">
        <v>0.32200000000000001</v>
      </c>
      <c r="J824">
        <v>8.7999999999999995E-2</v>
      </c>
      <c r="K824">
        <v>23.37</v>
      </c>
      <c r="L824">
        <v>-3.2099999999999997E-2</v>
      </c>
      <c r="M824">
        <v>0.9</v>
      </c>
      <c r="N824">
        <v>10</v>
      </c>
      <c r="O824">
        <v>0.45</v>
      </c>
    </row>
    <row r="825" spans="1:15">
      <c r="A825" t="s">
        <v>1301</v>
      </c>
      <c r="G825" cm="1">
        <f t="array" ref="G825:O825">VALUE(_xlfn.TEXTSPLIT(SUBSTITUTE(TRIM(A825),"0.0 %","0.0%")," "))</f>
        <v>0.05</v>
      </c>
      <c r="H825">
        <v>3.109</v>
      </c>
      <c r="I825">
        <v>3.7999999999999999E-2</v>
      </c>
      <c r="J825">
        <v>-0.317</v>
      </c>
      <c r="K825">
        <v>11.96</v>
      </c>
      <c r="L825">
        <v>5.5800000000000002E-2</v>
      </c>
      <c r="M825">
        <v>2.2000000000000002</v>
      </c>
      <c r="N825">
        <v>1</v>
      </c>
      <c r="O825">
        <v>0.95</v>
      </c>
    </row>
    <row r="826" spans="1:15">
      <c r="A826" t="s">
        <v>1302</v>
      </c>
      <c r="G826" cm="1">
        <f t="array" ref="G826:O826">VALUE(_xlfn.TEXTSPLIT(SUBSTITUTE(TRIM(A826),"0.0 %","0.0%")," "))</f>
        <v>0.06</v>
      </c>
      <c r="H826">
        <v>2.4079999999999999</v>
      </c>
      <c r="I826">
        <v>4.0000000000000001E-3</v>
      </c>
      <c r="J826">
        <v>1.103</v>
      </c>
      <c r="K826">
        <v>17.52</v>
      </c>
      <c r="L826">
        <v>-0.1479</v>
      </c>
      <c r="M826">
        <v>1.3</v>
      </c>
      <c r="N826">
        <v>1</v>
      </c>
      <c r="O826">
        <v>0.42</v>
      </c>
    </row>
    <row r="827" spans="1:15">
      <c r="A827" t="s">
        <v>1303</v>
      </c>
      <c r="G827" cm="1">
        <f t="array" ref="G827:O827">VALUE(_xlfn.TEXTSPLIT(SUBSTITUTE(TRIM(A827),"0.0 %","0.0%")," "))</f>
        <v>0.08</v>
      </c>
      <c r="H827">
        <v>1.661</v>
      </c>
      <c r="I827">
        <v>3.3000000000000002E-2</v>
      </c>
      <c r="J827">
        <v>0.76700000000000002</v>
      </c>
      <c r="K827">
        <v>14.4</v>
      </c>
      <c r="L827">
        <v>-0.25600000000000001</v>
      </c>
      <c r="M827">
        <v>1.8</v>
      </c>
      <c r="N827">
        <v>0.5</v>
      </c>
      <c r="O827">
        <v>0.76</v>
      </c>
    </row>
    <row r="828" spans="1:15">
      <c r="A828" t="s">
        <v>1304</v>
      </c>
      <c r="G828" cm="1">
        <f t="array" ref="G828:O828">VALUE(_xlfn.TEXTSPLIT(SUBSTITUTE(TRIM(A828),"0.0 %","0.0%")," "))</f>
        <v>0.1</v>
      </c>
      <c r="H828">
        <v>1.1579999999999999</v>
      </c>
      <c r="I828">
        <v>0.3</v>
      </c>
      <c r="J828">
        <v>0.28999999999999998</v>
      </c>
      <c r="K828">
        <v>13.75</v>
      </c>
      <c r="L828">
        <v>-0.15540000000000001</v>
      </c>
      <c r="M828">
        <v>1.1000000000000001</v>
      </c>
      <c r="N828">
        <v>0.5</v>
      </c>
      <c r="O828">
        <v>0.44</v>
      </c>
    </row>
    <row r="829" spans="1:15">
      <c r="A829" t="s">
        <v>1305</v>
      </c>
      <c r="G829" cm="1">
        <f t="array" ref="G829:O829">VALUE(_xlfn.TEXTSPLIT(SUBSTITUTE(TRIM(A829),"0.0 %","0.0%")," "))</f>
        <v>0.15</v>
      </c>
      <c r="H829">
        <v>1.2410000000000001</v>
      </c>
      <c r="I829">
        <v>0.49</v>
      </c>
      <c r="J829">
        <v>0.17399999999999999</v>
      </c>
      <c r="K829">
        <v>14.42</v>
      </c>
      <c r="L829">
        <v>-9.01E-2</v>
      </c>
      <c r="M829">
        <v>0.8</v>
      </c>
      <c r="N829">
        <v>0.5</v>
      </c>
      <c r="O829">
        <v>0.41</v>
      </c>
    </row>
    <row r="830" spans="1:15">
      <c r="A830" t="s">
        <v>1306</v>
      </c>
      <c r="G830" cm="1">
        <f t="array" ref="G830:O830">VALUE(_xlfn.TEXTSPLIT(SUBSTITUTE(TRIM(A830),"0.0 %","0.0%")," "))</f>
        <v>0.2</v>
      </c>
      <c r="H830">
        <v>1.474</v>
      </c>
      <c r="I830">
        <v>0.51400000000000001</v>
      </c>
      <c r="J830">
        <v>0.17299999999999999</v>
      </c>
      <c r="K830">
        <v>14.29</v>
      </c>
      <c r="L830">
        <v>-9.9299999999999999E-2</v>
      </c>
      <c r="M830">
        <v>2.1</v>
      </c>
      <c r="N830">
        <v>0.5</v>
      </c>
      <c r="O830">
        <v>0.84</v>
      </c>
    </row>
    <row r="831" spans="1:15">
      <c r="A831" t="s">
        <v>1307</v>
      </c>
      <c r="G831" cm="1">
        <f t="array" ref="G831:O831">VALUE(_xlfn.TEXTSPLIT(SUBSTITUTE(TRIM(A831),"0.0 %","0.0%")," "))</f>
        <v>0.3</v>
      </c>
      <c r="H831">
        <v>1.589</v>
      </c>
      <c r="I831">
        <v>0.73299999999999998</v>
      </c>
      <c r="J831">
        <v>0.08</v>
      </c>
      <c r="K831">
        <v>14.49</v>
      </c>
      <c r="L831">
        <v>-4.2799999999999998E-2</v>
      </c>
      <c r="M831">
        <v>0.9</v>
      </c>
      <c r="N831">
        <v>5</v>
      </c>
      <c r="O831">
        <v>0.39</v>
      </c>
    </row>
    <row r="832" spans="1:15">
      <c r="A832" t="s">
        <v>1308</v>
      </c>
      <c r="G832" cm="1">
        <f t="array" ref="G832:O832">VALUE(_xlfn.TEXTSPLIT(SUBSTITUTE(TRIM(A832),"0.0 %","0.0%")," "))</f>
        <v>0.4</v>
      </c>
      <c r="H832">
        <v>1.7110000000000001</v>
      </c>
      <c r="I832">
        <v>0.89100000000000001</v>
      </c>
      <c r="J832">
        <v>3.7999999999999999E-2</v>
      </c>
      <c r="K832">
        <v>14.18</v>
      </c>
      <c r="L832">
        <v>-3.3300000000000003E-2</v>
      </c>
      <c r="M832">
        <v>1</v>
      </c>
      <c r="N832">
        <v>5</v>
      </c>
      <c r="O832">
        <v>0.48</v>
      </c>
    </row>
    <row r="833" spans="1:15">
      <c r="A833" t="s">
        <v>1309</v>
      </c>
      <c r="G833" cm="1">
        <f t="array" ref="G833:O833">VALUE(_xlfn.TEXTSPLIT(SUBSTITUTE(TRIM(A833),"0.0 %","0.0%")," "))</f>
        <v>0.5</v>
      </c>
      <c r="H833">
        <v>1.7729999999999999</v>
      </c>
      <c r="I833">
        <v>0.97799999999999998</v>
      </c>
      <c r="J833">
        <v>1.6E-2</v>
      </c>
      <c r="K833">
        <v>14.33</v>
      </c>
      <c r="L833">
        <v>-2.3800000000000002E-2</v>
      </c>
      <c r="M833">
        <v>1.2</v>
      </c>
      <c r="N833">
        <v>5</v>
      </c>
      <c r="O833">
        <v>0.43</v>
      </c>
    </row>
    <row r="834" spans="1:15">
      <c r="A834" t="s">
        <v>1310</v>
      </c>
      <c r="G834" cm="1">
        <f t="array" ref="G834:O834">VALUE(_xlfn.TEXTSPLIT(SUBSTITUTE(TRIM(A834),"0.0 %","0.0%")," "))</f>
        <v>0.6</v>
      </c>
      <c r="H834">
        <v>1.796</v>
      </c>
      <c r="I834">
        <v>1.024</v>
      </c>
      <c r="J834">
        <v>4.0000000000000001E-3</v>
      </c>
      <c r="K834">
        <v>13.94</v>
      </c>
      <c r="L834">
        <v>-1.83E-2</v>
      </c>
      <c r="M834">
        <v>0.9</v>
      </c>
      <c r="N834">
        <v>5</v>
      </c>
      <c r="O834">
        <v>0.38</v>
      </c>
    </row>
    <row r="835" spans="1:15">
      <c r="A835" t="s">
        <v>1311</v>
      </c>
      <c r="G835" cm="1">
        <f t="array" ref="G835:O835">VALUE(_xlfn.TEXTSPLIT(SUBSTITUTE(TRIM(A835),"0.0 %","0.0%")," "))</f>
        <v>0.8</v>
      </c>
      <c r="H835">
        <v>1.804</v>
      </c>
      <c r="I835">
        <v>1.073</v>
      </c>
      <c r="J835">
        <v>-8.0000000000000002E-3</v>
      </c>
      <c r="K835">
        <v>14.02</v>
      </c>
      <c r="L835">
        <v>-1.29E-2</v>
      </c>
      <c r="M835">
        <v>0.9</v>
      </c>
      <c r="N835">
        <v>5</v>
      </c>
      <c r="O835">
        <v>0.38</v>
      </c>
    </row>
    <row r="836" spans="1:15">
      <c r="A836" t="s">
        <v>1312</v>
      </c>
      <c r="G836" cm="1">
        <f t="array" ref="G836:O836">VALUE(_xlfn.TEXTSPLIT(SUBSTITUTE(TRIM(A836),"0.0 %","0.0%")," "))</f>
        <v>1</v>
      </c>
      <c r="H836">
        <v>1.784</v>
      </c>
      <c r="I836">
        <v>1.0920000000000001</v>
      </c>
      <c r="J836">
        <v>-1.2999999999999999E-2</v>
      </c>
      <c r="K836">
        <v>13.43</v>
      </c>
      <c r="L836">
        <v>-1.03E-2</v>
      </c>
      <c r="M836">
        <v>0.9</v>
      </c>
      <c r="N836">
        <v>3</v>
      </c>
      <c r="O836">
        <v>0.39</v>
      </c>
    </row>
    <row r="837" spans="1:15">
      <c r="A837" t="s">
        <v>1313</v>
      </c>
      <c r="G837" cm="1">
        <f t="array" ref="G837:O837">VALUE(_xlfn.TEXTSPLIT(SUBSTITUTE(TRIM(A837),"0.0 %","0.0%")," "))</f>
        <v>1.5</v>
      </c>
      <c r="H837">
        <v>1.6240000000000001</v>
      </c>
      <c r="I837">
        <v>1.161</v>
      </c>
      <c r="J837">
        <v>-0.03</v>
      </c>
      <c r="K837">
        <v>7.13</v>
      </c>
      <c r="L837">
        <v>8.9999999999999998E-4</v>
      </c>
      <c r="M837">
        <v>1.3</v>
      </c>
      <c r="N837">
        <v>0.5</v>
      </c>
      <c r="O837">
        <v>0.46</v>
      </c>
    </row>
    <row r="838" spans="1:15">
      <c r="A838" t="s">
        <v>1314</v>
      </c>
      <c r="G838" cm="1">
        <f t="array" ref="G838:O838">VALUE(_xlfn.TEXTSPLIT(SUBSTITUTE(TRIM(A838),"0.0 %","0.0%")," "))</f>
        <v>2</v>
      </c>
      <c r="H838">
        <v>1.601</v>
      </c>
      <c r="I838">
        <v>1.127</v>
      </c>
      <c r="J838">
        <v>-2.1000000000000001E-2</v>
      </c>
      <c r="K838">
        <v>12.62</v>
      </c>
      <c r="L838">
        <v>-5.4000000000000003E-3</v>
      </c>
      <c r="M838">
        <v>0.7</v>
      </c>
      <c r="N838">
        <v>5</v>
      </c>
      <c r="O838">
        <v>0.28999999999999998</v>
      </c>
    </row>
    <row r="839" spans="1:15">
      <c r="A839" t="s">
        <v>1315</v>
      </c>
      <c r="G839" cm="1">
        <f t="array" ref="G839:O839">VALUE(_xlfn.TEXTSPLIT(SUBSTITUTE(TRIM(A839),"0.0 %","0.0%")," "))</f>
        <v>3</v>
      </c>
      <c r="H839">
        <v>1.5569999999999999</v>
      </c>
      <c r="I839">
        <v>1.0649999999999999</v>
      </c>
      <c r="J839">
        <v>0</v>
      </c>
      <c r="K839">
        <v>12.84</v>
      </c>
      <c r="L839">
        <v>-2.8299999999999999E-2</v>
      </c>
      <c r="M839">
        <v>1.9</v>
      </c>
      <c r="N839">
        <v>1</v>
      </c>
      <c r="O839">
        <v>0.95</v>
      </c>
    </row>
    <row r="840" spans="1:15">
      <c r="A840" t="s">
        <v>1316</v>
      </c>
      <c r="G840" cm="1">
        <f t="array" ref="G840:O840">VALUE(_xlfn.TEXTSPLIT(SUBSTITUTE(TRIM(A840),"0.0 %","0.0%")," "))</f>
        <v>4</v>
      </c>
      <c r="H840">
        <v>1.5049999999999999</v>
      </c>
      <c r="I840">
        <v>1.0229999999999999</v>
      </c>
      <c r="J840">
        <v>1.6E-2</v>
      </c>
      <c r="K840">
        <v>13.36</v>
      </c>
      <c r="L840">
        <v>-4.2799999999999998E-2</v>
      </c>
      <c r="M840">
        <v>2.7</v>
      </c>
      <c r="N840">
        <v>0.5</v>
      </c>
      <c r="O840">
        <v>1.34</v>
      </c>
    </row>
    <row r="841" spans="1:15">
      <c r="A841" t="s">
        <v>1317</v>
      </c>
      <c r="G841" cm="1">
        <f t="array" ref="G841:O841">VALUE(_xlfn.TEXTSPLIT(SUBSTITUTE(TRIM(A841),"0.0 %","0.0%")," "))</f>
        <v>5</v>
      </c>
      <c r="H841">
        <v>1.5189999999999999</v>
      </c>
      <c r="I841">
        <v>0.94199999999999995</v>
      </c>
      <c r="J841">
        <v>4.5999999999999999E-2</v>
      </c>
      <c r="K841">
        <v>13.59</v>
      </c>
      <c r="L841">
        <v>-7.0199999999999999E-2</v>
      </c>
      <c r="M841">
        <v>3.4</v>
      </c>
      <c r="N841">
        <v>0.5</v>
      </c>
      <c r="O841">
        <v>1.96</v>
      </c>
    </row>
    <row r="842" spans="1:15">
      <c r="A842" t="s">
        <v>1318</v>
      </c>
      <c r="G842" cm="1">
        <f t="array" ref="G842:O842">VALUE(_xlfn.TEXTSPLIT(SUBSTITUTE(TRIM(A842),"0.0 %","0.0%")," "))</f>
        <v>6</v>
      </c>
      <c r="H842">
        <v>1.4970000000000001</v>
      </c>
      <c r="I842">
        <v>0.92100000000000004</v>
      </c>
      <c r="J842">
        <v>5.7000000000000002E-2</v>
      </c>
      <c r="K842">
        <v>13.82</v>
      </c>
      <c r="L842">
        <v>-7.9600000000000004E-2</v>
      </c>
      <c r="M842">
        <v>4</v>
      </c>
      <c r="N842">
        <v>1</v>
      </c>
      <c r="O842">
        <v>2.15</v>
      </c>
    </row>
    <row r="843" spans="1:15">
      <c r="A843" t="s">
        <v>1319</v>
      </c>
      <c r="G843" cm="1">
        <f t="array" ref="G843:O843">VALUE(_xlfn.TEXTSPLIT(SUBSTITUTE(TRIM(A843),"0.0 %","0.0%")," "))</f>
        <v>8</v>
      </c>
      <c r="H843">
        <v>1.5309999999999999</v>
      </c>
      <c r="I843">
        <v>0.878</v>
      </c>
      <c r="J843">
        <v>0.08</v>
      </c>
      <c r="K843">
        <v>14.15</v>
      </c>
      <c r="L843">
        <v>-9.8500000000000004E-2</v>
      </c>
      <c r="M843">
        <v>4.4000000000000004</v>
      </c>
      <c r="N843">
        <v>1</v>
      </c>
      <c r="O843">
        <v>2.38</v>
      </c>
    </row>
    <row r="844" spans="1:15">
      <c r="A844" t="s">
        <v>1320</v>
      </c>
      <c r="G844" cm="1">
        <f t="array" ref="G844:O844">VALUE(_xlfn.TEXTSPLIT(SUBSTITUTE(TRIM(A844),"0.0 %","0.0%")," "))</f>
        <v>10</v>
      </c>
      <c r="H844">
        <v>1.502</v>
      </c>
      <c r="I844">
        <v>0.96499999999999997</v>
      </c>
      <c r="J844">
        <v>5.8999999999999997E-2</v>
      </c>
      <c r="K844">
        <v>14.21</v>
      </c>
      <c r="L844">
        <v>-7.8399999999999997E-2</v>
      </c>
      <c r="M844">
        <v>3.9</v>
      </c>
      <c r="N844">
        <v>1</v>
      </c>
      <c r="O844">
        <v>2.02</v>
      </c>
    </row>
    <row r="845" spans="1:15">
      <c r="A845" t="s">
        <v>1321</v>
      </c>
      <c r="G845" cm="1">
        <f t="array" ref="G845:O845">VALUE(_xlfn.TEXTSPLIT(SUBSTITUTE(TRIM(A845),"0.0 %","0.0%")," "))</f>
        <v>15</v>
      </c>
      <c r="H845">
        <v>1.573</v>
      </c>
      <c r="I845">
        <v>1.1180000000000001</v>
      </c>
      <c r="J845">
        <v>3.5000000000000003E-2</v>
      </c>
      <c r="K845">
        <v>14.16</v>
      </c>
      <c r="L845">
        <v>-5.9900000000000002E-2</v>
      </c>
      <c r="M845">
        <v>3.3</v>
      </c>
      <c r="N845">
        <v>1</v>
      </c>
      <c r="O845">
        <v>1.6</v>
      </c>
    </row>
    <row r="846" spans="1:15">
      <c r="A846" t="s">
        <v>1322</v>
      </c>
    </row>
    <row r="848" spans="1:15">
      <c r="A848" t="s">
        <v>1323</v>
      </c>
      <c r="G848" t="str">
        <f>A848</f>
        <v xml:space="preserve">                  TIN MEDUM, AIR RESPONSE</v>
      </c>
    </row>
    <row r="850" spans="1:15">
      <c r="A850" t="s">
        <v>610</v>
      </c>
      <c r="G850" t="str" cm="1">
        <f t="array" ref="G850:O850">_xlfn.TEXTSPLIT(TRIM(A850)," ")</f>
        <v>E(MEV)</v>
      </c>
      <c r="H850" t="str">
        <v>B</v>
      </c>
      <c r="I850" t="str">
        <v>C</v>
      </c>
      <c r="J850" t="str">
        <v>A</v>
      </c>
      <c r="K850" t="str">
        <v>XK</v>
      </c>
      <c r="L850" t="str">
        <v>D</v>
      </c>
      <c r="M850" t="str">
        <v>MAX.D</v>
      </c>
      <c r="N850" t="str">
        <v>XMAX</v>
      </c>
      <c r="O850" t="str">
        <v>S.D</v>
      </c>
    </row>
    <row r="851" spans="1:15">
      <c r="A851" t="s">
        <v>611</v>
      </c>
      <c r="G851" s="6" t="s">
        <v>1289</v>
      </c>
      <c r="H851" s="6" t="s">
        <v>1289</v>
      </c>
      <c r="I851" s="6" t="s">
        <v>1289</v>
      </c>
      <c r="J851" s="6" t="s">
        <v>1289</v>
      </c>
      <c r="K851" s="6" t="s">
        <v>1289</v>
      </c>
      <c r="L851" s="6" t="s">
        <v>1289</v>
      </c>
      <c r="M851" s="6" t="s">
        <v>1289</v>
      </c>
      <c r="N851" s="6" t="s">
        <v>1289</v>
      </c>
      <c r="O851" s="6" t="s">
        <v>1289</v>
      </c>
    </row>
    <row r="852" spans="1:15">
      <c r="A852" t="s">
        <v>1324</v>
      </c>
      <c r="G852" cm="1">
        <f t="array" ref="G852:O852">VALUE(_xlfn.TEXTSPLIT(SUBSTITUTE(TRIM(A852),"0.0 %","0.0%")," "))</f>
        <v>1.4999999999999999E-2</v>
      </c>
      <c r="H852">
        <v>1.0049999999999999</v>
      </c>
      <c r="I852">
        <v>0.432</v>
      </c>
      <c r="J852">
        <v>0.16</v>
      </c>
      <c r="K852">
        <v>26.1</v>
      </c>
      <c r="L852">
        <v>-0.1522</v>
      </c>
      <c r="M852">
        <v>0</v>
      </c>
      <c r="N852">
        <v>2</v>
      </c>
      <c r="O852">
        <v>0.02</v>
      </c>
    </row>
    <row r="853" spans="1:15">
      <c r="A853" t="s">
        <v>1325</v>
      </c>
      <c r="G853" cm="1">
        <f t="array" ref="G853:O853">VALUE(_xlfn.TEXTSPLIT(SUBSTITUTE(TRIM(A853),"0.0 %","0.0%")," "))</f>
        <v>0.02</v>
      </c>
      <c r="H853">
        <v>1.0109999999999999</v>
      </c>
      <c r="I853">
        <v>0.38900000000000001</v>
      </c>
      <c r="J853">
        <v>0.192</v>
      </c>
      <c r="K853">
        <v>14.26</v>
      </c>
      <c r="L853">
        <v>-6.9500000000000006E-2</v>
      </c>
      <c r="M853">
        <v>0.1</v>
      </c>
      <c r="N853">
        <v>6</v>
      </c>
      <c r="O853">
        <v>0.03</v>
      </c>
    </row>
    <row r="854" spans="1:15">
      <c r="A854" t="s">
        <v>1326</v>
      </c>
      <c r="G854" cm="1">
        <f t="array" ref="G854:O854">VALUE(_xlfn.TEXTSPLIT(SUBSTITUTE(TRIM(A854),"0.0 %","0.0%")," "))</f>
        <v>2.9000000000000001E-2</v>
      </c>
      <c r="H854">
        <v>1.03</v>
      </c>
      <c r="I854">
        <v>0.33300000000000002</v>
      </c>
      <c r="J854">
        <v>0.23899999999999999</v>
      </c>
      <c r="K854">
        <v>14.11</v>
      </c>
      <c r="L854">
        <v>-9.6500000000000002E-2</v>
      </c>
      <c r="M854">
        <v>0.1</v>
      </c>
      <c r="N854">
        <v>2</v>
      </c>
      <c r="O854">
        <v>0.04</v>
      </c>
    </row>
    <row r="855" spans="1:15">
      <c r="A855" t="s">
        <v>1327</v>
      </c>
      <c r="G855" cm="1">
        <f t="array" ref="G855:O855">VALUE(_xlfn.TEXTSPLIT(SUBSTITUTE(TRIM(A855),"0.0 %","0.0%")," "))</f>
        <v>0.03</v>
      </c>
      <c r="H855">
        <v>2.8969999999999998</v>
      </c>
      <c r="I855">
        <v>1.873</v>
      </c>
      <c r="J855">
        <v>0.04</v>
      </c>
      <c r="K855">
        <v>10.77</v>
      </c>
      <c r="L855">
        <v>-3.1099999999999999E-2</v>
      </c>
      <c r="M855">
        <v>11.3</v>
      </c>
      <c r="N855">
        <v>3</v>
      </c>
      <c r="O855">
        <v>5</v>
      </c>
    </row>
    <row r="856" spans="1:15">
      <c r="A856" t="s">
        <v>1328</v>
      </c>
      <c r="G856" cm="1">
        <f t="array" ref="G856:O856">VALUE(_xlfn.TEXTSPLIT(SUBSTITUTE(TRIM(A856),"0.0 %","0.0%")," "))</f>
        <v>3.5000000000000003E-2</v>
      </c>
      <c r="H856">
        <v>3.2810000000000001</v>
      </c>
      <c r="I856">
        <v>1.569</v>
      </c>
      <c r="J856">
        <v>6.0999999999999999E-2</v>
      </c>
      <c r="K856">
        <v>14.08</v>
      </c>
      <c r="L856">
        <v>-4.1099999999999998E-2</v>
      </c>
      <c r="M856">
        <v>13.8</v>
      </c>
      <c r="N856">
        <v>40</v>
      </c>
      <c r="O856">
        <v>7.28</v>
      </c>
    </row>
    <row r="857" spans="1:15">
      <c r="A857" t="s">
        <v>1329</v>
      </c>
      <c r="G857" cm="1">
        <f t="array" ref="G857:O857">VALUE(_xlfn.TEXTSPLIT(SUBSTITUTE(TRIM(A857),"0.0 %","0.0%")," "))</f>
        <v>0.04</v>
      </c>
      <c r="H857">
        <v>3.5739999999999998</v>
      </c>
      <c r="I857">
        <v>1.2210000000000001</v>
      </c>
      <c r="J857">
        <v>9.7000000000000003E-2</v>
      </c>
      <c r="K857">
        <v>26.32</v>
      </c>
      <c r="L857">
        <v>-0.12520000000000001</v>
      </c>
      <c r="M857">
        <v>8.8000000000000007</v>
      </c>
      <c r="N857">
        <v>3</v>
      </c>
      <c r="O857">
        <v>4.32</v>
      </c>
    </row>
    <row r="858" spans="1:15">
      <c r="A858" t="s">
        <v>1330</v>
      </c>
      <c r="G858" cm="1">
        <f t="array" ref="G858:O858">VALUE(_xlfn.TEXTSPLIT(SUBSTITUTE(TRIM(A858),"0.0 %","0.0%")," "))</f>
        <v>4.4999999999999998E-2</v>
      </c>
      <c r="H858">
        <v>3.4980000000000002</v>
      </c>
      <c r="I858">
        <v>0.86299999999999999</v>
      </c>
      <c r="J858">
        <v>0.159</v>
      </c>
      <c r="K858">
        <v>17.41</v>
      </c>
      <c r="L858">
        <v>-0.122</v>
      </c>
      <c r="M858">
        <v>3.4</v>
      </c>
      <c r="N858">
        <v>4</v>
      </c>
      <c r="O858">
        <v>2</v>
      </c>
    </row>
    <row r="859" spans="1:15">
      <c r="A859" t="s">
        <v>1331</v>
      </c>
      <c r="G859" cm="1">
        <f t="array" ref="G859:O859">VALUE(_xlfn.TEXTSPLIT(SUBSTITUTE(TRIM(A859),"0.0 %","0.0%")," "))</f>
        <v>0.05</v>
      </c>
      <c r="H859">
        <v>3.4870000000000001</v>
      </c>
      <c r="I859">
        <v>0.49099999999999999</v>
      </c>
      <c r="J859">
        <v>0.28000000000000003</v>
      </c>
      <c r="K859">
        <v>16.8</v>
      </c>
      <c r="L859">
        <v>-0.23719999999999999</v>
      </c>
      <c r="M859">
        <v>2.2999999999999998</v>
      </c>
      <c r="N859">
        <v>0.5</v>
      </c>
      <c r="O859">
        <v>1.21</v>
      </c>
    </row>
    <row r="860" spans="1:15">
      <c r="A860" t="s">
        <v>1332</v>
      </c>
      <c r="G860" cm="1">
        <f t="array" ref="G860:O860">VALUE(_xlfn.TEXTSPLIT(SUBSTITUTE(TRIM(A860),"0.0 %","0.0%")," "))</f>
        <v>5.5E-2</v>
      </c>
      <c r="H860">
        <v>3.2120000000000002</v>
      </c>
      <c r="I860">
        <v>0.32100000000000001</v>
      </c>
      <c r="J860">
        <v>0.23200000000000001</v>
      </c>
      <c r="K860">
        <v>14.2</v>
      </c>
      <c r="L860">
        <v>0.125</v>
      </c>
      <c r="M860">
        <v>2.2000000000000002</v>
      </c>
      <c r="N860">
        <v>0.5</v>
      </c>
      <c r="O860">
        <v>1.39</v>
      </c>
    </row>
    <row r="861" spans="1:15">
      <c r="A861" t="s">
        <v>1333</v>
      </c>
      <c r="G861" cm="1">
        <f t="array" ref="G861:O861">VALUE(_xlfn.TEXTSPLIT(SUBSTITUTE(TRIM(A861),"0.0 %","0.0%")," "))</f>
        <v>0.06</v>
      </c>
      <c r="H861">
        <v>2.9449999999999998</v>
      </c>
      <c r="I861">
        <v>0.23400000000000001</v>
      </c>
      <c r="J861">
        <v>-2.8000000000000001E-2</v>
      </c>
      <c r="K861">
        <v>5</v>
      </c>
      <c r="L861">
        <v>-5.57E-2</v>
      </c>
      <c r="M861">
        <v>0.6</v>
      </c>
      <c r="N861">
        <v>40</v>
      </c>
      <c r="O861">
        <v>0.36</v>
      </c>
    </row>
    <row r="862" spans="1:15">
      <c r="A862" t="s">
        <v>1334</v>
      </c>
      <c r="G862" cm="1">
        <f t="array" ref="G862:O862">VALUE(_xlfn.TEXTSPLIT(SUBSTITUTE(TRIM(A862),"0.0 %","0.0%")," "))</f>
        <v>7.0000000000000007E-2</v>
      </c>
      <c r="H862">
        <v>2.2480000000000002</v>
      </c>
      <c r="I862">
        <v>4.9000000000000002E-2</v>
      </c>
      <c r="J862">
        <v>-0.56499999999999995</v>
      </c>
      <c r="K862">
        <v>9.48</v>
      </c>
      <c r="L862">
        <v>9.9299999999999999E-2</v>
      </c>
      <c r="M862">
        <v>0.8</v>
      </c>
      <c r="N862">
        <v>2</v>
      </c>
      <c r="O862">
        <v>0.39</v>
      </c>
    </row>
    <row r="863" spans="1:15">
      <c r="A863" t="s">
        <v>1335</v>
      </c>
      <c r="G863" cm="1">
        <f t="array" ref="G863:O863">VALUE(_xlfn.TEXTSPLIT(SUBSTITUTE(TRIM(A863),"0.0 %","0.0%")," "))</f>
        <v>0.08</v>
      </c>
      <c r="H863">
        <v>1.8080000000000001</v>
      </c>
      <c r="I863">
        <v>1.7000000000000001E-2</v>
      </c>
      <c r="J863">
        <v>0.81100000000000005</v>
      </c>
      <c r="K863">
        <v>15.45</v>
      </c>
      <c r="L863">
        <v>-0.15260000000000001</v>
      </c>
      <c r="M863">
        <v>1.1000000000000001</v>
      </c>
      <c r="N863">
        <v>1</v>
      </c>
      <c r="O863">
        <v>0.36</v>
      </c>
    </row>
    <row r="864" spans="1:15">
      <c r="A864" t="s">
        <v>1336</v>
      </c>
      <c r="G864" cm="1">
        <f t="array" ref="G864:O864">VALUE(_xlfn.TEXTSPLIT(SUBSTITUTE(TRIM(A864),"0.0 %","0.0%")," "))</f>
        <v>0.09</v>
      </c>
      <c r="H864">
        <v>1.542</v>
      </c>
      <c r="I864">
        <v>3.2000000000000001E-2</v>
      </c>
      <c r="J864">
        <v>0.77500000000000002</v>
      </c>
      <c r="K864">
        <v>14.12</v>
      </c>
      <c r="L864">
        <v>-0.27539999999999998</v>
      </c>
      <c r="M864">
        <v>1.6</v>
      </c>
      <c r="N864">
        <v>0.5</v>
      </c>
      <c r="O864">
        <v>0.6</v>
      </c>
    </row>
    <row r="865" spans="1:15">
      <c r="A865" t="s">
        <v>1337</v>
      </c>
      <c r="G865" cm="1">
        <f t="array" ref="G865:O865">VALUE(_xlfn.TEXTSPLIT(SUBSTITUTE(TRIM(A865),"0.0 %","0.0%")," "))</f>
        <v>0.1</v>
      </c>
      <c r="H865">
        <v>1.3959999999999999</v>
      </c>
      <c r="I865">
        <v>5.6000000000000001E-2</v>
      </c>
      <c r="J865">
        <v>0.68799999999999994</v>
      </c>
      <c r="K865">
        <v>13.79</v>
      </c>
      <c r="L865">
        <v>-0.3221</v>
      </c>
      <c r="M865">
        <v>1.7</v>
      </c>
      <c r="N865">
        <v>2</v>
      </c>
      <c r="O865">
        <v>0.77</v>
      </c>
    </row>
    <row r="866" spans="1:15">
      <c r="A866" t="s">
        <v>1338</v>
      </c>
      <c r="G866" cm="1">
        <f t="array" ref="G866:O866">VALUE(_xlfn.TEXTSPLIT(SUBSTITUTE(TRIM(A866),"0.0 %","0.0%")," "))</f>
        <v>0.15</v>
      </c>
      <c r="H866">
        <v>1.2190000000000001</v>
      </c>
      <c r="I866">
        <v>0.32600000000000001</v>
      </c>
      <c r="J866">
        <v>0.27900000000000003</v>
      </c>
      <c r="K866">
        <v>13.95</v>
      </c>
      <c r="L866">
        <v>-0.15540000000000001</v>
      </c>
      <c r="M866">
        <v>1.4</v>
      </c>
      <c r="N866">
        <v>0.5</v>
      </c>
      <c r="O866">
        <v>0.6</v>
      </c>
    </row>
    <row r="867" spans="1:15">
      <c r="A867" t="s">
        <v>1339</v>
      </c>
      <c r="G867" cm="1">
        <f t="array" ref="G867:O867">VALUE(_xlfn.TEXTSPLIT(SUBSTITUTE(TRIM(A867),"0.0 %","0.0%")," "))</f>
        <v>0.2</v>
      </c>
      <c r="H867">
        <v>1.2609999999999999</v>
      </c>
      <c r="I867">
        <v>0.5</v>
      </c>
      <c r="J867">
        <v>0.17100000000000001</v>
      </c>
      <c r="K867">
        <v>14.62</v>
      </c>
      <c r="L867">
        <v>-9.1800000000000007E-2</v>
      </c>
      <c r="M867">
        <v>1.1000000000000001</v>
      </c>
      <c r="N867">
        <v>0.5</v>
      </c>
      <c r="O867">
        <v>0.48</v>
      </c>
    </row>
    <row r="868" spans="1:15">
      <c r="A868" t="s">
        <v>1340</v>
      </c>
      <c r="G868" cm="1">
        <f t="array" ref="G868:O868">VALUE(_xlfn.TEXTSPLIT(SUBSTITUTE(TRIM(A868),"0.0 %","0.0%")," "))</f>
        <v>0.3</v>
      </c>
      <c r="H868">
        <v>1.405</v>
      </c>
      <c r="I868">
        <v>0.64700000000000002</v>
      </c>
      <c r="J868">
        <v>0.106</v>
      </c>
      <c r="K868">
        <v>14.23</v>
      </c>
      <c r="L868">
        <v>-5.0099999999999999E-2</v>
      </c>
      <c r="M868">
        <v>0.8</v>
      </c>
      <c r="N868">
        <v>5</v>
      </c>
      <c r="O868">
        <v>0.39</v>
      </c>
    </row>
    <row r="869" spans="1:15">
      <c r="A869" t="s">
        <v>1341</v>
      </c>
      <c r="G869" cm="1">
        <f t="array" ref="G869:O869">VALUE(_xlfn.TEXTSPLIT(SUBSTITUTE(TRIM(A869),"0.0 %","0.0%")," "))</f>
        <v>0.4</v>
      </c>
      <c r="H869">
        <v>1.5309999999999999</v>
      </c>
      <c r="I869">
        <v>0.78800000000000003</v>
      </c>
      <c r="J869">
        <v>6.5000000000000002E-2</v>
      </c>
      <c r="K869">
        <v>14.14</v>
      </c>
      <c r="L869">
        <v>-4.24E-2</v>
      </c>
      <c r="M869">
        <v>0.9</v>
      </c>
      <c r="N869">
        <v>5</v>
      </c>
      <c r="O869">
        <v>0.48</v>
      </c>
    </row>
    <row r="870" spans="1:15">
      <c r="A870" t="s">
        <v>1342</v>
      </c>
      <c r="G870" cm="1">
        <f t="array" ref="G870:O870">VALUE(_xlfn.TEXTSPLIT(SUBSTITUTE(TRIM(A870),"0.0 %","0.0%")," "))</f>
        <v>0.5</v>
      </c>
      <c r="H870">
        <v>1.61</v>
      </c>
      <c r="I870">
        <v>0.871</v>
      </c>
      <c r="J870">
        <v>4.2999999999999997E-2</v>
      </c>
      <c r="K870">
        <v>14.06</v>
      </c>
      <c r="L870">
        <v>-3.5499999999999997E-2</v>
      </c>
      <c r="M870">
        <v>1</v>
      </c>
      <c r="N870">
        <v>5</v>
      </c>
      <c r="O870">
        <v>0.48</v>
      </c>
    </row>
    <row r="871" spans="1:15">
      <c r="A871" t="s">
        <v>1343</v>
      </c>
      <c r="G871" cm="1">
        <f t="array" ref="G871:O871">VALUE(_xlfn.TEXTSPLIT(SUBSTITUTE(TRIM(A871),"0.0 %","0.0%")," "))</f>
        <v>0.6</v>
      </c>
      <c r="H871">
        <v>1.645</v>
      </c>
      <c r="I871">
        <v>0.93500000000000005</v>
      </c>
      <c r="J871">
        <v>2.4E-2</v>
      </c>
      <c r="K871">
        <v>14.02</v>
      </c>
      <c r="L871">
        <v>-2.4899999999999999E-2</v>
      </c>
      <c r="M871">
        <v>0.9</v>
      </c>
      <c r="N871">
        <v>5</v>
      </c>
      <c r="O871">
        <v>0.43</v>
      </c>
    </row>
    <row r="872" spans="1:15">
      <c r="A872" t="s">
        <v>1344</v>
      </c>
      <c r="G872" cm="1">
        <f t="array" ref="G872:O872">VALUE(_xlfn.TEXTSPLIT(SUBSTITUTE(TRIM(A872),"0.0 %","0.0%")," "))</f>
        <v>0.8</v>
      </c>
      <c r="H872">
        <v>1.6830000000000001</v>
      </c>
      <c r="I872">
        <v>0.999</v>
      </c>
      <c r="J872">
        <v>8.0000000000000002E-3</v>
      </c>
      <c r="K872">
        <v>14.09</v>
      </c>
      <c r="L872">
        <v>-1.83E-2</v>
      </c>
      <c r="M872">
        <v>1</v>
      </c>
      <c r="N872">
        <v>5</v>
      </c>
      <c r="O872">
        <v>0.39</v>
      </c>
    </row>
    <row r="873" spans="1:15">
      <c r="A873" t="s">
        <v>1345</v>
      </c>
      <c r="G873" cm="1">
        <f t="array" ref="G873:O873">VALUE(_xlfn.TEXTSPLIT(SUBSTITUTE(TRIM(A873),"0.0 %","0.0%")," "))</f>
        <v>1</v>
      </c>
      <c r="H873">
        <v>1.6850000000000001</v>
      </c>
      <c r="I873">
        <v>1.0289999999999999</v>
      </c>
      <c r="J873">
        <v>1E-3</v>
      </c>
      <c r="K873">
        <v>13.43</v>
      </c>
      <c r="L873">
        <v>-1.6199999999999999E-2</v>
      </c>
      <c r="M873">
        <v>0.9</v>
      </c>
      <c r="N873">
        <v>5</v>
      </c>
      <c r="O873">
        <v>0.36</v>
      </c>
    </row>
    <row r="874" spans="1:15">
      <c r="A874" t="s">
        <v>1346</v>
      </c>
      <c r="G874" cm="1">
        <f t="array" ref="G874:O874">VALUE(_xlfn.TEXTSPLIT(SUBSTITUTE(TRIM(A874),"0.0 %","0.0%")," "))</f>
        <v>1.5</v>
      </c>
      <c r="H874">
        <v>1.57</v>
      </c>
      <c r="I874">
        <v>1.1220000000000001</v>
      </c>
      <c r="J874">
        <v>-2.1000000000000001E-2</v>
      </c>
      <c r="K874">
        <v>14.3</v>
      </c>
      <c r="L874">
        <v>-4.4999999999999997E-3</v>
      </c>
      <c r="M874">
        <v>0.9</v>
      </c>
      <c r="N874">
        <v>0.5</v>
      </c>
      <c r="O874">
        <v>0.35</v>
      </c>
    </row>
    <row r="875" spans="1:15">
      <c r="A875" t="s">
        <v>1347</v>
      </c>
      <c r="G875" cm="1">
        <f t="array" ref="G875:O875">VALUE(_xlfn.TEXTSPLIT(SUBSTITUTE(TRIM(A875),"0.0 %","0.0%")," "))</f>
        <v>2</v>
      </c>
      <c r="H875">
        <v>1.556</v>
      </c>
      <c r="I875">
        <v>1.1080000000000001</v>
      </c>
      <c r="J875">
        <v>-1.6E-2</v>
      </c>
      <c r="K875">
        <v>13.1</v>
      </c>
      <c r="L875">
        <v>-8.6999999999999994E-3</v>
      </c>
      <c r="M875">
        <v>0.8</v>
      </c>
      <c r="N875">
        <v>1</v>
      </c>
      <c r="O875">
        <v>0.35</v>
      </c>
    </row>
    <row r="876" spans="1:15">
      <c r="A876" t="s">
        <v>1348</v>
      </c>
      <c r="G876" cm="1">
        <f t="array" ref="G876:O876">VALUE(_xlfn.TEXTSPLIT(SUBSTITUTE(TRIM(A876),"0.0 %","0.0%")," "))</f>
        <v>3</v>
      </c>
      <c r="H876">
        <v>1.5229999999999999</v>
      </c>
      <c r="I876">
        <v>1.0580000000000001</v>
      </c>
      <c r="J876">
        <v>4.0000000000000001E-3</v>
      </c>
      <c r="K876">
        <v>12.99</v>
      </c>
      <c r="L876">
        <v>-3.3099999999999997E-2</v>
      </c>
      <c r="M876">
        <v>2.2000000000000002</v>
      </c>
      <c r="N876">
        <v>0.5</v>
      </c>
      <c r="O876">
        <v>1.1499999999999999</v>
      </c>
    </row>
    <row r="877" spans="1:15">
      <c r="A877" t="s">
        <v>1349</v>
      </c>
      <c r="G877" cm="1">
        <f t="array" ref="G877:O877">VALUE(_xlfn.TEXTSPLIT(SUBSTITUTE(TRIM(A877),"0.0 %","0.0%")," "))</f>
        <v>4</v>
      </c>
      <c r="H877">
        <v>1.47</v>
      </c>
      <c r="I877">
        <v>1.0349999999999999</v>
      </c>
      <c r="J877">
        <v>1.6E-2</v>
      </c>
      <c r="K877">
        <v>13.43</v>
      </c>
      <c r="L877">
        <v>-4.4900000000000002E-2</v>
      </c>
      <c r="M877">
        <v>3.4</v>
      </c>
      <c r="N877">
        <v>0.5</v>
      </c>
      <c r="O877">
        <v>1.52</v>
      </c>
    </row>
    <row r="878" spans="1:15">
      <c r="A878" t="s">
        <v>1350</v>
      </c>
      <c r="G878" cm="1">
        <f t="array" ref="G878:O878">VALUE(_xlfn.TEXTSPLIT(SUBSTITUTE(TRIM(A878),"0.0 %","0.0%")," "))</f>
        <v>5</v>
      </c>
      <c r="H878">
        <v>1.49</v>
      </c>
      <c r="I878">
        <v>0.95699999999999996</v>
      </c>
      <c r="J878">
        <v>4.5999999999999999E-2</v>
      </c>
      <c r="K878">
        <v>13.69</v>
      </c>
      <c r="L878">
        <v>-7.2900000000000006E-2</v>
      </c>
      <c r="M878">
        <v>4.3</v>
      </c>
      <c r="N878">
        <v>0.5</v>
      </c>
      <c r="O878">
        <v>2.16</v>
      </c>
    </row>
    <row r="879" spans="1:15">
      <c r="A879" t="s">
        <v>1351</v>
      </c>
      <c r="G879" cm="1">
        <f t="array" ref="G879:O879">VALUE(_xlfn.TEXTSPLIT(SUBSTITUTE(TRIM(A879),"0.0 %","0.0%")," "))</f>
        <v>6</v>
      </c>
      <c r="H879">
        <v>1.4790000000000001</v>
      </c>
      <c r="I879">
        <v>0.93300000000000005</v>
      </c>
      <c r="J879">
        <v>5.8999999999999997E-2</v>
      </c>
      <c r="K879">
        <v>13.92</v>
      </c>
      <c r="L879">
        <v>-8.4199999999999997E-2</v>
      </c>
      <c r="M879">
        <v>4.5</v>
      </c>
      <c r="N879">
        <v>0.5</v>
      </c>
      <c r="O879">
        <v>2.33</v>
      </c>
    </row>
    <row r="880" spans="1:15">
      <c r="A880" t="s">
        <v>1352</v>
      </c>
      <c r="G880" cm="1">
        <f t="array" ref="G880:O880">VALUE(_xlfn.TEXTSPLIT(SUBSTITUTE(TRIM(A880),"0.0 %","0.0%")," "))</f>
        <v>8</v>
      </c>
      <c r="H880">
        <v>1.5249999999999999</v>
      </c>
      <c r="I880">
        <v>0.91300000000000003</v>
      </c>
      <c r="J880">
        <v>7.5999999999999998E-2</v>
      </c>
      <c r="K880">
        <v>14.16</v>
      </c>
      <c r="L880">
        <v>-9.8299999999999998E-2</v>
      </c>
      <c r="M880">
        <v>4.7</v>
      </c>
      <c r="N880">
        <v>1</v>
      </c>
      <c r="O880">
        <v>2.54</v>
      </c>
    </row>
    <row r="881" spans="1:15">
      <c r="A881" t="s">
        <v>1353</v>
      </c>
      <c r="G881" cm="1">
        <f t="array" ref="G881:O881">VALUE(_xlfn.TEXTSPLIT(SUBSTITUTE(TRIM(A881),"0.0 %","0.0%")," "))</f>
        <v>10</v>
      </c>
      <c r="H881">
        <v>1.504</v>
      </c>
      <c r="I881">
        <v>1.0329999999999999</v>
      </c>
      <c r="J881">
        <v>4.8000000000000001E-2</v>
      </c>
      <c r="K881">
        <v>14.18</v>
      </c>
      <c r="L881">
        <v>-7.0999999999999994E-2</v>
      </c>
      <c r="M881">
        <v>4.0999999999999996</v>
      </c>
      <c r="N881">
        <v>1</v>
      </c>
      <c r="O881">
        <v>2.08</v>
      </c>
    </row>
    <row r="882" spans="1:15">
      <c r="A882" t="s">
        <v>1354</v>
      </c>
      <c r="G882" cm="1">
        <f t="array" ref="G882:O882">VALUE(_xlfn.TEXTSPLIT(SUBSTITUTE(TRIM(A882),"0.0 %","0.0%")," "))</f>
        <v>15</v>
      </c>
      <c r="H882">
        <v>1.5920000000000001</v>
      </c>
      <c r="I882">
        <v>1.2070000000000001</v>
      </c>
      <c r="J882">
        <v>2.5999999999999999E-2</v>
      </c>
      <c r="K882">
        <v>13.91</v>
      </c>
      <c r="L882">
        <v>-5.6599999999999998E-2</v>
      </c>
      <c r="M882">
        <v>3.6</v>
      </c>
      <c r="N882">
        <v>1</v>
      </c>
      <c r="O882">
        <v>1.67</v>
      </c>
    </row>
    <row r="883" spans="1:15">
      <c r="A883" t="s">
        <v>1322</v>
      </c>
    </row>
    <row r="885" spans="1:15">
      <c r="A885" t="s">
        <v>1081</v>
      </c>
      <c r="G885" t="str">
        <f>A885</f>
        <v xml:space="preserve">                  LANTHANUM MEDIUM, AIR RESPONSE</v>
      </c>
    </row>
    <row r="887" spans="1:15">
      <c r="A887" t="s">
        <v>610</v>
      </c>
      <c r="G887" t="str" cm="1">
        <f t="array" ref="G887:O887">_xlfn.TEXTSPLIT(TRIM(A887)," ")</f>
        <v>E(MEV)</v>
      </c>
      <c r="H887" t="str">
        <v>B</v>
      </c>
      <c r="I887" t="str">
        <v>C</v>
      </c>
      <c r="J887" t="str">
        <v>A</v>
      </c>
      <c r="K887" t="str">
        <v>XK</v>
      </c>
      <c r="L887" t="str">
        <v>D</v>
      </c>
      <c r="M887" t="str">
        <v>MAX.D</v>
      </c>
      <c r="N887" t="str">
        <v>XMAX</v>
      </c>
      <c r="O887" t="str">
        <v>S.D</v>
      </c>
    </row>
    <row r="888" spans="1:15">
      <c r="A888" t="s">
        <v>611</v>
      </c>
      <c r="G888" s="6" t="s">
        <v>1289</v>
      </c>
      <c r="H888" s="6" t="s">
        <v>1289</v>
      </c>
      <c r="I888" s="6" t="s">
        <v>1289</v>
      </c>
      <c r="J888" s="6" t="s">
        <v>1289</v>
      </c>
      <c r="K888" s="6" t="s">
        <v>1289</v>
      </c>
      <c r="L888" s="6" t="s">
        <v>1289</v>
      </c>
      <c r="M888" s="6" t="s">
        <v>1289</v>
      </c>
      <c r="N888" s="6" t="s">
        <v>1289</v>
      </c>
      <c r="O888" s="6" t="s">
        <v>1289</v>
      </c>
    </row>
    <row r="889" spans="1:15">
      <c r="A889" t="s">
        <v>1355</v>
      </c>
      <c r="G889" cm="1">
        <f t="array" ref="G889:O889">VALUE(_xlfn.TEXTSPLIT(SUBSTITUTE(TRIM(A889),"0.0 %","0.0%")," "))</f>
        <v>1.4999999999999999E-2</v>
      </c>
      <c r="H889">
        <v>1.0029999999999999</v>
      </c>
      <c r="I889">
        <v>0.501</v>
      </c>
      <c r="J889">
        <v>0.128</v>
      </c>
      <c r="K889">
        <v>11.6</v>
      </c>
      <c r="L889">
        <v>-3.8699999999999998E-2</v>
      </c>
      <c r="M889">
        <v>0.1</v>
      </c>
      <c r="N889">
        <v>6</v>
      </c>
      <c r="O889">
        <v>0.03</v>
      </c>
    </row>
    <row r="890" spans="1:15">
      <c r="A890" t="s">
        <v>1356</v>
      </c>
      <c r="G890" cm="1">
        <f t="array" ref="G890:O890">VALUE(_xlfn.TEXTSPLIT(SUBSTITUTE(TRIM(A890),"0.0 %","0.0%")," "))</f>
        <v>0.02</v>
      </c>
      <c r="H890">
        <v>1.0069999999999999</v>
      </c>
      <c r="I890">
        <v>0.41399999999999998</v>
      </c>
      <c r="J890">
        <v>0.17199999999999999</v>
      </c>
      <c r="K890">
        <v>17.100000000000001</v>
      </c>
      <c r="L890">
        <v>-6.0299999999999999E-2</v>
      </c>
      <c r="M890">
        <v>0.1</v>
      </c>
      <c r="N890">
        <v>0.5</v>
      </c>
      <c r="O890">
        <v>0.03</v>
      </c>
    </row>
    <row r="891" spans="1:15">
      <c r="A891" t="s">
        <v>1357</v>
      </c>
      <c r="G891" cm="1">
        <f t="array" ref="G891:O891">VALUE(_xlfn.TEXTSPLIT(SUBSTITUTE(TRIM(A891),"0.0 %","0.0%")," "))</f>
        <v>0.03</v>
      </c>
      <c r="H891">
        <v>1.022</v>
      </c>
      <c r="I891">
        <v>0.32200000000000001</v>
      </c>
      <c r="J891">
        <v>0.24399999999999999</v>
      </c>
      <c r="K891">
        <v>13.95</v>
      </c>
      <c r="L891">
        <v>-9.0899999999999995E-2</v>
      </c>
      <c r="M891">
        <v>0.1</v>
      </c>
      <c r="N891">
        <v>35</v>
      </c>
      <c r="O891">
        <v>0.03</v>
      </c>
    </row>
    <row r="892" spans="1:15">
      <c r="A892" t="s">
        <v>1358</v>
      </c>
      <c r="G892" cm="1">
        <f t="array" ref="G892:O892">VALUE(_xlfn.TEXTSPLIT(SUBSTITUTE(TRIM(A892),"0.0 %","0.0%")," "))</f>
        <v>3.7999999999999999E-2</v>
      </c>
      <c r="H892">
        <v>1.0389999999999999</v>
      </c>
      <c r="I892">
        <v>0.32600000000000001</v>
      </c>
      <c r="J892">
        <v>0.23899999999999999</v>
      </c>
      <c r="K892">
        <v>15.04</v>
      </c>
      <c r="L892">
        <v>-9.5299999999999996E-2</v>
      </c>
      <c r="M892">
        <v>0.1</v>
      </c>
      <c r="N892">
        <v>25</v>
      </c>
      <c r="O892">
        <v>0.05</v>
      </c>
    </row>
    <row r="893" spans="1:15">
      <c r="A893" t="s">
        <v>1359</v>
      </c>
      <c r="G893" cm="1">
        <f t="array" ref="G893:O893">VALUE(_xlfn.TEXTSPLIT(SUBSTITUTE(TRIM(A893),"0.0 %","0.0%")," "))</f>
        <v>3.9E-2</v>
      </c>
      <c r="H893">
        <v>2.8290000000000002</v>
      </c>
      <c r="I893">
        <v>1.8420000000000001</v>
      </c>
      <c r="J893">
        <v>4.5999999999999999E-2</v>
      </c>
      <c r="K893">
        <v>9.59</v>
      </c>
      <c r="L893">
        <v>-3.9399999999999998E-2</v>
      </c>
      <c r="M893">
        <v>11.6</v>
      </c>
      <c r="N893">
        <v>3</v>
      </c>
      <c r="O893">
        <v>4.92</v>
      </c>
    </row>
    <row r="894" spans="1:15">
      <c r="A894" t="s">
        <v>1360</v>
      </c>
      <c r="G894" cm="1">
        <f t="array" ref="G894:O894">VALUE(_xlfn.TEXTSPLIT(SUBSTITUTE(TRIM(A894),"0.0 %","0.0%")," "))</f>
        <v>0.04</v>
      </c>
      <c r="H894">
        <v>2.9209999999999998</v>
      </c>
      <c r="I894">
        <v>1.788</v>
      </c>
      <c r="J894">
        <v>4.9000000000000002E-2</v>
      </c>
      <c r="K894">
        <v>10.98</v>
      </c>
      <c r="L894">
        <v>-3.5799999999999998E-2</v>
      </c>
      <c r="M894">
        <v>12.3</v>
      </c>
      <c r="N894">
        <v>3</v>
      </c>
      <c r="O894">
        <v>5.34</v>
      </c>
    </row>
    <row r="895" spans="1:15">
      <c r="A895" t="s">
        <v>1361</v>
      </c>
      <c r="G895" cm="1">
        <f t="array" ref="G895:O895">VALUE(_xlfn.TEXTSPLIT(SUBSTITUTE(TRIM(A895),"0.0 %","0.0%")," "))</f>
        <v>4.2000000000000003E-2</v>
      </c>
      <c r="H895">
        <v>3.0409999999999999</v>
      </c>
      <c r="I895">
        <v>1.6779999999999999</v>
      </c>
      <c r="J895">
        <v>5.8999999999999997E-2</v>
      </c>
      <c r="K895">
        <v>11.23</v>
      </c>
      <c r="L895">
        <v>-4.0500000000000001E-2</v>
      </c>
      <c r="M895">
        <v>13</v>
      </c>
      <c r="N895">
        <v>3</v>
      </c>
      <c r="O895">
        <v>5.73</v>
      </c>
    </row>
    <row r="896" spans="1:15">
      <c r="A896" t="s">
        <v>1362</v>
      </c>
      <c r="G896" cm="1">
        <f t="array" ref="G896:O896">VALUE(_xlfn.TEXTSPLIT(SUBSTITUTE(TRIM(A896),"0.0 %","0.0%")," "))</f>
        <v>4.3999999999999997E-2</v>
      </c>
      <c r="H896">
        <v>2.9929999999999999</v>
      </c>
      <c r="I896">
        <v>1.6319999999999999</v>
      </c>
      <c r="J896">
        <v>5.7000000000000002E-2</v>
      </c>
      <c r="K896">
        <v>14.01</v>
      </c>
      <c r="L896">
        <v>-3.8899999999999997E-2</v>
      </c>
      <c r="M896">
        <v>11.9</v>
      </c>
      <c r="N896">
        <v>20</v>
      </c>
      <c r="O896">
        <v>6.79</v>
      </c>
    </row>
    <row r="897" spans="1:15">
      <c r="A897" t="s">
        <v>1363</v>
      </c>
      <c r="G897" cm="1">
        <f t="array" ref="G897:O897">VALUE(_xlfn.TEXTSPLIT(SUBSTITUTE(TRIM(A897),"0.0 %","0.0%")," "))</f>
        <v>4.5999999999999999E-2</v>
      </c>
      <c r="H897">
        <v>3.0419999999999998</v>
      </c>
      <c r="I897">
        <v>1.526</v>
      </c>
      <c r="J897">
        <v>6.6000000000000003E-2</v>
      </c>
      <c r="K897">
        <v>21.62</v>
      </c>
      <c r="L897">
        <v>-7.0400000000000004E-2</v>
      </c>
      <c r="M897">
        <v>10.5</v>
      </c>
      <c r="N897">
        <v>25</v>
      </c>
      <c r="O897">
        <v>6.32</v>
      </c>
    </row>
    <row r="898" spans="1:15">
      <c r="A898" t="s">
        <v>1364</v>
      </c>
      <c r="G898" cm="1">
        <f t="array" ref="G898:O898">VALUE(_xlfn.TEXTSPLIT(SUBSTITUTE(TRIM(A898),"0.0 %","0.0%")," "))</f>
        <v>4.8000000000000001E-2</v>
      </c>
      <c r="H898">
        <v>3.1179999999999999</v>
      </c>
      <c r="I898">
        <v>1.4119999999999999</v>
      </c>
      <c r="J898">
        <v>7.6999999999999999E-2</v>
      </c>
      <c r="K898">
        <v>25.91</v>
      </c>
      <c r="L898">
        <v>-9.0200000000000002E-2</v>
      </c>
      <c r="M898">
        <v>10.5</v>
      </c>
      <c r="N898">
        <v>3</v>
      </c>
      <c r="O898">
        <v>5.01</v>
      </c>
    </row>
    <row r="899" spans="1:15">
      <c r="A899" t="s">
        <v>1365</v>
      </c>
      <c r="G899" cm="1">
        <f t="array" ref="G899:O899">VALUE(_xlfn.TEXTSPLIT(SUBSTITUTE(TRIM(A899),"0.0 %","0.0%")," "))</f>
        <v>0.05</v>
      </c>
      <c r="H899">
        <v>3.1269999999999998</v>
      </c>
      <c r="I899">
        <v>1.3109999999999999</v>
      </c>
      <c r="J899">
        <v>8.8999999999999996E-2</v>
      </c>
      <c r="K899">
        <v>20.239999999999998</v>
      </c>
      <c r="L899">
        <v>-7.7100000000000002E-2</v>
      </c>
      <c r="M899">
        <v>9.1</v>
      </c>
      <c r="N899">
        <v>3</v>
      </c>
      <c r="O899">
        <v>5.15</v>
      </c>
    </row>
    <row r="900" spans="1:15">
      <c r="A900" t="s">
        <v>1366</v>
      </c>
      <c r="G900" cm="1">
        <f t="array" ref="G900:O900">VALUE(_xlfn.TEXTSPLIT(SUBSTITUTE(TRIM(A900),"0.0 %","0.0%")," "))</f>
        <v>5.5E-2</v>
      </c>
      <c r="H900">
        <v>3</v>
      </c>
      <c r="I900">
        <v>1.038</v>
      </c>
      <c r="J900">
        <v>0.128</v>
      </c>
      <c r="K900">
        <v>17.579999999999998</v>
      </c>
      <c r="L900">
        <v>-9.2999999999999999E-2</v>
      </c>
      <c r="M900">
        <v>6.2</v>
      </c>
      <c r="N900">
        <v>3</v>
      </c>
      <c r="O900">
        <v>2.97</v>
      </c>
    </row>
    <row r="901" spans="1:15">
      <c r="A901" t="s">
        <v>1367</v>
      </c>
      <c r="G901" cm="1">
        <f t="array" ref="G901:O901">VALUE(_xlfn.TEXTSPLIT(SUBSTITUTE(TRIM(A901),"0.0 %","0.0%")," "))</f>
        <v>0.06</v>
      </c>
      <c r="H901">
        <v>2.8250000000000002</v>
      </c>
      <c r="I901">
        <v>0.77400000000000002</v>
      </c>
      <c r="J901">
        <v>0.184</v>
      </c>
      <c r="K901">
        <v>16.36</v>
      </c>
      <c r="L901">
        <v>-0.1517</v>
      </c>
      <c r="M901">
        <v>2.8</v>
      </c>
      <c r="N901">
        <v>1</v>
      </c>
      <c r="O901">
        <v>1.54</v>
      </c>
    </row>
    <row r="902" spans="1:15">
      <c r="A902" t="s">
        <v>1368</v>
      </c>
      <c r="G902" cm="1">
        <f t="array" ref="G902:O902">VALUE(_xlfn.TEXTSPLIT(SUBSTITUTE(TRIM(A902),"0.0 %","0.0%")," "))</f>
        <v>7.0000000000000007E-2</v>
      </c>
      <c r="H902">
        <v>2.4220000000000002</v>
      </c>
      <c r="I902">
        <v>0.29899999999999999</v>
      </c>
      <c r="J902">
        <v>0.34899999999999998</v>
      </c>
      <c r="K902">
        <v>28.55</v>
      </c>
      <c r="L902">
        <v>-0.36880000000000002</v>
      </c>
      <c r="M902">
        <v>4.0999999999999996</v>
      </c>
      <c r="N902">
        <v>0.5</v>
      </c>
      <c r="O902">
        <v>2.2200000000000002</v>
      </c>
    </row>
    <row r="903" spans="1:15">
      <c r="A903" t="s">
        <v>1369</v>
      </c>
      <c r="G903" cm="1">
        <f t="array" ref="G903:O903">VALUE(_xlfn.TEXTSPLIT(SUBSTITUTE(TRIM(A903),"0.0 %","0.0%")," "))</f>
        <v>0.08</v>
      </c>
      <c r="H903">
        <v>2.048</v>
      </c>
      <c r="I903">
        <v>0.21199999999999999</v>
      </c>
      <c r="J903">
        <v>-0.124</v>
      </c>
      <c r="K903">
        <v>16.38</v>
      </c>
      <c r="L903">
        <v>6.6299999999999998E-2</v>
      </c>
      <c r="M903">
        <v>0.7</v>
      </c>
      <c r="N903">
        <v>1</v>
      </c>
      <c r="O903">
        <v>0.32</v>
      </c>
    </row>
    <row r="904" spans="1:15">
      <c r="A904" t="s">
        <v>1370</v>
      </c>
      <c r="G904" cm="1">
        <f t="array" ref="G904:O904">VALUE(_xlfn.TEXTSPLIT(SUBSTITUTE(TRIM(A904),"0.0 %","0.0%")," "))</f>
        <v>0.09</v>
      </c>
      <c r="H904">
        <v>1.6859999999999999</v>
      </c>
      <c r="I904">
        <v>7.4999999999999997E-2</v>
      </c>
      <c r="J904">
        <v>2.5999999999999999E-2</v>
      </c>
      <c r="K904">
        <v>8.77</v>
      </c>
      <c r="L904">
        <v>0.115</v>
      </c>
      <c r="M904">
        <v>0.6</v>
      </c>
      <c r="N904">
        <v>15</v>
      </c>
      <c r="O904">
        <v>0.36</v>
      </c>
    </row>
    <row r="905" spans="1:15">
      <c r="A905" t="s">
        <v>1371</v>
      </c>
      <c r="G905" cm="1">
        <f t="array" ref="G905:O905">VALUE(_xlfn.TEXTSPLIT(SUBSTITUTE(TRIM(A905),"0.0 %","0.0%")," "))</f>
        <v>0.1</v>
      </c>
      <c r="H905">
        <v>1.47</v>
      </c>
      <c r="I905">
        <v>3.9E-2</v>
      </c>
      <c r="J905">
        <v>0.66100000000000003</v>
      </c>
      <c r="K905">
        <v>14.46</v>
      </c>
      <c r="L905">
        <v>-0.16639999999999999</v>
      </c>
      <c r="M905">
        <v>0.7</v>
      </c>
      <c r="N905">
        <v>1</v>
      </c>
      <c r="O905">
        <v>0.27</v>
      </c>
    </row>
    <row r="906" spans="1:15">
      <c r="A906" t="s">
        <v>1372</v>
      </c>
      <c r="G906" cm="1">
        <f t="array" ref="G906:O906">VALUE(_xlfn.TEXTSPLIT(SUBSTITUTE(TRIM(A906),"0.0 %","0.0%")," "))</f>
        <v>0.15</v>
      </c>
      <c r="H906">
        <v>1.194</v>
      </c>
      <c r="I906">
        <v>0.23599999999999999</v>
      </c>
      <c r="J906">
        <v>0.36099999999999999</v>
      </c>
      <c r="K906">
        <v>13.74</v>
      </c>
      <c r="L906">
        <v>-0.20610000000000001</v>
      </c>
      <c r="M906">
        <v>1.4</v>
      </c>
      <c r="N906">
        <v>0.5</v>
      </c>
      <c r="O906">
        <v>0.59</v>
      </c>
    </row>
    <row r="907" spans="1:15">
      <c r="A907" t="s">
        <v>1373</v>
      </c>
      <c r="G907" cm="1">
        <f t="array" ref="G907:O907">VALUE(_xlfn.TEXTSPLIT(SUBSTITUTE(TRIM(A907),"0.0 %","0.0%")," "))</f>
        <v>0.2</v>
      </c>
      <c r="H907">
        <v>1.194</v>
      </c>
      <c r="I907">
        <v>0.45</v>
      </c>
      <c r="J907">
        <v>0.19500000000000001</v>
      </c>
      <c r="K907">
        <v>14.2</v>
      </c>
      <c r="L907">
        <v>-0.10440000000000001</v>
      </c>
      <c r="M907">
        <v>1.1000000000000001</v>
      </c>
      <c r="N907">
        <v>0.5</v>
      </c>
      <c r="O907">
        <v>0.44</v>
      </c>
    </row>
    <row r="908" spans="1:15">
      <c r="A908" t="s">
        <v>1374</v>
      </c>
      <c r="G908" cm="1">
        <f t="array" ref="G908:O908">VALUE(_xlfn.TEXTSPLIT(SUBSTITUTE(TRIM(A908),"0.0 %","0.0%")," "))</f>
        <v>0.3</v>
      </c>
      <c r="H908">
        <v>1.3080000000000001</v>
      </c>
      <c r="I908">
        <v>0.57999999999999996</v>
      </c>
      <c r="J908">
        <v>0.13100000000000001</v>
      </c>
      <c r="K908">
        <v>13.84</v>
      </c>
      <c r="L908">
        <v>-6.2300000000000001E-2</v>
      </c>
      <c r="M908">
        <v>0.6</v>
      </c>
      <c r="N908">
        <v>5</v>
      </c>
      <c r="O908">
        <v>0.38</v>
      </c>
    </row>
    <row r="909" spans="1:15">
      <c r="A909" t="s">
        <v>1375</v>
      </c>
      <c r="G909" cm="1">
        <f t="array" ref="G909:O909">VALUE(_xlfn.TEXTSPLIT(SUBSTITUTE(TRIM(A909),"0.0 %","0.0%")," "))</f>
        <v>0.4</v>
      </c>
      <c r="H909">
        <v>1.4159999999999999</v>
      </c>
      <c r="I909">
        <v>0.71299999999999997</v>
      </c>
      <c r="J909">
        <v>8.6999999999999994E-2</v>
      </c>
      <c r="K909">
        <v>14.12</v>
      </c>
      <c r="L909">
        <v>-5.0500000000000003E-2</v>
      </c>
      <c r="M909">
        <v>0.8</v>
      </c>
      <c r="N909">
        <v>5</v>
      </c>
      <c r="O909">
        <v>0.46</v>
      </c>
    </row>
    <row r="910" spans="1:15">
      <c r="A910" t="s">
        <v>1376</v>
      </c>
      <c r="G910" cm="1">
        <f t="array" ref="G910:O910">VALUE(_xlfn.TEXTSPLIT(SUBSTITUTE(TRIM(A910),"0.0 %","0.0%")," "))</f>
        <v>0.5</v>
      </c>
      <c r="H910">
        <v>1.488</v>
      </c>
      <c r="I910">
        <v>0.80300000000000005</v>
      </c>
      <c r="J910">
        <v>0.06</v>
      </c>
      <c r="K910">
        <v>14.1</v>
      </c>
      <c r="L910">
        <v>-3.9899999999999998E-2</v>
      </c>
      <c r="M910">
        <v>0.9</v>
      </c>
      <c r="N910">
        <v>5</v>
      </c>
      <c r="O910">
        <v>0.46</v>
      </c>
    </row>
    <row r="911" spans="1:15">
      <c r="A911" t="s">
        <v>1377</v>
      </c>
      <c r="G911" cm="1">
        <f t="array" ref="G911:O911">VALUE(_xlfn.TEXTSPLIT(SUBSTITUTE(TRIM(A911),"0.0 %","0.0%")," "))</f>
        <v>0.6</v>
      </c>
      <c r="H911">
        <v>1.534</v>
      </c>
      <c r="I911">
        <v>0.86499999999999999</v>
      </c>
      <c r="J911">
        <v>4.1000000000000002E-2</v>
      </c>
      <c r="K911">
        <v>13.81</v>
      </c>
      <c r="L911">
        <v>-3.04E-2</v>
      </c>
      <c r="M911">
        <v>0.9</v>
      </c>
      <c r="N911">
        <v>5</v>
      </c>
      <c r="O911">
        <v>0.44</v>
      </c>
    </row>
    <row r="912" spans="1:15">
      <c r="A912" t="s">
        <v>1378</v>
      </c>
      <c r="G912" cm="1">
        <f t="array" ref="G912:O912">VALUE(_xlfn.TEXTSPLIT(SUBSTITUTE(TRIM(A912),"0.0 %","0.0%")," "))</f>
        <v>0.8</v>
      </c>
      <c r="H912">
        <v>1.5880000000000001</v>
      </c>
      <c r="I912">
        <v>0.93400000000000005</v>
      </c>
      <c r="J912">
        <v>2.3E-2</v>
      </c>
      <c r="K912">
        <v>13.66</v>
      </c>
      <c r="L912">
        <v>-2.3400000000000001E-2</v>
      </c>
      <c r="M912">
        <v>0.9</v>
      </c>
      <c r="N912">
        <v>5</v>
      </c>
      <c r="O912">
        <v>0.39</v>
      </c>
    </row>
    <row r="913" spans="1:15">
      <c r="A913" t="s">
        <v>1379</v>
      </c>
      <c r="G913" cm="1">
        <f t="array" ref="G913:O913">VALUE(_xlfn.TEXTSPLIT(SUBSTITUTE(TRIM(A913),"0.0 %","0.0%")," "))</f>
        <v>1</v>
      </c>
      <c r="H913">
        <v>1.6020000000000001</v>
      </c>
      <c r="I913">
        <v>0.97399999999999998</v>
      </c>
      <c r="J913">
        <v>1.4E-2</v>
      </c>
      <c r="K913">
        <v>13.24</v>
      </c>
      <c r="L913">
        <v>-2.2200000000000001E-2</v>
      </c>
      <c r="M913">
        <v>0.7</v>
      </c>
      <c r="N913">
        <v>25</v>
      </c>
      <c r="O913">
        <v>0.41</v>
      </c>
    </row>
    <row r="914" spans="1:15">
      <c r="A914" t="s">
        <v>1380</v>
      </c>
      <c r="G914" cm="1">
        <f t="array" ref="G914:O914">VALUE(_xlfn.TEXTSPLIT(SUBSTITUTE(TRIM(A914),"0.0 %","0.0%")," "))</f>
        <v>1.5</v>
      </c>
      <c r="H914">
        <v>1.538</v>
      </c>
      <c r="I914">
        <v>1.0720000000000001</v>
      </c>
      <c r="J914">
        <v>-8.9999999999999993E-3</v>
      </c>
      <c r="K914">
        <v>13.64</v>
      </c>
      <c r="L914">
        <v>-1.0800000000000001E-2</v>
      </c>
      <c r="M914">
        <v>0.6</v>
      </c>
      <c r="N914">
        <v>1</v>
      </c>
      <c r="O914">
        <v>0.28000000000000003</v>
      </c>
    </row>
    <row r="915" spans="1:15">
      <c r="A915" t="s">
        <v>1381</v>
      </c>
      <c r="G915" cm="1">
        <f t="array" ref="G915:O915">VALUE(_xlfn.TEXTSPLIT(SUBSTITUTE(TRIM(A915),"0.0 %","0.0%")," "))</f>
        <v>2</v>
      </c>
      <c r="H915">
        <v>1.5529999999999999</v>
      </c>
      <c r="I915">
        <v>1.044</v>
      </c>
      <c r="J915">
        <v>2E-3</v>
      </c>
      <c r="K915">
        <v>13.08</v>
      </c>
      <c r="L915">
        <v>-2.2499999999999999E-2</v>
      </c>
      <c r="M915">
        <v>0.9</v>
      </c>
      <c r="N915">
        <v>4</v>
      </c>
      <c r="O915">
        <v>0.63</v>
      </c>
    </row>
    <row r="916" spans="1:15">
      <c r="A916" t="s">
        <v>1382</v>
      </c>
      <c r="G916" cm="1">
        <f t="array" ref="G916:O916">VALUE(_xlfn.TEXTSPLIT(SUBSTITUTE(TRIM(A916),"0.0 %","0.0%")," "))</f>
        <v>3</v>
      </c>
      <c r="H916">
        <v>1.5429999999999999</v>
      </c>
      <c r="I916">
        <v>1.0089999999999999</v>
      </c>
      <c r="J916">
        <v>1.9E-2</v>
      </c>
      <c r="K916">
        <v>13.39</v>
      </c>
      <c r="L916">
        <v>-4.4699999999999997E-2</v>
      </c>
      <c r="M916">
        <v>3.4</v>
      </c>
      <c r="N916">
        <v>0.5</v>
      </c>
      <c r="O916">
        <v>1.52</v>
      </c>
    </row>
    <row r="917" spans="1:15">
      <c r="A917" t="s">
        <v>1383</v>
      </c>
      <c r="G917" cm="1">
        <f t="array" ref="G917:O917">VALUE(_xlfn.TEXTSPLIT(SUBSTITUTE(TRIM(A917),"0.0 %","0.0%")," "))</f>
        <v>4</v>
      </c>
      <c r="H917">
        <v>1.5229999999999999</v>
      </c>
      <c r="I917">
        <v>0.97</v>
      </c>
      <c r="J917">
        <v>3.6999999999999998E-2</v>
      </c>
      <c r="K917">
        <v>13.74</v>
      </c>
      <c r="L917">
        <v>-6.0900000000000003E-2</v>
      </c>
      <c r="M917">
        <v>4.0999999999999996</v>
      </c>
      <c r="N917">
        <v>0.5</v>
      </c>
      <c r="O917">
        <v>1.82</v>
      </c>
    </row>
    <row r="918" spans="1:15">
      <c r="A918" t="s">
        <v>1384</v>
      </c>
      <c r="G918" cm="1">
        <f t="array" ref="G918:O918">VALUE(_xlfn.TEXTSPLIT(SUBSTITUTE(TRIM(A918),"0.0 %","0.0%")," "))</f>
        <v>5</v>
      </c>
      <c r="H918">
        <v>1.611</v>
      </c>
      <c r="I918">
        <v>0.88800000000000001</v>
      </c>
      <c r="J918">
        <v>7.0000000000000007E-2</v>
      </c>
      <c r="K918">
        <v>13.96</v>
      </c>
      <c r="L918">
        <v>-8.9300000000000004E-2</v>
      </c>
      <c r="M918">
        <v>4.8</v>
      </c>
      <c r="N918">
        <v>0.5</v>
      </c>
      <c r="O918">
        <v>2.33</v>
      </c>
    </row>
    <row r="919" spans="1:15">
      <c r="A919" t="s">
        <v>1385</v>
      </c>
      <c r="G919" cm="1">
        <f t="array" ref="G919:O919">VALUE(_xlfn.TEXTSPLIT(SUBSTITUTE(TRIM(A919),"0.0 %","0.0%")," "))</f>
        <v>6</v>
      </c>
      <c r="H919">
        <v>1.65</v>
      </c>
      <c r="I919">
        <v>0.88400000000000001</v>
      </c>
      <c r="J919">
        <v>7.5999999999999998E-2</v>
      </c>
      <c r="K919">
        <v>14.19</v>
      </c>
      <c r="L919">
        <v>-9.1899999999999996E-2</v>
      </c>
      <c r="M919">
        <v>4.5</v>
      </c>
      <c r="N919">
        <v>0.5</v>
      </c>
      <c r="O919">
        <v>2.31</v>
      </c>
    </row>
    <row r="920" spans="1:15">
      <c r="A920" t="s">
        <v>1386</v>
      </c>
      <c r="G920" cm="1">
        <f t="array" ref="G920:O920">VALUE(_xlfn.TEXTSPLIT(SUBSTITUTE(TRIM(A920),"0.0 %","0.0%")," "))</f>
        <v>8</v>
      </c>
      <c r="H920">
        <v>1.847</v>
      </c>
      <c r="I920">
        <v>0.92900000000000005</v>
      </c>
      <c r="J920">
        <v>7.2999999999999995E-2</v>
      </c>
      <c r="K920">
        <v>14.18</v>
      </c>
      <c r="L920">
        <v>-9.06E-2</v>
      </c>
      <c r="M920">
        <v>4</v>
      </c>
      <c r="N920">
        <v>0.5</v>
      </c>
      <c r="O920">
        <v>2.2400000000000002</v>
      </c>
    </row>
    <row r="921" spans="1:15">
      <c r="A921" t="s">
        <v>1387</v>
      </c>
      <c r="G921" cm="1">
        <f t="array" ref="G921:O921">VALUE(_xlfn.TEXTSPLIT(SUBSTITUTE(TRIM(A921),"0.0 %","0.0%")," "))</f>
        <v>10</v>
      </c>
      <c r="H921">
        <v>1.9179999999999999</v>
      </c>
      <c r="I921">
        <v>1.097</v>
      </c>
      <c r="J921">
        <v>3.5000000000000003E-2</v>
      </c>
      <c r="K921">
        <v>14.06</v>
      </c>
      <c r="L921">
        <v>-5.8200000000000002E-2</v>
      </c>
      <c r="M921">
        <v>2.9</v>
      </c>
      <c r="N921">
        <v>0.5</v>
      </c>
      <c r="O921">
        <v>1.64</v>
      </c>
    </row>
    <row r="922" spans="1:15">
      <c r="A922" t="s">
        <v>1388</v>
      </c>
      <c r="G922" cm="1">
        <f t="array" ref="G922:O922">VALUE(_xlfn.TEXTSPLIT(SUBSTITUTE(TRIM(A922),"0.0 %","0.0%")," "))</f>
        <v>15</v>
      </c>
      <c r="H922">
        <v>2.1800000000000002</v>
      </c>
      <c r="I922">
        <v>1.3160000000000001</v>
      </c>
      <c r="J922">
        <v>8.0000000000000002E-3</v>
      </c>
      <c r="K922">
        <v>13.68</v>
      </c>
      <c r="L922">
        <v>-3.9600000000000003E-2</v>
      </c>
      <c r="M922">
        <v>1.9</v>
      </c>
      <c r="N922">
        <v>1</v>
      </c>
      <c r="O922">
        <v>1.06</v>
      </c>
    </row>
    <row r="923" spans="1:15">
      <c r="A923" t="s">
        <v>1322</v>
      </c>
    </row>
    <row r="925" spans="1:15">
      <c r="A925" t="s">
        <v>1107</v>
      </c>
      <c r="G925" t="str">
        <f>A925</f>
        <v xml:space="preserve">                  GADOLINIUM MEDIUM, AIR RESPONSE</v>
      </c>
    </row>
    <row r="927" spans="1:15">
      <c r="A927" t="s">
        <v>610</v>
      </c>
      <c r="G927" t="str" cm="1">
        <f t="array" ref="G927:O927">_xlfn.TEXTSPLIT(TRIM(A927)," ")</f>
        <v>E(MEV)</v>
      </c>
      <c r="H927" t="str">
        <v>B</v>
      </c>
      <c r="I927" t="str">
        <v>C</v>
      </c>
      <c r="J927" t="str">
        <v>A</v>
      </c>
      <c r="K927" t="str">
        <v>XK</v>
      </c>
      <c r="L927" t="str">
        <v>D</v>
      </c>
      <c r="M927" t="str">
        <v>MAX.D</v>
      </c>
      <c r="N927" t="str">
        <v>XMAX</v>
      </c>
      <c r="O927" t="str">
        <v>S.D</v>
      </c>
    </row>
    <row r="928" spans="1:15">
      <c r="A928" t="s">
        <v>611</v>
      </c>
      <c r="G928" s="6" t="s">
        <v>1289</v>
      </c>
      <c r="H928" s="6" t="s">
        <v>1289</v>
      </c>
      <c r="I928" s="6" t="s">
        <v>1289</v>
      </c>
      <c r="J928" s="6" t="s">
        <v>1289</v>
      </c>
      <c r="K928" s="6" t="s">
        <v>1289</v>
      </c>
      <c r="L928" s="6" t="s">
        <v>1289</v>
      </c>
      <c r="M928" s="6" t="s">
        <v>1289</v>
      </c>
      <c r="N928" s="6" t="s">
        <v>1289</v>
      </c>
      <c r="O928" s="6" t="s">
        <v>1289</v>
      </c>
    </row>
    <row r="929" spans="1:15">
      <c r="A929" t="s">
        <v>1389</v>
      </c>
      <c r="G929" cm="1">
        <f t="array" ref="G929:O929">VALUE(_xlfn.TEXTSPLIT(SUBSTITUTE(TRIM(A929),"0.0 %","0.0%")," "))</f>
        <v>1.4999999999999999E-2</v>
      </c>
      <c r="H929">
        <v>1.0029999999999999</v>
      </c>
      <c r="I929">
        <v>0.26100000000000001</v>
      </c>
      <c r="J929">
        <v>0.29899999999999999</v>
      </c>
      <c r="K929">
        <v>21.25</v>
      </c>
      <c r="L929">
        <v>-0.27710000000000001</v>
      </c>
      <c r="M929">
        <v>0.1</v>
      </c>
      <c r="N929">
        <v>1</v>
      </c>
      <c r="O929">
        <v>0.03</v>
      </c>
    </row>
    <row r="930" spans="1:15">
      <c r="A930" t="s">
        <v>1390</v>
      </c>
      <c r="G930" cm="1">
        <f t="array" ref="G930:O930">VALUE(_xlfn.TEXTSPLIT(SUBSTITUTE(TRIM(A930),"0.0 %","0.0%")," "))</f>
        <v>0.02</v>
      </c>
      <c r="H930">
        <v>1.0049999999999999</v>
      </c>
      <c r="I930">
        <v>0.39300000000000002</v>
      </c>
      <c r="J930">
        <v>0.19500000000000001</v>
      </c>
      <c r="K930">
        <v>12.95</v>
      </c>
      <c r="L930">
        <v>-8.0199999999999994E-2</v>
      </c>
      <c r="M930">
        <v>0.1</v>
      </c>
      <c r="N930">
        <v>15</v>
      </c>
      <c r="O930">
        <v>0.03</v>
      </c>
    </row>
    <row r="931" spans="1:15">
      <c r="A931" t="s">
        <v>1391</v>
      </c>
      <c r="G931" cm="1">
        <f t="array" ref="G931:O931">VALUE(_xlfn.TEXTSPLIT(SUBSTITUTE(TRIM(A931),"0.0 %","0.0%")," "))</f>
        <v>0.03</v>
      </c>
      <c r="H931">
        <v>1.0149999999999999</v>
      </c>
      <c r="I931">
        <v>0.32600000000000001</v>
      </c>
      <c r="J931">
        <v>0.24099999999999999</v>
      </c>
      <c r="K931">
        <v>13.87</v>
      </c>
      <c r="L931">
        <v>-8.8499999999999995E-2</v>
      </c>
      <c r="M931">
        <v>0.1</v>
      </c>
      <c r="N931">
        <v>35</v>
      </c>
      <c r="O931">
        <v>0.02</v>
      </c>
    </row>
    <row r="932" spans="1:15">
      <c r="A932" t="s">
        <v>1392</v>
      </c>
      <c r="G932" cm="1">
        <f t="array" ref="G932:O932">VALUE(_xlfn.TEXTSPLIT(SUBSTITUTE(TRIM(A932),"0.0 %","0.0%")," "))</f>
        <v>0.04</v>
      </c>
      <c r="H932">
        <v>1.0309999999999999</v>
      </c>
      <c r="I932">
        <v>0.312</v>
      </c>
      <c r="J932">
        <v>0.25600000000000001</v>
      </c>
      <c r="K932">
        <v>14.14</v>
      </c>
      <c r="L932">
        <v>-9.9699999999999997E-2</v>
      </c>
      <c r="M932">
        <v>0.1</v>
      </c>
      <c r="N932">
        <v>8</v>
      </c>
      <c r="O932">
        <v>0.03</v>
      </c>
    </row>
    <row r="933" spans="1:15">
      <c r="A933" t="s">
        <v>1393</v>
      </c>
      <c r="G933" cm="1">
        <f t="array" ref="G933:O933">VALUE(_xlfn.TEXTSPLIT(SUBSTITUTE(TRIM(A933),"0.0 %","0.0%")," "))</f>
        <v>0.05</v>
      </c>
      <c r="H933">
        <v>1.0509999999999999</v>
      </c>
      <c r="I933">
        <v>0.32400000000000001</v>
      </c>
      <c r="J933">
        <v>0.248</v>
      </c>
      <c r="K933">
        <v>14.02</v>
      </c>
      <c r="L933">
        <v>-0.105</v>
      </c>
      <c r="M933">
        <v>0.1</v>
      </c>
      <c r="N933">
        <v>10</v>
      </c>
      <c r="O933">
        <v>0.06</v>
      </c>
    </row>
    <row r="934" spans="1:15">
      <c r="A934" t="s">
        <v>1394</v>
      </c>
      <c r="G934" cm="1">
        <f t="array" ref="G934:O934">VALUE(_xlfn.TEXTSPLIT(SUBSTITUTE(TRIM(A934),"0.0 %","0.0%")," "))</f>
        <v>5.0999999999999997E-2</v>
      </c>
      <c r="H934">
        <v>2.7570000000000001</v>
      </c>
      <c r="I934">
        <v>1.7529999999999999</v>
      </c>
      <c r="J934">
        <v>5.3999999999999999E-2</v>
      </c>
      <c r="K934">
        <v>9.91</v>
      </c>
      <c r="L934">
        <v>-4.0099999999999997E-2</v>
      </c>
      <c r="M934">
        <v>12.1</v>
      </c>
      <c r="N934">
        <v>3</v>
      </c>
      <c r="O934">
        <v>5.31</v>
      </c>
    </row>
    <row r="935" spans="1:15">
      <c r="A935" t="s">
        <v>1395</v>
      </c>
      <c r="G935" cm="1">
        <f t="array" ref="G935:O935">VALUE(_xlfn.TEXTSPLIT(SUBSTITUTE(TRIM(A935),"0.0 %","0.0%")," "))</f>
        <v>5.1999999999999998E-2</v>
      </c>
      <c r="H935">
        <v>2.7690000000000001</v>
      </c>
      <c r="I935">
        <v>1.7190000000000001</v>
      </c>
      <c r="J935">
        <v>5.6000000000000001E-2</v>
      </c>
      <c r="K935">
        <v>12.05</v>
      </c>
      <c r="L935">
        <v>-4.1300000000000003E-2</v>
      </c>
      <c r="M935">
        <v>13</v>
      </c>
      <c r="N935">
        <v>3</v>
      </c>
      <c r="O935">
        <v>5.98</v>
      </c>
    </row>
    <row r="936" spans="1:15">
      <c r="A936" t="s">
        <v>1396</v>
      </c>
      <c r="G936" cm="1">
        <f t="array" ref="G936:O936">VALUE(_xlfn.TEXTSPLIT(SUBSTITUTE(TRIM(A936),"0.0 %","0.0%")," "))</f>
        <v>5.3999999999999999E-2</v>
      </c>
      <c r="H936">
        <v>2.6930000000000001</v>
      </c>
      <c r="I936">
        <v>1.696</v>
      </c>
      <c r="J936">
        <v>5.1999999999999998E-2</v>
      </c>
      <c r="K936">
        <v>13.52</v>
      </c>
      <c r="L936">
        <v>-3.4700000000000002E-2</v>
      </c>
      <c r="M936">
        <v>11.7</v>
      </c>
      <c r="N936">
        <v>20</v>
      </c>
      <c r="O936">
        <v>6.37</v>
      </c>
    </row>
    <row r="937" spans="1:15">
      <c r="A937" t="s">
        <v>1397</v>
      </c>
      <c r="G937" cm="1">
        <f t="array" ref="G937:O937">VALUE(_xlfn.TEXTSPLIT(SUBSTITUTE(TRIM(A937),"0.0 %","0.0%")," "))</f>
        <v>5.6000000000000001E-2</v>
      </c>
      <c r="H937">
        <v>2.6429999999999998</v>
      </c>
      <c r="I937">
        <v>1.629</v>
      </c>
      <c r="J937">
        <v>5.6000000000000001E-2</v>
      </c>
      <c r="K937">
        <v>32.159999999999997</v>
      </c>
      <c r="L937">
        <v>-0.18440000000000001</v>
      </c>
      <c r="M937">
        <v>13.4</v>
      </c>
      <c r="N937">
        <v>40</v>
      </c>
      <c r="O937">
        <v>6.54</v>
      </c>
    </row>
    <row r="938" spans="1:15">
      <c r="A938" t="s">
        <v>1398</v>
      </c>
      <c r="G938" cm="1">
        <f t="array" ref="G938:O938">VALUE(_xlfn.TEXTSPLIT(SUBSTITUTE(TRIM(A938),"0.0 %","0.0%")," "))</f>
        <v>5.8000000000000003E-2</v>
      </c>
      <c r="H938">
        <v>2.5049999999999999</v>
      </c>
      <c r="I938">
        <v>1.6240000000000001</v>
      </c>
      <c r="J938">
        <v>4.9000000000000002E-2</v>
      </c>
      <c r="K938">
        <v>23.79</v>
      </c>
      <c r="L938">
        <v>-5.5E-2</v>
      </c>
      <c r="M938">
        <v>15.9</v>
      </c>
      <c r="N938">
        <v>20</v>
      </c>
      <c r="O938">
        <v>7.72</v>
      </c>
    </row>
    <row r="939" spans="1:15">
      <c r="A939" t="s">
        <v>1399</v>
      </c>
      <c r="G939" cm="1">
        <f t="array" ref="G939:O939">VALUE(_xlfn.TEXTSPLIT(SUBSTITUTE(TRIM(A939),"0.0 %","0.0%")," "))</f>
        <v>0.06</v>
      </c>
      <c r="H939">
        <v>2.512</v>
      </c>
      <c r="I939">
        <v>1.51</v>
      </c>
      <c r="J939">
        <v>6.2E-2</v>
      </c>
      <c r="K939">
        <v>28.83</v>
      </c>
      <c r="L939">
        <v>-0.10539999999999999</v>
      </c>
      <c r="M939">
        <v>10.4</v>
      </c>
      <c r="N939">
        <v>20</v>
      </c>
      <c r="O939">
        <v>5.66</v>
      </c>
    </row>
    <row r="940" spans="1:15">
      <c r="A940" t="s">
        <v>1400</v>
      </c>
      <c r="G940" cm="1">
        <f t="array" ref="G940:O940">VALUE(_xlfn.TEXTSPLIT(SUBSTITUTE(TRIM(A940),"0.0 %","0.0%")," "))</f>
        <v>6.5000000000000002E-2</v>
      </c>
      <c r="H940">
        <v>2.5529999999999999</v>
      </c>
      <c r="I940">
        <v>1.2070000000000001</v>
      </c>
      <c r="J940">
        <v>0.106</v>
      </c>
      <c r="K940">
        <v>18.010000000000002</v>
      </c>
      <c r="L940">
        <v>-8.3900000000000002E-2</v>
      </c>
      <c r="M940">
        <v>8.5</v>
      </c>
      <c r="N940">
        <v>3</v>
      </c>
      <c r="O940">
        <v>4.16</v>
      </c>
    </row>
    <row r="941" spans="1:15">
      <c r="A941" t="s">
        <v>1401</v>
      </c>
      <c r="G941" cm="1">
        <f t="array" ref="G941:O941">VALUE(_xlfn.TEXTSPLIT(SUBSTITUTE(TRIM(A941),"0.0 %","0.0%")," "))</f>
        <v>7.0000000000000007E-2</v>
      </c>
      <c r="H941">
        <v>2.323</v>
      </c>
      <c r="I941">
        <v>1.0349999999999999</v>
      </c>
      <c r="J941">
        <v>0.128</v>
      </c>
      <c r="K941">
        <v>17.88</v>
      </c>
      <c r="L941">
        <v>-0.1051</v>
      </c>
      <c r="M941">
        <v>4.2</v>
      </c>
      <c r="N941">
        <v>4</v>
      </c>
      <c r="O941">
        <v>2.77</v>
      </c>
    </row>
    <row r="942" spans="1:15">
      <c r="A942" t="s">
        <v>1402</v>
      </c>
      <c r="G942" cm="1">
        <f t="array" ref="G942:O942">VALUE(_xlfn.TEXTSPLIT(SUBSTITUTE(TRIM(A942),"0.0 %","0.0%")," "))</f>
        <v>7.4999999999999997E-2</v>
      </c>
      <c r="H942">
        <v>2.1909999999999998</v>
      </c>
      <c r="I942">
        <v>0.81599999999999995</v>
      </c>
      <c r="J942">
        <v>0.17399999999999999</v>
      </c>
      <c r="K942">
        <v>16.260000000000002</v>
      </c>
      <c r="L942">
        <v>-0.14580000000000001</v>
      </c>
      <c r="M942">
        <v>3.1</v>
      </c>
      <c r="N942">
        <v>1</v>
      </c>
      <c r="O942">
        <v>1.63</v>
      </c>
    </row>
    <row r="943" spans="1:15">
      <c r="A943" t="s">
        <v>1403</v>
      </c>
      <c r="G943" cm="1">
        <f t="array" ref="G943:O943">VALUE(_xlfn.TEXTSPLIT(SUBSTITUTE(TRIM(A943),"0.0 %","0.0%")," "))</f>
        <v>0.08</v>
      </c>
      <c r="H943">
        <v>2.1040000000000001</v>
      </c>
      <c r="I943">
        <v>0.59299999999999997</v>
      </c>
      <c r="J943">
        <v>0.24299999999999999</v>
      </c>
      <c r="K943">
        <v>15.93</v>
      </c>
      <c r="L943">
        <v>-0.21510000000000001</v>
      </c>
      <c r="M943">
        <v>2.4</v>
      </c>
      <c r="N943">
        <v>35</v>
      </c>
      <c r="O943">
        <v>1.39</v>
      </c>
    </row>
    <row r="944" spans="1:15">
      <c r="A944" t="s">
        <v>1404</v>
      </c>
      <c r="G944" cm="1">
        <f t="array" ref="G944:O944">VALUE(_xlfn.TEXTSPLIT(SUBSTITUTE(TRIM(A944),"0.0 %","0.0%")," "))</f>
        <v>0.09</v>
      </c>
      <c r="H944">
        <v>1.804</v>
      </c>
      <c r="I944">
        <v>0.32</v>
      </c>
      <c r="J944">
        <v>0.29399999999999998</v>
      </c>
      <c r="K944">
        <v>28.34</v>
      </c>
      <c r="L944">
        <v>-2.07E-2</v>
      </c>
      <c r="M944">
        <v>3.3</v>
      </c>
      <c r="N944">
        <v>2</v>
      </c>
      <c r="O944">
        <v>1.56</v>
      </c>
    </row>
    <row r="945" spans="1:15">
      <c r="A945" t="s">
        <v>1405</v>
      </c>
      <c r="G945" cm="1">
        <f t="array" ref="G945:O945">VALUE(_xlfn.TEXTSPLIT(SUBSTITUTE(TRIM(A945),"0.0 %","0.0%")," "))</f>
        <v>0.1</v>
      </c>
      <c r="H945">
        <v>1.617</v>
      </c>
      <c r="I945">
        <v>0.24099999999999999</v>
      </c>
      <c r="J945">
        <v>-7.0000000000000001E-3</v>
      </c>
      <c r="K945">
        <v>19.329999999999998</v>
      </c>
      <c r="L945">
        <v>6.08E-2</v>
      </c>
      <c r="M945">
        <v>0.3</v>
      </c>
      <c r="N945">
        <v>0.5</v>
      </c>
      <c r="O945">
        <v>0.17</v>
      </c>
    </row>
    <row r="946" spans="1:15">
      <c r="A946" t="s">
        <v>1406</v>
      </c>
      <c r="G946" cm="1">
        <f t="array" ref="G946:O946">VALUE(_xlfn.TEXTSPLIT(SUBSTITUTE(TRIM(A946),"0.0 %","0.0%")," "))</f>
        <v>0.15</v>
      </c>
      <c r="H946">
        <v>1.198</v>
      </c>
      <c r="I946">
        <v>0.14899999999999999</v>
      </c>
      <c r="J946">
        <v>0.47299999999999998</v>
      </c>
      <c r="K946">
        <v>13.83</v>
      </c>
      <c r="L946">
        <v>-0.26019999999999999</v>
      </c>
      <c r="M946">
        <v>1</v>
      </c>
      <c r="N946">
        <v>0.5</v>
      </c>
      <c r="O946">
        <v>0.5</v>
      </c>
    </row>
    <row r="947" spans="1:15">
      <c r="A947" t="s">
        <v>1407</v>
      </c>
      <c r="G947" cm="1">
        <f t="array" ref="G947:O947">VALUE(_xlfn.TEXTSPLIT(SUBSTITUTE(TRIM(A947),"0.0 %","0.0%")," "))</f>
        <v>0.2</v>
      </c>
      <c r="H947">
        <v>1.159</v>
      </c>
      <c r="I947">
        <v>0.38900000000000001</v>
      </c>
      <c r="J947">
        <v>0.22900000000000001</v>
      </c>
      <c r="K947">
        <v>14.18</v>
      </c>
      <c r="L947">
        <v>-0.12180000000000001</v>
      </c>
      <c r="M947">
        <v>1.1000000000000001</v>
      </c>
      <c r="N947">
        <v>0.5</v>
      </c>
      <c r="O947">
        <v>0.44</v>
      </c>
    </row>
    <row r="948" spans="1:15">
      <c r="A948" t="s">
        <v>1408</v>
      </c>
      <c r="G948" cm="1">
        <f t="array" ref="G948:O948">VALUE(_xlfn.TEXTSPLIT(SUBSTITUTE(TRIM(A948),"0.0 %","0.0%")," "))</f>
        <v>0.3</v>
      </c>
      <c r="H948">
        <v>1.2330000000000001</v>
      </c>
      <c r="I948">
        <v>0.54400000000000004</v>
      </c>
      <c r="J948">
        <v>0.14299999999999999</v>
      </c>
      <c r="K948">
        <v>13.81</v>
      </c>
      <c r="L948">
        <v>-6.59E-2</v>
      </c>
      <c r="M948">
        <v>0.5</v>
      </c>
      <c r="N948">
        <v>0.5</v>
      </c>
      <c r="O948">
        <v>0.33</v>
      </c>
    </row>
    <row r="949" spans="1:15">
      <c r="A949" t="s">
        <v>1409</v>
      </c>
      <c r="G949" cm="1">
        <f t="array" ref="G949:O949">VALUE(_xlfn.TEXTSPLIT(SUBSTITUTE(TRIM(A949),"0.0 %","0.0%")," "))</f>
        <v>0.4</v>
      </c>
      <c r="H949">
        <v>1.321</v>
      </c>
      <c r="I949">
        <v>0.66900000000000004</v>
      </c>
      <c r="J949">
        <v>9.9000000000000005E-2</v>
      </c>
      <c r="K949">
        <v>14.23</v>
      </c>
      <c r="L949">
        <v>-5.3400000000000003E-2</v>
      </c>
      <c r="M949">
        <v>0.7</v>
      </c>
      <c r="N949">
        <v>35</v>
      </c>
      <c r="O949">
        <v>0.41</v>
      </c>
    </row>
    <row r="950" spans="1:15">
      <c r="A950" t="s">
        <v>1410</v>
      </c>
      <c r="G950" cm="1">
        <f t="array" ref="G950:O950">VALUE(_xlfn.TEXTSPLIT(SUBSTITUTE(TRIM(A950),"0.0 %","0.0%")," "))</f>
        <v>0.5</v>
      </c>
      <c r="H950">
        <v>1.3939999999999999</v>
      </c>
      <c r="I950">
        <v>0.74399999999999999</v>
      </c>
      <c r="J950">
        <v>7.5999999999999998E-2</v>
      </c>
      <c r="K950">
        <v>14.15</v>
      </c>
      <c r="L950">
        <v>-4.4699999999999997E-2</v>
      </c>
      <c r="M950">
        <v>0.7</v>
      </c>
      <c r="N950">
        <v>5</v>
      </c>
      <c r="O950">
        <v>0.44</v>
      </c>
    </row>
    <row r="951" spans="1:15">
      <c r="A951" t="s">
        <v>1411</v>
      </c>
      <c r="G951" cm="1">
        <f t="array" ref="G951:O951">VALUE(_xlfn.TEXTSPLIT(SUBSTITUTE(TRIM(A951),"0.0 %","0.0%")," "))</f>
        <v>0.6</v>
      </c>
      <c r="H951">
        <v>1.4419999999999999</v>
      </c>
      <c r="I951">
        <v>0.8</v>
      </c>
      <c r="J951">
        <v>5.8000000000000003E-2</v>
      </c>
      <c r="K951">
        <v>13.75</v>
      </c>
      <c r="L951">
        <v>-3.5900000000000001E-2</v>
      </c>
      <c r="M951">
        <v>0.8</v>
      </c>
      <c r="N951">
        <v>5</v>
      </c>
      <c r="O951">
        <v>0.46</v>
      </c>
    </row>
    <row r="952" spans="1:15">
      <c r="A952" t="s">
        <v>1412</v>
      </c>
      <c r="G952" cm="1">
        <f t="array" ref="G952:O952">VALUE(_xlfn.TEXTSPLIT(SUBSTITUTE(TRIM(A952),"0.0 %","0.0%")," "))</f>
        <v>0.8</v>
      </c>
      <c r="H952">
        <v>1.506</v>
      </c>
      <c r="I952">
        <v>0.872</v>
      </c>
      <c r="J952">
        <v>3.7999999999999999E-2</v>
      </c>
      <c r="K952">
        <v>13.69</v>
      </c>
      <c r="L952">
        <v>-2.7900000000000001E-2</v>
      </c>
      <c r="M952">
        <v>0.9</v>
      </c>
      <c r="N952">
        <v>5</v>
      </c>
      <c r="O952">
        <v>0.43</v>
      </c>
    </row>
    <row r="953" spans="1:15">
      <c r="A953" t="s">
        <v>1413</v>
      </c>
      <c r="G953" cm="1">
        <f t="array" ref="G953:O953">VALUE(_xlfn.TEXTSPLIT(SUBSTITUTE(TRIM(A953),"0.0 %","0.0%")," "))</f>
        <v>1</v>
      </c>
      <c r="H953">
        <v>1.5269999999999999</v>
      </c>
      <c r="I953">
        <v>0.92900000000000005</v>
      </c>
      <c r="J953">
        <v>2.3E-2</v>
      </c>
      <c r="K953">
        <v>13.52</v>
      </c>
      <c r="L953">
        <v>-2.2200000000000001E-2</v>
      </c>
      <c r="M953">
        <v>0.9</v>
      </c>
      <c r="N953">
        <v>5</v>
      </c>
      <c r="O953">
        <v>0.41</v>
      </c>
    </row>
    <row r="954" spans="1:15">
      <c r="A954" t="s">
        <v>1414</v>
      </c>
      <c r="G954" cm="1">
        <f t="array" ref="G954:O954">VALUE(_xlfn.TEXTSPLIT(SUBSTITUTE(TRIM(A954),"0.0 %","0.0%")," "))</f>
        <v>1.5</v>
      </c>
      <c r="H954">
        <v>1.4950000000000001</v>
      </c>
      <c r="I954">
        <v>1.0229999999999999</v>
      </c>
      <c r="J954">
        <v>3.0000000000000001E-3</v>
      </c>
      <c r="K954">
        <v>14.01</v>
      </c>
      <c r="L954">
        <v>-1.7600000000000001E-2</v>
      </c>
      <c r="M954">
        <v>0.6</v>
      </c>
      <c r="N954">
        <v>35</v>
      </c>
      <c r="O954">
        <v>0.28000000000000003</v>
      </c>
    </row>
    <row r="955" spans="1:15">
      <c r="A955" t="s">
        <v>1415</v>
      </c>
      <c r="G955" cm="1">
        <f t="array" ref="G955:O955">VALUE(_xlfn.TEXTSPLIT(SUBSTITUTE(TRIM(A955),"0.0 %","0.0%")," "))</f>
        <v>2</v>
      </c>
      <c r="H955">
        <v>1.496</v>
      </c>
      <c r="I955">
        <v>1.042</v>
      </c>
      <c r="J955">
        <v>1E-3</v>
      </c>
      <c r="K955">
        <v>13.15</v>
      </c>
      <c r="L955">
        <v>-1.9199999999999998E-2</v>
      </c>
      <c r="M955">
        <v>1.5</v>
      </c>
      <c r="N955">
        <v>0.5</v>
      </c>
      <c r="O955">
        <v>0.66</v>
      </c>
    </row>
    <row r="956" spans="1:15">
      <c r="A956" t="s">
        <v>1416</v>
      </c>
      <c r="G956" cm="1">
        <f t="array" ref="G956:O956">VALUE(_xlfn.TEXTSPLIT(SUBSTITUTE(TRIM(A956),"0.0 %","0.0%")," "))</f>
        <v>3</v>
      </c>
      <c r="H956">
        <v>1.488</v>
      </c>
      <c r="I956">
        <v>1.014</v>
      </c>
      <c r="J956">
        <v>1.7999999999999999E-2</v>
      </c>
      <c r="K956">
        <v>13.26</v>
      </c>
      <c r="L956">
        <v>-4.3799999999999999E-2</v>
      </c>
      <c r="M956">
        <v>3.6</v>
      </c>
      <c r="N956">
        <v>0.5</v>
      </c>
      <c r="O956">
        <v>1.54</v>
      </c>
    </row>
    <row r="957" spans="1:15">
      <c r="A957" t="s">
        <v>1417</v>
      </c>
      <c r="G957" cm="1">
        <f t="array" ref="G957:O957">VALUE(_xlfn.TEXTSPLIT(SUBSTITUTE(TRIM(A957),"0.0 %","0.0%")," "))</f>
        <v>4</v>
      </c>
      <c r="H957">
        <v>1.466</v>
      </c>
      <c r="I957">
        <v>0.98699999999999999</v>
      </c>
      <c r="J957">
        <v>3.3000000000000002E-2</v>
      </c>
      <c r="K957">
        <v>13.74</v>
      </c>
      <c r="L957">
        <v>-5.7200000000000001E-2</v>
      </c>
      <c r="M957">
        <v>4.2</v>
      </c>
      <c r="N957">
        <v>0.5</v>
      </c>
      <c r="O957">
        <v>1.8</v>
      </c>
    </row>
    <row r="958" spans="1:15">
      <c r="A958" t="s">
        <v>1418</v>
      </c>
      <c r="G958" cm="1">
        <f t="array" ref="G958:O958">VALUE(_xlfn.TEXTSPLIT(SUBSTITUTE(TRIM(A958),"0.0 %","0.0%")," "))</f>
        <v>5</v>
      </c>
      <c r="H958">
        <v>1.5329999999999999</v>
      </c>
      <c r="I958">
        <v>0.91500000000000004</v>
      </c>
      <c r="J958">
        <v>6.3E-2</v>
      </c>
      <c r="K958">
        <v>13.98</v>
      </c>
      <c r="L958">
        <v>-8.3500000000000005E-2</v>
      </c>
      <c r="M958">
        <v>5.4</v>
      </c>
      <c r="N958">
        <v>0.5</v>
      </c>
      <c r="O958">
        <v>2.38</v>
      </c>
    </row>
    <row r="959" spans="1:15">
      <c r="A959" t="s">
        <v>1419</v>
      </c>
      <c r="G959" cm="1">
        <f t="array" ref="G959:O959">VALUE(_xlfn.TEXTSPLIT(SUBSTITUTE(TRIM(A959),"0.0 %","0.0%")," "))</f>
        <v>6</v>
      </c>
      <c r="H959">
        <v>1.5629999999999999</v>
      </c>
      <c r="I959">
        <v>0.91500000000000004</v>
      </c>
      <c r="J959">
        <v>6.9000000000000006E-2</v>
      </c>
      <c r="K959">
        <v>14.16</v>
      </c>
      <c r="L959">
        <v>-8.7300000000000003E-2</v>
      </c>
      <c r="M959">
        <v>5.2</v>
      </c>
      <c r="N959">
        <v>0.5</v>
      </c>
      <c r="O959">
        <v>2.38</v>
      </c>
    </row>
    <row r="960" spans="1:15">
      <c r="A960" t="s">
        <v>1420</v>
      </c>
      <c r="G960" cm="1">
        <f t="array" ref="G960:O960">VALUE(_xlfn.TEXTSPLIT(SUBSTITUTE(TRIM(A960),"0.0 %","0.0%")," "))</f>
        <v>8</v>
      </c>
      <c r="H960">
        <v>1.726</v>
      </c>
      <c r="I960">
        <v>0.96599999999999997</v>
      </c>
      <c r="J960">
        <v>6.6000000000000003E-2</v>
      </c>
      <c r="K960">
        <v>14.13</v>
      </c>
      <c r="L960">
        <v>-8.6099999999999996E-2</v>
      </c>
      <c r="M960">
        <v>5</v>
      </c>
      <c r="N960">
        <v>0.5</v>
      </c>
      <c r="O960">
        <v>2.4</v>
      </c>
    </row>
    <row r="961" spans="1:15">
      <c r="A961" t="s">
        <v>1421</v>
      </c>
      <c r="G961" cm="1">
        <f t="array" ref="G961:O961">VALUE(_xlfn.TEXTSPLIT(SUBSTITUTE(TRIM(A961),"0.0 %","0.0%")," "))</f>
        <v>10</v>
      </c>
      <c r="H961">
        <v>1.7929999999999999</v>
      </c>
      <c r="I961">
        <v>1.127</v>
      </c>
      <c r="J961">
        <v>3.3000000000000002E-2</v>
      </c>
      <c r="K961">
        <v>13.96</v>
      </c>
      <c r="L961">
        <v>-5.8700000000000002E-2</v>
      </c>
      <c r="M961">
        <v>3.4</v>
      </c>
      <c r="N961">
        <v>0.5</v>
      </c>
      <c r="O961">
        <v>1.74</v>
      </c>
    </row>
    <row r="962" spans="1:15">
      <c r="A962" t="s">
        <v>1422</v>
      </c>
      <c r="G962" cm="1">
        <f t="array" ref="G962:O962">VALUE(_xlfn.TEXTSPLIT(SUBSTITUTE(TRIM(A962),"0.0 %","0.0%")," "))</f>
        <v>15</v>
      </c>
      <c r="H962">
        <v>2</v>
      </c>
      <c r="I962">
        <v>1.3580000000000001</v>
      </c>
      <c r="J962">
        <v>5.0000000000000001E-3</v>
      </c>
      <c r="K962">
        <v>13.71</v>
      </c>
      <c r="L962">
        <v>-3.6999999999999998E-2</v>
      </c>
      <c r="M962">
        <v>2.7</v>
      </c>
      <c r="N962">
        <v>1</v>
      </c>
      <c r="O962">
        <v>1.25</v>
      </c>
    </row>
    <row r="963" spans="1:15">
      <c r="A963" t="s">
        <v>1322</v>
      </c>
    </row>
    <row r="965" spans="1:15">
      <c r="A965" t="s">
        <v>1134</v>
      </c>
      <c r="G965" t="str">
        <f>A965</f>
        <v xml:space="preserve">                  TUNGSTEN MEDIUM, AIR RESPONSE</v>
      </c>
    </row>
    <row r="967" spans="1:15">
      <c r="A967" t="s">
        <v>610</v>
      </c>
      <c r="G967" t="str" cm="1">
        <f t="array" ref="G967:O967">_xlfn.TEXTSPLIT(TRIM(A967)," ")</f>
        <v>E(MEV)</v>
      </c>
      <c r="H967" t="str">
        <v>B</v>
      </c>
      <c r="I967" t="str">
        <v>C</v>
      </c>
      <c r="J967" t="str">
        <v>A</v>
      </c>
      <c r="K967" t="str">
        <v>XK</v>
      </c>
      <c r="L967" t="str">
        <v>D</v>
      </c>
      <c r="M967" t="str">
        <v>MAX.D</v>
      </c>
      <c r="N967" t="str">
        <v>XMAX</v>
      </c>
      <c r="O967" t="str">
        <v>S.D</v>
      </c>
    </row>
    <row r="968" spans="1:15">
      <c r="A968" t="s">
        <v>611</v>
      </c>
      <c r="G968" s="6" t="s">
        <v>1289</v>
      </c>
      <c r="H968" s="6" t="s">
        <v>1289</v>
      </c>
      <c r="I968" s="6" t="s">
        <v>1289</v>
      </c>
      <c r="J968" s="6" t="s">
        <v>1289</v>
      </c>
      <c r="K968" s="6" t="s">
        <v>1289</v>
      </c>
      <c r="L968" s="6" t="s">
        <v>1289</v>
      </c>
      <c r="M968" s="6" t="s">
        <v>1289</v>
      </c>
      <c r="N968" s="6" t="s">
        <v>1289</v>
      </c>
      <c r="O968" s="6" t="s">
        <v>1289</v>
      </c>
    </row>
    <row r="969" spans="1:15">
      <c r="A969" t="s">
        <v>1424</v>
      </c>
      <c r="G969" cm="1">
        <f t="array" ref="G969:O969">VALUE(_xlfn.TEXTSPLIT(SUBSTITUTE(TRIM(A969),"0.0 %","0.0%")," "))</f>
        <v>1.4999999999999999E-2</v>
      </c>
      <c r="H969">
        <v>1.002</v>
      </c>
      <c r="I969">
        <v>0.317</v>
      </c>
      <c r="J969">
        <v>0.22800000000000001</v>
      </c>
      <c r="K969">
        <v>33.67</v>
      </c>
      <c r="L969">
        <v>-0.4556</v>
      </c>
      <c r="M969">
        <v>0.1</v>
      </c>
      <c r="N969">
        <v>2</v>
      </c>
      <c r="O969">
        <v>0.03</v>
      </c>
    </row>
    <row r="970" spans="1:15">
      <c r="A970" t="s">
        <v>1423</v>
      </c>
      <c r="G970" cm="1">
        <f t="array" ref="G970:O970">VALUE(_xlfn.TEXTSPLIT(SUBSTITUTE(TRIM(A970),"0.0 %","0.0%")," "))</f>
        <v>0.02</v>
      </c>
      <c r="H970">
        <v>1.0029999999999999</v>
      </c>
      <c r="I970">
        <v>0.46800000000000003</v>
      </c>
      <c r="J970">
        <v>0.13700000000000001</v>
      </c>
      <c r="K970">
        <v>25.3</v>
      </c>
      <c r="L970">
        <v>-8.2000000000000003E-2</v>
      </c>
      <c r="M970">
        <v>0.1</v>
      </c>
      <c r="N970">
        <v>3</v>
      </c>
      <c r="O970">
        <v>0.03</v>
      </c>
    </row>
    <row r="971" spans="1:15">
      <c r="A971" t="s">
        <v>1425</v>
      </c>
      <c r="G971" cm="1">
        <f t="array" ref="G971:O971">VALUE(_xlfn.TEXTSPLIT(SUBSTITUTE(TRIM(A971),"0.0 %","0.0%")," "))</f>
        <v>0.03</v>
      </c>
      <c r="H971">
        <v>1.0089999999999999</v>
      </c>
      <c r="I971">
        <v>0.38800000000000001</v>
      </c>
      <c r="J971">
        <v>0.187</v>
      </c>
      <c r="K971">
        <v>19.12</v>
      </c>
      <c r="L971">
        <v>-8.43E-2</v>
      </c>
      <c r="M971">
        <v>0.1</v>
      </c>
      <c r="N971">
        <v>1</v>
      </c>
      <c r="O971">
        <v>0.03</v>
      </c>
    </row>
    <row r="972" spans="1:15">
      <c r="A972" t="s">
        <v>1426</v>
      </c>
      <c r="G972" cm="1">
        <f t="array" ref="G972:O972">VALUE(_xlfn.TEXTSPLIT(SUBSTITUTE(TRIM(A972),"0.0 %","0.0%")," "))</f>
        <v>0.04</v>
      </c>
      <c r="H972">
        <v>1.0189999999999999</v>
      </c>
      <c r="I972">
        <v>0.32</v>
      </c>
      <c r="J972">
        <v>0.251</v>
      </c>
      <c r="K972">
        <v>13.89</v>
      </c>
      <c r="L972">
        <v>-0.1026</v>
      </c>
      <c r="M972">
        <v>0.1</v>
      </c>
      <c r="N972">
        <v>1</v>
      </c>
      <c r="O972">
        <v>0.04</v>
      </c>
    </row>
    <row r="973" spans="1:15">
      <c r="A973" t="s">
        <v>1427</v>
      </c>
      <c r="G973" cm="1">
        <f t="array" ref="G973:O973">VALUE(_xlfn.TEXTSPLIT(SUBSTITUTE(TRIM(A973),"0.0 %","0.0%")," "))</f>
        <v>0.05</v>
      </c>
      <c r="H973">
        <v>1.0329999999999999</v>
      </c>
      <c r="I973">
        <v>0.29899999999999999</v>
      </c>
      <c r="J973">
        <v>0.26400000000000001</v>
      </c>
      <c r="K973">
        <v>13.96</v>
      </c>
      <c r="L973">
        <v>-0.1066</v>
      </c>
      <c r="M973">
        <v>0.1</v>
      </c>
      <c r="N973">
        <v>7</v>
      </c>
      <c r="O973">
        <v>0.05</v>
      </c>
    </row>
    <row r="974" spans="1:15">
      <c r="A974" t="s">
        <v>1428</v>
      </c>
      <c r="G974" cm="1">
        <f t="array" ref="G974:O974">VALUE(_xlfn.TEXTSPLIT(SUBSTITUTE(TRIM(A974),"0.0 %","0.0%")," "))</f>
        <v>0.06</v>
      </c>
      <c r="H974">
        <v>1.048</v>
      </c>
      <c r="I974">
        <v>0.314</v>
      </c>
      <c r="J974">
        <v>0.25700000000000001</v>
      </c>
      <c r="K974">
        <v>14.2</v>
      </c>
      <c r="L974">
        <v>-0.11</v>
      </c>
      <c r="M974">
        <v>0.1</v>
      </c>
      <c r="N974">
        <v>35</v>
      </c>
      <c r="O974">
        <v>0.09</v>
      </c>
    </row>
    <row r="975" spans="1:15">
      <c r="A975" t="s">
        <v>1429</v>
      </c>
      <c r="G975" cm="1">
        <f t="array" ref="G975:O975">VALUE(_xlfn.TEXTSPLIT(SUBSTITUTE(TRIM(A975),"0.0 %","0.0%")," "))</f>
        <v>6.9000000000000006E-2</v>
      </c>
      <c r="H975">
        <v>1.06</v>
      </c>
      <c r="I975">
        <v>0.35199999999999998</v>
      </c>
      <c r="J975">
        <v>0.23599999999999999</v>
      </c>
      <c r="K975">
        <v>14.2</v>
      </c>
      <c r="L975">
        <v>-0.1079</v>
      </c>
      <c r="M975">
        <v>0.2</v>
      </c>
      <c r="N975">
        <v>0.5</v>
      </c>
      <c r="O975">
        <v>0.13</v>
      </c>
    </row>
    <row r="976" spans="1:15">
      <c r="A976" t="s">
        <v>1430</v>
      </c>
      <c r="G976" cm="1">
        <f t="array" ref="G976:O976">VALUE(_xlfn.TEXTSPLIT(SUBSTITUTE(TRIM(A976),"0.0 %","0.0%")," "))</f>
        <v>7.0000000000000007E-2</v>
      </c>
      <c r="H976">
        <v>2.4460000000000002</v>
      </c>
      <c r="I976">
        <v>1.708</v>
      </c>
      <c r="J976">
        <v>5.8000000000000003E-2</v>
      </c>
      <c r="K976">
        <v>11.02</v>
      </c>
      <c r="L976">
        <v>-4.0399999999999998E-2</v>
      </c>
      <c r="M976">
        <v>12.3</v>
      </c>
      <c r="N976">
        <v>3</v>
      </c>
      <c r="O976">
        <v>5.68</v>
      </c>
    </row>
    <row r="977" spans="1:15">
      <c r="A977" t="s">
        <v>1431</v>
      </c>
      <c r="G977" cm="1">
        <f t="array" ref="G977:O977">VALUE(_xlfn.TEXTSPLIT(SUBSTITUTE(TRIM(A977),"0.0 %","0.0%")," "))</f>
        <v>7.4999999999999997E-2</v>
      </c>
      <c r="H977">
        <v>2.31</v>
      </c>
      <c r="I977">
        <v>1.603</v>
      </c>
      <c r="J977">
        <v>6.2E-2</v>
      </c>
      <c r="K977">
        <v>15.06</v>
      </c>
      <c r="L977">
        <v>-5.0299999999999997E-2</v>
      </c>
      <c r="M977">
        <v>11.3</v>
      </c>
      <c r="N977">
        <v>20</v>
      </c>
      <c r="O977">
        <v>6.27</v>
      </c>
    </row>
    <row r="978" spans="1:15">
      <c r="A978" t="s">
        <v>1432</v>
      </c>
      <c r="G978" cm="1">
        <f t="array" ref="G978:O978">VALUE(_xlfn.TEXTSPLIT(SUBSTITUTE(TRIM(A978),"0.0 %","0.0%")," "))</f>
        <v>0.08</v>
      </c>
      <c r="H978">
        <v>2.238</v>
      </c>
      <c r="I978">
        <v>1.4419999999999999</v>
      </c>
      <c r="J978">
        <v>7.9000000000000001E-2</v>
      </c>
      <c r="K978">
        <v>17.8</v>
      </c>
      <c r="L978">
        <v>-8.5800000000000001E-2</v>
      </c>
      <c r="M978">
        <v>10.9</v>
      </c>
      <c r="N978">
        <v>25</v>
      </c>
      <c r="O978">
        <v>6.25</v>
      </c>
    </row>
    <row r="979" spans="1:15">
      <c r="A979" t="s">
        <v>1433</v>
      </c>
      <c r="G979" cm="1">
        <f t="array" ref="G979:O979">VALUE(_xlfn.TEXTSPLIT(SUBSTITUTE(TRIM(A979),"0.0 %","0.0%")," "))</f>
        <v>0.09</v>
      </c>
      <c r="H979">
        <v>1.9510000000000001</v>
      </c>
      <c r="I979">
        <v>1.179</v>
      </c>
      <c r="J979">
        <v>0.104</v>
      </c>
      <c r="K979">
        <v>17.18</v>
      </c>
      <c r="L979">
        <v>-7.5700000000000003E-2</v>
      </c>
      <c r="M979">
        <v>5.4</v>
      </c>
      <c r="N979">
        <v>4</v>
      </c>
      <c r="O979">
        <v>2.69</v>
      </c>
    </row>
    <row r="980" spans="1:15">
      <c r="A980" t="s">
        <v>1434</v>
      </c>
      <c r="G980" cm="1">
        <f t="array" ref="G980:O980">VALUE(_xlfn.TEXTSPLIT(SUBSTITUTE(TRIM(A980),"0.0 %","0.0%")," "))</f>
        <v>0.1</v>
      </c>
      <c r="H980">
        <v>1.764</v>
      </c>
      <c r="I980">
        <v>0.86699999999999999</v>
      </c>
      <c r="J980">
        <v>0.16</v>
      </c>
      <c r="K980">
        <v>15.88</v>
      </c>
      <c r="L980">
        <v>-0.1366</v>
      </c>
      <c r="M980">
        <v>2.9</v>
      </c>
      <c r="N980">
        <v>4</v>
      </c>
      <c r="O980">
        <v>1.75</v>
      </c>
    </row>
    <row r="981" spans="1:15">
      <c r="A981" t="s">
        <v>1435</v>
      </c>
      <c r="G981" cm="1">
        <f t="array" ref="G981:O981">VALUE(_xlfn.TEXTSPLIT(SUBSTITUTE(TRIM(A981),"0.0 %","0.0%")," "))</f>
        <v>0.11</v>
      </c>
      <c r="H981">
        <v>1.61</v>
      </c>
      <c r="I981">
        <v>0.56200000000000006</v>
      </c>
      <c r="J981">
        <v>0.247</v>
      </c>
      <c r="K981">
        <v>15.87</v>
      </c>
      <c r="L981">
        <v>-0.21179999999999999</v>
      </c>
      <c r="M981">
        <v>3.1</v>
      </c>
      <c r="N981">
        <v>35</v>
      </c>
      <c r="O981">
        <v>1.41</v>
      </c>
    </row>
    <row r="982" spans="1:15">
      <c r="A982" t="s">
        <v>1436</v>
      </c>
      <c r="G982" cm="1">
        <f t="array" ref="G982:O982">VALUE(_xlfn.TEXTSPLIT(SUBSTITUTE(TRIM(A982),"0.0 %","0.0%")," "))</f>
        <v>0.12</v>
      </c>
      <c r="H982">
        <v>1.5009999999999999</v>
      </c>
      <c r="I982">
        <v>0.34</v>
      </c>
      <c r="J982">
        <v>0.30499999999999999</v>
      </c>
      <c r="K982">
        <v>24.33</v>
      </c>
      <c r="L982">
        <v>-0.1784</v>
      </c>
      <c r="M982">
        <v>1.6</v>
      </c>
      <c r="N982">
        <v>0.5</v>
      </c>
      <c r="O982">
        <v>0.84</v>
      </c>
    </row>
    <row r="983" spans="1:15">
      <c r="A983" t="s">
        <v>1437</v>
      </c>
      <c r="G983" cm="1">
        <f t="array" ref="G983:O983">VALUE(_xlfn.TEXTSPLIT(SUBSTITUTE(TRIM(A983),"0.0 %","0.0%")," "))</f>
        <v>0.13</v>
      </c>
      <c r="H983">
        <v>1.393</v>
      </c>
      <c r="I983">
        <v>0.30599999999999999</v>
      </c>
      <c r="J983">
        <v>0.122</v>
      </c>
      <c r="K983">
        <v>9.7200000000000006</v>
      </c>
      <c r="L983">
        <v>-5.74E-2</v>
      </c>
      <c r="M983">
        <v>0.2</v>
      </c>
      <c r="N983">
        <v>30</v>
      </c>
      <c r="O983">
        <v>0.1</v>
      </c>
    </row>
    <row r="984" spans="1:15">
      <c r="A984" t="s">
        <v>1438</v>
      </c>
      <c r="G984" cm="1">
        <f t="array" ref="G984:O984">VALUE(_xlfn.TEXTSPLIT(SUBSTITUTE(TRIM(A984),"0.0 %","0.0%")," "))</f>
        <v>0.14000000000000001</v>
      </c>
      <c r="H984">
        <v>1.3140000000000001</v>
      </c>
      <c r="I984">
        <v>0.21</v>
      </c>
      <c r="J984">
        <v>0.156</v>
      </c>
      <c r="K984">
        <v>10.36</v>
      </c>
      <c r="L984">
        <v>3.56E-2</v>
      </c>
      <c r="M984">
        <v>0.2</v>
      </c>
      <c r="N984">
        <v>0.5</v>
      </c>
      <c r="O984">
        <v>0.08</v>
      </c>
    </row>
    <row r="985" spans="1:15">
      <c r="A985" t="s">
        <v>1439</v>
      </c>
      <c r="G985" cm="1">
        <f t="array" ref="G985:O985">VALUE(_xlfn.TEXTSPLIT(SUBSTITUTE(TRIM(A985),"0.0 %","0.0%")," "))</f>
        <v>0.15</v>
      </c>
      <c r="H985">
        <v>1.2529999999999999</v>
      </c>
      <c r="I985">
        <v>0.14499999999999999</v>
      </c>
      <c r="J985">
        <v>0.35299999999999998</v>
      </c>
      <c r="K985">
        <v>15.12</v>
      </c>
      <c r="L985">
        <v>-8.4500000000000006E-2</v>
      </c>
      <c r="M985">
        <v>0.4</v>
      </c>
      <c r="N985">
        <v>0.5</v>
      </c>
      <c r="O985">
        <v>0.15</v>
      </c>
    </row>
    <row r="986" spans="1:15">
      <c r="A986" t="s">
        <v>1440</v>
      </c>
      <c r="G986" cm="1">
        <f t="array" ref="G986:O986">VALUE(_xlfn.TEXTSPLIT(SUBSTITUTE(TRIM(A986),"0.0 %","0.0%")," "))</f>
        <v>0.2</v>
      </c>
      <c r="H986">
        <v>1.155</v>
      </c>
      <c r="I986">
        <v>0.248</v>
      </c>
      <c r="J986">
        <v>0.34699999999999998</v>
      </c>
      <c r="K986">
        <v>13.68</v>
      </c>
      <c r="L986">
        <v>-0.1966</v>
      </c>
      <c r="M986">
        <v>0.9</v>
      </c>
      <c r="N986">
        <v>0.5</v>
      </c>
      <c r="O986">
        <v>0.47</v>
      </c>
    </row>
    <row r="987" spans="1:15">
      <c r="A987" t="s">
        <v>1441</v>
      </c>
      <c r="G987" cm="1">
        <f t="array" ref="G987:O987">VALUE(_xlfn.TEXTSPLIT(SUBSTITUTE(TRIM(A987),"0.0 %","0.0%")," "))</f>
        <v>0.3</v>
      </c>
      <c r="H987">
        <v>1.17</v>
      </c>
      <c r="I987">
        <v>0.48699999999999999</v>
      </c>
      <c r="J987">
        <v>0.16800000000000001</v>
      </c>
      <c r="K987">
        <v>13.62</v>
      </c>
      <c r="L987">
        <v>-8.1199999999999994E-2</v>
      </c>
      <c r="M987">
        <v>0.6</v>
      </c>
      <c r="N987">
        <v>0.5</v>
      </c>
      <c r="O987">
        <v>0.33</v>
      </c>
    </row>
    <row r="988" spans="1:15">
      <c r="A988" t="s">
        <v>1442</v>
      </c>
      <c r="G988" cm="1">
        <f t="array" ref="G988:O988">VALUE(_xlfn.TEXTSPLIT(SUBSTITUTE(TRIM(A988),"0.0 %","0.0%")," "))</f>
        <v>0.4</v>
      </c>
      <c r="H988">
        <v>1.234</v>
      </c>
      <c r="I988">
        <v>0.60099999999999998</v>
      </c>
      <c r="J988">
        <v>0.123</v>
      </c>
      <c r="K988">
        <v>14.14</v>
      </c>
      <c r="L988">
        <v>-6.4699999999999994E-2</v>
      </c>
      <c r="M988">
        <v>0.6</v>
      </c>
      <c r="N988">
        <v>25</v>
      </c>
      <c r="O988">
        <v>0.38</v>
      </c>
    </row>
    <row r="989" spans="1:15">
      <c r="A989" t="s">
        <v>1443</v>
      </c>
      <c r="G989" cm="1">
        <f t="array" ref="G989:O989">VALUE(_xlfn.TEXTSPLIT(SUBSTITUTE(TRIM(A989),"0.0 %","0.0%")," "))</f>
        <v>0.5</v>
      </c>
      <c r="H989">
        <v>1.2929999999999999</v>
      </c>
      <c r="I989">
        <v>0.67200000000000004</v>
      </c>
      <c r="J989">
        <v>9.8000000000000004E-2</v>
      </c>
      <c r="K989">
        <v>14.13</v>
      </c>
      <c r="L989">
        <v>-5.3199999999999997E-2</v>
      </c>
      <c r="M989">
        <v>0.6</v>
      </c>
      <c r="N989">
        <v>25</v>
      </c>
      <c r="O989">
        <v>0.4</v>
      </c>
    </row>
    <row r="990" spans="1:15">
      <c r="A990" t="s">
        <v>1444</v>
      </c>
      <c r="G990" cm="1">
        <f t="array" ref="G990:O990">VALUE(_xlfn.TEXTSPLIT(SUBSTITUTE(TRIM(A990),"0.0 %","0.0%")," "))</f>
        <v>0.6</v>
      </c>
      <c r="H990">
        <v>1.3380000000000001</v>
      </c>
      <c r="I990">
        <v>0.72199999999999998</v>
      </c>
      <c r="J990">
        <v>0.08</v>
      </c>
      <c r="K990">
        <v>13.69</v>
      </c>
      <c r="L990">
        <v>-4.3799999999999999E-2</v>
      </c>
      <c r="M990">
        <v>0.7</v>
      </c>
      <c r="N990">
        <v>5</v>
      </c>
      <c r="O990">
        <v>0.42</v>
      </c>
    </row>
    <row r="991" spans="1:15">
      <c r="A991" t="s">
        <v>1445</v>
      </c>
      <c r="G991" cm="1">
        <f t="array" ref="G991:O991">VALUE(_xlfn.TEXTSPLIT(SUBSTITUTE(TRIM(A991),"0.0 %","0.0%")," "))</f>
        <v>0.8</v>
      </c>
      <c r="H991">
        <v>1.4019999999999999</v>
      </c>
      <c r="I991">
        <v>0.79700000000000004</v>
      </c>
      <c r="J991">
        <v>5.7000000000000002E-2</v>
      </c>
      <c r="K991">
        <v>13.71</v>
      </c>
      <c r="L991">
        <v>-3.3399999999999999E-2</v>
      </c>
      <c r="M991">
        <v>0.7</v>
      </c>
      <c r="N991">
        <v>25</v>
      </c>
      <c r="O991">
        <v>0.41</v>
      </c>
    </row>
    <row r="992" spans="1:15">
      <c r="A992" t="s">
        <v>1446</v>
      </c>
      <c r="G992" cm="1">
        <f t="array" ref="G992:O992">VALUE(_xlfn.TEXTSPLIT(SUBSTITUTE(TRIM(A992),"0.0 %","0.0%")," "))</f>
        <v>1</v>
      </c>
      <c r="H992">
        <v>1.4359999999999999</v>
      </c>
      <c r="I992">
        <v>0.85299999999999998</v>
      </c>
      <c r="J992">
        <v>4.2000000000000003E-2</v>
      </c>
      <c r="K992">
        <v>13.34</v>
      </c>
      <c r="L992">
        <v>-2.8500000000000001E-2</v>
      </c>
      <c r="M992">
        <v>0.8</v>
      </c>
      <c r="N992">
        <v>5</v>
      </c>
      <c r="O992">
        <v>0.43</v>
      </c>
    </row>
    <row r="993" spans="1:15">
      <c r="A993" t="s">
        <v>1447</v>
      </c>
      <c r="G993" cm="1">
        <f t="array" ref="G993:O993">VALUE(_xlfn.TEXTSPLIT(SUBSTITUTE(TRIM(A993),"0.0 %","0.0%")," "))</f>
        <v>1.5</v>
      </c>
      <c r="H993">
        <v>1.421</v>
      </c>
      <c r="I993">
        <v>0.97699999999999998</v>
      </c>
      <c r="J993">
        <v>1.2999999999999999E-2</v>
      </c>
      <c r="K993">
        <v>14.3</v>
      </c>
      <c r="L993">
        <v>-2.0500000000000001E-2</v>
      </c>
      <c r="M993">
        <v>0.5</v>
      </c>
      <c r="N993">
        <v>4</v>
      </c>
      <c r="O993">
        <v>0.26</v>
      </c>
    </row>
    <row r="994" spans="1:15">
      <c r="A994" t="s">
        <v>1448</v>
      </c>
      <c r="G994" cm="1">
        <f t="array" ref="G994:O994">VALUE(_xlfn.TEXTSPLIT(SUBSTITUTE(TRIM(A994),"0.0 %","0.0%")," "))</f>
        <v>2</v>
      </c>
      <c r="H994">
        <v>1.4279999999999999</v>
      </c>
      <c r="I994">
        <v>1.012</v>
      </c>
      <c r="J994">
        <v>7.0000000000000001E-3</v>
      </c>
      <c r="K994">
        <v>13.4</v>
      </c>
      <c r="L994">
        <v>-0.02</v>
      </c>
      <c r="M994">
        <v>1.3</v>
      </c>
      <c r="N994">
        <v>0.5</v>
      </c>
      <c r="O994">
        <v>0.67</v>
      </c>
    </row>
    <row r="995" spans="1:15">
      <c r="A995" t="s">
        <v>1449</v>
      </c>
      <c r="G995" cm="1">
        <f t="array" ref="G995:O995">VALUE(_xlfn.TEXTSPLIT(SUBSTITUTE(TRIM(A995),"0.0 %","0.0%")," "))</f>
        <v>3</v>
      </c>
      <c r="H995">
        <v>1.4059999999999999</v>
      </c>
      <c r="I995">
        <v>1.0229999999999999</v>
      </c>
      <c r="J995">
        <v>1.4E-2</v>
      </c>
      <c r="K995">
        <v>13.42</v>
      </c>
      <c r="L995">
        <v>-3.85E-2</v>
      </c>
      <c r="M995">
        <v>3.3</v>
      </c>
      <c r="N995">
        <v>0.5</v>
      </c>
      <c r="O995">
        <v>1.35</v>
      </c>
    </row>
    <row r="996" spans="1:15">
      <c r="A996" t="s">
        <v>1450</v>
      </c>
      <c r="G996" cm="1">
        <f t="array" ref="G996:O996">VALUE(_xlfn.TEXTSPLIT(SUBSTITUTE(TRIM(A996),"0.0 %","0.0%")," "))</f>
        <v>4</v>
      </c>
      <c r="H996">
        <v>1.363</v>
      </c>
      <c r="I996">
        <v>1.0369999999999999</v>
      </c>
      <c r="J996">
        <v>1.7999999999999999E-2</v>
      </c>
      <c r="K996">
        <v>13.72</v>
      </c>
      <c r="L996">
        <v>-4.3700000000000003E-2</v>
      </c>
      <c r="M996">
        <v>4.2</v>
      </c>
      <c r="N996">
        <v>0.5</v>
      </c>
      <c r="O996">
        <v>1.56</v>
      </c>
    </row>
    <row r="997" spans="1:15">
      <c r="A997" t="s">
        <v>1451</v>
      </c>
      <c r="G997" cm="1">
        <f t="array" ref="G997:O997">VALUE(_xlfn.TEXTSPLIT(SUBSTITUTE(TRIM(A997),"0.0 %","0.0%")," "))</f>
        <v>5</v>
      </c>
      <c r="H997">
        <v>1.393</v>
      </c>
      <c r="I997">
        <v>0.96399999999999997</v>
      </c>
      <c r="J997">
        <v>4.9000000000000002E-2</v>
      </c>
      <c r="K997">
        <v>13.94</v>
      </c>
      <c r="L997">
        <v>-7.2300000000000003E-2</v>
      </c>
      <c r="M997">
        <v>5.4</v>
      </c>
      <c r="N997">
        <v>0.5</v>
      </c>
      <c r="O997">
        <v>2.25</v>
      </c>
    </row>
    <row r="998" spans="1:15">
      <c r="A998" t="s">
        <v>1452</v>
      </c>
      <c r="G998" cm="1">
        <f t="array" ref="G998:O998">VALUE(_xlfn.TEXTSPLIT(SUBSTITUTE(TRIM(A998),"0.0 %","0.0%")," "))</f>
        <v>6</v>
      </c>
      <c r="H998">
        <v>1.397</v>
      </c>
      <c r="I998">
        <v>0.96299999999999997</v>
      </c>
      <c r="J998">
        <v>5.6000000000000001E-2</v>
      </c>
      <c r="K998">
        <v>14.34</v>
      </c>
      <c r="L998">
        <v>-7.6899999999999996E-2</v>
      </c>
      <c r="M998">
        <v>5.5</v>
      </c>
      <c r="N998">
        <v>0.5</v>
      </c>
      <c r="O998">
        <v>2.37</v>
      </c>
    </row>
    <row r="999" spans="1:15">
      <c r="A999" t="s">
        <v>1453</v>
      </c>
      <c r="G999" cm="1">
        <f t="array" ref="G999:O999">VALUE(_xlfn.TEXTSPLIT(SUBSTITUTE(TRIM(A999),"0.0 %","0.0%")," "))</f>
        <v>8</v>
      </c>
      <c r="H999">
        <v>1.4650000000000001</v>
      </c>
      <c r="I999">
        <v>0.99</v>
      </c>
      <c r="J999">
        <v>6.3E-2</v>
      </c>
      <c r="K999">
        <v>14.15</v>
      </c>
      <c r="L999">
        <v>-8.48E-2</v>
      </c>
      <c r="M999">
        <v>5.8</v>
      </c>
      <c r="N999">
        <v>0.5</v>
      </c>
      <c r="O999">
        <v>2.58</v>
      </c>
    </row>
    <row r="1000" spans="1:15">
      <c r="A1000" t="s">
        <v>1454</v>
      </c>
      <c r="G1000" cm="1">
        <f t="array" ref="G1000:O1000">VALUE(_xlfn.TEXTSPLIT(SUBSTITUTE(TRIM(A1000),"0.0 %","0.0%")," "))</f>
        <v>10</v>
      </c>
      <c r="H1000">
        <v>1.4750000000000001</v>
      </c>
      <c r="I1000">
        <v>1.151</v>
      </c>
      <c r="J1000">
        <v>3.1E-2</v>
      </c>
      <c r="K1000">
        <v>14.1</v>
      </c>
      <c r="L1000">
        <v>-5.6099999999999997E-2</v>
      </c>
      <c r="M1000">
        <v>4.5</v>
      </c>
      <c r="N1000">
        <v>0.5</v>
      </c>
      <c r="O1000">
        <v>1.89</v>
      </c>
    </row>
    <row r="1001" spans="1:15">
      <c r="A1001" t="s">
        <v>1455</v>
      </c>
      <c r="G1001" cm="1">
        <f t="array" ref="G1001:O1001">VALUE(_xlfn.TEXTSPLIT(SUBSTITUTE(TRIM(A1001),"0.0 %","0.0%")," "))</f>
        <v>15</v>
      </c>
      <c r="H1001">
        <v>1.589</v>
      </c>
      <c r="I1001">
        <v>1.335</v>
      </c>
      <c r="J1001">
        <v>1.6E-2</v>
      </c>
      <c r="K1001">
        <v>13.6</v>
      </c>
      <c r="L1001">
        <v>-4.9399999999999999E-2</v>
      </c>
      <c r="M1001">
        <v>3.4</v>
      </c>
      <c r="N1001">
        <v>0.5</v>
      </c>
      <c r="O1001">
        <v>1.71</v>
      </c>
    </row>
    <row r="1002" spans="1:15">
      <c r="A1002" t="s">
        <v>1322</v>
      </c>
    </row>
    <row r="1004" spans="1:15">
      <c r="A1004" t="s">
        <v>1159</v>
      </c>
      <c r="G1004" t="str">
        <f>A1004</f>
        <v xml:space="preserve">                  LEAD MEDIUM, AIR RESPONSE</v>
      </c>
    </row>
    <row r="1006" spans="1:15">
      <c r="A1006" t="s">
        <v>610</v>
      </c>
      <c r="G1006" t="str" cm="1">
        <f t="array" ref="G1006:O1006">_xlfn.TEXTSPLIT(TRIM(A1006)," ")</f>
        <v>E(MEV)</v>
      </c>
      <c r="H1006" t="str">
        <v>B</v>
      </c>
      <c r="I1006" t="str">
        <v>C</v>
      </c>
      <c r="J1006" t="str">
        <v>A</v>
      </c>
      <c r="K1006" t="str">
        <v>XK</v>
      </c>
      <c r="L1006" t="str">
        <v>D</v>
      </c>
      <c r="M1006" t="str">
        <v>MAX.D</v>
      </c>
      <c r="N1006" t="str">
        <v>XMAX</v>
      </c>
      <c r="O1006" t="str">
        <v>S.D</v>
      </c>
    </row>
    <row r="1007" spans="1:15">
      <c r="A1007" t="s">
        <v>611</v>
      </c>
      <c r="G1007" s="6" t="s">
        <v>1289</v>
      </c>
      <c r="H1007" s="6" t="s">
        <v>1289</v>
      </c>
      <c r="I1007" s="6" t="s">
        <v>1289</v>
      </c>
      <c r="J1007" s="6" t="s">
        <v>1289</v>
      </c>
      <c r="K1007" s="6" t="s">
        <v>1289</v>
      </c>
      <c r="L1007" s="6" t="s">
        <v>1289</v>
      </c>
      <c r="M1007" s="6" t="s">
        <v>1289</v>
      </c>
      <c r="N1007" s="6" t="s">
        <v>1289</v>
      </c>
      <c r="O1007" s="6" t="s">
        <v>1289</v>
      </c>
    </row>
    <row r="1008" spans="1:15">
      <c r="A1008" t="s">
        <v>1456</v>
      </c>
      <c r="G1008" cm="1">
        <f t="array" ref="G1008:O1008">VALUE(_xlfn.TEXTSPLIT(SUBSTITUTE(TRIM(A1008),"0.0 %","0.0%")," "))</f>
        <v>1.4999999999999999E-2</v>
      </c>
      <c r="H1008">
        <v>1.0069999999999999</v>
      </c>
      <c r="I1008">
        <v>0.32200000000000001</v>
      </c>
      <c r="J1008">
        <v>0.246</v>
      </c>
      <c r="K1008">
        <v>13.67</v>
      </c>
      <c r="L1008">
        <v>-0.10299999999999999</v>
      </c>
      <c r="M1008">
        <v>0</v>
      </c>
      <c r="N1008">
        <v>0.5</v>
      </c>
      <c r="O1008">
        <v>0.02</v>
      </c>
    </row>
    <row r="1009" spans="1:15">
      <c r="A1009" t="s">
        <v>1457</v>
      </c>
      <c r="G1009" cm="1">
        <f t="array" ref="G1009:O1009">VALUE(_xlfn.TEXTSPLIT(SUBSTITUTE(TRIM(A1009),"0.0 %","0.0%")," "))</f>
        <v>0.02</v>
      </c>
      <c r="H1009">
        <v>1.0069999999999999</v>
      </c>
      <c r="I1009">
        <v>0.32200000000000001</v>
      </c>
      <c r="J1009">
        <v>0.246</v>
      </c>
      <c r="K1009">
        <v>13.67</v>
      </c>
      <c r="L1009">
        <v>-0.10299999999999999</v>
      </c>
      <c r="M1009">
        <v>0</v>
      </c>
      <c r="N1009">
        <v>0.5</v>
      </c>
      <c r="O1009">
        <v>0.02</v>
      </c>
    </row>
    <row r="1010" spans="1:15">
      <c r="A1010" t="s">
        <v>1458</v>
      </c>
      <c r="G1010" cm="1">
        <f t="array" ref="G1010:O1010">VALUE(_xlfn.TEXTSPLIT(SUBSTITUTE(TRIM(A1010),"0.0 %","0.0%")," "))</f>
        <v>0.03</v>
      </c>
      <c r="H1010">
        <v>1.0069999999999999</v>
      </c>
      <c r="I1010">
        <v>0.32200000000000001</v>
      </c>
      <c r="J1010">
        <v>0.246</v>
      </c>
      <c r="K1010">
        <v>13.67</v>
      </c>
      <c r="L1010">
        <v>-0.10299999999999999</v>
      </c>
      <c r="M1010">
        <v>0</v>
      </c>
      <c r="N1010">
        <v>0.5</v>
      </c>
      <c r="O1010">
        <v>0.02</v>
      </c>
    </row>
    <row r="1011" spans="1:15">
      <c r="A1011" t="s">
        <v>1459</v>
      </c>
      <c r="G1011" cm="1">
        <f t="array" ref="G1011:O1011">VALUE(_xlfn.TEXTSPLIT(SUBSTITUTE(TRIM(A1011),"0.0 %","0.0%")," "))</f>
        <v>0.04</v>
      </c>
      <c r="H1011">
        <v>1.014</v>
      </c>
      <c r="I1011">
        <v>0.317</v>
      </c>
      <c r="J1011">
        <v>0.245</v>
      </c>
      <c r="K1011">
        <v>14.95</v>
      </c>
      <c r="L1011">
        <v>-8.6699999999999999E-2</v>
      </c>
      <c r="M1011">
        <v>0.1</v>
      </c>
      <c r="N1011">
        <v>0.5</v>
      </c>
      <c r="O1011">
        <v>0.04</v>
      </c>
    </row>
    <row r="1012" spans="1:15">
      <c r="A1012" t="s">
        <v>1460</v>
      </c>
      <c r="G1012" cm="1">
        <f t="array" ref="G1012:O1012">VALUE(_xlfn.TEXTSPLIT(SUBSTITUTE(TRIM(A1012),"0.0 %","0.0%")," "))</f>
        <v>0.05</v>
      </c>
      <c r="H1012">
        <v>1.0229999999999999</v>
      </c>
      <c r="I1012">
        <v>0.312</v>
      </c>
      <c r="J1012">
        <v>0.252</v>
      </c>
      <c r="K1012">
        <v>14.17</v>
      </c>
      <c r="L1012">
        <v>-0.10050000000000001</v>
      </c>
      <c r="M1012">
        <v>0.1</v>
      </c>
      <c r="N1012">
        <v>0.5</v>
      </c>
      <c r="O1012">
        <v>0.04</v>
      </c>
    </row>
    <row r="1013" spans="1:15">
      <c r="A1013" t="s">
        <v>1461</v>
      </c>
      <c r="G1013" cm="1">
        <f t="array" ref="G1013:O1013">VALUE(_xlfn.TEXTSPLIT(SUBSTITUTE(TRIM(A1013),"0.0 %","0.0%")," "))</f>
        <v>0.06</v>
      </c>
      <c r="H1013">
        <v>1.0329999999999999</v>
      </c>
      <c r="I1013">
        <v>0.32</v>
      </c>
      <c r="J1013">
        <v>0.26</v>
      </c>
      <c r="K1013">
        <v>13.89</v>
      </c>
      <c r="L1013">
        <v>-0.12230000000000001</v>
      </c>
      <c r="M1013">
        <v>0.1</v>
      </c>
      <c r="N1013">
        <v>4</v>
      </c>
      <c r="O1013">
        <v>0.06</v>
      </c>
    </row>
    <row r="1014" spans="1:15">
      <c r="A1014" t="s">
        <v>1462</v>
      </c>
      <c r="G1014" cm="1">
        <f t="array" ref="G1014:O1014">VALUE(_xlfn.TEXTSPLIT(SUBSTITUTE(TRIM(A1014),"0.0 %","0.0%")," "))</f>
        <v>0.08</v>
      </c>
      <c r="H1014">
        <v>1.0580000000000001</v>
      </c>
      <c r="I1014">
        <v>0.36199999999999999</v>
      </c>
      <c r="J1014">
        <v>0.23300000000000001</v>
      </c>
      <c r="K1014">
        <v>13.91</v>
      </c>
      <c r="L1014">
        <v>-0.11269999999999999</v>
      </c>
      <c r="M1014">
        <v>0.2</v>
      </c>
      <c r="N1014">
        <v>0.5</v>
      </c>
      <c r="O1014">
        <v>0.12</v>
      </c>
    </row>
    <row r="1015" spans="1:15">
      <c r="A1015" t="s">
        <v>1463</v>
      </c>
      <c r="G1015" cm="1">
        <f t="array" ref="G1015:O1015">VALUE(_xlfn.TEXTSPLIT(SUBSTITUTE(TRIM(A1015),"0.0 %","0.0%")," "))</f>
        <v>8.7999999999999995E-2</v>
      </c>
      <c r="H1015">
        <v>1.0669999999999999</v>
      </c>
      <c r="I1015">
        <v>0.38200000000000001</v>
      </c>
      <c r="J1015">
        <v>0.22</v>
      </c>
      <c r="K1015">
        <v>14.14</v>
      </c>
      <c r="L1015">
        <v>-0.1048</v>
      </c>
      <c r="M1015">
        <v>0.3</v>
      </c>
      <c r="N1015">
        <v>0.5</v>
      </c>
      <c r="O1015">
        <v>0.15</v>
      </c>
    </row>
    <row r="1016" spans="1:15">
      <c r="A1016" t="s">
        <v>1464</v>
      </c>
      <c r="G1016" cm="1">
        <f t="array" ref="G1016:O1016">VALUE(_xlfn.TEXTSPLIT(SUBSTITUTE(TRIM(A1016),"0.0 %","0.0%")," "))</f>
        <v>8.8999999999999996E-2</v>
      </c>
      <c r="H1016">
        <v>2.3679999999999999</v>
      </c>
      <c r="I1016">
        <v>1.58</v>
      </c>
      <c r="J1016">
        <v>7.4999999999999997E-2</v>
      </c>
      <c r="K1016">
        <v>12.44</v>
      </c>
      <c r="L1016">
        <v>-6.3500000000000001E-2</v>
      </c>
      <c r="M1016">
        <v>14.1</v>
      </c>
      <c r="N1016">
        <v>3</v>
      </c>
      <c r="O1016">
        <v>6.38</v>
      </c>
    </row>
    <row r="1017" spans="1:15">
      <c r="A1017" t="s">
        <v>1465</v>
      </c>
      <c r="G1017" cm="1">
        <f t="array" ref="G1017:O1017">VALUE(_xlfn.TEXTSPLIT(SUBSTITUTE(TRIM(A1017),"0.0 %","0.0%")," "))</f>
        <v>0.09</v>
      </c>
      <c r="H1017">
        <v>2.1869999999999998</v>
      </c>
      <c r="I1017">
        <v>1.6930000000000001</v>
      </c>
      <c r="J1017">
        <v>0.05</v>
      </c>
      <c r="K1017">
        <v>18.21</v>
      </c>
      <c r="L1017">
        <v>-4.1500000000000002E-2</v>
      </c>
      <c r="M1017">
        <v>9.4</v>
      </c>
      <c r="N1017">
        <v>20</v>
      </c>
      <c r="O1017">
        <v>5.51</v>
      </c>
    </row>
    <row r="1018" spans="1:15">
      <c r="A1018" t="s">
        <v>1466</v>
      </c>
      <c r="G1018" cm="1">
        <f t="array" ref="G1018:O1018">VALUE(_xlfn.TEXTSPLIT(SUBSTITUTE(TRIM(A1018),"0.0 %","0.0%")," "))</f>
        <v>0.1</v>
      </c>
      <c r="H1018">
        <v>1.93</v>
      </c>
      <c r="I1018">
        <v>1.4990000000000001</v>
      </c>
      <c r="J1018">
        <v>6.0999999999999999E-2</v>
      </c>
      <c r="K1018">
        <v>29.65</v>
      </c>
      <c r="L1018">
        <v>-0.1162</v>
      </c>
      <c r="M1018">
        <v>10.1</v>
      </c>
      <c r="N1018">
        <v>40</v>
      </c>
      <c r="O1018">
        <v>4.37</v>
      </c>
    </row>
    <row r="1019" spans="1:15">
      <c r="A1019" t="s">
        <v>1467</v>
      </c>
      <c r="G1019" cm="1">
        <f t="array" ref="G1019:O1019">VALUE(_xlfn.TEXTSPLIT(SUBSTITUTE(TRIM(A1019),"0.0 %","0.0%")," "))</f>
        <v>0.11</v>
      </c>
      <c r="H1019">
        <v>1.821</v>
      </c>
      <c r="I1019">
        <v>1.196</v>
      </c>
      <c r="J1019">
        <v>0.10199999999999999</v>
      </c>
      <c r="K1019">
        <v>16.64</v>
      </c>
      <c r="L1019">
        <v>-7.5600000000000001E-2</v>
      </c>
      <c r="M1019">
        <v>5.5</v>
      </c>
      <c r="N1019">
        <v>4</v>
      </c>
      <c r="O1019">
        <v>2.72</v>
      </c>
    </row>
    <row r="1020" spans="1:15">
      <c r="A1020" t="s">
        <v>1468</v>
      </c>
      <c r="G1020" cm="1">
        <f t="array" ref="G1020:O1020">VALUE(_xlfn.TEXTSPLIT(SUBSTITUTE(TRIM(A1020),"0.0 %","0.0%")," "))</f>
        <v>0.12</v>
      </c>
      <c r="H1020">
        <v>1.6439999999999999</v>
      </c>
      <c r="I1020">
        <v>0.97</v>
      </c>
      <c r="J1020">
        <v>0.13600000000000001</v>
      </c>
      <c r="K1020">
        <v>16.100000000000001</v>
      </c>
      <c r="L1020">
        <v>-0.1135</v>
      </c>
      <c r="M1020">
        <v>3.6</v>
      </c>
      <c r="N1020">
        <v>1</v>
      </c>
      <c r="O1020">
        <v>1.9</v>
      </c>
    </row>
    <row r="1021" spans="1:15">
      <c r="A1021" t="s">
        <v>1469</v>
      </c>
      <c r="G1021" cm="1">
        <f t="array" ref="G1021:O1021">VALUE(_xlfn.TEXTSPLIT(SUBSTITUTE(TRIM(A1021),"0.0 %","0.0%")," "))</f>
        <v>0.13</v>
      </c>
      <c r="H1021">
        <v>1.54</v>
      </c>
      <c r="I1021">
        <v>0.71799999999999997</v>
      </c>
      <c r="J1021">
        <v>0.19400000000000001</v>
      </c>
      <c r="K1021">
        <v>15.69</v>
      </c>
      <c r="L1021">
        <v>-0.16850000000000001</v>
      </c>
      <c r="M1021">
        <v>2.7</v>
      </c>
      <c r="N1021">
        <v>1</v>
      </c>
      <c r="O1021">
        <v>1.6</v>
      </c>
    </row>
    <row r="1022" spans="1:15">
      <c r="A1022" t="s">
        <v>1470</v>
      </c>
      <c r="G1022" cm="1">
        <f t="array" ref="G1022:O1022">VALUE(_xlfn.TEXTSPLIT(SUBSTITUTE(TRIM(A1022),"0.0 %","0.0%")," "))</f>
        <v>0.14000000000000001</v>
      </c>
      <c r="H1022">
        <v>1.472</v>
      </c>
      <c r="I1022">
        <v>0.47899999999999998</v>
      </c>
      <c r="J1022">
        <v>0.27300000000000002</v>
      </c>
      <c r="K1022">
        <v>16.5</v>
      </c>
      <c r="L1022">
        <v>-0.21529999999999999</v>
      </c>
      <c r="M1022">
        <v>1.7</v>
      </c>
      <c r="N1022">
        <v>35</v>
      </c>
      <c r="O1022">
        <v>1.05</v>
      </c>
    </row>
    <row r="1023" spans="1:15">
      <c r="A1023" t="s">
        <v>1471</v>
      </c>
      <c r="G1023" cm="1">
        <f t="array" ref="G1023:O1023">VALUE(_xlfn.TEXTSPLIT(SUBSTITUTE(TRIM(A1023),"0.0 %","0.0%")," "))</f>
        <v>0.15</v>
      </c>
      <c r="H1023">
        <v>1.4019999999999999</v>
      </c>
      <c r="I1023">
        <v>0.35199999999999998</v>
      </c>
      <c r="J1023">
        <v>0.26900000000000002</v>
      </c>
      <c r="K1023">
        <v>17.09</v>
      </c>
      <c r="L1023">
        <v>-2.47E-2</v>
      </c>
      <c r="M1023">
        <v>1.1000000000000001</v>
      </c>
      <c r="N1023">
        <v>0.5</v>
      </c>
      <c r="O1023">
        <v>0.57999999999999996</v>
      </c>
    </row>
    <row r="1024" spans="1:15">
      <c r="A1024" t="s">
        <v>1472</v>
      </c>
      <c r="G1024" cm="1">
        <f t="array" ref="G1024:O1024">VALUE(_xlfn.TEXTSPLIT(SUBSTITUTE(TRIM(A1024),"0.0 %","0.0%")," "))</f>
        <v>0.16</v>
      </c>
      <c r="H1024">
        <v>1.3340000000000001</v>
      </c>
      <c r="I1024">
        <v>0.32900000000000001</v>
      </c>
      <c r="J1024">
        <v>0.14499999999999999</v>
      </c>
      <c r="K1024">
        <v>11.38</v>
      </c>
      <c r="L1024">
        <v>-6.4299999999999996E-2</v>
      </c>
      <c r="M1024">
        <v>0.2</v>
      </c>
      <c r="N1024">
        <v>30</v>
      </c>
      <c r="O1024">
        <v>0.1</v>
      </c>
    </row>
    <row r="1025" spans="1:15">
      <c r="A1025" t="s">
        <v>1473</v>
      </c>
      <c r="G1025" cm="1">
        <f t="array" ref="G1025:O1025">VALUE(_xlfn.TEXTSPLIT(SUBSTITUTE(TRIM(A1025),"0.0 %","0.0%")," "))</f>
        <v>0.2</v>
      </c>
      <c r="H1025">
        <v>1.2010000000000001</v>
      </c>
      <c r="I1025">
        <v>0.158</v>
      </c>
      <c r="J1025">
        <v>0.42599999999999999</v>
      </c>
      <c r="K1025">
        <v>14.12</v>
      </c>
      <c r="L1025">
        <v>-0.18729999999999999</v>
      </c>
      <c r="M1025">
        <v>0.3</v>
      </c>
      <c r="N1025">
        <v>10</v>
      </c>
      <c r="O1025">
        <v>0.2</v>
      </c>
    </row>
    <row r="1026" spans="1:15">
      <c r="A1026" t="s">
        <v>1474</v>
      </c>
      <c r="G1026" cm="1">
        <f t="array" ref="G1026:O1026">VALUE(_xlfn.TEXTSPLIT(SUBSTITUTE(TRIM(A1026),"0.0 %","0.0%")," "))</f>
        <v>0.3</v>
      </c>
      <c r="H1026">
        <v>1.1479999999999999</v>
      </c>
      <c r="I1026">
        <v>0.42199999999999999</v>
      </c>
      <c r="J1026">
        <v>0.20300000000000001</v>
      </c>
      <c r="K1026">
        <v>13.49</v>
      </c>
      <c r="L1026">
        <v>-0.1013</v>
      </c>
      <c r="M1026">
        <v>0.8</v>
      </c>
      <c r="N1026">
        <v>0.5</v>
      </c>
      <c r="O1026">
        <v>0.36</v>
      </c>
    </row>
    <row r="1027" spans="1:15">
      <c r="A1027" t="s">
        <v>1475</v>
      </c>
      <c r="G1027" cm="1">
        <f t="array" ref="G1027:O1027">VALUE(_xlfn.TEXTSPLIT(SUBSTITUTE(TRIM(A1027),"0.0 %","0.0%")," "))</f>
        <v>0.4</v>
      </c>
      <c r="H1027">
        <v>1.1870000000000001</v>
      </c>
      <c r="I1027">
        <v>0.56200000000000006</v>
      </c>
      <c r="J1027">
        <v>0.13700000000000001</v>
      </c>
      <c r="K1027">
        <v>14.19</v>
      </c>
      <c r="L1027">
        <v>-7.0599999999999996E-2</v>
      </c>
      <c r="M1027">
        <v>0.6</v>
      </c>
      <c r="N1027">
        <v>0.5</v>
      </c>
      <c r="O1027">
        <v>0.35</v>
      </c>
    </row>
    <row r="1028" spans="1:15">
      <c r="A1028" t="s">
        <v>1476</v>
      </c>
      <c r="G1028" cm="1">
        <f t="array" ref="G1028:O1028">VALUE(_xlfn.TEXTSPLIT(SUBSTITUTE(TRIM(A1028),"0.0 %","0.0%")," "))</f>
        <v>0.5</v>
      </c>
      <c r="H1028">
        <v>1.2330000000000001</v>
      </c>
      <c r="I1028">
        <v>0.63400000000000001</v>
      </c>
      <c r="J1028">
        <v>0.109</v>
      </c>
      <c r="K1028">
        <v>14.2</v>
      </c>
      <c r="L1028">
        <v>-5.5599999999999997E-2</v>
      </c>
      <c r="M1028">
        <v>0.6</v>
      </c>
      <c r="N1028">
        <v>0.5</v>
      </c>
      <c r="O1028">
        <v>0.38</v>
      </c>
    </row>
    <row r="1029" spans="1:15">
      <c r="A1029" t="s">
        <v>1477</v>
      </c>
      <c r="G1029" cm="1">
        <f t="array" ref="G1029:O1029">VALUE(_xlfn.TEXTSPLIT(SUBSTITUTE(TRIM(A1029),"0.0 %","0.0%")," "))</f>
        <v>0.6</v>
      </c>
      <c r="H1029">
        <v>1.2689999999999999</v>
      </c>
      <c r="I1029">
        <v>0.68500000000000005</v>
      </c>
      <c r="J1029">
        <v>8.8999999999999996E-2</v>
      </c>
      <c r="K1029">
        <v>13.78</v>
      </c>
      <c r="L1029">
        <v>-4.3999999999999997E-2</v>
      </c>
      <c r="M1029">
        <v>0.6</v>
      </c>
      <c r="N1029">
        <v>1</v>
      </c>
      <c r="O1029">
        <v>0.36</v>
      </c>
    </row>
    <row r="1030" spans="1:15">
      <c r="A1030" t="s">
        <v>1478</v>
      </c>
      <c r="G1030" cm="1">
        <f t="array" ref="G1030:O1030">VALUE(_xlfn.TEXTSPLIT(SUBSTITUTE(TRIM(A1030),"0.0 %","0.0%")," "))</f>
        <v>0.8</v>
      </c>
      <c r="H1030">
        <v>1.329</v>
      </c>
      <c r="I1030">
        <v>0.75900000000000001</v>
      </c>
      <c r="J1030">
        <v>6.5000000000000002E-2</v>
      </c>
      <c r="K1030">
        <v>13.69</v>
      </c>
      <c r="L1030">
        <v>-3.1699999999999999E-2</v>
      </c>
      <c r="M1030">
        <v>0.8</v>
      </c>
      <c r="N1030">
        <v>1</v>
      </c>
      <c r="O1030">
        <v>0.39</v>
      </c>
    </row>
    <row r="1031" spans="1:15">
      <c r="A1031" t="s">
        <v>1479</v>
      </c>
      <c r="G1031" cm="1">
        <f t="array" ref="G1031:O1031">VALUE(_xlfn.TEXTSPLIT(SUBSTITUTE(TRIM(A1031),"0.0 %","0.0%")," "))</f>
        <v>1</v>
      </c>
      <c r="H1031">
        <v>1.367</v>
      </c>
      <c r="I1031">
        <v>0.81100000000000005</v>
      </c>
      <c r="J1031">
        <v>5.0999999999999997E-2</v>
      </c>
      <c r="K1031">
        <v>13.67</v>
      </c>
      <c r="L1031">
        <v>-2.8299999999999999E-2</v>
      </c>
      <c r="M1031">
        <v>0.8</v>
      </c>
      <c r="N1031">
        <v>1</v>
      </c>
      <c r="O1031">
        <v>0.42</v>
      </c>
    </row>
    <row r="1032" spans="1:15">
      <c r="A1032" t="s">
        <v>1480</v>
      </c>
      <c r="G1032" cm="1">
        <f t="array" ref="G1032:O1032">VALUE(_xlfn.TEXTSPLIT(SUBSTITUTE(TRIM(A1032),"0.0 %","0.0%")," "))</f>
        <v>1.5</v>
      </c>
      <c r="H1032">
        <v>1.369</v>
      </c>
      <c r="I1032">
        <v>0.94199999999999995</v>
      </c>
      <c r="J1032">
        <v>0.02</v>
      </c>
      <c r="K1032">
        <v>14.65</v>
      </c>
      <c r="L1032">
        <v>-2.07E-2</v>
      </c>
      <c r="M1032">
        <v>0.9</v>
      </c>
      <c r="N1032">
        <v>1</v>
      </c>
      <c r="O1032">
        <v>0.34</v>
      </c>
    </row>
    <row r="1033" spans="1:15">
      <c r="A1033" t="s">
        <v>1481</v>
      </c>
      <c r="G1033" cm="1">
        <f t="array" ref="G1033:O1033">VALUE(_xlfn.TEXTSPLIT(SUBSTITUTE(TRIM(A1033),"0.0 %","0.0%")," "))</f>
        <v>2</v>
      </c>
      <c r="H1033">
        <v>1.3839999999999999</v>
      </c>
      <c r="I1033">
        <v>0.98</v>
      </c>
      <c r="J1033">
        <v>1.4E-2</v>
      </c>
      <c r="K1033">
        <v>13.51</v>
      </c>
      <c r="L1033">
        <v>-2.1600000000000001E-2</v>
      </c>
      <c r="M1033">
        <v>1.7</v>
      </c>
      <c r="N1033">
        <v>0.5</v>
      </c>
      <c r="O1033">
        <v>0.68</v>
      </c>
    </row>
    <row r="1034" spans="1:15">
      <c r="A1034" t="s">
        <v>1482</v>
      </c>
      <c r="G1034" cm="1">
        <f t="array" ref="G1034:O1034">VALUE(_xlfn.TEXTSPLIT(SUBSTITUTE(TRIM(A1034),"0.0 %","0.0%")," "))</f>
        <v>3</v>
      </c>
      <c r="H1034">
        <v>1.367</v>
      </c>
      <c r="I1034">
        <v>1.006</v>
      </c>
      <c r="J1034">
        <v>1.7000000000000001E-2</v>
      </c>
      <c r="K1034">
        <v>13.33</v>
      </c>
      <c r="L1034">
        <v>-3.7699999999999997E-2</v>
      </c>
      <c r="M1034">
        <v>3.4</v>
      </c>
      <c r="N1034">
        <v>0.5</v>
      </c>
      <c r="O1034">
        <v>1.3</v>
      </c>
    </row>
    <row r="1035" spans="1:15">
      <c r="A1035" t="s">
        <v>1483</v>
      </c>
      <c r="G1035" cm="1">
        <f t="array" ref="G1035:O1035">VALUE(_xlfn.TEXTSPLIT(SUBSTITUTE(TRIM(A1035),"0.0 %","0.0%")," "))</f>
        <v>4</v>
      </c>
      <c r="H1035">
        <v>1.337</v>
      </c>
      <c r="I1035">
        <v>1.0089999999999999</v>
      </c>
      <c r="J1035">
        <v>2.4E-2</v>
      </c>
      <c r="K1035">
        <v>14.15</v>
      </c>
      <c r="L1035">
        <v>-4.5499999999999999E-2</v>
      </c>
      <c r="M1035">
        <v>3.7</v>
      </c>
      <c r="N1035">
        <v>0.5</v>
      </c>
      <c r="O1035">
        <v>1.46</v>
      </c>
    </row>
    <row r="1036" spans="1:15">
      <c r="A1036" t="s">
        <v>1484</v>
      </c>
      <c r="G1036" cm="1">
        <f t="array" ref="G1036:O1036">VALUE(_xlfn.TEXTSPLIT(SUBSTITUTE(TRIM(A1036),"0.0 %","0.0%")," "))</f>
        <v>5</v>
      </c>
      <c r="H1036">
        <v>1.36</v>
      </c>
      <c r="I1036">
        <v>0.95699999999999996</v>
      </c>
      <c r="J1036">
        <v>4.9000000000000002E-2</v>
      </c>
      <c r="K1036">
        <v>14.04</v>
      </c>
      <c r="L1036">
        <v>-6.83E-2</v>
      </c>
      <c r="M1036">
        <v>5.4</v>
      </c>
      <c r="N1036">
        <v>0.5</v>
      </c>
      <c r="O1036">
        <v>2.12</v>
      </c>
    </row>
    <row r="1037" spans="1:15">
      <c r="A1037" t="s">
        <v>1485</v>
      </c>
      <c r="G1037" cm="1">
        <f t="array" ref="G1037:O1037">VALUE(_xlfn.TEXTSPLIT(SUBSTITUTE(TRIM(A1037),"0.0 %","0.0%")," "))</f>
        <v>6</v>
      </c>
      <c r="H1037">
        <v>1.363</v>
      </c>
      <c r="I1037">
        <v>0.96499999999999997</v>
      </c>
      <c r="J1037">
        <v>5.3999999999999999E-2</v>
      </c>
      <c r="K1037">
        <v>14.21</v>
      </c>
      <c r="L1037">
        <v>-7.1599999999999997E-2</v>
      </c>
      <c r="M1037">
        <v>5.7</v>
      </c>
      <c r="N1037">
        <v>0.5</v>
      </c>
      <c r="O1037">
        <v>2.21</v>
      </c>
    </row>
    <row r="1038" spans="1:15">
      <c r="A1038" t="s">
        <v>1486</v>
      </c>
      <c r="G1038" cm="1">
        <f t="array" ref="G1038:O1038">VALUE(_xlfn.TEXTSPLIT(SUBSTITUTE(TRIM(A1038),"0.0 %","0.0%")," "))</f>
        <v>8</v>
      </c>
      <c r="H1038">
        <v>1.4410000000000001</v>
      </c>
      <c r="I1038">
        <v>0.99399999999999999</v>
      </c>
      <c r="J1038">
        <v>6.0999999999999999E-2</v>
      </c>
      <c r="K1038">
        <v>14.18</v>
      </c>
      <c r="L1038">
        <v>-0.08</v>
      </c>
      <c r="M1038">
        <v>5.8</v>
      </c>
      <c r="N1038">
        <v>0.5</v>
      </c>
      <c r="O1038">
        <v>2.4500000000000002</v>
      </c>
    </row>
    <row r="1039" spans="1:15">
      <c r="A1039" t="s">
        <v>1487</v>
      </c>
      <c r="G1039" cm="1">
        <f t="array" ref="G1039:O1039">VALUE(_xlfn.TEXTSPLIT(SUBSTITUTE(TRIM(A1039),"0.0 %","0.0%")," "))</f>
        <v>10</v>
      </c>
      <c r="H1039">
        <v>1.464</v>
      </c>
      <c r="I1039">
        <v>1.1479999999999999</v>
      </c>
      <c r="J1039">
        <v>3.2000000000000001E-2</v>
      </c>
      <c r="K1039">
        <v>14.08</v>
      </c>
      <c r="L1039">
        <v>-5.5399999999999998E-2</v>
      </c>
      <c r="M1039">
        <v>4.0999999999999996</v>
      </c>
      <c r="N1039">
        <v>0.5</v>
      </c>
      <c r="O1039">
        <v>1.73</v>
      </c>
    </row>
    <row r="1040" spans="1:15">
      <c r="A1040" t="s">
        <v>1488</v>
      </c>
      <c r="G1040" cm="1">
        <f t="array" ref="G1040:O1040">VALUE(_xlfn.TEXTSPLIT(SUBSTITUTE(TRIM(A1040),"0.0 %","0.0%")," "))</f>
        <v>15</v>
      </c>
      <c r="H1040">
        <v>1.573</v>
      </c>
      <c r="I1040">
        <v>1.337</v>
      </c>
      <c r="J1040">
        <v>1.6E-2</v>
      </c>
      <c r="K1040">
        <v>13.54</v>
      </c>
      <c r="L1040">
        <v>-4.6300000000000001E-2</v>
      </c>
      <c r="M1040">
        <v>3.5</v>
      </c>
      <c r="N1040">
        <v>0.5</v>
      </c>
      <c r="O1040">
        <v>1.76</v>
      </c>
    </row>
    <row r="1041" spans="1:15">
      <c r="A1041" t="s">
        <v>1322</v>
      </c>
    </row>
    <row r="1043" spans="1:15">
      <c r="A1043" t="s">
        <v>1188</v>
      </c>
      <c r="G1043" t="str">
        <f>A1043</f>
        <v xml:space="preserve">                  URANIUM MEDIUM, AIR RESPONSE</v>
      </c>
    </row>
    <row r="1045" spans="1:15">
      <c r="A1045" t="s">
        <v>610</v>
      </c>
      <c r="G1045" t="str" cm="1">
        <f t="array" ref="G1045:O1045">_xlfn.TEXTSPLIT(TRIM(A1045)," ")</f>
        <v>E(MEV)</v>
      </c>
      <c r="H1045" t="str">
        <v>B</v>
      </c>
      <c r="I1045" t="str">
        <v>C</v>
      </c>
      <c r="J1045" t="str">
        <v>A</v>
      </c>
      <c r="K1045" t="str">
        <v>XK</v>
      </c>
      <c r="L1045" t="str">
        <v>D</v>
      </c>
      <c r="M1045" t="str">
        <v>MAX.D</v>
      </c>
      <c r="N1045" t="str">
        <v>XMAX</v>
      </c>
      <c r="O1045" t="str">
        <v>S.D</v>
      </c>
    </row>
    <row r="1046" spans="1:15">
      <c r="A1046" t="s">
        <v>611</v>
      </c>
      <c r="G1046" s="6" t="s">
        <v>1289</v>
      </c>
      <c r="H1046" s="6" t="s">
        <v>1289</v>
      </c>
      <c r="I1046" s="6" t="s">
        <v>1289</v>
      </c>
      <c r="J1046" s="6" t="s">
        <v>1289</v>
      </c>
      <c r="K1046" s="6" t="s">
        <v>1289</v>
      </c>
      <c r="L1046" s="6" t="s">
        <v>1289</v>
      </c>
      <c r="M1046" s="6" t="s">
        <v>1289</v>
      </c>
      <c r="N1046" s="6" t="s">
        <v>1289</v>
      </c>
      <c r="O1046" s="6" t="s">
        <v>1289</v>
      </c>
    </row>
    <row r="1047" spans="1:15">
      <c r="A1047" t="s">
        <v>1489</v>
      </c>
      <c r="G1047" cm="1">
        <f t="array" ref="G1047:O1047">VALUE(_xlfn.TEXTSPLIT(SUBSTITUTE(TRIM(A1047),"0.0 %","0.0%")," "))</f>
        <v>1.4999999999999999E-2</v>
      </c>
      <c r="H1047">
        <v>1.0049999999999999</v>
      </c>
      <c r="I1047">
        <v>0.33600000000000002</v>
      </c>
      <c r="J1047">
        <v>0.224</v>
      </c>
      <c r="K1047">
        <v>25.06</v>
      </c>
      <c r="L1047">
        <v>-0.2039</v>
      </c>
      <c r="M1047">
        <v>0</v>
      </c>
      <c r="N1047">
        <v>8</v>
      </c>
      <c r="O1047">
        <v>0.02</v>
      </c>
    </row>
    <row r="1048" spans="1:15">
      <c r="A1048" t="s">
        <v>1490</v>
      </c>
      <c r="G1048" cm="1">
        <f t="array" ref="G1048:O1048">VALUE(_xlfn.TEXTSPLIT(SUBSTITUTE(TRIM(A1048),"0.0 %","0.0%")," "))</f>
        <v>0.02</v>
      </c>
      <c r="H1048">
        <v>1.0049999999999999</v>
      </c>
      <c r="I1048">
        <v>0.33600000000000002</v>
      </c>
      <c r="J1048">
        <v>0.224</v>
      </c>
      <c r="K1048">
        <v>25.06</v>
      </c>
      <c r="L1048">
        <v>-0.2039</v>
      </c>
      <c r="M1048">
        <v>0</v>
      </c>
      <c r="N1048">
        <v>8</v>
      </c>
      <c r="O1048">
        <v>0.02</v>
      </c>
    </row>
    <row r="1049" spans="1:15">
      <c r="A1049" t="s">
        <v>1491</v>
      </c>
      <c r="G1049" cm="1">
        <f t="array" ref="G1049:O1049">VALUE(_xlfn.TEXTSPLIT(SUBSTITUTE(TRIM(A1049),"0.0 %","0.0%")," "))</f>
        <v>0.03</v>
      </c>
      <c r="H1049">
        <v>1.0049999999999999</v>
      </c>
      <c r="I1049">
        <v>0.33600000000000002</v>
      </c>
      <c r="J1049">
        <v>0.224</v>
      </c>
      <c r="K1049">
        <v>25.06</v>
      </c>
      <c r="L1049">
        <v>-0.2039</v>
      </c>
      <c r="M1049">
        <v>0</v>
      </c>
      <c r="N1049">
        <v>8</v>
      </c>
      <c r="O1049">
        <v>0.02</v>
      </c>
    </row>
    <row r="1050" spans="1:15">
      <c r="A1050" t="s">
        <v>1492</v>
      </c>
      <c r="G1050" cm="1">
        <f t="array" ref="G1050:O1050">VALUE(_xlfn.TEXTSPLIT(SUBSTITUTE(TRIM(A1050),"0.0 %","0.0%")," "))</f>
        <v>0.04</v>
      </c>
      <c r="H1050">
        <v>1.01</v>
      </c>
      <c r="I1050">
        <v>0.29599999999999999</v>
      </c>
      <c r="J1050">
        <v>0.27200000000000002</v>
      </c>
      <c r="K1050">
        <v>14.23</v>
      </c>
      <c r="L1050">
        <v>-0.11990000000000001</v>
      </c>
      <c r="M1050">
        <v>0.1</v>
      </c>
      <c r="N1050">
        <v>2</v>
      </c>
      <c r="O1050">
        <v>0.03</v>
      </c>
    </row>
    <row r="1051" spans="1:15">
      <c r="A1051" t="s">
        <v>1493</v>
      </c>
      <c r="G1051" cm="1">
        <f t="array" ref="G1051:O1051">VALUE(_xlfn.TEXTSPLIT(SUBSTITUTE(TRIM(A1051),"0.0 %","0.0%")," "))</f>
        <v>0.05</v>
      </c>
      <c r="H1051">
        <v>1.016</v>
      </c>
      <c r="I1051">
        <v>0.313</v>
      </c>
      <c r="J1051">
        <v>0.248</v>
      </c>
      <c r="K1051">
        <v>13.81</v>
      </c>
      <c r="L1051">
        <v>-8.9300000000000004E-2</v>
      </c>
      <c r="M1051">
        <v>0.1</v>
      </c>
      <c r="N1051">
        <v>10</v>
      </c>
      <c r="O1051">
        <v>0.03</v>
      </c>
    </row>
    <row r="1052" spans="1:15">
      <c r="A1052" t="s">
        <v>1494</v>
      </c>
      <c r="G1052" cm="1">
        <f t="array" ref="G1052:O1052">VALUE(_xlfn.TEXTSPLIT(SUBSTITUTE(TRIM(A1052),"0.0 %","0.0%")," "))</f>
        <v>0.06</v>
      </c>
      <c r="H1052">
        <v>1.022</v>
      </c>
      <c r="I1052">
        <v>0.33600000000000002</v>
      </c>
      <c r="J1052">
        <v>0.24399999999999999</v>
      </c>
      <c r="K1052">
        <v>14.48</v>
      </c>
      <c r="L1052">
        <v>-0.1157</v>
      </c>
      <c r="M1052">
        <v>0.1</v>
      </c>
      <c r="N1052">
        <v>2</v>
      </c>
      <c r="O1052">
        <v>0.04</v>
      </c>
    </row>
    <row r="1053" spans="1:15">
      <c r="A1053" t="s">
        <v>1495</v>
      </c>
      <c r="G1053" cm="1">
        <f t="array" ref="G1053:O1053">VALUE(_xlfn.TEXTSPLIT(SUBSTITUTE(TRIM(A1053),"0.0 %","0.0%")," "))</f>
        <v>0.08</v>
      </c>
      <c r="H1053">
        <v>1.0389999999999999</v>
      </c>
      <c r="I1053">
        <v>0.35699999999999998</v>
      </c>
      <c r="J1053">
        <v>0.23599999999999999</v>
      </c>
      <c r="K1053">
        <v>13.87</v>
      </c>
      <c r="L1053">
        <v>-0.1154</v>
      </c>
      <c r="M1053">
        <v>0.2</v>
      </c>
      <c r="N1053">
        <v>0.5</v>
      </c>
      <c r="O1053">
        <v>0.09</v>
      </c>
    </row>
    <row r="1054" spans="1:15">
      <c r="A1054" t="s">
        <v>1496</v>
      </c>
      <c r="G1054" cm="1">
        <f t="array" ref="G1054:O1054">VALUE(_xlfn.TEXTSPLIT(SUBSTITUTE(TRIM(A1054),"0.0 %","0.0%")," "))</f>
        <v>0.1</v>
      </c>
      <c r="H1054">
        <v>1.0569999999999999</v>
      </c>
      <c r="I1054">
        <v>0.39</v>
      </c>
      <c r="J1054">
        <v>0.217</v>
      </c>
      <c r="K1054">
        <v>13.78</v>
      </c>
      <c r="L1054">
        <v>-0.1096</v>
      </c>
      <c r="M1054">
        <v>0.2</v>
      </c>
      <c r="N1054">
        <v>3</v>
      </c>
      <c r="O1054">
        <v>0.13</v>
      </c>
    </row>
    <row r="1055" spans="1:15">
      <c r="A1055" t="s">
        <v>1497</v>
      </c>
      <c r="G1055" cm="1">
        <f t="array" ref="G1055:O1055">VALUE(_xlfn.TEXTSPLIT(SUBSTITUTE(TRIM(A1055),"0.0 %","0.0%")," "))</f>
        <v>0.115</v>
      </c>
      <c r="H1055">
        <v>1.071</v>
      </c>
      <c r="I1055">
        <v>0.435</v>
      </c>
      <c r="J1055">
        <v>0.19400000000000001</v>
      </c>
      <c r="K1055">
        <v>14.51</v>
      </c>
      <c r="L1055">
        <v>-9.9599999999999994E-2</v>
      </c>
      <c r="M1055">
        <v>0.3</v>
      </c>
      <c r="N1055">
        <v>0.5</v>
      </c>
      <c r="O1055">
        <v>0.14000000000000001</v>
      </c>
    </row>
    <row r="1056" spans="1:15">
      <c r="A1056" t="s">
        <v>1498</v>
      </c>
      <c r="G1056" cm="1">
        <f t="array" ref="G1056:O1056">VALUE(_xlfn.TEXTSPLIT(SUBSTITUTE(TRIM(A1056),"0.0 %","0.0%")," "))</f>
        <v>0.11600000000000001</v>
      </c>
      <c r="H1056">
        <v>2.0699999999999998</v>
      </c>
      <c r="I1056">
        <v>1.63</v>
      </c>
      <c r="J1056">
        <v>5.7000000000000002E-2</v>
      </c>
      <c r="K1056">
        <v>14.52</v>
      </c>
      <c r="L1056">
        <v>-4.1200000000000001E-2</v>
      </c>
      <c r="M1056">
        <v>10.1</v>
      </c>
      <c r="N1056">
        <v>3</v>
      </c>
      <c r="O1056">
        <v>5.12</v>
      </c>
    </row>
    <row r="1057" spans="1:15">
      <c r="A1057" t="s">
        <v>1499</v>
      </c>
      <c r="G1057" cm="1">
        <f t="array" ref="G1057:O1057">VALUE(_xlfn.TEXTSPLIT(SUBSTITUTE(TRIM(A1057),"0.0 %","0.0%")," "))</f>
        <v>0.12</v>
      </c>
      <c r="H1057">
        <v>1.921</v>
      </c>
      <c r="I1057">
        <v>1.623</v>
      </c>
      <c r="J1057">
        <v>0.05</v>
      </c>
      <c r="K1057">
        <v>29.71</v>
      </c>
      <c r="L1057">
        <v>-0.1023</v>
      </c>
      <c r="M1057">
        <v>7.4</v>
      </c>
      <c r="N1057">
        <v>20</v>
      </c>
      <c r="O1057">
        <v>4.41</v>
      </c>
    </row>
    <row r="1058" spans="1:15">
      <c r="A1058" t="s">
        <v>1500</v>
      </c>
      <c r="G1058" cm="1">
        <f t="array" ref="G1058:O1058">VALUE(_xlfn.TEXTSPLIT(SUBSTITUTE(TRIM(A1058),"0.0 %","0.0%")," "))</f>
        <v>0.13</v>
      </c>
      <c r="H1058">
        <v>1.917</v>
      </c>
      <c r="I1058">
        <v>1.3180000000000001</v>
      </c>
      <c r="J1058">
        <v>9.2999999999999999E-2</v>
      </c>
      <c r="K1058">
        <v>15.12</v>
      </c>
      <c r="L1058">
        <v>-7.1099999999999997E-2</v>
      </c>
      <c r="M1058">
        <v>9.6999999999999993</v>
      </c>
      <c r="N1058">
        <v>3</v>
      </c>
      <c r="O1058">
        <v>4.3499999999999996</v>
      </c>
    </row>
    <row r="1059" spans="1:15">
      <c r="A1059" t="s">
        <v>1501</v>
      </c>
      <c r="G1059" cm="1">
        <f t="array" ref="G1059:O1059">VALUE(_xlfn.TEXTSPLIT(SUBSTITUTE(TRIM(A1059),"0.0 %","0.0%")," "))</f>
        <v>0.14000000000000001</v>
      </c>
      <c r="H1059">
        <v>1.734</v>
      </c>
      <c r="I1059">
        <v>1.1839999999999999</v>
      </c>
      <c r="J1059">
        <v>0.10299999999999999</v>
      </c>
      <c r="K1059">
        <v>16.309999999999999</v>
      </c>
      <c r="L1059">
        <v>-8.14E-2</v>
      </c>
      <c r="M1059">
        <v>5.7</v>
      </c>
      <c r="N1059">
        <v>4</v>
      </c>
      <c r="O1059">
        <v>2.79</v>
      </c>
    </row>
    <row r="1060" spans="1:15">
      <c r="A1060" t="s">
        <v>1502</v>
      </c>
      <c r="G1060" cm="1">
        <f t="array" ref="G1060:O1060">VALUE(_xlfn.TEXTSPLIT(SUBSTITUTE(TRIM(A1060),"0.0 %","0.0%")," "))</f>
        <v>0.15</v>
      </c>
      <c r="H1060">
        <v>1.5980000000000001</v>
      </c>
      <c r="I1060">
        <v>1.03</v>
      </c>
      <c r="J1060">
        <v>0.122</v>
      </c>
      <c r="K1060">
        <v>16.02</v>
      </c>
      <c r="L1060">
        <v>-9.9599999999999994E-2</v>
      </c>
      <c r="M1060">
        <v>4</v>
      </c>
      <c r="N1060">
        <v>1</v>
      </c>
      <c r="O1060">
        <v>2</v>
      </c>
    </row>
    <row r="1061" spans="1:15">
      <c r="A1061" t="s">
        <v>1503</v>
      </c>
      <c r="G1061" cm="1">
        <f t="array" ref="G1061:O1061">VALUE(_xlfn.TEXTSPLIT(SUBSTITUTE(TRIM(A1061),"0.0 %","0.0%")," "))</f>
        <v>0.16</v>
      </c>
      <c r="H1061">
        <v>1.5289999999999999</v>
      </c>
      <c r="I1061">
        <v>0.82599999999999996</v>
      </c>
      <c r="J1061">
        <v>0.16400000000000001</v>
      </c>
      <c r="K1061">
        <v>15.64</v>
      </c>
      <c r="L1061">
        <v>-0.14080000000000001</v>
      </c>
      <c r="M1061">
        <v>2.9</v>
      </c>
      <c r="N1061">
        <v>1</v>
      </c>
      <c r="O1061">
        <v>1.68</v>
      </c>
    </row>
    <row r="1062" spans="1:15">
      <c r="A1062" t="s">
        <v>1504</v>
      </c>
      <c r="G1062" cm="1">
        <f t="array" ref="G1062:O1062">VALUE(_xlfn.TEXTSPLIT(SUBSTITUTE(TRIM(A1062),"0.0 %","0.0%")," "))</f>
        <v>0.17</v>
      </c>
      <c r="H1062">
        <v>1.4610000000000001</v>
      </c>
      <c r="I1062">
        <v>0.64900000000000002</v>
      </c>
      <c r="J1062">
        <v>0.20899999999999999</v>
      </c>
      <c r="K1062">
        <v>15.75</v>
      </c>
      <c r="L1062">
        <v>-0.1759</v>
      </c>
      <c r="M1062">
        <v>2.2999999999999998</v>
      </c>
      <c r="N1062">
        <v>35</v>
      </c>
      <c r="O1062">
        <v>1.54</v>
      </c>
    </row>
    <row r="1063" spans="1:15">
      <c r="A1063" t="s">
        <v>1505</v>
      </c>
      <c r="G1063" cm="1">
        <f t="array" ref="G1063:O1063">VALUE(_xlfn.TEXTSPLIT(SUBSTITUTE(TRIM(A1063),"0.0 %","0.0%")," "))</f>
        <v>0.18</v>
      </c>
      <c r="H1063">
        <v>1.423</v>
      </c>
      <c r="I1063">
        <v>0.47</v>
      </c>
      <c r="J1063">
        <v>0.26900000000000002</v>
      </c>
      <c r="K1063">
        <v>16.82</v>
      </c>
      <c r="L1063">
        <v>-0.20039999999999999</v>
      </c>
      <c r="M1063">
        <v>1.4</v>
      </c>
      <c r="N1063">
        <v>35</v>
      </c>
      <c r="O1063">
        <v>0.85</v>
      </c>
    </row>
    <row r="1064" spans="1:15">
      <c r="A1064" t="s">
        <v>1506</v>
      </c>
      <c r="G1064" cm="1">
        <f t="array" ref="G1064:O1064">VALUE(_xlfn.TEXTSPLIT(SUBSTITUTE(TRIM(A1064),"0.0 %","0.0%")," "))</f>
        <v>0.19</v>
      </c>
      <c r="H1064">
        <v>1.377</v>
      </c>
      <c r="I1064">
        <v>0.374</v>
      </c>
      <c r="J1064">
        <v>0.26700000000000002</v>
      </c>
      <c r="K1064">
        <v>18.149999999999999</v>
      </c>
      <c r="L1064">
        <v>-6.3899999999999998E-2</v>
      </c>
      <c r="M1064">
        <v>1.1000000000000001</v>
      </c>
      <c r="N1064">
        <v>0.5</v>
      </c>
      <c r="O1064">
        <v>0.52</v>
      </c>
    </row>
    <row r="1065" spans="1:15">
      <c r="A1065" t="s">
        <v>1507</v>
      </c>
      <c r="G1065" cm="1">
        <f t="array" ref="G1065:O1065">VALUE(_xlfn.TEXTSPLIT(SUBSTITUTE(TRIM(A1065),"0.0 %","0.0%")," "))</f>
        <v>0.2</v>
      </c>
      <c r="H1065">
        <v>1.3240000000000001</v>
      </c>
      <c r="I1065">
        <v>0.36599999999999999</v>
      </c>
      <c r="J1065">
        <v>0.16700000000000001</v>
      </c>
      <c r="K1065">
        <v>13.28</v>
      </c>
      <c r="L1065">
        <v>-6.5500000000000003E-2</v>
      </c>
      <c r="M1065">
        <v>0.2</v>
      </c>
      <c r="N1065">
        <v>3</v>
      </c>
      <c r="O1065">
        <v>0.11</v>
      </c>
    </row>
    <row r="1066" spans="1:15">
      <c r="A1066" t="s">
        <v>1508</v>
      </c>
      <c r="G1066" cm="1">
        <f t="array" ref="G1066:O1066">VALUE(_xlfn.TEXTSPLIT(SUBSTITUTE(TRIM(A1066),"0.0 %","0.0%")," "))</f>
        <v>0.25</v>
      </c>
      <c r="H1066">
        <v>1.206</v>
      </c>
      <c r="I1066">
        <v>0.191</v>
      </c>
      <c r="J1066">
        <v>0.378</v>
      </c>
      <c r="K1066">
        <v>14.46</v>
      </c>
      <c r="L1066">
        <v>-0.16389999999999999</v>
      </c>
      <c r="M1066">
        <v>0.3</v>
      </c>
      <c r="N1066">
        <v>35</v>
      </c>
      <c r="O1066">
        <v>0.17</v>
      </c>
    </row>
    <row r="1067" spans="1:15">
      <c r="A1067" t="s">
        <v>1509</v>
      </c>
      <c r="G1067" cm="1">
        <f t="array" ref="G1067:O1067">VALUE(_xlfn.TEXTSPLIT(SUBSTITUTE(TRIM(A1067),"0.0 %","0.0%")," "))</f>
        <v>0.3</v>
      </c>
      <c r="H1067">
        <v>1.1599999999999999</v>
      </c>
      <c r="I1067">
        <v>0.28399999999999997</v>
      </c>
      <c r="J1067">
        <v>0.30399999999999999</v>
      </c>
      <c r="K1067">
        <v>13.28</v>
      </c>
      <c r="L1067">
        <v>-0.1643</v>
      </c>
      <c r="M1067">
        <v>0.8</v>
      </c>
      <c r="N1067">
        <v>0.5</v>
      </c>
      <c r="O1067">
        <v>0.42</v>
      </c>
    </row>
    <row r="1068" spans="1:15">
      <c r="A1068" t="s">
        <v>1510</v>
      </c>
      <c r="G1068" cm="1">
        <f t="array" ref="G1068:O1068">VALUE(_xlfn.TEXTSPLIT(SUBSTITUTE(TRIM(A1068),"0.0 %","0.0%")," "))</f>
        <v>0.4</v>
      </c>
      <c r="H1068">
        <v>1.157</v>
      </c>
      <c r="I1068">
        <v>0.49</v>
      </c>
      <c r="J1068">
        <v>0.17100000000000001</v>
      </c>
      <c r="K1068">
        <v>13.96</v>
      </c>
      <c r="L1068">
        <v>-9.11E-2</v>
      </c>
      <c r="M1068">
        <v>0.9</v>
      </c>
      <c r="N1068">
        <v>0.5</v>
      </c>
      <c r="O1068">
        <v>0.42</v>
      </c>
    </row>
    <row r="1069" spans="1:15">
      <c r="A1069" t="s">
        <v>1511</v>
      </c>
      <c r="G1069" cm="1">
        <f t="array" ref="G1069:O1069">VALUE(_xlfn.TEXTSPLIT(SUBSTITUTE(TRIM(A1069),"0.0 %","0.0%")," "))</f>
        <v>0.5</v>
      </c>
      <c r="H1069">
        <v>1.1850000000000001</v>
      </c>
      <c r="I1069">
        <v>0.57699999999999996</v>
      </c>
      <c r="J1069">
        <v>0.13100000000000001</v>
      </c>
      <c r="K1069">
        <v>14.05</v>
      </c>
      <c r="L1069">
        <v>-6.8199999999999997E-2</v>
      </c>
      <c r="M1069">
        <v>0.7</v>
      </c>
      <c r="N1069">
        <v>0.5</v>
      </c>
      <c r="O1069">
        <v>0.39</v>
      </c>
    </row>
    <row r="1070" spans="1:15">
      <c r="A1070" t="s">
        <v>1512</v>
      </c>
      <c r="G1070" cm="1">
        <f t="array" ref="G1070:O1070">VALUE(_xlfn.TEXTSPLIT(SUBSTITUTE(TRIM(A1070),"0.0 %","0.0%")," "))</f>
        <v>0.6</v>
      </c>
      <c r="H1070">
        <v>1.2070000000000001</v>
      </c>
      <c r="I1070">
        <v>0.64300000000000002</v>
      </c>
      <c r="J1070">
        <v>0.10100000000000001</v>
      </c>
      <c r="K1070">
        <v>13.8</v>
      </c>
      <c r="L1070">
        <v>-4.7300000000000002E-2</v>
      </c>
      <c r="M1070">
        <v>0.6</v>
      </c>
      <c r="N1070">
        <v>1</v>
      </c>
      <c r="O1070">
        <v>0.33</v>
      </c>
    </row>
    <row r="1071" spans="1:15">
      <c r="A1071" t="s">
        <v>1513</v>
      </c>
      <c r="G1071" cm="1">
        <f t="array" ref="G1071:O1071">VALUE(_xlfn.TEXTSPLIT(SUBSTITUTE(TRIM(A1071),"0.0 %","0.0%")," "))</f>
        <v>0.8</v>
      </c>
      <c r="H1071">
        <v>1.2609999999999999</v>
      </c>
      <c r="I1071">
        <v>0.70499999999999996</v>
      </c>
      <c r="J1071">
        <v>0.08</v>
      </c>
      <c r="K1071">
        <v>13.89</v>
      </c>
      <c r="L1071">
        <v>-3.6200000000000003E-2</v>
      </c>
      <c r="M1071">
        <v>0.7</v>
      </c>
      <c r="N1071">
        <v>1</v>
      </c>
      <c r="O1071">
        <v>0.35</v>
      </c>
    </row>
    <row r="1072" spans="1:15">
      <c r="A1072" t="s">
        <v>1514</v>
      </c>
      <c r="G1072" cm="1">
        <f t="array" ref="G1072:O1072">VALUE(_xlfn.TEXTSPLIT(SUBSTITUTE(TRIM(A1072),"0.0 %","0.0%")," "))</f>
        <v>1</v>
      </c>
      <c r="H1072">
        <v>1.298</v>
      </c>
      <c r="I1072">
        <v>0.754</v>
      </c>
      <c r="J1072">
        <v>6.6000000000000003E-2</v>
      </c>
      <c r="K1072">
        <v>13.69</v>
      </c>
      <c r="L1072">
        <v>-3.2500000000000001E-2</v>
      </c>
      <c r="M1072">
        <v>0.7</v>
      </c>
      <c r="N1072">
        <v>1</v>
      </c>
      <c r="O1072">
        <v>0.4</v>
      </c>
    </row>
    <row r="1073" spans="1:15">
      <c r="A1073" t="s">
        <v>1515</v>
      </c>
      <c r="G1073" cm="1">
        <f t="array" ref="G1073:O1073">VALUE(_xlfn.TEXTSPLIT(SUBSTITUTE(TRIM(A1073),"0.0 %","0.0%")," "))</f>
        <v>1.5</v>
      </c>
      <c r="H1073">
        <v>1.32</v>
      </c>
      <c r="I1073">
        <v>0.873</v>
      </c>
      <c r="J1073">
        <v>3.7999999999999999E-2</v>
      </c>
      <c r="K1073">
        <v>14.78</v>
      </c>
      <c r="L1073">
        <v>-2.8199999999999999E-2</v>
      </c>
      <c r="M1073">
        <v>0.6</v>
      </c>
      <c r="N1073">
        <v>10</v>
      </c>
      <c r="O1073">
        <v>0.35</v>
      </c>
    </row>
    <row r="1074" spans="1:15">
      <c r="A1074" t="s">
        <v>1516</v>
      </c>
      <c r="G1074" cm="1">
        <f t="array" ref="G1074:O1074">VALUE(_xlfn.TEXTSPLIT(SUBSTITUTE(TRIM(A1074),"0.0 %","0.0%")," "))</f>
        <v>2</v>
      </c>
      <c r="H1074">
        <v>1.3380000000000001</v>
      </c>
      <c r="I1074">
        <v>0.92300000000000004</v>
      </c>
      <c r="J1074">
        <v>2.8000000000000001E-2</v>
      </c>
      <c r="K1074">
        <v>13.56</v>
      </c>
      <c r="L1074">
        <v>-2.7400000000000001E-2</v>
      </c>
      <c r="M1074">
        <v>1.6</v>
      </c>
      <c r="N1074">
        <v>0.5</v>
      </c>
      <c r="O1074">
        <v>0.69</v>
      </c>
    </row>
    <row r="1075" spans="1:15">
      <c r="A1075" t="s">
        <v>1517</v>
      </c>
      <c r="G1075" cm="1">
        <f t="array" ref="G1075:O1075">VALUE(_xlfn.TEXTSPLIT(SUBSTITUTE(TRIM(A1075),"0.0 %","0.0%")," "))</f>
        <v>3</v>
      </c>
      <c r="H1075">
        <v>1.3260000000000001</v>
      </c>
      <c r="I1075">
        <v>0.96799999999999997</v>
      </c>
      <c r="J1075">
        <v>2.4E-2</v>
      </c>
      <c r="K1075">
        <v>13.45</v>
      </c>
      <c r="L1075">
        <v>-3.7199999999999997E-2</v>
      </c>
      <c r="M1075">
        <v>3.2</v>
      </c>
      <c r="N1075">
        <v>0.5</v>
      </c>
      <c r="O1075">
        <v>1.17</v>
      </c>
    </row>
    <row r="1076" spans="1:15">
      <c r="A1076" t="s">
        <v>1518</v>
      </c>
      <c r="G1076" cm="1">
        <f t="array" ref="G1076:O1076">VALUE(_xlfn.TEXTSPLIT(SUBSTITUTE(TRIM(A1076),"0.0 %","0.0%")," "))</f>
        <v>4</v>
      </c>
      <c r="H1076">
        <v>1.2989999999999999</v>
      </c>
      <c r="I1076">
        <v>0.98399999999999999</v>
      </c>
      <c r="J1076">
        <v>2.7E-2</v>
      </c>
      <c r="K1076">
        <v>13.84</v>
      </c>
      <c r="L1076">
        <v>-4.1799999999999997E-2</v>
      </c>
      <c r="M1076">
        <v>3.5</v>
      </c>
      <c r="N1076">
        <v>0.5</v>
      </c>
      <c r="O1076">
        <v>1.28</v>
      </c>
    </row>
    <row r="1077" spans="1:15">
      <c r="A1077" t="s">
        <v>1519</v>
      </c>
      <c r="G1077" cm="1">
        <f t="array" ref="G1077:O1077">VALUE(_xlfn.TEXTSPLIT(SUBSTITUTE(TRIM(A1077),"0.0 %","0.0%")," "))</f>
        <v>5</v>
      </c>
      <c r="H1077">
        <v>1.327</v>
      </c>
      <c r="I1077">
        <v>0.93200000000000005</v>
      </c>
      <c r="J1077">
        <v>5.1999999999999998E-2</v>
      </c>
      <c r="K1077">
        <v>14.08</v>
      </c>
      <c r="L1077">
        <v>-6.3799999999999996E-2</v>
      </c>
      <c r="M1077">
        <v>5.0999999999999996</v>
      </c>
      <c r="N1077">
        <v>0.5</v>
      </c>
      <c r="O1077">
        <v>1.9</v>
      </c>
    </row>
    <row r="1078" spans="1:15">
      <c r="A1078" t="s">
        <v>1520</v>
      </c>
      <c r="G1078" cm="1">
        <f t="array" ref="G1078:O1078">VALUE(_xlfn.TEXTSPLIT(SUBSTITUTE(TRIM(A1078),"0.0 %","0.0%")," "))</f>
        <v>6</v>
      </c>
      <c r="H1078">
        <v>1.339</v>
      </c>
      <c r="I1078">
        <v>0.93500000000000005</v>
      </c>
      <c r="J1078">
        <v>5.8000000000000003E-2</v>
      </c>
      <c r="K1078">
        <v>14.53</v>
      </c>
      <c r="L1078">
        <v>-6.7599999999999993E-2</v>
      </c>
      <c r="M1078">
        <v>5.0999999999999996</v>
      </c>
      <c r="N1078">
        <v>0.5</v>
      </c>
      <c r="O1078">
        <v>1.98</v>
      </c>
    </row>
    <row r="1079" spans="1:15">
      <c r="A1079" t="s">
        <v>1521</v>
      </c>
      <c r="G1079" cm="1">
        <f t="array" ref="G1079:O1079">VALUE(_xlfn.TEXTSPLIT(SUBSTITUTE(TRIM(A1079),"0.0 %","0.0%")," "))</f>
        <v>8</v>
      </c>
      <c r="H1079">
        <v>1.4219999999999999</v>
      </c>
      <c r="I1079">
        <v>0.97299999999999998</v>
      </c>
      <c r="J1079">
        <v>6.3E-2</v>
      </c>
      <c r="K1079">
        <v>14.26</v>
      </c>
      <c r="L1079">
        <v>-7.6100000000000001E-2</v>
      </c>
      <c r="M1079">
        <v>5.3</v>
      </c>
      <c r="N1079">
        <v>0.5</v>
      </c>
      <c r="O1079">
        <v>2.19</v>
      </c>
    </row>
    <row r="1080" spans="1:15">
      <c r="A1080" t="s">
        <v>1522</v>
      </c>
      <c r="G1080" cm="1">
        <f t="array" ref="G1080:O1080">VALUE(_xlfn.TEXTSPLIT(SUBSTITUTE(TRIM(A1080),"0.0 %","0.0%")," "))</f>
        <v>10</v>
      </c>
      <c r="H1080">
        <v>1.4510000000000001</v>
      </c>
      <c r="I1080">
        <v>1.133</v>
      </c>
      <c r="J1080">
        <v>3.2000000000000001E-2</v>
      </c>
      <c r="K1080">
        <v>14.31</v>
      </c>
      <c r="L1080">
        <v>-5.0200000000000002E-2</v>
      </c>
      <c r="M1080">
        <v>3.7</v>
      </c>
      <c r="N1080">
        <v>0.5</v>
      </c>
      <c r="O1080">
        <v>1.49</v>
      </c>
    </row>
    <row r="1081" spans="1:15">
      <c r="A1081" t="s">
        <v>1523</v>
      </c>
      <c r="G1081" cm="1">
        <f t="array" ref="G1081:O1081">VALUE(_xlfn.TEXTSPLIT(SUBSTITUTE(TRIM(A1081),"0.0 %","0.0%")," "))</f>
        <v>15</v>
      </c>
      <c r="H1081">
        <v>1.5569999999999999</v>
      </c>
      <c r="I1081">
        <v>1.3280000000000001</v>
      </c>
      <c r="J1081">
        <v>1.4999999999999999E-2</v>
      </c>
      <c r="K1081">
        <v>13.75</v>
      </c>
      <c r="L1081">
        <v>-4.0500000000000001E-2</v>
      </c>
      <c r="M1081">
        <v>3.6</v>
      </c>
      <c r="N1081">
        <v>0.5</v>
      </c>
      <c r="O1081">
        <v>1.57</v>
      </c>
    </row>
    <row r="1082" spans="1:15">
      <c r="A1082" t="s">
        <v>1524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7A010-C116-864C-9D85-F8FE522F30FE}">
  <sheetPr codeName="Sheet8"/>
  <dimension ref="A2:A1514"/>
  <sheetViews>
    <sheetView topLeftCell="A289" zoomScale="120" zoomScaleNormal="120" workbookViewId="0">
      <selection activeCell="C6" sqref="C6"/>
    </sheetView>
  </sheetViews>
  <sheetFormatPr baseColWidth="10" defaultRowHeight="15"/>
  <sheetData>
    <row r="2" spans="1:1" ht="19">
      <c r="A2" s="7" t="s">
        <v>1891</v>
      </c>
    </row>
    <row r="5" spans="1:1">
      <c r="A5" s="22" t="str">
        <f>'ANSI Buildup Factors'!A16</f>
        <v>Beryllium:</v>
      </c>
    </row>
    <row r="6" spans="1:1">
      <c r="A6" s="23" t="s">
        <v>1863</v>
      </c>
    </row>
    <row r="7" spans="1:1">
      <c r="A7" s="22" t="str">
        <f>'ANSI Buildup Factors'!K18</f>
        <v xml:space="preserve">    - 0.015</v>
      </c>
    </row>
    <row r="8" spans="1:1">
      <c r="A8" s="22" t="str">
        <f>'ANSI Buildup Factors'!K19</f>
        <v xml:space="preserve">    - 0.020</v>
      </c>
    </row>
    <row r="9" spans="1:1">
      <c r="A9" s="22" t="str">
        <f>'ANSI Buildup Factors'!K20</f>
        <v xml:space="preserve">    - 0.030</v>
      </c>
    </row>
    <row r="10" spans="1:1">
      <c r="A10" s="22" t="str">
        <f>'ANSI Buildup Factors'!K21</f>
        <v xml:space="preserve">    - 0.040</v>
      </c>
    </row>
    <row r="11" spans="1:1">
      <c r="A11" s="22" t="str">
        <f>'ANSI Buildup Factors'!K22</f>
        <v xml:space="preserve">    - 0.050</v>
      </c>
    </row>
    <row r="12" spans="1:1">
      <c r="A12" s="22" t="str">
        <f>'ANSI Buildup Factors'!K23</f>
        <v xml:space="preserve">    - 0.060</v>
      </c>
    </row>
    <row r="13" spans="1:1">
      <c r="A13" s="22" t="str">
        <f>'ANSI Buildup Factors'!K24</f>
        <v xml:space="preserve">    - 0.080</v>
      </c>
    </row>
    <row r="14" spans="1:1">
      <c r="A14" s="22" t="str">
        <f>'ANSI Buildup Factors'!K25</f>
        <v xml:space="preserve">    - 0.100</v>
      </c>
    </row>
    <row r="15" spans="1:1">
      <c r="A15" s="22" t="str">
        <f>'ANSI Buildup Factors'!K26</f>
        <v xml:space="preserve">    - 0.150</v>
      </c>
    </row>
    <row r="16" spans="1:1">
      <c r="A16" s="22" t="str">
        <f>'ANSI Buildup Factors'!K27</f>
        <v xml:space="preserve">    - 0.200</v>
      </c>
    </row>
    <row r="17" spans="1:1">
      <c r="A17" s="22" t="str">
        <f>'ANSI Buildup Factors'!K28</f>
        <v xml:space="preserve">    - 0.300</v>
      </c>
    </row>
    <row r="18" spans="1:1">
      <c r="A18" s="22" t="str">
        <f>'ANSI Buildup Factors'!K29</f>
        <v xml:space="preserve">    - 0.400</v>
      </c>
    </row>
    <row r="19" spans="1:1">
      <c r="A19" s="22" t="str">
        <f>'ANSI Buildup Factors'!K30</f>
        <v xml:space="preserve">    - 0.500</v>
      </c>
    </row>
    <row r="20" spans="1:1">
      <c r="A20" s="22" t="str">
        <f>'ANSI Buildup Factors'!K31</f>
        <v xml:space="preserve">    - 0.600</v>
      </c>
    </row>
    <row r="21" spans="1:1">
      <c r="A21" s="22" t="str">
        <f>'ANSI Buildup Factors'!K32</f>
        <v xml:space="preserve">    - 0.800</v>
      </c>
    </row>
    <row r="22" spans="1:1">
      <c r="A22" s="22" t="str">
        <f>'ANSI Buildup Factors'!K33</f>
        <v xml:space="preserve">    - 1.000</v>
      </c>
    </row>
    <row r="23" spans="1:1">
      <c r="A23" s="22" t="str">
        <f>'ANSI Buildup Factors'!K34</f>
        <v xml:space="preserve">    - 1.500</v>
      </c>
    </row>
    <row r="24" spans="1:1">
      <c r="A24" s="22" t="str">
        <f>'ANSI Buildup Factors'!K35</f>
        <v xml:space="preserve">    - 2.000</v>
      </c>
    </row>
    <row r="25" spans="1:1">
      <c r="A25" s="22" t="str">
        <f>'ANSI Buildup Factors'!K36</f>
        <v xml:space="preserve">    - 3.000</v>
      </c>
    </row>
    <row r="26" spans="1:1">
      <c r="A26" s="22" t="str">
        <f>'ANSI Buildup Factors'!K37</f>
        <v xml:space="preserve">    - 4.000</v>
      </c>
    </row>
    <row r="27" spans="1:1">
      <c r="A27" s="22" t="str">
        <f>'ANSI Buildup Factors'!K38</f>
        <v xml:space="preserve">    - 5.000</v>
      </c>
    </row>
    <row r="28" spans="1:1">
      <c r="A28" s="22" t="str">
        <f>'ANSI Buildup Factors'!K39</f>
        <v xml:space="preserve">    - 6.000</v>
      </c>
    </row>
    <row r="29" spans="1:1">
      <c r="A29" s="22" t="str">
        <f>'ANSI Buildup Factors'!K40</f>
        <v xml:space="preserve">    - 8.000</v>
      </c>
    </row>
    <row r="30" spans="1:1">
      <c r="A30" s="22" t="str">
        <f>'ANSI Buildup Factors'!K41</f>
        <v xml:space="preserve">    - 10.000</v>
      </c>
    </row>
    <row r="31" spans="1:1">
      <c r="A31" s="22" t="str">
        <f>'ANSI Buildup Factors'!K42</f>
        <v xml:space="preserve">    - 15.000</v>
      </c>
    </row>
    <row r="32" spans="1:1">
      <c r="A32" s="24" t="s">
        <v>1864</v>
      </c>
    </row>
    <row r="33" spans="1:1">
      <c r="A33" s="24" t="s">
        <v>1865</v>
      </c>
    </row>
    <row r="34" spans="1:1">
      <c r="A34" s="22" t="str">
        <f>'ANSI Buildup Factors'!L18</f>
        <v xml:space="preserve">    - [2.527, 0.957, 0.023, 12.01, -0.0216]</v>
      </c>
    </row>
    <row r="35" spans="1:1">
      <c r="A35" s="22" t="str">
        <f>'ANSI Buildup Factors'!L19</f>
        <v xml:space="preserve">    - [3.834, 1.517, -0.089, 16.27, 0.0300]</v>
      </c>
    </row>
    <row r="36" spans="1:1">
      <c r="A36" s="22" t="str">
        <f>'ANSI Buildup Factors'!L20</f>
        <v xml:space="preserve">    - [6.543, 2.464, -0.204, 14.71, 0.0774]</v>
      </c>
    </row>
    <row r="37" spans="1:1">
      <c r="A37" s="22" t="str">
        <f>'ANSI Buildup Factors'!L21</f>
        <v xml:space="preserve">    - [8.672, 3.150, -0.260, 14.20, 0.1068]</v>
      </c>
    </row>
    <row r="38" spans="1:1">
      <c r="A38" s="22" t="str">
        <f>'ANSI Buildup Factors'!L22</f>
        <v xml:space="preserve">    - [9.770, 3.613, -0.292, 14.02, 0.1238]</v>
      </c>
    </row>
    <row r="39" spans="1:1">
      <c r="A39" s="22" t="str">
        <f>'ANSI Buildup Factors'!L23</f>
        <v xml:space="preserve">    - [9.823, 3.916, -0.311, 13.93, 0.1334]</v>
      </c>
    </row>
    <row r="40" spans="1:1">
      <c r="A40" s="22" t="str">
        <f>'ANSI Buildup Factors'!L24</f>
        <v xml:space="preserve">    - [8.582, 4.200, -0.328, 14.01, 0.1398]</v>
      </c>
    </row>
    <row r="41" spans="1:1">
      <c r="A41" s="22" t="str">
        <f>'ANSI Buildup Factors'!L25</f>
        <v xml:space="preserve">    - [7.303, 4.252, -0.333, 14.11, 0.1406]</v>
      </c>
    </row>
    <row r="42" spans="1:1">
      <c r="A42" s="22" t="str">
        <f>'ANSI Buildup Factors'!L26</f>
        <v xml:space="preserve">    - [4.983, 4.136, -0.331, 14.43, 0.1391]</v>
      </c>
    </row>
    <row r="43" spans="1:1">
      <c r="A43" s="22" t="str">
        <f>'ANSI Buildup Factors'!L27</f>
        <v xml:space="preserve">    - [4.396, 3.877, -0.323, 14.44, 0.1425]</v>
      </c>
    </row>
    <row r="44" spans="1:1">
      <c r="A44" s="22" t="str">
        <f>'ANSI Buildup Factors'!L28</f>
        <v xml:space="preserve">    - [3.448, 3.442, -0.304, 14.20, 0.1422]</v>
      </c>
    </row>
    <row r="45" spans="1:1">
      <c r="A45" s="22" t="str">
        <f>'ANSI Buildup Factors'!L29</f>
        <v xml:space="preserve">    - [3.218, 3.046, -0.280, 14.18, 0.1370]</v>
      </c>
    </row>
    <row r="46" spans="1:1">
      <c r="A46" s="22" t="str">
        <f>'ANSI Buildup Factors'!L30</f>
        <v xml:space="preserve">    - [2.793, 2.934, -0.281, 13.44, 0.1494]</v>
      </c>
    </row>
    <row r="47" spans="1:1">
      <c r="A47" s="22" t="str">
        <f>'ANSI Buildup Factors'!L31</f>
        <v xml:space="preserve">    - [2.654, 2.672, -0.261, 13.20, 0.1435]</v>
      </c>
    </row>
    <row r="48" spans="1:1">
      <c r="A48" s="22" t="str">
        <f>'ANSI Buildup Factors'!L32</f>
        <v xml:space="preserve">    - [2.505, 2.225, -0.215, 13.24, 0.1211]</v>
      </c>
    </row>
    <row r="49" spans="1:1">
      <c r="A49" s="22" t="str">
        <f>'ANSI Buildup Factors'!L33</f>
        <v xml:space="preserve">    - [2.330, 1.997, -0.190, 12.98, 0.1115]</v>
      </c>
    </row>
    <row r="50" spans="1:1">
      <c r="A50" s="22" t="str">
        <f>'ANSI Buildup Factors'!L34</f>
        <v xml:space="preserve">    - [2.150, 1.549, -0.122, 13.00, 0.0757]</v>
      </c>
    </row>
    <row r="51" spans="1:1">
      <c r="A51" s="22" t="str">
        <f>'ANSI Buildup Factors'!L35</f>
        <v xml:space="preserve">    - [2.061, 1.284, -0.069, 13.26, 0.0434]</v>
      </c>
    </row>
    <row r="52" spans="1:1">
      <c r="A52" s="22" t="str">
        <f>'ANSI Buildup Factors'!L36</f>
        <v xml:space="preserve">    - [1.863, 1.087, -0.024, 13.06, 0.0168]</v>
      </c>
    </row>
    <row r="53" spans="1:1">
      <c r="A53" s="22" t="str">
        <f>'ANSI Buildup Factors'!L37</f>
        <v xml:space="preserve">    - [1.740, 0.986, 0.002, 9.42, 0.0022]</v>
      </c>
    </row>
    <row r="54" spans="1:1">
      <c r="A54" s="22" t="str">
        <f>'ANSI Buildup Factors'!L38</f>
        <v xml:space="preserve">    - [1.641, 0.932, 0.017, 17.21, -0.0085]</v>
      </c>
    </row>
    <row r="55" spans="1:1">
      <c r="A55" s="22" t="str">
        <f>'ANSI Buildup Factors'!L39</f>
        <v xml:space="preserve">    - [1.584, 0.886, 0.031, 14.51, -0.0159]</v>
      </c>
    </row>
    <row r="56" spans="1:1">
      <c r="A56" s="22" t="str">
        <f>'ANSI Buildup Factors'!L40</f>
        <v xml:space="preserve">    - [1.480, 0.851, 0.041, 14.63, -0.0207]</v>
      </c>
    </row>
    <row r="57" spans="1:1">
      <c r="A57" s="22" t="str">
        <f>'ANSI Buildup Factors'!L41</f>
        <v xml:space="preserve">    - [1.437, 0.772, 0.071, 14.24, -0.0469]</v>
      </c>
    </row>
    <row r="58" spans="1:1">
      <c r="A58" s="22" t="str">
        <f>'ANSI Buildup Factors'!L42</f>
        <v xml:space="preserve">    - [1.306, 0.802, 0.057, 12.34, -0.0247]</v>
      </c>
    </row>
    <row r="59" spans="1:1">
      <c r="A59" s="22" t="str">
        <f>'ANSI Buildup Factors'!A45</f>
        <v>Boron:</v>
      </c>
    </row>
    <row r="60" spans="1:1">
      <c r="A60" s="23" t="s">
        <v>1863</v>
      </c>
    </row>
    <row r="61" spans="1:1">
      <c r="A61" s="22" t="str">
        <f>'ANSI Buildup Factors'!K47</f>
        <v xml:space="preserve">    - 0.015</v>
      </c>
    </row>
    <row r="62" spans="1:1">
      <c r="A62" s="22" t="str">
        <f>'ANSI Buildup Factors'!K48</f>
        <v xml:space="preserve">    - 0.020</v>
      </c>
    </row>
    <row r="63" spans="1:1">
      <c r="A63" s="22" t="str">
        <f>'ANSI Buildup Factors'!K49</f>
        <v xml:space="preserve">    - 0.030</v>
      </c>
    </row>
    <row r="64" spans="1:1">
      <c r="A64" s="22" t="str">
        <f>'ANSI Buildup Factors'!K50</f>
        <v xml:space="preserve">    - 0.040</v>
      </c>
    </row>
    <row r="65" spans="1:1">
      <c r="A65" s="22" t="str">
        <f>'ANSI Buildup Factors'!K51</f>
        <v xml:space="preserve">    - 0.050</v>
      </c>
    </row>
    <row r="66" spans="1:1">
      <c r="A66" s="22" t="str">
        <f>'ANSI Buildup Factors'!K52</f>
        <v xml:space="preserve">    - 0.060</v>
      </c>
    </row>
    <row r="67" spans="1:1">
      <c r="A67" s="22" t="str">
        <f>'ANSI Buildup Factors'!K53</f>
        <v xml:space="preserve">    - 0.080</v>
      </c>
    </row>
    <row r="68" spans="1:1">
      <c r="A68" s="22" t="str">
        <f>'ANSI Buildup Factors'!K54</f>
        <v xml:space="preserve">    - 0.100</v>
      </c>
    </row>
    <row r="69" spans="1:1">
      <c r="A69" s="22" t="str">
        <f>'ANSI Buildup Factors'!K55</f>
        <v xml:space="preserve">    - 0.150</v>
      </c>
    </row>
    <row r="70" spans="1:1">
      <c r="A70" s="22" t="str">
        <f>'ANSI Buildup Factors'!K56</f>
        <v xml:space="preserve">    - 0.200</v>
      </c>
    </row>
    <row r="71" spans="1:1">
      <c r="A71" s="22" t="str">
        <f>'ANSI Buildup Factors'!K57</f>
        <v xml:space="preserve">    - 0.300</v>
      </c>
    </row>
    <row r="72" spans="1:1">
      <c r="A72" s="22" t="str">
        <f>'ANSI Buildup Factors'!K58</f>
        <v xml:space="preserve">    - 0.400</v>
      </c>
    </row>
    <row r="73" spans="1:1">
      <c r="A73" s="22" t="str">
        <f>'ANSI Buildup Factors'!K59</f>
        <v xml:space="preserve">    - 0.500</v>
      </c>
    </row>
    <row r="74" spans="1:1">
      <c r="A74" s="22" t="str">
        <f>'ANSI Buildup Factors'!K60</f>
        <v xml:space="preserve">    - 0.600</v>
      </c>
    </row>
    <row r="75" spans="1:1">
      <c r="A75" s="22" t="str">
        <f>'ANSI Buildup Factors'!K61</f>
        <v xml:space="preserve">    - 0.800</v>
      </c>
    </row>
    <row r="76" spans="1:1">
      <c r="A76" s="22" t="str">
        <f>'ANSI Buildup Factors'!K62</f>
        <v xml:space="preserve">    - 1.000</v>
      </c>
    </row>
    <row r="77" spans="1:1">
      <c r="A77" s="22" t="str">
        <f>'ANSI Buildup Factors'!K63</f>
        <v xml:space="preserve">    - 1.500</v>
      </c>
    </row>
    <row r="78" spans="1:1">
      <c r="A78" s="22" t="str">
        <f>'ANSI Buildup Factors'!K64</f>
        <v xml:space="preserve">    - 2.000</v>
      </c>
    </row>
    <row r="79" spans="1:1">
      <c r="A79" s="22" t="str">
        <f>'ANSI Buildup Factors'!K65</f>
        <v xml:space="preserve">    - 3.000</v>
      </c>
    </row>
    <row r="80" spans="1:1">
      <c r="A80" s="22" t="str">
        <f>'ANSI Buildup Factors'!K66</f>
        <v xml:space="preserve">    - 4.000</v>
      </c>
    </row>
    <row r="81" spans="1:1">
      <c r="A81" s="22" t="str">
        <f>'ANSI Buildup Factors'!K67</f>
        <v xml:space="preserve">    - 5.000</v>
      </c>
    </row>
    <row r="82" spans="1:1">
      <c r="A82" s="22" t="str">
        <f>'ANSI Buildup Factors'!K68</f>
        <v xml:space="preserve">    - 6.000</v>
      </c>
    </row>
    <row r="83" spans="1:1">
      <c r="A83" s="22" t="str">
        <f>'ANSI Buildup Factors'!K69</f>
        <v xml:space="preserve">    - 8.000</v>
      </c>
    </row>
    <row r="84" spans="1:1">
      <c r="A84" s="22" t="str">
        <f>'ANSI Buildup Factors'!K70</f>
        <v xml:space="preserve">    - 10.000</v>
      </c>
    </row>
    <row r="85" spans="1:1">
      <c r="A85" s="22" t="str">
        <f>'ANSI Buildup Factors'!K71</f>
        <v xml:space="preserve">    - 15.000</v>
      </c>
    </row>
    <row r="86" spans="1:1">
      <c r="A86" s="24" t="s">
        <v>1864</v>
      </c>
    </row>
    <row r="87" spans="1:1">
      <c r="A87" s="24" t="s">
        <v>1865</v>
      </c>
    </row>
    <row r="88" spans="1:1">
      <c r="A88" s="22" t="str">
        <f>'ANSI Buildup Factors'!L47</f>
        <v xml:space="preserve">    - [1.728, 0.683, 0.095, 15.02, -0.0460]</v>
      </c>
    </row>
    <row r="89" spans="1:1">
      <c r="A89" s="22" t="str">
        <f>'ANSI Buildup Factors'!L48</f>
        <v xml:space="preserve">    - [2.629, 0.959, 0.021, 13.74, -0.0179]</v>
      </c>
    </row>
    <row r="90" spans="1:1">
      <c r="A90" s="22" t="str">
        <f>'ANSI Buildup Factors'!L49</f>
        <v xml:space="preserve">    - [4.699, 1.665, -0.117, 14.48, 0.0497]</v>
      </c>
    </row>
    <row r="91" spans="1:1">
      <c r="A91" s="22" t="str">
        <f>'ANSI Buildup Factors'!L50</f>
        <v xml:space="preserve">    - [6.906, 2.243, -0.184, 14.61, 0.0788]</v>
      </c>
    </row>
    <row r="92" spans="1:1">
      <c r="A92" s="22" t="str">
        <f>'ANSI Buildup Factors'!L51</f>
        <v xml:space="preserve">    - [8.247, 2.657, -0.223, 14.47, 0.0972]</v>
      </c>
    </row>
    <row r="93" spans="1:1">
      <c r="A93" s="22" t="str">
        <f>'ANSI Buildup Factors'!L52</f>
        <v xml:space="preserve">    - [8.580, 2.947, -0.247, 14.36, 0.1080]</v>
      </c>
    </row>
    <row r="94" spans="1:1">
      <c r="A94" s="22" t="str">
        <f>'ANSI Buildup Factors'!L53</f>
        <v xml:space="preserve">    - [8.089, 3.170, -0.262, 14.66, 0.1119]</v>
      </c>
    </row>
    <row r="95" spans="1:1">
      <c r="A95" s="22" t="str">
        <f>'ANSI Buildup Factors'!L54</f>
        <v xml:space="preserve">    - [8.262, 2.951, -0.238, 16.05, 0.0956]</v>
      </c>
    </row>
    <row r="96" spans="1:1">
      <c r="A96" s="22" t="str">
        <f>'ANSI Buildup Factors'!L55</f>
        <v xml:space="preserve">    - [5.943, 3.081, -0.256, 15.38, 0.1057]</v>
      </c>
    </row>
    <row r="97" spans="1:1">
      <c r="A97" s="22" t="str">
        <f>'ANSI Buildup Factors'!L56</f>
        <v xml:space="preserve">    - [3.927, 3.222, -0.279, 14.14, 0.1225]</v>
      </c>
    </row>
    <row r="98" spans="1:1">
      <c r="A98" s="22" t="str">
        <f>'ANSI Buildup Factors'!L57</f>
        <v xml:space="preserve">    - [3.156, 2.928, -0.265, 13.98, 0.1270]</v>
      </c>
    </row>
    <row r="99" spans="1:1">
      <c r="A99" s="22" t="str">
        <f>'ANSI Buildup Factors'!L58</f>
        <v xml:space="preserve">    - [2.862, 2.630, -0.245, 12.58, 0.1109]</v>
      </c>
    </row>
    <row r="100" spans="1:1">
      <c r="A100" s="22" t="str">
        <f>'ANSI Buildup Factors'!L59</f>
        <v xml:space="preserve">    - [2.679, 2.375, -0.222, 12.68, 0.1043]</v>
      </c>
    </row>
    <row r="101" spans="1:1">
      <c r="A101" s="22" t="str">
        <f>'ANSI Buildup Factors'!L60</f>
        <v xml:space="preserve">    - [2.547, 2.161, -0.198, 13.69, 0.1020]</v>
      </c>
    </row>
    <row r="102" spans="1:1">
      <c r="A102" s="22" t="str">
        <f>'ANSI Buildup Factors'!L61</f>
        <v xml:space="preserve">    - [2.359, 1.894, -0.167, 13.38, 0.0876]</v>
      </c>
    </row>
    <row r="103" spans="1:1">
      <c r="A103" s="22" t="str">
        <f>'ANSI Buildup Factors'!L62</f>
        <v xml:space="preserve">    - [2.258, 1.674, -0.135, 13.53, 0.0718]</v>
      </c>
    </row>
    <row r="104" spans="1:1">
      <c r="A104" s="22" t="str">
        <f>'ANSI Buildup Factors'!L63</f>
        <v xml:space="preserve">    - [2.075, 1.372, -0.083, 13.78, 0.0470]</v>
      </c>
    </row>
    <row r="105" spans="1:1">
      <c r="A105" s="22" t="str">
        <f>'ANSI Buildup Factors'!L64</f>
        <v xml:space="preserve">    - [1.955, 1.213, -0.050, 14.44, 0.0278]</v>
      </c>
    </row>
    <row r="106" spans="1:1">
      <c r="A106" s="22" t="str">
        <f>'ANSI Buildup Factors'!L65</f>
        <v xml:space="preserve">    - [1.785, 1.069, -0.018, 12.74, 0.0106]</v>
      </c>
    </row>
    <row r="107" spans="1:1">
      <c r="A107" s="22" t="str">
        <f>'ANSI Buildup Factors'!L66</f>
        <v xml:space="preserve">    - [1.684, 0.978, 0.006, 17.12, -0.0045]</v>
      </c>
    </row>
    <row r="108" spans="1:1">
      <c r="A108" s="22" t="str">
        <f>'ANSI Buildup Factors'!L67</f>
        <v xml:space="preserve">    - [1.599, 0.933, 0.018, 14.95, -0.0099]</v>
      </c>
    </row>
    <row r="109" spans="1:1">
      <c r="A109" s="22" t="str">
        <f>'ANSI Buildup Factors'!L68</f>
        <v xml:space="preserve">    - [1.541, 0.904, 0.026, 14.92, -0.0142]</v>
      </c>
    </row>
    <row r="110" spans="1:1">
      <c r="A110" s="22" t="str">
        <f>'ANSI Buildup Factors'!L69</f>
        <v xml:space="preserve">    - [1.447, 0.873, 0.035, 14.16, -0.0200]</v>
      </c>
    </row>
    <row r="111" spans="1:1">
      <c r="A111" s="22" t="str">
        <f>'ANSI Buildup Factors'!L70</f>
        <v xml:space="preserve">    - [1.383, 0.853, 0.041, 13.43, -0.0179]</v>
      </c>
    </row>
    <row r="112" spans="1:1">
      <c r="A112" s="22" t="str">
        <f>'ANSI Buildup Factors'!L71</f>
        <v xml:space="preserve">    - [1.286, 0.830, 0.048, 14.00, -0.0243]</v>
      </c>
    </row>
    <row r="113" spans="1:1">
      <c r="A113" s="22" t="str">
        <f>'ANSI Buildup Factors'!A74</f>
        <v>Carbon</v>
      </c>
    </row>
    <row r="114" spans="1:1">
      <c r="A114" s="23" t="s">
        <v>1863</v>
      </c>
    </row>
    <row r="115" spans="1:1">
      <c r="A115" s="22" t="str">
        <f>'ANSI Buildup Factors'!K76</f>
        <v xml:space="preserve">    - 0.015</v>
      </c>
    </row>
    <row r="116" spans="1:1">
      <c r="A116" s="22" t="str">
        <f>'ANSI Buildup Factors'!K77</f>
        <v xml:space="preserve">    - 0.020</v>
      </c>
    </row>
    <row r="117" spans="1:1">
      <c r="A117" s="22" t="str">
        <f>'ANSI Buildup Factors'!K78</f>
        <v xml:space="preserve">    - 0.030</v>
      </c>
    </row>
    <row r="118" spans="1:1">
      <c r="A118" s="22" t="str">
        <f>'ANSI Buildup Factors'!K79</f>
        <v xml:space="preserve">    - 0.040</v>
      </c>
    </row>
    <row r="119" spans="1:1">
      <c r="A119" s="22" t="str">
        <f>'ANSI Buildup Factors'!K80</f>
        <v xml:space="preserve">    - 0.050</v>
      </c>
    </row>
    <row r="120" spans="1:1">
      <c r="A120" s="22" t="str">
        <f>'ANSI Buildup Factors'!K81</f>
        <v xml:space="preserve">    - 0.060</v>
      </c>
    </row>
    <row r="121" spans="1:1">
      <c r="A121" s="22" t="str">
        <f>'ANSI Buildup Factors'!K82</f>
        <v xml:space="preserve">    - 0.080</v>
      </c>
    </row>
    <row r="122" spans="1:1">
      <c r="A122" s="22" t="str">
        <f>'ANSI Buildup Factors'!K83</f>
        <v xml:space="preserve">    - 0.100</v>
      </c>
    </row>
    <row r="123" spans="1:1">
      <c r="A123" s="22" t="str">
        <f>'ANSI Buildup Factors'!K84</f>
        <v xml:space="preserve">    - 0.150</v>
      </c>
    </row>
    <row r="124" spans="1:1">
      <c r="A124" s="22" t="str">
        <f>'ANSI Buildup Factors'!K85</f>
        <v xml:space="preserve">    - 0.200</v>
      </c>
    </row>
    <row r="125" spans="1:1">
      <c r="A125" s="22" t="str">
        <f>'ANSI Buildup Factors'!K86</f>
        <v xml:space="preserve">    - 0.300</v>
      </c>
    </row>
    <row r="126" spans="1:1">
      <c r="A126" s="22" t="str">
        <f>'ANSI Buildup Factors'!K87</f>
        <v xml:space="preserve">    - 0.400</v>
      </c>
    </row>
    <row r="127" spans="1:1">
      <c r="A127" s="22" t="str">
        <f>'ANSI Buildup Factors'!K88</f>
        <v xml:space="preserve">    - 0.500</v>
      </c>
    </row>
    <row r="128" spans="1:1">
      <c r="A128" s="22" t="str">
        <f>'ANSI Buildup Factors'!K89</f>
        <v xml:space="preserve">    - 0.600</v>
      </c>
    </row>
    <row r="129" spans="1:1">
      <c r="A129" s="22" t="str">
        <f>'ANSI Buildup Factors'!K90</f>
        <v xml:space="preserve">    - 0.800</v>
      </c>
    </row>
    <row r="130" spans="1:1">
      <c r="A130" s="22" t="str">
        <f>'ANSI Buildup Factors'!K91</f>
        <v xml:space="preserve">    - 1.000</v>
      </c>
    </row>
    <row r="131" spans="1:1">
      <c r="A131" s="22" t="str">
        <f>'ANSI Buildup Factors'!K92</f>
        <v xml:space="preserve">    - 1.500</v>
      </c>
    </row>
    <row r="132" spans="1:1">
      <c r="A132" s="22" t="str">
        <f>'ANSI Buildup Factors'!K93</f>
        <v xml:space="preserve">    - 2.000</v>
      </c>
    </row>
    <row r="133" spans="1:1">
      <c r="A133" s="22" t="str">
        <f>'ANSI Buildup Factors'!K94</f>
        <v xml:space="preserve">    - 3.000</v>
      </c>
    </row>
    <row r="134" spans="1:1">
      <c r="A134" s="22" t="str">
        <f>'ANSI Buildup Factors'!K95</f>
        <v xml:space="preserve">    - 4.000</v>
      </c>
    </row>
    <row r="135" spans="1:1">
      <c r="A135" s="22" t="str">
        <f>'ANSI Buildup Factors'!K96</f>
        <v xml:space="preserve">    - 5.000</v>
      </c>
    </row>
    <row r="136" spans="1:1">
      <c r="A136" s="22" t="str">
        <f>'ANSI Buildup Factors'!K97</f>
        <v xml:space="preserve">    - 6.000</v>
      </c>
    </row>
    <row r="137" spans="1:1">
      <c r="A137" s="22" t="str">
        <f>'ANSI Buildup Factors'!K98</f>
        <v xml:space="preserve">    - 8.000</v>
      </c>
    </row>
    <row r="138" spans="1:1">
      <c r="A138" s="22" t="str">
        <f>'ANSI Buildup Factors'!K99</f>
        <v xml:space="preserve">    - 10.000</v>
      </c>
    </row>
    <row r="139" spans="1:1">
      <c r="A139" s="22" t="str">
        <f>'ANSI Buildup Factors'!K100</f>
        <v xml:space="preserve">    - 15.000</v>
      </c>
    </row>
    <row r="140" spans="1:1">
      <c r="A140" s="24" t="s">
        <v>1864</v>
      </c>
    </row>
    <row r="141" spans="1:1">
      <c r="A141" s="24" t="s">
        <v>1865</v>
      </c>
    </row>
    <row r="142" spans="1:1">
      <c r="A142" s="22" t="str">
        <f>'ANSI Buildup Factors'!L76</f>
        <v xml:space="preserve">    - [1.386, 0.539, 0.146, 14.31, -0.0718]</v>
      </c>
    </row>
    <row r="143" spans="1:1">
      <c r="A143" s="22" t="str">
        <f>'ANSI Buildup Factors'!L77</f>
        <v xml:space="preserve">    - [1.877, 0.732, 0.079, 16.57, -0.0395]</v>
      </c>
    </row>
    <row r="144" spans="1:1">
      <c r="A144" s="22" t="str">
        <f>'ANSI Buildup Factors'!L78</f>
        <v xml:space="preserve">    - [3.511, 1.153, -0.027, 12.82, 0.0087]</v>
      </c>
    </row>
    <row r="145" spans="1:1">
      <c r="A145" s="22" t="str">
        <f>'ANSI Buildup Factors'!L79</f>
        <v xml:space="preserve">    - [5.260, 1.745, -0.129, 13.91, 0.0571]</v>
      </c>
    </row>
    <row r="146" spans="1:1">
      <c r="A146" s="22" t="str">
        <f>'ANSI Buildup Factors'!L80</f>
        <v xml:space="preserve">    - [6.706, 2.108, -0.170, 14.34, 0.0735]</v>
      </c>
    </row>
    <row r="147" spans="1:1">
      <c r="A147" s="22" t="str">
        <f>'ANSI Buildup Factors'!L81</f>
        <v xml:space="preserve">    - [7.209, 2.383, -0.198, 14.53, 0.0878]</v>
      </c>
    </row>
    <row r="148" spans="1:1">
      <c r="A148" s="22" t="str">
        <f>'ANSI Buildup Factors'!L82</f>
        <v xml:space="preserve">    - [6.765, 2.691, -0.227, 14.44, 0.0998]</v>
      </c>
    </row>
    <row r="149" spans="1:1">
      <c r="A149" s="22" t="str">
        <f>'ANSI Buildup Factors'!L83</f>
        <v xml:space="preserve">    - [5.890, 2.824, -0.239, 14.40, 0.1046]</v>
      </c>
    </row>
    <row r="150" spans="1:1">
      <c r="A150" s="22" t="str">
        <f>'ANSI Buildup Factors'!L84</f>
        <v xml:space="preserve">    - [4.381, 2.866, -0.246, 14.14, 0.1067]</v>
      </c>
    </row>
    <row r="151" spans="1:1">
      <c r="A151" s="22" t="str">
        <f>'ANSI Buildup Factors'!L85</f>
        <v xml:space="preserve">    - [3.750, 2.698, -0.233, 15.08, 0.1060]</v>
      </c>
    </row>
    <row r="152" spans="1:1">
      <c r="A152" s="22" t="str">
        <f>'ANSI Buildup Factors'!L86</f>
        <v xml:space="preserve">    - [3.147, 2.413, -0.211, 14.41, 0.0944]</v>
      </c>
    </row>
    <row r="153" spans="1:1">
      <c r="A153" s="22" t="str">
        <f>'ANSI Buildup Factors'!L87</f>
        <v xml:space="preserve">    - [2.843, 2.197, -0.192, 13.47, 0.0805]</v>
      </c>
    </row>
    <row r="154" spans="1:1">
      <c r="A154" s="22" t="str">
        <f>'ANSI Buildup Factors'!L88</f>
        <v xml:space="preserve">    - [2.657, 2.011, -0.171, 14.19, 0.0795]</v>
      </c>
    </row>
    <row r="155" spans="1:1">
      <c r="A155" s="22" t="str">
        <f>'ANSI Buildup Factors'!L89</f>
        <v xml:space="preserve">    - [2.543, 1.851, -0.151, 13.60, 0.0610]</v>
      </c>
    </row>
    <row r="156" spans="1:1">
      <c r="A156" s="22" t="str">
        <f>'ANSI Buildup Factors'!L90</f>
        <v xml:space="preserve">    - [2.312, 1.691, -0.133, 13.80, 0.0643]</v>
      </c>
    </row>
    <row r="157" spans="1:1">
      <c r="A157" s="22" t="str">
        <f>'ANSI Buildup Factors'!L91</f>
        <v xml:space="preserve">    - [2.192, 1.544, -0.110, 13.78, 0.0533]</v>
      </c>
    </row>
    <row r="158" spans="1:1">
      <c r="A158" s="22" t="str">
        <f>'ANSI Buildup Factors'!L92</f>
        <v xml:space="preserve">    - [2.011, 1.311, -0.069, 13.69, 0.0332]</v>
      </c>
    </row>
    <row r="159" spans="1:1">
      <c r="A159" s="22" t="str">
        <f>'ANSI Buildup Factors'!L93</f>
        <v xml:space="preserve">    - [1.898, 1.192, -0.044, 13.99, 0.0206]</v>
      </c>
    </row>
    <row r="160" spans="1:1">
      <c r="A160" s="22" t="str">
        <f>'ANSI Buildup Factors'!L94</f>
        <v xml:space="preserve">    - [1.752, 1.058, -0.014, 11.98, 0.0060]</v>
      </c>
    </row>
    <row r="161" spans="1:1">
      <c r="A161" s="22" t="str">
        <f>'ANSI Buildup Factors'!L95</f>
        <v xml:space="preserve">    - [1.653, 0.986, 0.004, 25.64, -0.0080]</v>
      </c>
    </row>
    <row r="162" spans="1:1">
      <c r="A162" s="22" t="str">
        <f>'ANSI Buildup Factors'!L96</f>
        <v xml:space="preserve">    - [1.575, 0.939, 0.017, 14.50, -0.0109]</v>
      </c>
    </row>
    <row r="163" spans="1:1">
      <c r="A163" s="22" t="str">
        <f>'ANSI Buildup Factors'!L97</f>
        <v xml:space="preserve">    - [1.525, 0.908, 0.026, 14.36, -0.0149]</v>
      </c>
    </row>
    <row r="164" spans="1:1">
      <c r="A164" s="22" t="str">
        <f>'ANSI Buildup Factors'!L98</f>
        <v xml:space="preserve">    - [1.440, 0.868, 0.038, 17.08, -0.0351]</v>
      </c>
    </row>
    <row r="165" spans="1:1">
      <c r="A165" s="22" t="str">
        <f>'ANSI Buildup Factors'!L99</f>
        <v xml:space="preserve">    - [1.373, 0.855, 0.042, 12.35, -0.0208]</v>
      </c>
    </row>
    <row r="166" spans="1:1">
      <c r="A166" s="22" t="str">
        <f>'ANSI Buildup Factors'!L100</f>
        <v xml:space="preserve">    - [1.276, 0.841, 0.046, 15.27, -0.0296]</v>
      </c>
    </row>
    <row r="167" spans="1:1">
      <c r="A167" s="22" t="str">
        <f>'ANSI Buildup Factors'!A103</f>
        <v>Nitrogen</v>
      </c>
    </row>
    <row r="168" spans="1:1">
      <c r="A168" s="23" t="s">
        <v>1863</v>
      </c>
    </row>
    <row r="169" spans="1:1">
      <c r="A169" s="22" t="str">
        <f>'ANSI Buildup Factors'!K105</f>
        <v xml:space="preserve">    - 0.015</v>
      </c>
    </row>
    <row r="170" spans="1:1">
      <c r="A170" s="22" t="str">
        <f>'ANSI Buildup Factors'!K106</f>
        <v xml:space="preserve">    - 0.020</v>
      </c>
    </row>
    <row r="171" spans="1:1">
      <c r="A171" s="22" t="str">
        <f>'ANSI Buildup Factors'!K107</f>
        <v xml:space="preserve">    - 0.030</v>
      </c>
    </row>
    <row r="172" spans="1:1">
      <c r="A172" s="22" t="str">
        <f>'ANSI Buildup Factors'!K108</f>
        <v xml:space="preserve">    - 0.040</v>
      </c>
    </row>
    <row r="173" spans="1:1">
      <c r="A173" s="22" t="str">
        <f>'ANSI Buildup Factors'!K109</f>
        <v xml:space="preserve">    - 0.050</v>
      </c>
    </row>
    <row r="174" spans="1:1">
      <c r="A174" s="22" t="str">
        <f>'ANSI Buildup Factors'!K110</f>
        <v xml:space="preserve">    - 0.060</v>
      </c>
    </row>
    <row r="175" spans="1:1">
      <c r="A175" s="22" t="str">
        <f>'ANSI Buildup Factors'!K111</f>
        <v xml:space="preserve">    - 0.080</v>
      </c>
    </row>
    <row r="176" spans="1:1">
      <c r="A176" s="22" t="str">
        <f>'ANSI Buildup Factors'!K112</f>
        <v xml:space="preserve">    - 0.100</v>
      </c>
    </row>
    <row r="177" spans="1:1">
      <c r="A177" s="22" t="str">
        <f>'ANSI Buildup Factors'!K113</f>
        <v xml:space="preserve">    - 0.150</v>
      </c>
    </row>
    <row r="178" spans="1:1">
      <c r="A178" s="22" t="str">
        <f>'ANSI Buildup Factors'!K114</f>
        <v xml:space="preserve">    - 0.200</v>
      </c>
    </row>
    <row r="179" spans="1:1">
      <c r="A179" s="22" t="str">
        <f>'ANSI Buildup Factors'!K115</f>
        <v xml:space="preserve">    - 0.300</v>
      </c>
    </row>
    <row r="180" spans="1:1">
      <c r="A180" s="22" t="str">
        <f>'ANSI Buildup Factors'!K116</f>
        <v xml:space="preserve">    - 0.400</v>
      </c>
    </row>
    <row r="181" spans="1:1">
      <c r="A181" s="22" t="str">
        <f>'ANSI Buildup Factors'!K117</f>
        <v xml:space="preserve">    - 0.500</v>
      </c>
    </row>
    <row r="182" spans="1:1">
      <c r="A182" s="22" t="str">
        <f>'ANSI Buildup Factors'!K118</f>
        <v xml:space="preserve">    - 0.600</v>
      </c>
    </row>
    <row r="183" spans="1:1">
      <c r="A183" s="22" t="str">
        <f>'ANSI Buildup Factors'!K119</f>
        <v xml:space="preserve">    - 0.800</v>
      </c>
    </row>
    <row r="184" spans="1:1">
      <c r="A184" s="22" t="str">
        <f>'ANSI Buildup Factors'!K120</f>
        <v xml:space="preserve">    - 1.000</v>
      </c>
    </row>
    <row r="185" spans="1:1">
      <c r="A185" s="22" t="str">
        <f>'ANSI Buildup Factors'!K121</f>
        <v xml:space="preserve">    - 1.500</v>
      </c>
    </row>
    <row r="186" spans="1:1">
      <c r="A186" s="22" t="str">
        <f>'ANSI Buildup Factors'!K122</f>
        <v xml:space="preserve">    - 2.000</v>
      </c>
    </row>
    <row r="187" spans="1:1">
      <c r="A187" s="22" t="str">
        <f>'ANSI Buildup Factors'!K123</f>
        <v xml:space="preserve">    - 3.000</v>
      </c>
    </row>
    <row r="188" spans="1:1">
      <c r="A188" s="22" t="str">
        <f>'ANSI Buildup Factors'!K124</f>
        <v xml:space="preserve">    - 4.000</v>
      </c>
    </row>
    <row r="189" spans="1:1">
      <c r="A189" s="22" t="str">
        <f>'ANSI Buildup Factors'!K125</f>
        <v xml:space="preserve">    - 5.000</v>
      </c>
    </row>
    <row r="190" spans="1:1">
      <c r="A190" s="22" t="str">
        <f>'ANSI Buildup Factors'!K126</f>
        <v xml:space="preserve">    - 6.000</v>
      </c>
    </row>
    <row r="191" spans="1:1">
      <c r="A191" s="22" t="str">
        <f>'ANSI Buildup Factors'!K127</f>
        <v xml:space="preserve">    - 8.000</v>
      </c>
    </row>
    <row r="192" spans="1:1">
      <c r="A192" s="22" t="str">
        <f>'ANSI Buildup Factors'!K128</f>
        <v xml:space="preserve">    - 10.000</v>
      </c>
    </row>
    <row r="193" spans="1:1">
      <c r="A193" s="22" t="str">
        <f>'ANSI Buildup Factors'!K129</f>
        <v xml:space="preserve">    - 15.000</v>
      </c>
    </row>
    <row r="194" spans="1:1">
      <c r="A194" s="24" t="s">
        <v>1864</v>
      </c>
    </row>
    <row r="195" spans="1:1">
      <c r="A195" s="24" t="s">
        <v>1865</v>
      </c>
    </row>
    <row r="196" spans="1:1">
      <c r="A196" s="22" t="str">
        <f>'ANSI Buildup Factors'!L105</f>
        <v xml:space="preserve">    - [1.234, 0.475, 0.171, 14.27, -0.0858]</v>
      </c>
    </row>
    <row r="197" spans="1:1">
      <c r="A197" s="22" t="str">
        <f>'ANSI Buildup Factors'!L106</f>
        <v xml:space="preserve">    - [1.543, 0.586, 0.130, 15.00, -0.0632]</v>
      </c>
    </row>
    <row r="198" spans="1:1">
      <c r="A198" s="22" t="str">
        <f>'ANSI Buildup Factors'!L107</f>
        <v xml:space="preserve">    - [2.621, 0.842, 0.053, 15.71, -0.0398]</v>
      </c>
    </row>
    <row r="199" spans="1:1">
      <c r="A199" s="22" t="str">
        <f>'ANSI Buildup Factors'!L108</f>
        <v xml:space="preserve">    - [3.945, 1.279, -0.053, 13.58, 0.0191]</v>
      </c>
    </row>
    <row r="200" spans="1:1">
      <c r="A200" s="22" t="str">
        <f>'ANSI Buildup Factors'!L109</f>
        <v xml:space="preserve">    - [5.039, 1.640, -0.113, 13.85, 0.0489]</v>
      </c>
    </row>
    <row r="201" spans="1:1">
      <c r="A201" s="22" t="str">
        <f>'ANSI Buildup Factors'!L110</f>
        <v xml:space="preserve">    - [5.510, 1.937, -0.154, 13.68, 0.0714]</v>
      </c>
    </row>
    <row r="202" spans="1:1">
      <c r="A202" s="22" t="str">
        <f>'ANSI Buildup Factors'!L111</f>
        <v xml:space="preserve">    - [5.432, 2.283, -0.194, 13.30, 0.0892]</v>
      </c>
    </row>
    <row r="203" spans="1:1">
      <c r="A203" s="22" t="str">
        <f>'ANSI Buildup Factors'!L112</f>
        <v xml:space="preserve">    - [5.208, 2.311, -0.191, 14.39, 0.0825]</v>
      </c>
    </row>
    <row r="204" spans="1:1">
      <c r="A204" s="22" t="str">
        <f>'ANSI Buildup Factors'!L113</f>
        <v xml:space="preserve">    - [3.970, 2.453, -0.209, 14.11, 0.0943]</v>
      </c>
    </row>
    <row r="205" spans="1:1">
      <c r="A205" s="22" t="str">
        <f>'ANSI Buildup Factors'!L114</f>
        <v xml:space="preserve">    - [3.395, 2.408, -0.208, 13.32, 0.0891]</v>
      </c>
    </row>
    <row r="206" spans="1:1">
      <c r="A206" s="22" t="str">
        <f>'ANSI Buildup Factors'!L115</f>
        <v xml:space="preserve">    - [2.962, 2.142, -0.180, 14.06, 0.0755]</v>
      </c>
    </row>
    <row r="207" spans="1:1">
      <c r="A207" s="22" t="str">
        <f>'ANSI Buildup Factors'!L116</f>
        <v xml:space="preserve">    - [2.700, 1.976, -0.163, 14.05, 0.0690]</v>
      </c>
    </row>
    <row r="208" spans="1:1">
      <c r="A208" s="22" t="str">
        <f>'ANSI Buildup Factors'!L117</f>
        <v xml:space="preserve">    - [2.538, 1.835, -0.146, 14.13, 0.0612]</v>
      </c>
    </row>
    <row r="209" spans="1:1">
      <c r="A209" s="22" t="str">
        <f>'ANSI Buildup Factors'!L118</f>
        <v xml:space="preserve">    - [2.406, 1.737, -0.134, 14.11, 0.0572]</v>
      </c>
    </row>
    <row r="210" spans="1:1">
      <c r="A210" s="22" t="str">
        <f>'ANSI Buildup Factors'!L119</f>
        <v xml:space="preserve">    - [2.241, 1.580, -0.112, 14.03, 0.0484]</v>
      </c>
    </row>
    <row r="211" spans="1:1">
      <c r="A211" s="22" t="str">
        <f>'ANSI Buildup Factors'!L120</f>
        <v xml:space="preserve">    - [2.123, 1.474, -0.096, 13.97, 0.0426]</v>
      </c>
    </row>
    <row r="212" spans="1:1">
      <c r="A212" s="22" t="str">
        <f>'ANSI Buildup Factors'!L121</f>
        <v xml:space="preserve">    - [1.968, 1.270, -0.058, 14.81, 0.0246]</v>
      </c>
    </row>
    <row r="213" spans="1:1">
      <c r="A213" s="22" t="str">
        <f>'ANSI Buildup Factors'!L122</f>
        <v xml:space="preserve">    - [1.858, 1.176, -0.040, 13.95, 0.0175]</v>
      </c>
    </row>
    <row r="214" spans="1:1">
      <c r="A214" s="22" t="str">
        <f>'ANSI Buildup Factors'!L123</f>
        <v xml:space="preserve">    - [1.718, 1.061, -0.014, 13.95, 0.0047]</v>
      </c>
    </row>
    <row r="215" spans="1:1">
      <c r="A215" s="22" t="str">
        <f>'ANSI Buildup Factors'!L124</f>
        <v xml:space="preserve">    - [1.631, 0.989, 0.004, 15.65, -0.0044]</v>
      </c>
    </row>
    <row r="216" spans="1:1">
      <c r="A216" s="22" t="str">
        <f>'ANSI Buildup Factors'!L125</f>
        <v xml:space="preserve">    - [1.562, 0.940, 0.018, 13.58, -0.0128]</v>
      </c>
    </row>
    <row r="217" spans="1:1">
      <c r="A217" s="22" t="str">
        <f>'ANSI Buildup Factors'!L126</f>
        <v xml:space="preserve">    - [1.517, 0.901, 0.030, 12.46, -0.0186]</v>
      </c>
    </row>
    <row r="218" spans="1:1">
      <c r="A218" s="22" t="str">
        <f>'ANSI Buildup Factors'!L127</f>
        <v xml:space="preserve">    - [1.423, 0.887, 0.033, 11.67, -0.0159]</v>
      </c>
    </row>
    <row r="219" spans="1:1">
      <c r="A219" s="22" t="str">
        <f>'ANSI Buildup Factors'!L128</f>
        <v xml:space="preserve">    - [1.361, 0.873, 0.037, 14.21, -0.0221]</v>
      </c>
    </row>
    <row r="220" spans="1:1">
      <c r="A220" s="22" t="str">
        <f>'ANSI Buildup Factors'!L129</f>
        <v xml:space="preserve">    - [1.271, 0.841, 0.048, 15.04, -0.0339]</v>
      </c>
    </row>
    <row r="221" spans="1:1">
      <c r="A221" s="22" t="str">
        <f>'ANSI Buildup Factors'!A132</f>
        <v>Oxygen</v>
      </c>
    </row>
    <row r="222" spans="1:1">
      <c r="A222" s="23" t="s">
        <v>1863</v>
      </c>
    </row>
    <row r="223" spans="1:1">
      <c r="A223" s="22" t="str">
        <f>'ANSI Buildup Factors'!K134</f>
        <v xml:space="preserve">    - 0.015</v>
      </c>
    </row>
    <row r="224" spans="1:1">
      <c r="A224" s="22" t="str">
        <f>'ANSI Buildup Factors'!K135</f>
        <v xml:space="preserve">    - 0.020</v>
      </c>
    </row>
    <row r="225" spans="1:1">
      <c r="A225" s="22" t="str">
        <f>'ANSI Buildup Factors'!K136</f>
        <v xml:space="preserve">    - 0.030</v>
      </c>
    </row>
    <row r="226" spans="1:1">
      <c r="A226" s="22" t="str">
        <f>'ANSI Buildup Factors'!K137</f>
        <v xml:space="preserve">    - 0.040</v>
      </c>
    </row>
    <row r="227" spans="1:1">
      <c r="A227" s="22" t="str">
        <f>'ANSI Buildup Factors'!K138</f>
        <v xml:space="preserve">    - 0.050</v>
      </c>
    </row>
    <row r="228" spans="1:1">
      <c r="A228" s="22" t="str">
        <f>'ANSI Buildup Factors'!K139</f>
        <v xml:space="preserve">    - 0.060</v>
      </c>
    </row>
    <row r="229" spans="1:1">
      <c r="A229" s="22" t="str">
        <f>'ANSI Buildup Factors'!K140</f>
        <v xml:space="preserve">    - 0.080</v>
      </c>
    </row>
    <row r="230" spans="1:1">
      <c r="A230" s="22" t="str">
        <f>'ANSI Buildup Factors'!K141</f>
        <v xml:space="preserve">    - 0.100</v>
      </c>
    </row>
    <row r="231" spans="1:1">
      <c r="A231" s="22" t="str">
        <f>'ANSI Buildup Factors'!K142</f>
        <v xml:space="preserve">    - 0.150</v>
      </c>
    </row>
    <row r="232" spans="1:1">
      <c r="A232" s="22" t="str">
        <f>'ANSI Buildup Factors'!K143</f>
        <v xml:space="preserve">    - 0.200</v>
      </c>
    </row>
    <row r="233" spans="1:1">
      <c r="A233" s="22" t="str">
        <f>'ANSI Buildup Factors'!K144</f>
        <v xml:space="preserve">    - 0.300</v>
      </c>
    </row>
    <row r="234" spans="1:1">
      <c r="A234" s="22" t="str">
        <f>'ANSI Buildup Factors'!K145</f>
        <v xml:space="preserve">    - 0.400</v>
      </c>
    </row>
    <row r="235" spans="1:1">
      <c r="A235" s="22" t="str">
        <f>'ANSI Buildup Factors'!K146</f>
        <v xml:space="preserve">    - 0.500</v>
      </c>
    </row>
    <row r="236" spans="1:1">
      <c r="A236" s="22" t="str">
        <f>'ANSI Buildup Factors'!K147</f>
        <v xml:space="preserve">    - 0.600</v>
      </c>
    </row>
    <row r="237" spans="1:1">
      <c r="A237" s="22" t="str">
        <f>'ANSI Buildup Factors'!K148</f>
        <v xml:space="preserve">    - 0.800</v>
      </c>
    </row>
    <row r="238" spans="1:1">
      <c r="A238" s="22" t="str">
        <f>'ANSI Buildup Factors'!K149</f>
        <v xml:space="preserve">    - 1.000</v>
      </c>
    </row>
    <row r="239" spans="1:1">
      <c r="A239" s="22" t="str">
        <f>'ANSI Buildup Factors'!K150</f>
        <v xml:space="preserve">    - 1.500</v>
      </c>
    </row>
    <row r="240" spans="1:1">
      <c r="A240" s="22" t="str">
        <f>'ANSI Buildup Factors'!K151</f>
        <v xml:space="preserve">    - 2.000</v>
      </c>
    </row>
    <row r="241" spans="1:1">
      <c r="A241" s="22" t="str">
        <f>'ANSI Buildup Factors'!K152</f>
        <v xml:space="preserve">    - 3.000</v>
      </c>
    </row>
    <row r="242" spans="1:1">
      <c r="A242" s="22" t="str">
        <f>'ANSI Buildup Factors'!K153</f>
        <v xml:space="preserve">    - 4.000</v>
      </c>
    </row>
    <row r="243" spans="1:1">
      <c r="A243" s="22" t="str">
        <f>'ANSI Buildup Factors'!K154</f>
        <v xml:space="preserve">    - 5.000</v>
      </c>
    </row>
    <row r="244" spans="1:1">
      <c r="A244" s="22" t="str">
        <f>'ANSI Buildup Factors'!K155</f>
        <v xml:space="preserve">    - 6.000</v>
      </c>
    </row>
    <row r="245" spans="1:1">
      <c r="A245" s="22" t="str">
        <f>'ANSI Buildup Factors'!K156</f>
        <v xml:space="preserve">    - 8.000</v>
      </c>
    </row>
    <row r="246" spans="1:1">
      <c r="A246" s="22" t="str">
        <f>'ANSI Buildup Factors'!K157</f>
        <v xml:space="preserve">    - 10.000</v>
      </c>
    </row>
    <row r="247" spans="1:1">
      <c r="A247" s="22" t="str">
        <f>'ANSI Buildup Factors'!K158</f>
        <v xml:space="preserve">    - 15.000</v>
      </c>
    </row>
    <row r="248" spans="1:1">
      <c r="A248" s="24" t="s">
        <v>1864</v>
      </c>
    </row>
    <row r="249" spans="1:1">
      <c r="A249" s="24" t="s">
        <v>1865</v>
      </c>
    </row>
    <row r="250" spans="1:1">
      <c r="A250" s="22" t="str">
        <f>'ANSI Buildup Factors'!L134</f>
        <v xml:space="preserve">    - [1.153, 0.432, 0.189, 14.49, -0.0965]</v>
      </c>
    </row>
    <row r="251" spans="1:1">
      <c r="A251" s="22" t="str">
        <f>'ANSI Buildup Factors'!L135</f>
        <v xml:space="preserve">    - [1.355, 0.505, 0.162, 14.65, -0.0825]</v>
      </c>
    </row>
    <row r="252" spans="1:1">
      <c r="A252" s="22" t="str">
        <f>'ANSI Buildup Factors'!L136</f>
        <v xml:space="preserve">    - [2.054, 0.718, 0.086, 16.37, -0.0456]</v>
      </c>
    </row>
    <row r="253" spans="1:1">
      <c r="A253" s="22" t="str">
        <f>'ANSI Buildup Factors'!L137</f>
        <v xml:space="preserve">    - [3.137, 0.990, 0.012, 13.45, -0.0134]</v>
      </c>
    </row>
    <row r="254" spans="1:1">
      <c r="A254" s="22" t="str">
        <f>'ANSI Buildup Factors'!L138</f>
        <v xml:space="preserve">    - [4.063, 1.305, -0.056, 13.54, 0.0184]</v>
      </c>
    </row>
    <row r="255" spans="1:1">
      <c r="A255" s="22" t="str">
        <f>'ANSI Buildup Factors'!L139</f>
        <v xml:space="preserve">    - [4.610, 1.562, -0.100, 13.75, 0.0412]</v>
      </c>
    </row>
    <row r="256" spans="1:1">
      <c r="A256" s="22" t="str">
        <f>'ANSI Buildup Factors'!L140</f>
        <v xml:space="preserve">    - [4.783, 1.887, -0.146, 13.73, 0.0643]</v>
      </c>
    </row>
    <row r="257" spans="1:1">
      <c r="A257" s="22" t="str">
        <f>'ANSI Buildup Factors'!L141</f>
        <v xml:space="preserve">    - [4.492, 2.043, -0.164, 13.85, 0.0718]</v>
      </c>
    </row>
    <row r="258" spans="1:1">
      <c r="A258" s="22" t="str">
        <f>'ANSI Buildup Factors'!L142</f>
        <v xml:space="preserve">    - [3.877, 2.069, -0.163, 14.48, 0.0637]</v>
      </c>
    </row>
    <row r="259" spans="1:1">
      <c r="A259" s="22" t="str">
        <f>'ANSI Buildup Factors'!L143</f>
        <v xml:space="preserve">    - [3.320, 2.090, -0.169, 14.03, 0.0678]</v>
      </c>
    </row>
    <row r="260" spans="1:1">
      <c r="A260" s="22" t="str">
        <f>'ANSI Buildup Factors'!L144</f>
        <v xml:space="preserve">    - [2.870, 1.948, -0.154, 14.20, 0.0595]</v>
      </c>
    </row>
    <row r="261" spans="1:1">
      <c r="A261" s="22" t="str">
        <f>'ANSI Buildup Factors'!L145</f>
        <v xml:space="preserve">    - [2.629, 1.828, -0.141, 14.19, 0.0546]</v>
      </c>
    </row>
    <row r="262" spans="1:1">
      <c r="A262" s="22" t="str">
        <f>'ANSI Buildup Factors'!L146</f>
        <v xml:space="preserve">    - [2.475, 1.723, -0.128, 14.20, 0.0488]</v>
      </c>
    </row>
    <row r="263" spans="1:1">
      <c r="A263" s="22" t="str">
        <f>'ANSI Buildup Factors'!L147</f>
        <v xml:space="preserve">    - [2.362, 1.635, -0.116, 14.32, 0.0439]</v>
      </c>
    </row>
    <row r="264" spans="1:1">
      <c r="A264" s="22" t="str">
        <f>'ANSI Buildup Factors'!L148</f>
        <v xml:space="preserve">    - [2.185, 1.532, -0.103, 14.24, 0.0427]</v>
      </c>
    </row>
    <row r="265" spans="1:1">
      <c r="A265" s="22" t="str">
        <f>'ANSI Buildup Factors'!L149</f>
        <v xml:space="preserve">    - [2.098, 1.418, -0.084, 14.35, 0.0333]</v>
      </c>
    </row>
    <row r="266" spans="1:1">
      <c r="A266" s="22" t="str">
        <f>'ANSI Buildup Factors'!L150</f>
        <v xml:space="preserve">    - [1.929, 1.265, -0.057, 14.45, 0.0235]</v>
      </c>
    </row>
    <row r="267" spans="1:1">
      <c r="A267" s="22" t="str">
        <f>'ANSI Buildup Factors'!L151</f>
        <v xml:space="preserve">    - [1.837, 1.164, -0.036, 15.40, 0.0137]</v>
      </c>
    </row>
    <row r="268" spans="1:1">
      <c r="A268" s="22" t="str">
        <f>'ANSI Buildup Factors'!L152</f>
        <v xml:space="preserve">    - [1.711, 1.052, -0.011, 12.88, 0.0020]</v>
      </c>
    </row>
    <row r="269" spans="1:1">
      <c r="A269" s="22" t="str">
        <f>'ANSI Buildup Factors'!L153</f>
        <v xml:space="preserve">    - [1.624, 0.990, 0.004, 20.49, -0.0070]</v>
      </c>
    </row>
    <row r="270" spans="1:1">
      <c r="A270" s="22" t="str">
        <f>'ANSI Buildup Factors'!L154</f>
        <v xml:space="preserve">    - [1.553, 0.947, 0.016, 14.42, -0.0111]</v>
      </c>
    </row>
    <row r="271" spans="1:1">
      <c r="A271" s="22" t="str">
        <f>'ANSI Buildup Factors'!L155</f>
        <v xml:space="preserve">    - [1.505, 0.917, 0.025, 15.64, -0.0229]</v>
      </c>
    </row>
    <row r="272" spans="1:1">
      <c r="A272" s="22" t="str">
        <f>'ANSI Buildup Factors'!L156</f>
        <v xml:space="preserve">    - [1.417, 0.891, 0.033, 12.30, -0.0194]</v>
      </c>
    </row>
    <row r="273" spans="1:1">
      <c r="A273" s="22" t="str">
        <f>'ANSI Buildup Factors'!L157</f>
        <v xml:space="preserve">    - [1.358, 0.872, 0.039, 13.99, -0.0252]</v>
      </c>
    </row>
    <row r="274" spans="1:1">
      <c r="A274" s="22" t="str">
        <f>'ANSI Buildup Factors'!L158</f>
        <v xml:space="preserve">    - [1.265, 0.842, 0.050, 15.03, -0.0387]</v>
      </c>
    </row>
    <row r="275" spans="1:1">
      <c r="A275" s="22" t="str">
        <f>'ANSI Buildup Factors'!A161</f>
        <v>Sodium</v>
      </c>
    </row>
    <row r="276" spans="1:1">
      <c r="A276" s="23" t="s">
        <v>1863</v>
      </c>
    </row>
    <row r="277" spans="1:1">
      <c r="A277" s="22" t="str">
        <f>'ANSI Buildup Factors'!K163</f>
        <v xml:space="preserve">    - 0.015</v>
      </c>
    </row>
    <row r="278" spans="1:1">
      <c r="A278" s="22" t="str">
        <f>'ANSI Buildup Factors'!K164</f>
        <v xml:space="preserve">    - 0.020</v>
      </c>
    </row>
    <row r="279" spans="1:1">
      <c r="A279" s="22" t="str">
        <f>'ANSI Buildup Factors'!K165</f>
        <v xml:space="preserve">    - 0.030</v>
      </c>
    </row>
    <row r="280" spans="1:1">
      <c r="A280" s="22" t="str">
        <f>'ANSI Buildup Factors'!K166</f>
        <v xml:space="preserve">    - 0.040</v>
      </c>
    </row>
    <row r="281" spans="1:1">
      <c r="A281" s="22" t="str">
        <f>'ANSI Buildup Factors'!K167</f>
        <v xml:space="preserve">    - 0.050</v>
      </c>
    </row>
    <row r="282" spans="1:1">
      <c r="A282" s="22" t="str">
        <f>'ANSI Buildup Factors'!K168</f>
        <v xml:space="preserve">    - 0.060</v>
      </c>
    </row>
    <row r="283" spans="1:1">
      <c r="A283" s="22" t="str">
        <f>'ANSI Buildup Factors'!K169</f>
        <v xml:space="preserve">    - 0.080</v>
      </c>
    </row>
    <row r="284" spans="1:1">
      <c r="A284" s="22" t="str">
        <f>'ANSI Buildup Factors'!K170</f>
        <v xml:space="preserve">    - 0.100</v>
      </c>
    </row>
    <row r="285" spans="1:1">
      <c r="A285" s="22" t="str">
        <f>'ANSI Buildup Factors'!K171</f>
        <v xml:space="preserve">    - 0.150</v>
      </c>
    </row>
    <row r="286" spans="1:1">
      <c r="A286" s="22" t="str">
        <f>'ANSI Buildup Factors'!K172</f>
        <v xml:space="preserve">    - 0.200</v>
      </c>
    </row>
    <row r="287" spans="1:1">
      <c r="A287" s="22" t="str">
        <f>'ANSI Buildup Factors'!K173</f>
        <v xml:space="preserve">    - 0.300</v>
      </c>
    </row>
    <row r="288" spans="1:1">
      <c r="A288" s="22" t="str">
        <f>'ANSI Buildup Factors'!K174</f>
        <v xml:space="preserve">    - 0.400</v>
      </c>
    </row>
    <row r="289" spans="1:1">
      <c r="A289" s="22" t="str">
        <f>'ANSI Buildup Factors'!K175</f>
        <v xml:space="preserve">    - 0.500</v>
      </c>
    </row>
    <row r="290" spans="1:1">
      <c r="A290" s="22" t="str">
        <f>'ANSI Buildup Factors'!K176</f>
        <v xml:space="preserve">    - 0.600</v>
      </c>
    </row>
    <row r="291" spans="1:1">
      <c r="A291" s="22" t="str">
        <f>'ANSI Buildup Factors'!K177</f>
        <v xml:space="preserve">    - 0.800</v>
      </c>
    </row>
    <row r="292" spans="1:1">
      <c r="A292" s="22" t="str">
        <f>'ANSI Buildup Factors'!K178</f>
        <v xml:space="preserve">    - 1.000</v>
      </c>
    </row>
    <row r="293" spans="1:1">
      <c r="A293" s="22" t="str">
        <f>'ANSI Buildup Factors'!K179</f>
        <v xml:space="preserve">    - 1.500</v>
      </c>
    </row>
    <row r="294" spans="1:1">
      <c r="A294" s="22" t="str">
        <f>'ANSI Buildup Factors'!K180</f>
        <v xml:space="preserve">    - 2.000</v>
      </c>
    </row>
    <row r="295" spans="1:1">
      <c r="A295" s="22" t="str">
        <f>'ANSI Buildup Factors'!K181</f>
        <v xml:space="preserve">    - 3.000</v>
      </c>
    </row>
    <row r="296" spans="1:1">
      <c r="A296" s="22" t="str">
        <f>'ANSI Buildup Factors'!K182</f>
        <v xml:space="preserve">    - 4.000</v>
      </c>
    </row>
    <row r="297" spans="1:1">
      <c r="A297" s="22" t="str">
        <f>'ANSI Buildup Factors'!K183</f>
        <v xml:space="preserve">    - 5.000</v>
      </c>
    </row>
    <row r="298" spans="1:1">
      <c r="A298" s="22" t="str">
        <f>'ANSI Buildup Factors'!K184</f>
        <v xml:space="preserve">    - 6.000</v>
      </c>
    </row>
    <row r="299" spans="1:1">
      <c r="A299" s="22" t="str">
        <f>'ANSI Buildup Factors'!K185</f>
        <v xml:space="preserve">    - 8.000</v>
      </c>
    </row>
    <row r="300" spans="1:1">
      <c r="A300" s="22" t="str">
        <f>'ANSI Buildup Factors'!K186</f>
        <v xml:space="preserve">    - 10.000</v>
      </c>
    </row>
    <row r="301" spans="1:1">
      <c r="A301" s="22" t="str">
        <f>'ANSI Buildup Factors'!K187</f>
        <v xml:space="preserve">    - 15.000</v>
      </c>
    </row>
    <row r="302" spans="1:1">
      <c r="A302" s="24" t="s">
        <v>1864</v>
      </c>
    </row>
    <row r="303" spans="1:1">
      <c r="A303" s="24" t="s">
        <v>1865</v>
      </c>
    </row>
    <row r="304" spans="1:1">
      <c r="A304" s="22" t="str">
        <f>'ANSI Buildup Factors'!L163</f>
        <v xml:space="preserve">    - [1.052, 0.379, 0.223, 11.69, -0.1146]</v>
      </c>
    </row>
    <row r="305" spans="1:1">
      <c r="A305" s="22" t="str">
        <f>'ANSI Buildup Factors'!L164</f>
        <v xml:space="preserve">    - [1.122, 0.398, 0.212, 13.54, -0.1140]</v>
      </c>
    </row>
    <row r="306" spans="1:1">
      <c r="A306" s="22" t="str">
        <f>'ANSI Buildup Factors'!L165</f>
        <v xml:space="preserve">    - [1.388, 0.480, 0.176, 14.60, -0.0921]</v>
      </c>
    </row>
    <row r="307" spans="1:1">
      <c r="A307" s="22" t="str">
        <f>'ANSI Buildup Factors'!L166</f>
        <v xml:space="preserve">    - [1.779, 0.662, 0.099, 16.41, -0.0479]</v>
      </c>
    </row>
    <row r="308" spans="1:1">
      <c r="A308" s="22" t="str">
        <f>'ANSI Buildup Factors'!L167</f>
        <v xml:space="preserve">    - [2.394, 0.740, 0.087, 14.31, -0.0552]</v>
      </c>
    </row>
    <row r="309" spans="1:1">
      <c r="A309" s="22" t="str">
        <f>'ANSI Buildup Factors'!L168</f>
        <v xml:space="preserve">    - [2.836, 0.910, 0.038, 13.27, -0.0339]</v>
      </c>
    </row>
    <row r="310" spans="1:1">
      <c r="A310" s="22" t="str">
        <f>'ANSI Buildup Factors'!L169</f>
        <v xml:space="preserve">    - [3.300, 1.183, -0.028, 13.57, -0.0025]</v>
      </c>
    </row>
    <row r="311" spans="1:1">
      <c r="A311" s="22" t="str">
        <f>'ANSI Buildup Factors'!L170</f>
        <v xml:space="preserve">    - [3.388, 1.368, -0.062, 14.35, 0.0115]</v>
      </c>
    </row>
    <row r="312" spans="1:1">
      <c r="A312" s="22" t="str">
        <f>'ANSI Buildup Factors'!L171</f>
        <v xml:space="preserve">    - [3.190, 1.575, -0.095, 14.71, 0.0260]</v>
      </c>
    </row>
    <row r="313" spans="1:1">
      <c r="A313" s="22" t="str">
        <f>'ANSI Buildup Factors'!L172</f>
        <v xml:space="preserve">    - [2.968, 1.627, -0.103, 14.63, 0.0281]</v>
      </c>
    </row>
    <row r="314" spans="1:1">
      <c r="A314" s="22" t="str">
        <f>'ANSI Buildup Factors'!L173</f>
        <v xml:space="preserve">    - [2.658, 1.633, -0.106, 14.12, 0.0279]</v>
      </c>
    </row>
    <row r="315" spans="1:1">
      <c r="A315" s="22" t="str">
        <f>'ANSI Buildup Factors'!L174</f>
        <v xml:space="preserve">    - [2.481, 1.587, -0.101, 15.09, 0.0285]</v>
      </c>
    </row>
    <row r="316" spans="1:1">
      <c r="A316" s="22" t="str">
        <f>'ANSI Buildup Factors'!L175</f>
        <v xml:space="preserve">    - [2.350, 1.548, -0.098, 14.86, 0.0307]</v>
      </c>
    </row>
    <row r="317" spans="1:1">
      <c r="A317" s="22" t="str">
        <f>'ANSI Buildup Factors'!L176</f>
        <v xml:space="preserve">    - [2.253, 1.498, -0.090, 15.42, 0.0264]</v>
      </c>
    </row>
    <row r="318" spans="1:1">
      <c r="A318" s="22" t="str">
        <f>'ANSI Buildup Factors'!L177</f>
        <v xml:space="preserve">    - [2.117, 1.421, -0.080, 15.18, 0.0250]</v>
      </c>
    </row>
    <row r="319" spans="1:1">
      <c r="A319" s="22" t="str">
        <f>'ANSI Buildup Factors'!L178</f>
        <v xml:space="preserve">    - [2.023, 1.356, -0.070, 15.70, 0.0234]</v>
      </c>
    </row>
    <row r="320" spans="1:1">
      <c r="A320" s="22" t="str">
        <f>'ANSI Buildup Factors'!L179</f>
        <v xml:space="preserve">    - [1.879, 1.234, -0.049, 15.21, 0.0168]</v>
      </c>
    </row>
    <row r="321" spans="1:1">
      <c r="A321" s="22" t="str">
        <f>'ANSI Buildup Factors'!L180</f>
        <v xml:space="preserve">    - [1.795, 1.154, -0.034, 14.43, 0.0122]</v>
      </c>
    </row>
    <row r="322" spans="1:1">
      <c r="A322" s="22" t="str">
        <f>'ANSI Buildup Factors'!L181</f>
        <v xml:space="preserve">    - [1.684, 1.056, -0.011, 10.47, 0.0009]</v>
      </c>
    </row>
    <row r="323" spans="1:1">
      <c r="A323" s="22" t="str">
        <f>'ANSI Buildup Factors'!L182</f>
        <v xml:space="preserve">    - [1.606, 0.992, 0.006, 12.86, -0.0089]</v>
      </c>
    </row>
    <row r="324" spans="1:1">
      <c r="A324" s="22" t="str">
        <f>'ANSI Buildup Factors'!L183</f>
        <v xml:space="preserve">    - [1.536, 0.956, 0.016, 15.20, -0.0205]</v>
      </c>
    </row>
    <row r="325" spans="1:1">
      <c r="A325" s="22" t="str">
        <f>'ANSI Buildup Factors'!L184</f>
        <v xml:space="preserve">    - [1.494, 0.914, 0.031, 11.38, -0.0247]</v>
      </c>
    </row>
    <row r="326" spans="1:1">
      <c r="A326" s="22" t="str">
        <f>'ANSI Buildup Factors'!L185</f>
        <v xml:space="preserve">    - [1.406, 0.902, 0.033, 13.53, -0.0260]</v>
      </c>
    </row>
    <row r="327" spans="1:1">
      <c r="A327" s="22" t="str">
        <f>'ANSI Buildup Factors'!L186</f>
        <v xml:space="preserve">    - [1.347, 0.876, 0.043, 13.19, -0.0335]</v>
      </c>
    </row>
    <row r="328" spans="1:1">
      <c r="A328" s="22" t="str">
        <f>'ANSI Buildup Factors'!L187</f>
        <v xml:space="preserve">    - [1.263, 0.823, 0.064, 14.35, -0.0562]</v>
      </c>
    </row>
    <row r="329" spans="1:1">
      <c r="A329" s="22" t="str">
        <f>'ANSI Buildup Factors'!A190</f>
        <v>Magnesium</v>
      </c>
    </row>
    <row r="330" spans="1:1">
      <c r="A330" s="23" t="s">
        <v>1863</v>
      </c>
    </row>
    <row r="331" spans="1:1">
      <c r="A331" s="22" t="str">
        <f>'ANSI Buildup Factors'!K192</f>
        <v xml:space="preserve">    - 0.015</v>
      </c>
    </row>
    <row r="332" spans="1:1">
      <c r="A332" s="22" t="str">
        <f>'ANSI Buildup Factors'!K193</f>
        <v xml:space="preserve">    - 0.020</v>
      </c>
    </row>
    <row r="333" spans="1:1">
      <c r="A333" s="22" t="str">
        <f>'ANSI Buildup Factors'!K194</f>
        <v xml:space="preserve">    - 0.030</v>
      </c>
    </row>
    <row r="334" spans="1:1">
      <c r="A334" s="22" t="str">
        <f>'ANSI Buildup Factors'!K195</f>
        <v xml:space="preserve">    - 0.040</v>
      </c>
    </row>
    <row r="335" spans="1:1">
      <c r="A335" s="22" t="str">
        <f>'ANSI Buildup Factors'!K196</f>
        <v xml:space="preserve">    - 0.050</v>
      </c>
    </row>
    <row r="336" spans="1:1">
      <c r="A336" s="22" t="str">
        <f>'ANSI Buildup Factors'!K197</f>
        <v xml:space="preserve">    - 0.060</v>
      </c>
    </row>
    <row r="337" spans="1:1">
      <c r="A337" s="22" t="str">
        <f>'ANSI Buildup Factors'!K198</f>
        <v xml:space="preserve">    - 0.080</v>
      </c>
    </row>
    <row r="338" spans="1:1">
      <c r="A338" s="22" t="str">
        <f>'ANSI Buildup Factors'!K199</f>
        <v xml:space="preserve">    - 0.100</v>
      </c>
    </row>
    <row r="339" spans="1:1">
      <c r="A339" s="22" t="str">
        <f>'ANSI Buildup Factors'!K200</f>
        <v xml:space="preserve">    - 0.150</v>
      </c>
    </row>
    <row r="340" spans="1:1">
      <c r="A340" s="22" t="str">
        <f>'ANSI Buildup Factors'!K201</f>
        <v xml:space="preserve">    - 0.200</v>
      </c>
    </row>
    <row r="341" spans="1:1">
      <c r="A341" s="22" t="str">
        <f>'ANSI Buildup Factors'!K202</f>
        <v xml:space="preserve">    - 0.300</v>
      </c>
    </row>
    <row r="342" spans="1:1">
      <c r="A342" s="22" t="str">
        <f>'ANSI Buildup Factors'!K203</f>
        <v xml:space="preserve">    - 0.400</v>
      </c>
    </row>
    <row r="343" spans="1:1">
      <c r="A343" s="22" t="str">
        <f>'ANSI Buildup Factors'!K204</f>
        <v xml:space="preserve">    - 0.500</v>
      </c>
    </row>
    <row r="344" spans="1:1">
      <c r="A344" s="22" t="str">
        <f>'ANSI Buildup Factors'!K205</f>
        <v xml:space="preserve">    - 0.600</v>
      </c>
    </row>
    <row r="345" spans="1:1">
      <c r="A345" s="22" t="str">
        <f>'ANSI Buildup Factors'!K206</f>
        <v xml:space="preserve">    - 0.800</v>
      </c>
    </row>
    <row r="346" spans="1:1">
      <c r="A346" s="22" t="str">
        <f>'ANSI Buildup Factors'!K207</f>
        <v xml:space="preserve">    - 1.000</v>
      </c>
    </row>
    <row r="347" spans="1:1">
      <c r="A347" s="22" t="str">
        <f>'ANSI Buildup Factors'!K208</f>
        <v xml:space="preserve">    - 1.500</v>
      </c>
    </row>
    <row r="348" spans="1:1">
      <c r="A348" s="22" t="str">
        <f>'ANSI Buildup Factors'!K209</f>
        <v xml:space="preserve">    - 2.000</v>
      </c>
    </row>
    <row r="349" spans="1:1">
      <c r="A349" s="22" t="str">
        <f>'ANSI Buildup Factors'!K210</f>
        <v xml:space="preserve">    - 3.000</v>
      </c>
    </row>
    <row r="350" spans="1:1">
      <c r="A350" s="22" t="str">
        <f>'ANSI Buildup Factors'!K211</f>
        <v xml:space="preserve">    - 4.000</v>
      </c>
    </row>
    <row r="351" spans="1:1">
      <c r="A351" s="22" t="str">
        <f>'ANSI Buildup Factors'!K212</f>
        <v xml:space="preserve">    - 5.000</v>
      </c>
    </row>
    <row r="352" spans="1:1">
      <c r="A352" s="22" t="str">
        <f>'ANSI Buildup Factors'!K213</f>
        <v xml:space="preserve">    - 6.000</v>
      </c>
    </row>
    <row r="353" spans="1:1">
      <c r="A353" s="22" t="str">
        <f>'ANSI Buildup Factors'!K214</f>
        <v xml:space="preserve">    - 8.000</v>
      </c>
    </row>
    <row r="354" spans="1:1">
      <c r="A354" s="22" t="str">
        <f>'ANSI Buildup Factors'!K215</f>
        <v xml:space="preserve">    - 10.000</v>
      </c>
    </row>
    <row r="355" spans="1:1">
      <c r="A355" s="22" t="str">
        <f>'ANSI Buildup Factors'!K216</f>
        <v xml:space="preserve">    - 15.000</v>
      </c>
    </row>
    <row r="356" spans="1:1">
      <c r="A356" s="24" t="s">
        <v>1864</v>
      </c>
    </row>
    <row r="357" spans="1:1">
      <c r="A357" s="24" t="s">
        <v>1865</v>
      </c>
    </row>
    <row r="358" spans="1:1">
      <c r="A358" s="22" t="str">
        <f>'ANSI Buildup Factors'!L192</f>
        <v xml:space="preserve">    - [1.037, 0.401, 0.211, 13.33, -0.1332]</v>
      </c>
    </row>
    <row r="359" spans="1:1">
      <c r="A359" s="22" t="str">
        <f>'ANSI Buildup Factors'!L193</f>
        <v xml:space="preserve">    - [1.085, 0.439, 0.178, 14.34, -0.0910]</v>
      </c>
    </row>
    <row r="360" spans="1:1">
      <c r="A360" s="22" t="str">
        <f>'ANSI Buildup Factors'!L194</f>
        <v xml:space="preserve">    - [1.288, 0.449, 0.189, 14.38, -0.1020]</v>
      </c>
    </row>
    <row r="361" spans="1:1">
      <c r="A361" s="22" t="str">
        <f>'ANSI Buildup Factors'!L195</f>
        <v xml:space="preserve">    - [1.617, 0.557, 0.143, 15.17, -0.0757]</v>
      </c>
    </row>
    <row r="362" spans="1:1">
      <c r="A362" s="22" t="str">
        <f>'ANSI Buildup Factors'!L196</f>
        <v xml:space="preserve">    - [2.099, 0.633, 0.125, 14.15, -0.0657]</v>
      </c>
    </row>
    <row r="363" spans="1:1">
      <c r="A363" s="22" t="str">
        <f>'ANSI Buildup Factors'!L197</f>
        <v xml:space="preserve">    - [2.467, 0.794, 0.071, 14.91, -0.0563]</v>
      </c>
    </row>
    <row r="364" spans="1:1">
      <c r="A364" s="22" t="str">
        <f>'ANSI Buildup Factors'!L198</f>
        <v xml:space="preserve">    - [2.950, 1.039, 0.005, 13.70, -0.0201]</v>
      </c>
    </row>
    <row r="365" spans="1:1">
      <c r="A365" s="22" t="str">
        <f>'ANSI Buildup Factors'!L199</f>
        <v xml:space="preserve">    - [3.102, 1.229, -0.035, 12.29, -0.0037]</v>
      </c>
    </row>
    <row r="366" spans="1:1">
      <c r="A366" s="22" t="str">
        <f>'ANSI Buildup Factors'!L200</f>
        <v xml:space="preserve">    - [3.032, 1.454, -0.075, 15.08, 0.0138]</v>
      </c>
    </row>
    <row r="367" spans="1:1">
      <c r="A367" s="22" t="str">
        <f>'ANSI Buildup Factors'!L201</f>
        <v xml:space="preserve">    - [2.856, 1.537, -0.088, 15.99, 0.0200]</v>
      </c>
    </row>
    <row r="368" spans="1:1">
      <c r="A368" s="22" t="str">
        <f>'ANSI Buildup Factors'!L202</f>
        <v xml:space="preserve">    - [2.599, 1.564, -0.094, 15.96, 0.0228]</v>
      </c>
    </row>
    <row r="369" spans="1:1">
      <c r="A369" s="22" t="str">
        <f>'ANSI Buildup Factors'!L203</f>
        <v xml:space="preserve">    - [2.437, 1.541, -0.093, 15.45, 0.0236]</v>
      </c>
    </row>
    <row r="370" spans="1:1">
      <c r="A370" s="22" t="str">
        <f>'ANSI Buildup Factors'!L204</f>
        <v xml:space="preserve">    - [2.315, 1.505, -0.089, 16.00, 0.0236]</v>
      </c>
    </row>
    <row r="371" spans="1:1">
      <c r="A371" s="22" t="str">
        <f>'ANSI Buildup Factors'!L205</f>
        <v xml:space="preserve">    - [2.221, 1.473, -0.086, 15.28, 0.0246]</v>
      </c>
    </row>
    <row r="372" spans="1:1">
      <c r="A372" s="22" t="str">
        <f>'ANSI Buildup Factors'!L206</f>
        <v xml:space="preserve">    - [2.100, 1.401, -0.076, 15.64, 0.0233]</v>
      </c>
    </row>
    <row r="373" spans="1:1">
      <c r="A373" s="22" t="str">
        <f>'ANSI Buildup Factors'!L207</f>
        <v xml:space="preserve">    - [2.004, 1.350, -0.069, 15.69, 0.0235]</v>
      </c>
    </row>
    <row r="374" spans="1:1">
      <c r="A374" s="22" t="str">
        <f>'ANSI Buildup Factors'!L208</f>
        <v xml:space="preserve">    - [1.867, 1.233, -0.049, 14.52, 0.0168]</v>
      </c>
    </row>
    <row r="375" spans="1:1">
      <c r="A375" s="22" t="str">
        <f>'ANSI Buildup Factors'!L209</f>
        <v xml:space="preserve">    - [1.787, 1.155, -0.033, 16.11, 0.0108]</v>
      </c>
    </row>
    <row r="376" spans="1:1">
      <c r="A376" s="22" t="str">
        <f>'ANSI Buildup Factors'!L210</f>
        <v xml:space="preserve">    - [1.674, 1.064, -0.013, 16.49, 0.0022]</v>
      </c>
    </row>
    <row r="377" spans="1:1">
      <c r="A377" s="22" t="str">
        <f>'ANSI Buildup Factors'!L211</f>
        <v xml:space="preserve">    - [1.598, 0.997, 0.005, 13.02, -0.0091]</v>
      </c>
    </row>
    <row r="378" spans="1:1">
      <c r="A378" s="22" t="str">
        <f>'ANSI Buildup Factors'!L212</f>
        <v xml:space="preserve">    - [1.538, 0.941, 0.024, 10.17, -0.0216]</v>
      </c>
    </row>
    <row r="379" spans="1:1">
      <c r="A379" s="22" t="str">
        <f>'ANSI Buildup Factors'!L213</f>
        <v xml:space="preserve">    - [1.484, 0.934, 0.024, 12.01, -0.0192]</v>
      </c>
    </row>
    <row r="380" spans="1:1">
      <c r="A380" s="22" t="str">
        <f>'ANSI Buildup Factors'!L214</f>
        <v xml:space="preserve">    - [1.405, 0.902, 0.034, 13.85, -0.0285]</v>
      </c>
    </row>
    <row r="381" spans="1:1">
      <c r="A381" s="22" t="str">
        <f>'ANSI Buildup Factors'!L215</f>
        <v xml:space="preserve">    - [1.342, 0.886, 0.041, 13.09, -0.0332]</v>
      </c>
    </row>
    <row r="382" spans="1:1">
      <c r="A382" s="22" t="str">
        <f>'ANSI Buildup Factors'!L216</f>
        <v xml:space="preserve">    - [1.253, 0.847, 0.057, 14.24, -0.0511]</v>
      </c>
    </row>
    <row r="383" spans="1:1">
      <c r="A383" s="22" t="str">
        <f>'ANSI Buildup Factors'!A219</f>
        <v>Aluminum</v>
      </c>
    </row>
    <row r="384" spans="1:1">
      <c r="A384" s="23" t="s">
        <v>1863</v>
      </c>
    </row>
    <row r="385" spans="1:1">
      <c r="A385" s="22" t="str">
        <f>'ANSI Buildup Factors'!K221</f>
        <v xml:space="preserve">    - 0.015</v>
      </c>
    </row>
    <row r="386" spans="1:1">
      <c r="A386" s="22" t="str">
        <f>'ANSI Buildup Factors'!K222</f>
        <v xml:space="preserve">    - 0.020</v>
      </c>
    </row>
    <row r="387" spans="1:1">
      <c r="A387" s="22" t="str">
        <f>'ANSI Buildup Factors'!K223</f>
        <v xml:space="preserve">    - 0.030</v>
      </c>
    </row>
    <row r="388" spans="1:1">
      <c r="A388" s="22" t="str">
        <f>'ANSI Buildup Factors'!K224</f>
        <v xml:space="preserve">    - 0.040</v>
      </c>
    </row>
    <row r="389" spans="1:1">
      <c r="A389" s="22" t="str">
        <f>'ANSI Buildup Factors'!K225</f>
        <v xml:space="preserve">    - 0.050</v>
      </c>
    </row>
    <row r="390" spans="1:1">
      <c r="A390" s="22" t="str">
        <f>'ANSI Buildup Factors'!K226</f>
        <v xml:space="preserve">    - 0.060</v>
      </c>
    </row>
    <row r="391" spans="1:1">
      <c r="A391" s="22" t="str">
        <f>'ANSI Buildup Factors'!K227</f>
        <v xml:space="preserve">    - 0.080</v>
      </c>
    </row>
    <row r="392" spans="1:1">
      <c r="A392" s="22" t="str">
        <f>'ANSI Buildup Factors'!K228</f>
        <v xml:space="preserve">    - 0.100</v>
      </c>
    </row>
    <row r="393" spans="1:1">
      <c r="A393" s="22" t="str">
        <f>'ANSI Buildup Factors'!K229</f>
        <v xml:space="preserve">    - 0.150</v>
      </c>
    </row>
    <row r="394" spans="1:1">
      <c r="A394" s="22" t="str">
        <f>'ANSI Buildup Factors'!K230</f>
        <v xml:space="preserve">    - 0.200</v>
      </c>
    </row>
    <row r="395" spans="1:1">
      <c r="A395" s="22" t="str">
        <f>'ANSI Buildup Factors'!K231</f>
        <v xml:space="preserve">    - 0.300</v>
      </c>
    </row>
    <row r="396" spans="1:1">
      <c r="A396" s="22" t="str">
        <f>'ANSI Buildup Factors'!K232</f>
        <v xml:space="preserve">    - 0.400</v>
      </c>
    </row>
    <row r="397" spans="1:1">
      <c r="A397" s="22" t="str">
        <f>'ANSI Buildup Factors'!K233</f>
        <v xml:space="preserve">    - 0.500</v>
      </c>
    </row>
    <row r="398" spans="1:1">
      <c r="A398" s="22" t="str">
        <f>'ANSI Buildup Factors'!K234</f>
        <v xml:space="preserve">    - 0.600</v>
      </c>
    </row>
    <row r="399" spans="1:1">
      <c r="A399" s="22" t="str">
        <f>'ANSI Buildup Factors'!K235</f>
        <v xml:space="preserve">    - 0.800</v>
      </c>
    </row>
    <row r="400" spans="1:1">
      <c r="A400" s="22" t="str">
        <f>'ANSI Buildup Factors'!K236</f>
        <v xml:space="preserve">    - 1.000</v>
      </c>
    </row>
    <row r="401" spans="1:1">
      <c r="A401" s="22" t="str">
        <f>'ANSI Buildup Factors'!K237</f>
        <v xml:space="preserve">    - 1.500</v>
      </c>
    </row>
    <row r="402" spans="1:1">
      <c r="A402" s="22" t="str">
        <f>'ANSI Buildup Factors'!K238</f>
        <v xml:space="preserve">    - 2.000</v>
      </c>
    </row>
    <row r="403" spans="1:1">
      <c r="A403" s="22" t="str">
        <f>'ANSI Buildup Factors'!K239</f>
        <v xml:space="preserve">    - 3.000</v>
      </c>
    </row>
    <row r="404" spans="1:1">
      <c r="A404" s="22" t="str">
        <f>'ANSI Buildup Factors'!K240</f>
        <v xml:space="preserve">    - 4.000</v>
      </c>
    </row>
    <row r="405" spans="1:1">
      <c r="A405" s="22" t="str">
        <f>'ANSI Buildup Factors'!K241</f>
        <v xml:space="preserve">    - 5.000</v>
      </c>
    </row>
    <row r="406" spans="1:1">
      <c r="A406" s="22" t="str">
        <f>'ANSI Buildup Factors'!K242</f>
        <v xml:space="preserve">    - 6.000</v>
      </c>
    </row>
    <row r="407" spans="1:1">
      <c r="A407" s="22" t="str">
        <f>'ANSI Buildup Factors'!K243</f>
        <v xml:space="preserve">    - 8.000</v>
      </c>
    </row>
    <row r="408" spans="1:1">
      <c r="A408" s="22" t="str">
        <f>'ANSI Buildup Factors'!K244</f>
        <v xml:space="preserve">    - 10.000</v>
      </c>
    </row>
    <row r="409" spans="1:1">
      <c r="A409" s="22" t="str">
        <f>'ANSI Buildup Factors'!K245</f>
        <v xml:space="preserve">    - 15.000</v>
      </c>
    </row>
    <row r="410" spans="1:1">
      <c r="A410" s="24" t="s">
        <v>1864</v>
      </c>
    </row>
    <row r="411" spans="1:1">
      <c r="A411" s="24" t="s">
        <v>1865</v>
      </c>
    </row>
    <row r="412" spans="1:1">
      <c r="A412" s="22" t="str">
        <f>'ANSI Buildup Factors'!L221</f>
        <v xml:space="preserve">    - [1.029, 0.394, 0.206, 15.51, -0.1388]</v>
      </c>
    </row>
    <row r="413" spans="1:1">
      <c r="A413" s="22" t="str">
        <f>'ANSI Buildup Factors'!L222</f>
        <v xml:space="preserve">    - [1.067, 0.384, 0.220, 13.81, -0.1204]</v>
      </c>
    </row>
    <row r="414" spans="1:1">
      <c r="A414" s="22" t="str">
        <f>'ANSI Buildup Factors'!L223</f>
        <v xml:space="preserve">    - [1.223, 0.422, 0.198, 15.10, -0.1042]</v>
      </c>
    </row>
    <row r="415" spans="1:1">
      <c r="A415" s="22" t="str">
        <f>'ANSI Buildup Factors'!L224</f>
        <v xml:space="preserve">    - [1.480, 0.503, 0.166, 14.78, -0.0893]</v>
      </c>
    </row>
    <row r="416" spans="1:1">
      <c r="A416" s="22" t="str">
        <f>'ANSI Buildup Factors'!L225</f>
        <v xml:space="preserve">    - [1.765, 0.666, 0.099, 16.34, -0.0493]</v>
      </c>
    </row>
    <row r="417" spans="1:1">
      <c r="A417" s="22" t="str">
        <f>'ANSI Buildup Factors'!L226</f>
        <v xml:space="preserve">    - [2.189, 0.697, 0.104, 12.90, -0.0580]</v>
      </c>
    </row>
    <row r="418" spans="1:1">
      <c r="A418" s="22" t="str">
        <f>'ANSI Buildup Factors'!L227</f>
        <v xml:space="preserve">    - [2.640, 0.924, 0.035, 12.99, -0.0351]</v>
      </c>
    </row>
    <row r="419" spans="1:1">
      <c r="A419" s="22" t="str">
        <f>'ANSI Buildup Factors'!L228</f>
        <v xml:space="preserve">    - [2.847, 1.110, -0.009, 12.98, -0.0187]</v>
      </c>
    </row>
    <row r="420" spans="1:1">
      <c r="A420" s="22" t="str">
        <f>'ANSI Buildup Factors'!L229</f>
        <v xml:space="preserve">    - [2.877, 1.357, -0.058, 21.73, 0.0071]</v>
      </c>
    </row>
    <row r="421" spans="1:1">
      <c r="A421" s="22" t="str">
        <f>'ANSI Buildup Factors'!L230</f>
        <v xml:space="preserve">    - [2.762, 1.455, -0.074, 17.02, 0.0114]</v>
      </c>
    </row>
    <row r="422" spans="1:1">
      <c r="A422" s="22" t="str">
        <f>'ANSI Buildup Factors'!L231</f>
        <v xml:space="preserve">    - [2.546, 1.510, -0.085, 16.22, 0.0172]</v>
      </c>
    </row>
    <row r="423" spans="1:1">
      <c r="A423" s="22" t="str">
        <f>'ANSI Buildup Factors'!L232</f>
        <v xml:space="preserve">    - [2.403, 1.498, -0.085, 16.45, 0.0189]</v>
      </c>
    </row>
    <row r="424" spans="1:1">
      <c r="A424" s="22" t="str">
        <f>'ANSI Buildup Factors'!L233</f>
        <v xml:space="preserve">    - [2.287, 1.474, -0.083, 16.41, 0.0194]</v>
      </c>
    </row>
    <row r="425" spans="1:1">
      <c r="A425" s="22" t="str">
        <f>'ANSI Buildup Factors'!L234</f>
        <v xml:space="preserve">    - [2.197, 1.448, -0.081, 17.03, 0.0227]</v>
      </c>
    </row>
    <row r="426" spans="1:1">
      <c r="A426" s="22" t="str">
        <f>'ANSI Buildup Factors'!L235</f>
        <v xml:space="preserve">    - [2.080, 1.384, -0.072, 16.24, 0.0202]</v>
      </c>
    </row>
    <row r="427" spans="1:1">
      <c r="A427" s="22" t="str">
        <f>'ANSI Buildup Factors'!L236</f>
        <v xml:space="preserve">    - [1.994, 1.336, -0.066, 15.85, 0.0215]</v>
      </c>
    </row>
    <row r="428" spans="1:1">
      <c r="A428" s="22" t="str">
        <f>'ANSI Buildup Factors'!L237</f>
        <v xml:space="preserve">    - [1.855, 1.230, -0.048, 16.01, 0.0171]</v>
      </c>
    </row>
    <row r="429" spans="1:1">
      <c r="A429" s="22" t="str">
        <f>'ANSI Buildup Factors'!L238</f>
        <v xml:space="preserve">    - [1.781, 1.153, -0.032, 15.32, 0.0091]</v>
      </c>
    </row>
    <row r="430" spans="1:1">
      <c r="A430" s="22" t="str">
        <f>'ANSI Buildup Factors'!L239</f>
        <v xml:space="preserve">    - [1.673, 1.057, -0.010, 10.79, -0.0025]</v>
      </c>
    </row>
    <row r="431" spans="1:1">
      <c r="A431" s="22" t="str">
        <f>'ANSI Buildup Factors'!L240</f>
        <v xml:space="preserve">    - [1.607, 0.974, 0.013, 12.22, -0.0164]</v>
      </c>
    </row>
    <row r="432" spans="1:1">
      <c r="A432" s="22" t="str">
        <f>'ANSI Buildup Factors'!L241</f>
        <v xml:space="preserve">    - [1.529, 0.957, 0.018, 10.90, -0.0157]</v>
      </c>
    </row>
    <row r="433" spans="1:1">
      <c r="A433" s="22" t="str">
        <f>'ANSI Buildup Factors'!L242</f>
        <v xml:space="preserve">    - [1.481, 0.933, 0.026, 12.33, -0.0239]</v>
      </c>
    </row>
    <row r="434" spans="1:1">
      <c r="A434" s="22" t="str">
        <f>'ANSI Buildup Factors'!L243</f>
        <v xml:space="preserve">    - [1.396, 0.917, 0.030, 13.88, -0.0262]</v>
      </c>
    </row>
    <row r="435" spans="1:1">
      <c r="A435" s="22" t="str">
        <f>'ANSI Buildup Factors'!L244</f>
        <v xml:space="preserve">    - [1.334, 0.902, 0.038, 13.03, -0.0332]</v>
      </c>
    </row>
    <row r="436" spans="1:1">
      <c r="A436" s="22" t="str">
        <f>'ANSI Buildup Factors'!L245</f>
        <v xml:space="preserve">    - [1.244, 0.869, 0.050, 14.91, -0.0476]</v>
      </c>
    </row>
    <row r="437" spans="1:1">
      <c r="A437" s="22" t="str">
        <f>'ANSI Buildup Factors'!A248</f>
        <v>Silicon</v>
      </c>
    </row>
    <row r="438" spans="1:1">
      <c r="A438" s="23" t="s">
        <v>1863</v>
      </c>
    </row>
    <row r="439" spans="1:1">
      <c r="A439" s="22" t="str">
        <f>'ANSI Buildup Factors'!K250</f>
        <v xml:space="preserve">    - 0.015</v>
      </c>
    </row>
    <row r="440" spans="1:1">
      <c r="A440" s="22" t="str">
        <f>'ANSI Buildup Factors'!K251</f>
        <v xml:space="preserve">    - 0.020</v>
      </c>
    </row>
    <row r="441" spans="1:1">
      <c r="A441" s="22" t="str">
        <f>'ANSI Buildup Factors'!K252</f>
        <v xml:space="preserve">    - 0.030</v>
      </c>
    </row>
    <row r="442" spans="1:1">
      <c r="A442" s="22" t="str">
        <f>'ANSI Buildup Factors'!K253</f>
        <v xml:space="preserve">    - 0.040</v>
      </c>
    </row>
    <row r="443" spans="1:1">
      <c r="A443" s="22" t="str">
        <f>'ANSI Buildup Factors'!K254</f>
        <v xml:space="preserve">    - 0.050</v>
      </c>
    </row>
    <row r="444" spans="1:1">
      <c r="A444" s="22" t="str">
        <f>'ANSI Buildup Factors'!K255</f>
        <v xml:space="preserve">    - 0.060</v>
      </c>
    </row>
    <row r="445" spans="1:1">
      <c r="A445" s="22" t="str">
        <f>'ANSI Buildup Factors'!K256</f>
        <v xml:space="preserve">    - 0.080</v>
      </c>
    </row>
    <row r="446" spans="1:1">
      <c r="A446" s="22" t="str">
        <f>'ANSI Buildup Factors'!K257</f>
        <v xml:space="preserve">    - 0.100</v>
      </c>
    </row>
    <row r="447" spans="1:1">
      <c r="A447" s="22" t="str">
        <f>'ANSI Buildup Factors'!K258</f>
        <v xml:space="preserve">    - 0.150</v>
      </c>
    </row>
    <row r="448" spans="1:1">
      <c r="A448" s="22" t="str">
        <f>'ANSI Buildup Factors'!K259</f>
        <v xml:space="preserve">    - 0.200</v>
      </c>
    </row>
    <row r="449" spans="1:1">
      <c r="A449" s="22" t="str">
        <f>'ANSI Buildup Factors'!K260</f>
        <v xml:space="preserve">    - 0.300</v>
      </c>
    </row>
    <row r="450" spans="1:1">
      <c r="A450" s="22" t="str">
        <f>'ANSI Buildup Factors'!K261</f>
        <v xml:space="preserve">    - 0.400</v>
      </c>
    </row>
    <row r="451" spans="1:1">
      <c r="A451" s="22" t="str">
        <f>'ANSI Buildup Factors'!K262</f>
        <v xml:space="preserve">    - 0.500</v>
      </c>
    </row>
    <row r="452" spans="1:1">
      <c r="A452" s="22" t="str">
        <f>'ANSI Buildup Factors'!K263</f>
        <v xml:space="preserve">    - 0.600</v>
      </c>
    </row>
    <row r="453" spans="1:1">
      <c r="A453" s="22" t="str">
        <f>'ANSI Buildup Factors'!K264</f>
        <v xml:space="preserve">    - 0.800</v>
      </c>
    </row>
    <row r="454" spans="1:1">
      <c r="A454" s="22" t="str">
        <f>'ANSI Buildup Factors'!K265</f>
        <v xml:space="preserve">    - 1.000</v>
      </c>
    </row>
    <row r="455" spans="1:1">
      <c r="A455" s="22" t="str">
        <f>'ANSI Buildup Factors'!K266</f>
        <v xml:space="preserve">    - 1.500</v>
      </c>
    </row>
    <row r="456" spans="1:1">
      <c r="A456" s="22" t="str">
        <f>'ANSI Buildup Factors'!K267</f>
        <v xml:space="preserve">    - 2.000</v>
      </c>
    </row>
    <row r="457" spans="1:1">
      <c r="A457" s="22" t="str">
        <f>'ANSI Buildup Factors'!K268</f>
        <v xml:space="preserve">    - 3.000</v>
      </c>
    </row>
    <row r="458" spans="1:1">
      <c r="A458" s="22" t="str">
        <f>'ANSI Buildup Factors'!K269</f>
        <v xml:space="preserve">    - 4.000</v>
      </c>
    </row>
    <row r="459" spans="1:1">
      <c r="A459" s="22" t="str">
        <f>'ANSI Buildup Factors'!K270</f>
        <v xml:space="preserve">    - 5.000</v>
      </c>
    </row>
    <row r="460" spans="1:1">
      <c r="A460" s="22" t="str">
        <f>'ANSI Buildup Factors'!K271</f>
        <v xml:space="preserve">    - 6.000</v>
      </c>
    </row>
    <row r="461" spans="1:1">
      <c r="A461" s="22" t="str">
        <f>'ANSI Buildup Factors'!K272</f>
        <v xml:space="preserve">    - 8.000</v>
      </c>
    </row>
    <row r="462" spans="1:1">
      <c r="A462" s="22" t="str">
        <f>'ANSI Buildup Factors'!K273</f>
        <v xml:space="preserve">    - 10.000</v>
      </c>
    </row>
    <row r="463" spans="1:1">
      <c r="A463" s="22" t="str">
        <f>'ANSI Buildup Factors'!K274</f>
        <v xml:space="preserve">    - 15.000</v>
      </c>
    </row>
    <row r="464" spans="1:1">
      <c r="A464" s="24" t="s">
        <v>1864</v>
      </c>
    </row>
    <row r="465" spans="1:1">
      <c r="A465" s="24" t="s">
        <v>1865</v>
      </c>
    </row>
    <row r="466" spans="1:1">
      <c r="A466" s="22" t="str">
        <f>'ANSI Buildup Factors'!L250</f>
        <v xml:space="preserve">    - [1.023, 0.349, 0.262, 11.98, -0.1791]</v>
      </c>
    </row>
    <row r="467" spans="1:1">
      <c r="A467" s="22" t="str">
        <f>'ANSI Buildup Factors'!L251</f>
        <v xml:space="preserve">    - [1.051, 0.426, 0.179, 17.64, -0.1078]</v>
      </c>
    </row>
    <row r="468" spans="1:1">
      <c r="A468" s="22" t="str">
        <f>'ANSI Buildup Factors'!L252</f>
        <v xml:space="preserve">    - [1.179, 0.395, 0.216, 13.99, -0.1163]</v>
      </c>
    </row>
    <row r="469" spans="1:1">
      <c r="A469" s="22" t="str">
        <f>'ANSI Buildup Factors'!L253</f>
        <v xml:space="preserve">    - [1.385, 0.460, 0.188, 14.33, -0.1065]</v>
      </c>
    </row>
    <row r="470" spans="1:1">
      <c r="A470" s="22" t="str">
        <f>'ANSI Buildup Factors'!L254</f>
        <v xml:space="preserve">    - [1.640, 0.579, 0.135, 15.12, -0.0715]</v>
      </c>
    </row>
    <row r="471" spans="1:1">
      <c r="A471" s="22" t="str">
        <f>'ANSI Buildup Factors'!L255</f>
        <v xml:space="preserve">    - [1.894, 0.702, 0.092, 15.29, -0.0516]</v>
      </c>
    </row>
    <row r="472" spans="1:1">
      <c r="A472" s="22" t="str">
        <f>'ANSI Buildup Factors'!L256</f>
        <v xml:space="preserve">    - [2.400, 0.838, 0.058, 14.66, -0.0505]</v>
      </c>
    </row>
    <row r="473" spans="1:1">
      <c r="A473" s="22" t="str">
        <f>'ANSI Buildup Factors'!L257</f>
        <v xml:space="preserve">    - [2.627, 1.018, 0.012, 13.65, -0.0298]</v>
      </c>
    </row>
    <row r="474" spans="1:1">
      <c r="A474" s="22" t="str">
        <f>'ANSI Buildup Factors'!L258</f>
        <v xml:space="preserve">    - [2.733, 1.273, -0.042, 10.39, -0.0062]</v>
      </c>
    </row>
    <row r="475" spans="1:1">
      <c r="A475" s="22" t="str">
        <f>'ANSI Buildup Factors'!L259</f>
        <v xml:space="preserve">    - [2.676, 1.375, -0.058, 7.72, -0.0052]</v>
      </c>
    </row>
    <row r="476" spans="1:1">
      <c r="A476" s="22" t="str">
        <f>'ANSI Buildup Factors'!L260</f>
        <v xml:space="preserve">    - [2.483, 1.469, -0.078, 16.89, 0.0136]</v>
      </c>
    </row>
    <row r="477" spans="1:1">
      <c r="A477" s="22" t="str">
        <f>'ANSI Buildup Factors'!L261</f>
        <v xml:space="preserve">    - [2.355, 1.473, -0.081, 15.82, 0.0161]</v>
      </c>
    </row>
    <row r="478" spans="1:1">
      <c r="A478" s="22" t="str">
        <f>'ANSI Buildup Factors'!L262</f>
        <v xml:space="preserve">    - [2.252, 1.455, -0.080, 16.30, 0.0182]</v>
      </c>
    </row>
    <row r="479" spans="1:1">
      <c r="A479" s="22" t="str">
        <f>'ANSI Buildup Factors'!L263</f>
        <v xml:space="preserve">    - [2.177, 1.424, -0.076, 18.67, 0.0215]</v>
      </c>
    </row>
    <row r="480" spans="1:1">
      <c r="A480" s="22" t="str">
        <f>'ANSI Buildup Factors'!L264</f>
        <v xml:space="preserve">    - [2.053, 1.385, -0.073, 15.28, 0.0211]</v>
      </c>
    </row>
    <row r="481" spans="1:1">
      <c r="A481" s="22" t="str">
        <f>'ANSI Buildup Factors'!L265</f>
        <v xml:space="preserve">    - [1.980, 1.323, -0.063, 15.81, 0.0184]</v>
      </c>
    </row>
    <row r="482" spans="1:1">
      <c r="A482" s="22" t="str">
        <f>'ANSI Buildup Factors'!L266</f>
        <v xml:space="preserve">    - [1.842, 1.230, -0.048, 15.12, 0.0161]</v>
      </c>
    </row>
    <row r="483" spans="1:1">
      <c r="A483" s="22" t="str">
        <f>'ANSI Buildup Factors'!L267</f>
        <v xml:space="preserve">    - [1.771, 1.155, -0.033, 14.57, 0.0100]</v>
      </c>
    </row>
    <row r="484" spans="1:1">
      <c r="A484" s="22" t="str">
        <f>'ANSI Buildup Factors'!L268</f>
        <v xml:space="preserve">    - [1.669, 1.058, -0.010, 10.43, -0.0026]</v>
      </c>
    </row>
    <row r="485" spans="1:1">
      <c r="A485" s="22" t="str">
        <f>'ANSI Buildup Factors'!L269</f>
        <v xml:space="preserve">    - [1.585, 1.011, 0.002, 15.91, -0.0125]</v>
      </c>
    </row>
    <row r="486" spans="1:1">
      <c r="A486" s="22" t="str">
        <f>'ANSI Buildup Factors'!L270</f>
        <v xml:space="preserve">    - [1.522, 0.967, 0.016, 11.03, -0.0170]</v>
      </c>
    </row>
    <row r="487" spans="1:1">
      <c r="A487" s="22" t="str">
        <f>'ANSI Buildup Factors'!L271</f>
        <v xml:space="preserve">    - [1.474, 0.953, 0.019, 14.09, -0.0190]</v>
      </c>
    </row>
    <row r="488" spans="1:1">
      <c r="A488" s="22" t="str">
        <f>'ANSI Buildup Factors'!L272</f>
        <v xml:space="preserve">    - [1.389, 0.930, 0.027, 13.47, -0.0249]</v>
      </c>
    </row>
    <row r="489" spans="1:1">
      <c r="A489" s="22" t="str">
        <f>'ANSI Buildup Factors'!L273</f>
        <v xml:space="preserve">    - [1.331, 0.908, 0.036, 13.36, -0.0319]</v>
      </c>
    </row>
    <row r="490" spans="1:1">
      <c r="A490" s="22" t="str">
        <f>'ANSI Buildup Factors'!L274</f>
        <v xml:space="preserve">    - [1.236, 0.887, 0.047, 13.39, -0.0432]</v>
      </c>
    </row>
    <row r="491" spans="1:1">
      <c r="A491" s="22" t="str">
        <f>'ANSI Buildup Factors'!A277</f>
        <v>Phosphorus</v>
      </c>
    </row>
    <row r="492" spans="1:1">
      <c r="A492" s="23" t="s">
        <v>1863</v>
      </c>
    </row>
    <row r="493" spans="1:1">
      <c r="A493" s="22" t="str">
        <f>'ANSI Buildup Factors'!K279</f>
        <v xml:space="preserve">    - 0.015</v>
      </c>
    </row>
    <row r="494" spans="1:1">
      <c r="A494" s="22" t="str">
        <f>'ANSI Buildup Factors'!K280</f>
        <v xml:space="preserve">    - 0.020</v>
      </c>
    </row>
    <row r="495" spans="1:1">
      <c r="A495" s="22" t="str">
        <f>'ANSI Buildup Factors'!K281</f>
        <v xml:space="preserve">    - 0.030</v>
      </c>
    </row>
    <row r="496" spans="1:1">
      <c r="A496" s="22" t="str">
        <f>'ANSI Buildup Factors'!K282</f>
        <v xml:space="preserve">    - 0.040</v>
      </c>
    </row>
    <row r="497" spans="1:1">
      <c r="A497" s="22" t="str">
        <f>'ANSI Buildup Factors'!K283</f>
        <v xml:space="preserve">    - 0.050</v>
      </c>
    </row>
    <row r="498" spans="1:1">
      <c r="A498" s="22" t="str">
        <f>'ANSI Buildup Factors'!K284</f>
        <v xml:space="preserve">    - 0.060</v>
      </c>
    </row>
    <row r="499" spans="1:1">
      <c r="A499" s="22" t="str">
        <f>'ANSI Buildup Factors'!K285</f>
        <v xml:space="preserve">    - 0.080</v>
      </c>
    </row>
    <row r="500" spans="1:1">
      <c r="A500" s="22" t="str">
        <f>'ANSI Buildup Factors'!K286</f>
        <v xml:space="preserve">    - 0.100</v>
      </c>
    </row>
    <row r="501" spans="1:1">
      <c r="A501" s="22" t="str">
        <f>'ANSI Buildup Factors'!K287</f>
        <v xml:space="preserve">    - 0.150</v>
      </c>
    </row>
    <row r="502" spans="1:1">
      <c r="A502" s="22" t="str">
        <f>'ANSI Buildup Factors'!K288</f>
        <v xml:space="preserve">    - 0.200</v>
      </c>
    </row>
    <row r="503" spans="1:1">
      <c r="A503" s="22" t="str">
        <f>'ANSI Buildup Factors'!K289</f>
        <v xml:space="preserve">    - 0.300</v>
      </c>
    </row>
    <row r="504" spans="1:1">
      <c r="A504" s="22" t="str">
        <f>'ANSI Buildup Factors'!K290</f>
        <v xml:space="preserve">    - 0.400</v>
      </c>
    </row>
    <row r="505" spans="1:1">
      <c r="A505" s="22" t="str">
        <f>'ANSI Buildup Factors'!K291</f>
        <v xml:space="preserve">    - 0.500</v>
      </c>
    </row>
    <row r="506" spans="1:1">
      <c r="A506" s="22" t="str">
        <f>'ANSI Buildup Factors'!K292</f>
        <v xml:space="preserve">    - 0.600</v>
      </c>
    </row>
    <row r="507" spans="1:1">
      <c r="A507" s="22" t="str">
        <f>'ANSI Buildup Factors'!K293</f>
        <v xml:space="preserve">    - 0.800</v>
      </c>
    </row>
    <row r="508" spans="1:1">
      <c r="A508" s="22" t="str">
        <f>'ANSI Buildup Factors'!K294</f>
        <v xml:space="preserve">    - 1.000</v>
      </c>
    </row>
    <row r="509" spans="1:1">
      <c r="A509" s="22" t="str">
        <f>'ANSI Buildup Factors'!K295</f>
        <v xml:space="preserve">    - 1.500</v>
      </c>
    </row>
    <row r="510" spans="1:1">
      <c r="A510" s="22" t="str">
        <f>'ANSI Buildup Factors'!K296</f>
        <v xml:space="preserve">    - 2.000</v>
      </c>
    </row>
    <row r="511" spans="1:1">
      <c r="A511" s="22" t="str">
        <f>'ANSI Buildup Factors'!K297</f>
        <v xml:space="preserve">    - 3.000</v>
      </c>
    </row>
    <row r="512" spans="1:1">
      <c r="A512" s="22" t="str">
        <f>'ANSI Buildup Factors'!K298</f>
        <v xml:space="preserve">    - 4.000</v>
      </c>
    </row>
    <row r="513" spans="1:1">
      <c r="A513" s="22" t="str">
        <f>'ANSI Buildup Factors'!K299</f>
        <v xml:space="preserve">    - 5.000</v>
      </c>
    </row>
    <row r="514" spans="1:1">
      <c r="A514" s="22" t="str">
        <f>'ANSI Buildup Factors'!K300</f>
        <v xml:space="preserve">    - 6.000</v>
      </c>
    </row>
    <row r="515" spans="1:1">
      <c r="A515" s="22" t="str">
        <f>'ANSI Buildup Factors'!K301</f>
        <v xml:space="preserve">    - 8.000</v>
      </c>
    </row>
    <row r="516" spans="1:1">
      <c r="A516" s="22" t="str">
        <f>'ANSI Buildup Factors'!K302</f>
        <v xml:space="preserve">    - 10.000</v>
      </c>
    </row>
    <row r="517" spans="1:1">
      <c r="A517" s="22" t="str">
        <f>'ANSI Buildup Factors'!K303</f>
        <v xml:space="preserve">    - 15.000</v>
      </c>
    </row>
    <row r="518" spans="1:1">
      <c r="A518" s="24" t="s">
        <v>1864</v>
      </c>
    </row>
    <row r="519" spans="1:1">
      <c r="A519" s="24" t="s">
        <v>1865</v>
      </c>
    </row>
    <row r="520" spans="1:1">
      <c r="A520" s="22" t="str">
        <f>'ANSI Buildup Factors'!L279</f>
        <v xml:space="preserve">    - [1.018, 0.398, 0.212, 12.01, -0.1279]</v>
      </c>
    </row>
    <row r="521" spans="1:1">
      <c r="A521" s="22" t="str">
        <f>'ANSI Buildup Factors'!L280</f>
        <v xml:space="preserve">    - [1.041, 0.432, 0.175, 13.83, -0.0771]</v>
      </c>
    </row>
    <row r="522" spans="1:1">
      <c r="A522" s="22" t="str">
        <f>'ANSI Buildup Factors'!L281</f>
        <v xml:space="preserve">    - [1.141, 0.394, 0.213, 14.41, -0.1150]</v>
      </c>
    </row>
    <row r="523" spans="1:1">
      <c r="A523" s="22" t="str">
        <f>'ANSI Buildup Factors'!L282</f>
        <v xml:space="preserve">    - [1.314, 0.439, 0.195, 14.43, -0.1084]</v>
      </c>
    </row>
    <row r="524" spans="1:1">
      <c r="A524" s="22" t="str">
        <f>'ANSI Buildup Factors'!L283</f>
        <v xml:space="preserve">    - [1.533, 0.520, 0.162, 14.69, -0.0901]</v>
      </c>
    </row>
    <row r="525" spans="1:1">
      <c r="A525" s="22" t="str">
        <f>'ANSI Buildup Factors'!L284</f>
        <v xml:space="preserve">    - [1.751, 0.633, 0.117, 14.78, -0.0635]</v>
      </c>
    </row>
    <row r="526" spans="1:1">
      <c r="A526" s="22" t="str">
        <f>'ANSI Buildup Factors'!L285</f>
        <v xml:space="preserve">    - [2.204, 0.757, 0.084, 12.94, -0.0516]</v>
      </c>
    </row>
    <row r="527" spans="1:1">
      <c r="A527" s="22" t="str">
        <f>'ANSI Buildup Factors'!L286</f>
        <v xml:space="preserve">    - [2.434, 0.940, 0.031, 14.07, -0.0402]</v>
      </c>
    </row>
    <row r="528" spans="1:1">
      <c r="A528" s="22" t="str">
        <f>'ANSI Buildup Factors'!L287</f>
        <v xml:space="preserve">    - [2.611, 1.198, -0.027, 11.68, -0.0137]</v>
      </c>
    </row>
    <row r="529" spans="1:1">
      <c r="A529" s="22" t="str">
        <f>'ANSI Buildup Factors'!L288</f>
        <v xml:space="preserve">    - [2.590, 1.319, -0.048, 9.03, -0.0088]</v>
      </c>
    </row>
    <row r="530" spans="1:1">
      <c r="A530" s="22" t="str">
        <f>'ANSI Buildup Factors'!L289</f>
        <v xml:space="preserve">    - [2.431, 1.433, -0.072, 19.17, 0.0125]</v>
      </c>
    </row>
    <row r="531" spans="1:1">
      <c r="A531" s="22" t="str">
        <f>'ANSI Buildup Factors'!L290</f>
        <v xml:space="preserve">    - [2.325, 1.440, -0.075, 17.17, 0.0139]</v>
      </c>
    </row>
    <row r="532" spans="1:1">
      <c r="A532" s="22" t="str">
        <f>'ANSI Buildup Factors'!L291</f>
        <v xml:space="preserve">    - [2.224, 1.433, -0.076, 16.31, 0.0157]</v>
      </c>
    </row>
    <row r="533" spans="1:1">
      <c r="A533" s="22" t="str">
        <f>'ANSI Buildup Factors'!L292</f>
        <v xml:space="preserve">    - [2.147, 1.416, -0.075, 16.44, 0.0180]</v>
      </c>
    </row>
    <row r="534" spans="1:1">
      <c r="A534" s="22" t="str">
        <f>'ANSI Buildup Factors'!L293</f>
        <v xml:space="preserve">    - [2.035, 1.375, -0.071, 15.64, 0.0205]</v>
      </c>
    </row>
    <row r="535" spans="1:1">
      <c r="A535" s="22" t="str">
        <f>'ANSI Buildup Factors'!L294</f>
        <v xml:space="preserve">    - [1.959, 1.323, -0.063, 17.02, 0.0204]</v>
      </c>
    </row>
    <row r="536" spans="1:1">
      <c r="A536" s="22" t="str">
        <f>'ANSI Buildup Factors'!L295</f>
        <v xml:space="preserve">    - [1.834, 1.226, -0.047, 15.36, 0.0155]</v>
      </c>
    </row>
    <row r="537" spans="1:1">
      <c r="A537" s="22" t="str">
        <f>'ANSI Buildup Factors'!L296</f>
        <v xml:space="preserve">    - [1.763, 1.156, -0.033, 14.97, 0.0099]</v>
      </c>
    </row>
    <row r="538" spans="1:1">
      <c r="A538" s="22" t="str">
        <f>'ANSI Buildup Factors'!L297</f>
        <v xml:space="preserve">    - [1.664, 1.059, -0.010, 13.40, -0.0030]</v>
      </c>
    </row>
    <row r="539" spans="1:1">
      <c r="A539" s="22" t="str">
        <f>'ANSI Buildup Factors'!L298</f>
        <v xml:space="preserve">    - [1.590, 1.003, 0.005, 15.05, -0.0156]</v>
      </c>
    </row>
    <row r="540" spans="1:1">
      <c r="A540" s="22" t="str">
        <f>'ANSI Buildup Factors'!L299</f>
        <v xml:space="preserve">    - [1.521, 0.968, 0.016, 11.99, -0.0176]</v>
      </c>
    </row>
    <row r="541" spans="1:1">
      <c r="A541" s="22" t="str">
        <f>'ANSI Buildup Factors'!L300</f>
        <v xml:space="preserve">    - [1.470, 0.958, 0.018, 14.30, -0.0190]</v>
      </c>
    </row>
    <row r="542" spans="1:1">
      <c r="A542" s="22" t="str">
        <f>'ANSI Buildup Factors'!L301</f>
        <v xml:space="preserve">    - [1.389, 0.928, 0.029, 13.67, -0.0279]</v>
      </c>
    </row>
    <row r="543" spans="1:1">
      <c r="A543" s="22" t="str">
        <f>'ANSI Buildup Factors'!L302</f>
        <v xml:space="preserve">    - [1.330, 0.907, 0.038, 13.34, -0.0349]</v>
      </c>
    </row>
    <row r="544" spans="1:1">
      <c r="A544" s="22" t="str">
        <f>'ANSI Buildup Factors'!L303</f>
        <v xml:space="preserve">    - [1.235, 0.879, 0.053, 13.06, -0.0508]</v>
      </c>
    </row>
    <row r="545" spans="1:1">
      <c r="A545" s="22" t="str">
        <f>'ANSI Buildup Factors'!A306</f>
        <v>SuJphur</v>
      </c>
    </row>
    <row r="546" spans="1:1">
      <c r="A546" s="23" t="s">
        <v>1863</v>
      </c>
    </row>
    <row r="547" spans="1:1">
      <c r="A547" s="22" t="str">
        <f>'ANSI Buildup Factors'!K308</f>
        <v xml:space="preserve">    - 0.015</v>
      </c>
    </row>
    <row r="548" spans="1:1">
      <c r="A548" s="22" t="str">
        <f>'ANSI Buildup Factors'!K309</f>
        <v xml:space="preserve">    - 0.020</v>
      </c>
    </row>
    <row r="549" spans="1:1">
      <c r="A549" s="22" t="str">
        <f>'ANSI Buildup Factors'!K310</f>
        <v xml:space="preserve">    - 0.030</v>
      </c>
    </row>
    <row r="550" spans="1:1">
      <c r="A550" s="22" t="str">
        <f>'ANSI Buildup Factors'!K311</f>
        <v xml:space="preserve">    - 0.040</v>
      </c>
    </row>
    <row r="551" spans="1:1">
      <c r="A551" s="22" t="str">
        <f>'ANSI Buildup Factors'!K312</f>
        <v xml:space="preserve">    - 0.050</v>
      </c>
    </row>
    <row r="552" spans="1:1">
      <c r="A552" s="22" t="str">
        <f>'ANSI Buildup Factors'!K313</f>
        <v xml:space="preserve">    - 0.060</v>
      </c>
    </row>
    <row r="553" spans="1:1">
      <c r="A553" s="22" t="str">
        <f>'ANSI Buildup Factors'!K314</f>
        <v xml:space="preserve">    - 0.080</v>
      </c>
    </row>
    <row r="554" spans="1:1">
      <c r="A554" s="22" t="str">
        <f>'ANSI Buildup Factors'!K315</f>
        <v xml:space="preserve">    - 0.100</v>
      </c>
    </row>
    <row r="555" spans="1:1">
      <c r="A555" s="22" t="str">
        <f>'ANSI Buildup Factors'!K316</f>
        <v xml:space="preserve">    - 0.150</v>
      </c>
    </row>
    <row r="556" spans="1:1">
      <c r="A556" s="22" t="str">
        <f>'ANSI Buildup Factors'!K317</f>
        <v xml:space="preserve">    - 0.200</v>
      </c>
    </row>
    <row r="557" spans="1:1">
      <c r="A557" s="22" t="str">
        <f>'ANSI Buildup Factors'!K318</f>
        <v xml:space="preserve">    - 0.300</v>
      </c>
    </row>
    <row r="558" spans="1:1">
      <c r="A558" s="22" t="str">
        <f>'ANSI Buildup Factors'!K319</f>
        <v xml:space="preserve">    - 0.400</v>
      </c>
    </row>
    <row r="559" spans="1:1">
      <c r="A559" s="22" t="str">
        <f>'ANSI Buildup Factors'!K320</f>
        <v xml:space="preserve">    - 0.500</v>
      </c>
    </row>
    <row r="560" spans="1:1">
      <c r="A560" s="22" t="str">
        <f>'ANSI Buildup Factors'!K321</f>
        <v xml:space="preserve">    - 0.600</v>
      </c>
    </row>
    <row r="561" spans="1:1">
      <c r="A561" s="22" t="str">
        <f>'ANSI Buildup Factors'!K322</f>
        <v xml:space="preserve">    - 0.800</v>
      </c>
    </row>
    <row r="562" spans="1:1">
      <c r="A562" s="22" t="str">
        <f>'ANSI Buildup Factors'!K323</f>
        <v xml:space="preserve">    - 1.000</v>
      </c>
    </row>
    <row r="563" spans="1:1">
      <c r="A563" s="22" t="str">
        <f>'ANSI Buildup Factors'!K324</f>
        <v xml:space="preserve">    - 1.500</v>
      </c>
    </row>
    <row r="564" spans="1:1">
      <c r="A564" s="22" t="str">
        <f>'ANSI Buildup Factors'!K325</f>
        <v xml:space="preserve">    - 2.000</v>
      </c>
    </row>
    <row r="565" spans="1:1">
      <c r="A565" s="22" t="str">
        <f>'ANSI Buildup Factors'!K326</f>
        <v xml:space="preserve">    - 3.000</v>
      </c>
    </row>
    <row r="566" spans="1:1">
      <c r="A566" s="22" t="str">
        <f>'ANSI Buildup Factors'!K327</f>
        <v xml:space="preserve">    - 4.000</v>
      </c>
    </row>
    <row r="567" spans="1:1">
      <c r="A567" s="22" t="str">
        <f>'ANSI Buildup Factors'!K328</f>
        <v xml:space="preserve">    - 5.000</v>
      </c>
    </row>
    <row r="568" spans="1:1">
      <c r="A568" s="22" t="str">
        <f>'ANSI Buildup Factors'!K329</f>
        <v xml:space="preserve">    - 6.000</v>
      </c>
    </row>
    <row r="569" spans="1:1">
      <c r="A569" s="22" t="str">
        <f>'ANSI Buildup Factors'!K330</f>
        <v xml:space="preserve">    - 8.000</v>
      </c>
    </row>
    <row r="570" spans="1:1">
      <c r="A570" s="22" t="str">
        <f>'ANSI Buildup Factors'!K331</f>
        <v xml:space="preserve">    - 10.000</v>
      </c>
    </row>
    <row r="571" spans="1:1">
      <c r="A571" s="22" t="str">
        <f>'ANSI Buildup Factors'!K332</f>
        <v xml:space="preserve">    - 15.000</v>
      </c>
    </row>
    <row r="572" spans="1:1">
      <c r="A572" s="24" t="s">
        <v>1864</v>
      </c>
    </row>
    <row r="573" spans="1:1">
      <c r="A573" s="24" t="s">
        <v>1865</v>
      </c>
    </row>
    <row r="574" spans="1:1">
      <c r="A574" s="22" t="str">
        <f>'ANSI Buildup Factors'!L308</f>
        <v xml:space="preserve">    - [1.017, 0.293, 0.325, 10.44, -0.2521]</v>
      </c>
    </row>
    <row r="575" spans="1:1">
      <c r="A575" s="22" t="str">
        <f>'ANSI Buildup Factors'!L309</f>
        <v xml:space="preserve">    - [1.039, 0.340, 0.228, 27.88, -0.3834]</v>
      </c>
    </row>
    <row r="576" spans="1:1">
      <c r="A576" s="22" t="str">
        <f>'ANSI Buildup Factors'!L310</f>
        <v xml:space="preserve">    - [1.115, 0.387, 0.215, 13.89, -0.1155]</v>
      </c>
    </row>
    <row r="577" spans="1:1">
      <c r="A577" s="22" t="str">
        <f>'ANSI Buildup Factors'!L311</f>
        <v xml:space="preserve">    - [1.257, 0.418, 0.204, 14.60, -0.1126]</v>
      </c>
    </row>
    <row r="578" spans="1:1">
      <c r="A578" s="22" t="str">
        <f>'ANSI Buildup Factors'!L312</f>
        <v xml:space="preserve">    - [1.440, 0.487, 0.176, 14.61, -0.0988]</v>
      </c>
    </row>
    <row r="579" spans="1:1">
      <c r="A579" s="22" t="str">
        <f>'ANSI Buildup Factors'!L313</f>
        <v xml:space="preserve">    - [1.635, 0.576, 0.140, 14.63, -0.0781]</v>
      </c>
    </row>
    <row r="580" spans="1:1">
      <c r="A580" s="22" t="str">
        <f>'ANSI Buildup Factors'!L314</f>
        <v xml:space="preserve">    - [1.965, 0.763, 0.074, 14.91, -0.0445]</v>
      </c>
    </row>
    <row r="581" spans="1:1">
      <c r="A581" s="22" t="str">
        <f>'ANSI Buildup Factors'!L315</f>
        <v xml:space="preserve">    - [2.276, 0.868, 0.051, 12.99, -0.0441]</v>
      </c>
    </row>
    <row r="582" spans="1:1">
      <c r="A582" s="22" t="str">
        <f>'ANSI Buildup Factors'!L316</f>
        <v xml:space="preserve">    - [2.492, 1.133, -0.014, 12.60, -0.0196]</v>
      </c>
    </row>
    <row r="583" spans="1:1">
      <c r="A583" s="22" t="str">
        <f>'ANSI Buildup Factors'!L317</f>
        <v xml:space="preserve">    - [2.500, 1.269, -0.039, 10.97, -0.0123]</v>
      </c>
    </row>
    <row r="584" spans="1:1">
      <c r="A584" s="22" t="str">
        <f>'ANSI Buildup Factors'!L318</f>
        <v xml:space="preserve">    - [2.407, 1.364, -0.056, 7.84, -0.0099]</v>
      </c>
    </row>
    <row r="585" spans="1:1">
      <c r="A585" s="22" t="str">
        <f>'ANSI Buildup Factors'!L319</f>
        <v xml:space="preserve">    - [2.285, 1.417, -0.071, 20.45, 0.0155]</v>
      </c>
    </row>
    <row r="586" spans="1:1">
      <c r="A586" s="22" t="str">
        <f>'ANSI Buildup Factors'!L320</f>
        <v xml:space="preserve">    - [2.201, 1.415, -0.073, 16.28, 0.0148]</v>
      </c>
    </row>
    <row r="587" spans="1:1">
      <c r="A587" s="22" t="str">
        <f>'ANSI Buildup Factors'!L321</f>
        <v xml:space="preserve">    - [2.135, 1.392, -0.070, 18.06, 0.0158]</v>
      </c>
    </row>
    <row r="588" spans="1:1">
      <c r="A588" s="22" t="str">
        <f>'ANSI Buildup Factors'!L322</f>
        <v xml:space="preserve">    - [2.029, 1.353, -0.066, 16.59, 0.0166]</v>
      </c>
    </row>
    <row r="589" spans="1:1">
      <c r="A589" s="22" t="str">
        <f>'ANSI Buildup Factors'!L323</f>
        <v xml:space="preserve">    - [1.951, 1.313, -0.061, 15.85, 0.0173]</v>
      </c>
    </row>
    <row r="590" spans="1:1">
      <c r="A590" s="22" t="str">
        <f>'ANSI Buildup Factors'!L324</f>
        <v xml:space="preserve">    - [1.832, 1.215, -0.044, 16.11, 0.0131]</v>
      </c>
    </row>
    <row r="591" spans="1:1">
      <c r="A591" s="22" t="str">
        <f>'ANSI Buildup Factors'!L325</f>
        <v xml:space="preserve">    - [1.761, 1.149, -0.031, 15.18, 0.0082]</v>
      </c>
    </row>
    <row r="592" spans="1:1">
      <c r="A592" s="22" t="str">
        <f>'ANSI Buildup Factors'!L326</f>
        <v xml:space="preserve">    - [1.660, 1.059, -0.009, 10.21, -0.0054]</v>
      </c>
    </row>
    <row r="593" spans="1:1">
      <c r="A593" s="22" t="str">
        <f>'ANSI Buildup Factors'!L327</f>
        <v xml:space="preserve">    - [1.587, 0.995, 0.010, 10.20, -0.0171]</v>
      </c>
    </row>
    <row r="594" spans="1:1">
      <c r="A594" s="22" t="str">
        <f>'ANSI Buildup Factors'!L328</f>
        <v xml:space="preserve">    - [1.515, 0.979, 0.013, 12.27, -0.0161]</v>
      </c>
    </row>
    <row r="595" spans="1:1">
      <c r="A595" s="22" t="str">
        <f>'ANSI Buildup Factors'!L329</f>
        <v xml:space="preserve">    - [1.468, 0.957, 0.020, 13.46, -0.0224]</v>
      </c>
    </row>
    <row r="596" spans="1:1">
      <c r="A596" s="22" t="str">
        <f>'ANSI Buildup Factors'!L330</f>
        <v xml:space="preserve">    - [1.388, 0.927, 0.031, 13.43, -0.0316]</v>
      </c>
    </row>
    <row r="597" spans="1:1">
      <c r="A597" s="22" t="str">
        <f>'ANSI Buildup Factors'!L331</f>
        <v xml:space="preserve">    - [1.325, 0.919, 0.035, 13.72, -0.0335]</v>
      </c>
    </row>
    <row r="598" spans="1:1">
      <c r="A598" s="22" t="str">
        <f>'ANSI Buildup Factors'!L332</f>
        <v xml:space="preserve">    - [1.228, 0.898, 0.048, 13.24, -0.0471]</v>
      </c>
    </row>
    <row r="599" spans="1:1">
      <c r="A599" s="22" t="str">
        <f>'ANSI Buildup Factors'!A335</f>
        <v>Argon</v>
      </c>
    </row>
    <row r="600" spans="1:1">
      <c r="A600" s="23" t="s">
        <v>1863</v>
      </c>
    </row>
    <row r="601" spans="1:1">
      <c r="A601" s="22" t="str">
        <f>'ANSI Buildup Factors'!K337</f>
        <v xml:space="preserve">    - 0.015</v>
      </c>
    </row>
    <row r="602" spans="1:1">
      <c r="A602" s="22" t="str">
        <f>'ANSI Buildup Factors'!K338</f>
        <v xml:space="preserve">    - 0.020</v>
      </c>
    </row>
    <row r="603" spans="1:1">
      <c r="A603" s="22" t="str">
        <f>'ANSI Buildup Factors'!K339</f>
        <v xml:space="preserve">    - 0.030</v>
      </c>
    </row>
    <row r="604" spans="1:1">
      <c r="A604" s="22" t="str">
        <f>'ANSI Buildup Factors'!K340</f>
        <v xml:space="preserve">    - 0.040</v>
      </c>
    </row>
    <row r="605" spans="1:1">
      <c r="A605" s="22" t="str">
        <f>'ANSI Buildup Factors'!K341</f>
        <v xml:space="preserve">    - 0.050</v>
      </c>
    </row>
    <row r="606" spans="1:1">
      <c r="A606" s="22" t="str">
        <f>'ANSI Buildup Factors'!K342</f>
        <v xml:space="preserve">    - 0.060</v>
      </c>
    </row>
    <row r="607" spans="1:1">
      <c r="A607" s="22" t="str">
        <f>'ANSI Buildup Factors'!K343</f>
        <v xml:space="preserve">    - 0.080</v>
      </c>
    </row>
    <row r="608" spans="1:1">
      <c r="A608" s="22" t="str">
        <f>'ANSI Buildup Factors'!K344</f>
        <v xml:space="preserve">    - 0.100</v>
      </c>
    </row>
    <row r="609" spans="1:1">
      <c r="A609" s="22" t="str">
        <f>'ANSI Buildup Factors'!K345</f>
        <v xml:space="preserve">    - 0.150</v>
      </c>
    </row>
    <row r="610" spans="1:1">
      <c r="A610" s="22" t="str">
        <f>'ANSI Buildup Factors'!K346</f>
        <v xml:space="preserve">    - 0.200</v>
      </c>
    </row>
    <row r="611" spans="1:1">
      <c r="A611" s="22" t="str">
        <f>'ANSI Buildup Factors'!K347</f>
        <v xml:space="preserve">    - 0.300</v>
      </c>
    </row>
    <row r="612" spans="1:1">
      <c r="A612" s="22" t="str">
        <f>'ANSI Buildup Factors'!K348</f>
        <v xml:space="preserve">    - 0.400</v>
      </c>
    </row>
    <row r="613" spans="1:1">
      <c r="A613" s="22" t="str">
        <f>'ANSI Buildup Factors'!K349</f>
        <v xml:space="preserve">    - 0.500</v>
      </c>
    </row>
    <row r="614" spans="1:1">
      <c r="A614" s="22" t="str">
        <f>'ANSI Buildup Factors'!K350</f>
        <v xml:space="preserve">    - 0.600</v>
      </c>
    </row>
    <row r="615" spans="1:1">
      <c r="A615" s="22" t="str">
        <f>'ANSI Buildup Factors'!K351</f>
        <v xml:space="preserve">    - 0.800</v>
      </c>
    </row>
    <row r="616" spans="1:1">
      <c r="A616" s="22" t="str">
        <f>'ANSI Buildup Factors'!K352</f>
        <v xml:space="preserve">    - 1.000</v>
      </c>
    </row>
    <row r="617" spans="1:1">
      <c r="A617" s="22" t="str">
        <f>'ANSI Buildup Factors'!K353</f>
        <v xml:space="preserve">    - 1.500</v>
      </c>
    </row>
    <row r="618" spans="1:1">
      <c r="A618" s="22" t="str">
        <f>'ANSI Buildup Factors'!K354</f>
        <v xml:space="preserve">    - 2.000</v>
      </c>
    </row>
    <row r="619" spans="1:1">
      <c r="A619" s="22" t="str">
        <f>'ANSI Buildup Factors'!K355</f>
        <v xml:space="preserve">    - 3.000</v>
      </c>
    </row>
    <row r="620" spans="1:1">
      <c r="A620" s="22" t="str">
        <f>'ANSI Buildup Factors'!K356</f>
        <v xml:space="preserve">    - 4.000</v>
      </c>
    </row>
    <row r="621" spans="1:1">
      <c r="A621" s="22" t="str">
        <f>'ANSI Buildup Factors'!K357</f>
        <v xml:space="preserve">    - 5.000</v>
      </c>
    </row>
    <row r="622" spans="1:1">
      <c r="A622" s="22" t="str">
        <f>'ANSI Buildup Factors'!K358</f>
        <v xml:space="preserve">    - 6.000</v>
      </c>
    </row>
    <row r="623" spans="1:1">
      <c r="A623" s="22" t="str">
        <f>'ANSI Buildup Factors'!K359</f>
        <v xml:space="preserve">    - 8.000</v>
      </c>
    </row>
    <row r="624" spans="1:1">
      <c r="A624" s="22" t="str">
        <f>'ANSI Buildup Factors'!K360</f>
        <v xml:space="preserve">    - 10.000</v>
      </c>
    </row>
    <row r="625" spans="1:1">
      <c r="A625" s="22" t="str">
        <f>'ANSI Buildup Factors'!K361</f>
        <v xml:space="preserve">    - 15.000</v>
      </c>
    </row>
    <row r="626" spans="1:1">
      <c r="A626" s="24" t="s">
        <v>1864</v>
      </c>
    </row>
    <row r="627" spans="1:1">
      <c r="A627" s="24" t="s">
        <v>1865</v>
      </c>
    </row>
    <row r="628" spans="1:1">
      <c r="A628" s="22" t="str">
        <f>'ANSI Buildup Factors'!L337</f>
        <v xml:space="preserve">    - [1.009, 0.495, 0.141, 29.38, -0.2851]</v>
      </c>
    </row>
    <row r="629" spans="1:1">
      <c r="A629" s="22" t="str">
        <f>'ANSI Buildup Factors'!L338</f>
        <v xml:space="preserve">    - [1.027, 0.318, 0.252, 18.88, -0.1913]</v>
      </c>
    </row>
    <row r="630" spans="1:1">
      <c r="A630" s="22" t="str">
        <f>'ANSI Buildup Factors'!L339</f>
        <v xml:space="preserve">    - [1.081, 0.344, 0.252, 13.45, -0.1508]</v>
      </c>
    </row>
    <row r="631" spans="1:1">
      <c r="A631" s="22" t="str">
        <f>'ANSI Buildup Factors'!L340</f>
        <v xml:space="preserve">    - [1.179, 0.392, 0.216, 14.54, -0.1227]</v>
      </c>
    </row>
    <row r="632" spans="1:1">
      <c r="A632" s="22" t="str">
        <f>'ANSI Buildup Factors'!L341</f>
        <v xml:space="preserve">    - [1.313, 0.433, 0.202, 14.23, -0.1149]</v>
      </c>
    </row>
    <row r="633" spans="1:1">
      <c r="A633" s="22" t="str">
        <f>'ANSI Buildup Factors'!L342</f>
        <v xml:space="preserve">    - [1.456, 0.508, 0.168, 14.35, -0.0942]</v>
      </c>
    </row>
    <row r="634" spans="1:1">
      <c r="A634" s="22" t="str">
        <f>'ANSI Buildup Factors'!L343</f>
        <v xml:space="preserve">    - [1.737, 0.655, 0.111, 14.39, -0.0625]</v>
      </c>
    </row>
    <row r="635" spans="1:1">
      <c r="A635" s="22" t="str">
        <f>'ANSI Buildup Factors'!L344</f>
        <v xml:space="preserve">    - [1.950, 0.814, 0.059, 14.51, -0.0408]</v>
      </c>
    </row>
    <row r="636" spans="1:1">
      <c r="A636" s="22" t="str">
        <f>'ANSI Buildup Factors'!L345</f>
        <v xml:space="preserve">    - [2.255, 1.040, 0.004, 13.40, -0.0244]</v>
      </c>
    </row>
    <row r="637" spans="1:1">
      <c r="A637" s="22" t="str">
        <f>'ANSI Buildup Factors'!L346</f>
        <v xml:space="preserve">    - [2.347, 1.175, -0.021, 12.06, -0.0193]</v>
      </c>
    </row>
    <row r="638" spans="1:1">
      <c r="A638" s="22" t="str">
        <f>'ANSI Buildup Factors'!L347</f>
        <v xml:space="preserve">    - [2.299, 1.312, -0.048, 9.01, -0.0105]</v>
      </c>
    </row>
    <row r="639" spans="1:1">
      <c r="A639" s="22" t="str">
        <f>'ANSI Buildup Factors'!L348</f>
        <v xml:space="preserve">    - [2.234, 1.342, -0.054, 8.27, -0.0092]</v>
      </c>
    </row>
    <row r="640" spans="1:1">
      <c r="A640" s="22" t="str">
        <f>'ANSI Buildup Factors'!L349</f>
        <v xml:space="preserve">    - [2.145, 1.378, -0.066, 22.25, 0.0179]</v>
      </c>
    </row>
    <row r="641" spans="1:1">
      <c r="A641" s="22" t="str">
        <f>'ANSI Buildup Factors'!L350</f>
        <v xml:space="preserve">    - [2.088, 1.369, -0.066, 18.91, 0.0152]</v>
      </c>
    </row>
    <row r="642" spans="1:1">
      <c r="A642" s="22" t="str">
        <f>'ANSI Buildup Factors'!L351</f>
        <v xml:space="preserve">    - [1.994, 1.341, -0.064, 16.54, 0.0166]</v>
      </c>
    </row>
    <row r="643" spans="1:1">
      <c r="A643" s="22" t="str">
        <f>'ANSI Buildup Factors'!L352</f>
        <v xml:space="preserve">    - [1.925, 1.303, -0.059, 16.03, 0.0166]</v>
      </c>
    </row>
    <row r="644" spans="1:1">
      <c r="A644" s="22" t="str">
        <f>'ANSI Buildup Factors'!L353</f>
        <v xml:space="preserve">    - [1.814, 1.211, -0.043, 16.27, 0.0125]</v>
      </c>
    </row>
    <row r="645" spans="1:1">
      <c r="A645" s="22" t="str">
        <f>'ANSI Buildup Factors'!L354</f>
        <v xml:space="preserve">    - [1.749, 1.147, -0.030, 15.16, 0.0065]</v>
      </c>
    </row>
    <row r="646" spans="1:1">
      <c r="A646" s="22" t="str">
        <f>'ANSI Buildup Factors'!L355</f>
        <v xml:space="preserve">    - [1.657, 1.052, -0.006, 11.62, -0.0089]</v>
      </c>
    </row>
    <row r="647" spans="1:1">
      <c r="A647" s="22" t="str">
        <f>'ANSI Buildup Factors'!L356</f>
        <v xml:space="preserve">    - [1.579, 1.005, 0.007, 10.97, -0.0144]</v>
      </c>
    </row>
    <row r="648" spans="1:1">
      <c r="A648" s="22" t="str">
        <f>'ANSI Buildup Factors'!L357</f>
        <v xml:space="preserve">    - [1.513, 0.978, 0.015, 13.38, -0.0213]</v>
      </c>
    </row>
    <row r="649" spans="1:1">
      <c r="A649" s="22" t="str">
        <f>'ANSI Buildup Factors'!L358</f>
        <v xml:space="preserve">    - [1.461, 0.966, 0.019, 13.70, -0.0235]</v>
      </c>
    </row>
    <row r="650" spans="1:1">
      <c r="A650" s="22" t="str">
        <f>'ANSI Buildup Factors'!L359</f>
        <v xml:space="preserve">    - [1.380, 0.938, 0.030, 13.39, -0.0333]</v>
      </c>
    </row>
    <row r="651" spans="1:1">
      <c r="A651" s="22" t="str">
        <f>'ANSI Buildup Factors'!L360</f>
        <v xml:space="preserve">    - [1.321, 0.919, 0.039, 13.42, -0.0414]</v>
      </c>
    </row>
    <row r="652" spans="1:1">
      <c r="A652" s="22" t="str">
        <f>'ANSI Buildup Factors'!L361</f>
        <v xml:space="preserve">    - [1.244, 0.842, 0.072, 13.87, -0.0710]</v>
      </c>
    </row>
    <row r="653" spans="1:1">
      <c r="A653" s="22" t="str">
        <f>'ANSI Buildup Factors'!A364</f>
        <v>Potassium</v>
      </c>
    </row>
    <row r="654" spans="1:1">
      <c r="A654" s="23" t="s">
        <v>1863</v>
      </c>
    </row>
    <row r="655" spans="1:1">
      <c r="A655" s="22" t="str">
        <f>'ANSI Buildup Factors'!K366</f>
        <v xml:space="preserve">    - 0.015</v>
      </c>
    </row>
    <row r="656" spans="1:1">
      <c r="A656" s="22" t="str">
        <f>'ANSI Buildup Factors'!K367</f>
        <v xml:space="preserve">    - 0.020</v>
      </c>
    </row>
    <row r="657" spans="1:1">
      <c r="A657" s="22" t="str">
        <f>'ANSI Buildup Factors'!K368</f>
        <v xml:space="preserve">    - 0.030</v>
      </c>
    </row>
    <row r="658" spans="1:1">
      <c r="A658" s="22" t="str">
        <f>'ANSI Buildup Factors'!K369</f>
        <v xml:space="preserve">    - 0.040</v>
      </c>
    </row>
    <row r="659" spans="1:1">
      <c r="A659" s="22" t="str">
        <f>'ANSI Buildup Factors'!K370</f>
        <v xml:space="preserve">    - 0.050</v>
      </c>
    </row>
    <row r="660" spans="1:1">
      <c r="A660" s="22" t="str">
        <f>'ANSI Buildup Factors'!K371</f>
        <v xml:space="preserve">    - 0.060</v>
      </c>
    </row>
    <row r="661" spans="1:1">
      <c r="A661" s="22" t="str">
        <f>'ANSI Buildup Factors'!K372</f>
        <v xml:space="preserve">    - 0.080</v>
      </c>
    </row>
    <row r="662" spans="1:1">
      <c r="A662" s="22" t="str">
        <f>'ANSI Buildup Factors'!K373</f>
        <v xml:space="preserve">    - 0.100</v>
      </c>
    </row>
    <row r="663" spans="1:1">
      <c r="A663" s="22" t="str">
        <f>'ANSI Buildup Factors'!K374</f>
        <v xml:space="preserve">    - 0.150</v>
      </c>
    </row>
    <row r="664" spans="1:1">
      <c r="A664" s="22" t="str">
        <f>'ANSI Buildup Factors'!K375</f>
        <v xml:space="preserve">    - 0.200</v>
      </c>
    </row>
    <row r="665" spans="1:1">
      <c r="A665" s="22" t="str">
        <f>'ANSI Buildup Factors'!K376</f>
        <v xml:space="preserve">    - 0.300</v>
      </c>
    </row>
    <row r="666" spans="1:1">
      <c r="A666" s="22" t="str">
        <f>'ANSI Buildup Factors'!K377</f>
        <v xml:space="preserve">    - 0.400</v>
      </c>
    </row>
    <row r="667" spans="1:1">
      <c r="A667" s="22" t="str">
        <f>'ANSI Buildup Factors'!K378</f>
        <v xml:space="preserve">    - 0.500</v>
      </c>
    </row>
    <row r="668" spans="1:1">
      <c r="A668" s="22" t="str">
        <f>'ANSI Buildup Factors'!K379</f>
        <v xml:space="preserve">    - 0.600</v>
      </c>
    </row>
    <row r="669" spans="1:1">
      <c r="A669" s="22" t="str">
        <f>'ANSI Buildup Factors'!K380</f>
        <v xml:space="preserve">    - 0.800</v>
      </c>
    </row>
    <row r="670" spans="1:1">
      <c r="A670" s="22" t="str">
        <f>'ANSI Buildup Factors'!K381</f>
        <v xml:space="preserve">    - 1.000</v>
      </c>
    </row>
    <row r="671" spans="1:1">
      <c r="A671" s="22" t="str">
        <f>'ANSI Buildup Factors'!K382</f>
        <v xml:space="preserve">    - 1.500</v>
      </c>
    </row>
    <row r="672" spans="1:1">
      <c r="A672" s="22" t="str">
        <f>'ANSI Buildup Factors'!K383</f>
        <v xml:space="preserve">    - 2.000</v>
      </c>
    </row>
    <row r="673" spans="1:1">
      <c r="A673" s="22" t="str">
        <f>'ANSI Buildup Factors'!K384</f>
        <v xml:space="preserve">    - 3.000</v>
      </c>
    </row>
    <row r="674" spans="1:1">
      <c r="A674" s="22" t="str">
        <f>'ANSI Buildup Factors'!K385</f>
        <v xml:space="preserve">    - 4.000</v>
      </c>
    </row>
    <row r="675" spans="1:1">
      <c r="A675" s="22" t="str">
        <f>'ANSI Buildup Factors'!K386</f>
        <v xml:space="preserve">    - 5.000</v>
      </c>
    </row>
    <row r="676" spans="1:1">
      <c r="A676" s="22" t="str">
        <f>'ANSI Buildup Factors'!K387</f>
        <v xml:space="preserve">    - 6.000</v>
      </c>
    </row>
    <row r="677" spans="1:1">
      <c r="A677" s="22" t="str">
        <f>'ANSI Buildup Factors'!K388</f>
        <v xml:space="preserve">    - 8.000</v>
      </c>
    </row>
    <row r="678" spans="1:1">
      <c r="A678" s="22" t="str">
        <f>'ANSI Buildup Factors'!K389</f>
        <v xml:space="preserve">    - 10.000</v>
      </c>
    </row>
    <row r="679" spans="1:1">
      <c r="A679" s="22" t="str">
        <f>'ANSI Buildup Factors'!K390</f>
        <v xml:space="preserve">    - 15.000</v>
      </c>
    </row>
    <row r="680" spans="1:1">
      <c r="A680" s="24" t="s">
        <v>1864</v>
      </c>
    </row>
    <row r="681" spans="1:1">
      <c r="A681" s="24" t="s">
        <v>1865</v>
      </c>
    </row>
    <row r="682" spans="1:1">
      <c r="A682" s="22" t="str">
        <f>'ANSI Buildup Factors'!L366</f>
        <v xml:space="preserve">    - [1.012, 0.130, 0.620, 11.39, -0.6162]</v>
      </c>
    </row>
    <row r="683" spans="1:1">
      <c r="A683" s="22" t="str">
        <f>'ANSI Buildup Factors'!L367</f>
        <v xml:space="preserve">    - [1.024, 0.289, 0.289, 12.38, -0.1453]</v>
      </c>
    </row>
    <row r="684" spans="1:1">
      <c r="A684" s="22" t="str">
        <f>'ANSI Buildup Factors'!L368</f>
        <v xml:space="preserve">    - [1.067, 0.384, 0.215, 12.44, -0.1141]</v>
      </c>
    </row>
    <row r="685" spans="1:1">
      <c r="A685" s="22" t="str">
        <f>'ANSI Buildup Factors'!L369</f>
        <v xml:space="preserve">    - [1.151, 0.382, 0.222, 13.92, -0.1229]</v>
      </c>
    </row>
    <row r="686" spans="1:1">
      <c r="A686" s="22" t="str">
        <f>'ANSI Buildup Factors'!L370</f>
        <v xml:space="preserve">    - [1.269, 0.408, 0.217, 14.20, -0.1274]</v>
      </c>
    </row>
    <row r="687" spans="1:1">
      <c r="A687" s="22" t="str">
        <f>'ANSI Buildup Factors'!L371</f>
        <v xml:space="preserve">    - [1.392, 0.483, 0.178, 14.36, -0.0988]</v>
      </c>
    </row>
    <row r="688" spans="1:1">
      <c r="A688" s="22" t="str">
        <f>'ANSI Buildup Factors'!L372</f>
        <v xml:space="preserve">    - [1.644, 0.609, 0.129, 14.32, -0.0742]</v>
      </c>
    </row>
    <row r="689" spans="1:1">
      <c r="A689" s="22" t="str">
        <f>'ANSI Buildup Factors'!L373</f>
        <v xml:space="preserve">    - [1.853, 0.757, 0.077, 14.33, -0.0502]</v>
      </c>
    </row>
    <row r="690" spans="1:1">
      <c r="A690" s="22" t="str">
        <f>'ANSI Buildup Factors'!L374</f>
        <v xml:space="preserve">    - [2.146, 1.005, 0.010, 13.70, -0.0216]</v>
      </c>
    </row>
    <row r="691" spans="1:1">
      <c r="A691" s="22" t="str">
        <f>'ANSI Buildup Factors'!L375</f>
        <v xml:space="preserve">    - [2.235, 1.166, -0.022, 11.91, -0.0143]</v>
      </c>
    </row>
    <row r="692" spans="1:1">
      <c r="A692" s="22" t="str">
        <f>'ANSI Buildup Factors'!L376</f>
        <v xml:space="preserve">    - [2.253, 1.282, -0.043, 10.15, -0.0111]</v>
      </c>
    </row>
    <row r="693" spans="1:1">
      <c r="A693" s="22" t="str">
        <f>'ANSI Buildup Factors'!L377</f>
        <v xml:space="preserve">    - [2.211, 1.315, -0.049, 8.86, -0.0109]</v>
      </c>
    </row>
    <row r="694" spans="1:1">
      <c r="A694" s="22" t="str">
        <f>'ANSI Buildup Factors'!L378</f>
        <v xml:space="preserve">    - [2.122, 1.361, -0.063, 20.95, 0.0137]</v>
      </c>
    </row>
    <row r="695" spans="1:1">
      <c r="A695" s="22" t="str">
        <f>'ANSI Buildup Factors'!L379</f>
        <v xml:space="preserve">    - [2.070, 1.353, -0.063, 18.25, 0.0123]</v>
      </c>
    </row>
    <row r="696" spans="1:1">
      <c r="A696" s="22" t="str">
        <f>'ANSI Buildup Factors'!L380</f>
        <v xml:space="preserve">    - [1.979, 1.328, -0.061, 16.89, 0.0137]</v>
      </c>
    </row>
    <row r="697" spans="1:1">
      <c r="A697" s="22" t="str">
        <f>'ANSI Buildup Factors'!L381</f>
        <v xml:space="preserve">    - [1.914, 1.294, -0.057, 15.83, 0.0146]</v>
      </c>
    </row>
    <row r="698" spans="1:1">
      <c r="A698" s="22" t="str">
        <f>'ANSI Buildup Factors'!L382</f>
        <v xml:space="preserve">    - [1.804, 1.214, -0.044, 15.26, 0.0131]</v>
      </c>
    </row>
    <row r="699" spans="1:1">
      <c r="A699" s="22" t="str">
        <f>'ANSI Buildup Factors'!L383</f>
        <v xml:space="preserve">    - [1.744, 1.144, -0.029, 16.51, 0.0061]</v>
      </c>
    </row>
    <row r="700" spans="1:1">
      <c r="A700" s="22" t="str">
        <f>'ANSI Buildup Factors'!L384</f>
        <v xml:space="preserve">    - [1.658, 1.047, -0.004, 11.27, -0.0108]</v>
      </c>
    </row>
    <row r="701" spans="1:1">
      <c r="A701" s="22" t="str">
        <f>'ANSI Buildup Factors'!L385</f>
        <v xml:space="preserve">    - [1.579, 1.002, 0.009, 11.56, -0.0183]</v>
      </c>
    </row>
    <row r="702" spans="1:1">
      <c r="A702" s="22" t="str">
        <f>'ANSI Buildup Factors'!L386</f>
        <v xml:space="preserve">    - [1.508, 0.986, 0.013, 13.41, -0.0200]</v>
      </c>
    </row>
    <row r="703" spans="1:1">
      <c r="A703" s="22" t="str">
        <f>'ANSI Buildup Factors'!L387</f>
        <v xml:space="preserve">    - [1.463, 0.958, 0.023, 13.42, -0.0288]</v>
      </c>
    </row>
    <row r="704" spans="1:1">
      <c r="A704" s="22" t="str">
        <f>'ANSI Buildup Factors'!L388</f>
        <v xml:space="preserve">    - [1.382, 0.931, 0.034, 13.47, -0.0389]</v>
      </c>
    </row>
    <row r="705" spans="1:1">
      <c r="A705" s="22" t="str">
        <f>'ANSI Buildup Factors'!L389</f>
        <v xml:space="preserve">    - [1.316, 0.927, 0.038, 13.53, -0.0427]</v>
      </c>
    </row>
    <row r="706" spans="1:1">
      <c r="A706" s="22" t="str">
        <f>'ANSI Buildup Factors'!L390</f>
        <v xml:space="preserve">    - [1.218, 0.920, 0.047, 13.48, -0.0518]</v>
      </c>
    </row>
    <row r="707" spans="1:1">
      <c r="A707" s="22" t="str">
        <f>'ANSI Buildup Factors'!A393</f>
        <v>Calcium</v>
      </c>
    </row>
    <row r="708" spans="1:1">
      <c r="A708" s="23" t="s">
        <v>1863</v>
      </c>
    </row>
    <row r="709" spans="1:1">
      <c r="A709" s="22" t="str">
        <f>'ANSI Buildup Factors'!K395</f>
        <v xml:space="preserve">    - 0.015</v>
      </c>
    </row>
    <row r="710" spans="1:1">
      <c r="A710" s="22" t="str">
        <f>'ANSI Buildup Factors'!K396</f>
        <v xml:space="preserve">    - 0.020</v>
      </c>
    </row>
    <row r="711" spans="1:1">
      <c r="A711" s="22" t="str">
        <f>'ANSI Buildup Factors'!K397</f>
        <v xml:space="preserve">    - 0.030</v>
      </c>
    </row>
    <row r="712" spans="1:1">
      <c r="A712" s="22" t="str">
        <f>'ANSI Buildup Factors'!K398</f>
        <v xml:space="preserve">    - 0.040</v>
      </c>
    </row>
    <row r="713" spans="1:1">
      <c r="A713" s="22" t="str">
        <f>'ANSI Buildup Factors'!K399</f>
        <v xml:space="preserve">    - 0.050</v>
      </c>
    </row>
    <row r="714" spans="1:1">
      <c r="A714" s="22" t="str">
        <f>'ANSI Buildup Factors'!K400</f>
        <v xml:space="preserve">    - 0.060</v>
      </c>
    </row>
    <row r="715" spans="1:1">
      <c r="A715" s="22" t="str">
        <f>'ANSI Buildup Factors'!K401</f>
        <v xml:space="preserve">    - 0.080</v>
      </c>
    </row>
    <row r="716" spans="1:1">
      <c r="A716" s="22" t="str">
        <f>'ANSI Buildup Factors'!K402</f>
        <v xml:space="preserve">    - 0.100</v>
      </c>
    </row>
    <row r="717" spans="1:1">
      <c r="A717" s="22" t="str">
        <f>'ANSI Buildup Factors'!K403</f>
        <v xml:space="preserve">    - 0.150</v>
      </c>
    </row>
    <row r="718" spans="1:1">
      <c r="A718" s="22" t="str">
        <f>'ANSI Buildup Factors'!K404</f>
        <v xml:space="preserve">    - 0.200</v>
      </c>
    </row>
    <row r="719" spans="1:1">
      <c r="A719" s="22" t="str">
        <f>'ANSI Buildup Factors'!K405</f>
        <v xml:space="preserve">    - 0.300</v>
      </c>
    </row>
    <row r="720" spans="1:1">
      <c r="A720" s="22" t="str">
        <f>'ANSI Buildup Factors'!K406</f>
        <v xml:space="preserve">    - 0.400</v>
      </c>
    </row>
    <row r="721" spans="1:1">
      <c r="A721" s="22" t="str">
        <f>'ANSI Buildup Factors'!K407</f>
        <v xml:space="preserve">    - 0.500</v>
      </c>
    </row>
    <row r="722" spans="1:1">
      <c r="A722" s="22" t="str">
        <f>'ANSI Buildup Factors'!K408</f>
        <v xml:space="preserve">    - 0.600</v>
      </c>
    </row>
    <row r="723" spans="1:1">
      <c r="A723" s="22" t="str">
        <f>'ANSI Buildup Factors'!K409</f>
        <v xml:space="preserve">    - 0.800</v>
      </c>
    </row>
    <row r="724" spans="1:1">
      <c r="A724" s="22" t="str">
        <f>'ANSI Buildup Factors'!K410</f>
        <v xml:space="preserve">    - 1.000</v>
      </c>
    </row>
    <row r="725" spans="1:1">
      <c r="A725" s="22" t="str">
        <f>'ANSI Buildup Factors'!K411</f>
        <v xml:space="preserve">    - 1.500</v>
      </c>
    </row>
    <row r="726" spans="1:1">
      <c r="A726" s="22" t="str">
        <f>'ANSI Buildup Factors'!K412</f>
        <v xml:space="preserve">    - 2.000</v>
      </c>
    </row>
    <row r="727" spans="1:1">
      <c r="A727" s="22" t="str">
        <f>'ANSI Buildup Factors'!K413</f>
        <v xml:space="preserve">    - 3.000</v>
      </c>
    </row>
    <row r="728" spans="1:1">
      <c r="A728" s="22" t="str">
        <f>'ANSI Buildup Factors'!K414</f>
        <v xml:space="preserve">    - 4.000</v>
      </c>
    </row>
    <row r="729" spans="1:1">
      <c r="A729" s="22" t="str">
        <f>'ANSI Buildup Factors'!K415</f>
        <v xml:space="preserve">    - 5.000</v>
      </c>
    </row>
    <row r="730" spans="1:1">
      <c r="A730" s="22" t="str">
        <f>'ANSI Buildup Factors'!K416</f>
        <v xml:space="preserve">    - 6.000</v>
      </c>
    </row>
    <row r="731" spans="1:1">
      <c r="A731" s="22" t="str">
        <f>'ANSI Buildup Factors'!K417</f>
        <v xml:space="preserve">    - 8.000</v>
      </c>
    </row>
    <row r="732" spans="1:1">
      <c r="A732" s="22" t="str">
        <f>'ANSI Buildup Factors'!K418</f>
        <v xml:space="preserve">    - 10.000</v>
      </c>
    </row>
    <row r="733" spans="1:1">
      <c r="A733" s="22" t="str">
        <f>'ANSI Buildup Factors'!K419</f>
        <v xml:space="preserve">    - 15.000</v>
      </c>
    </row>
    <row r="734" spans="1:1">
      <c r="A734" s="24" t="s">
        <v>1864</v>
      </c>
    </row>
    <row r="735" spans="1:1">
      <c r="A735" s="24" t="s">
        <v>1865</v>
      </c>
    </row>
    <row r="736" spans="1:1">
      <c r="A736" s="22" t="str">
        <f>'ANSI Buildup Factors'!L395</f>
        <v xml:space="preserve">    - [1.007, 0.596, 0.021, 7.03, 0.1290]</v>
      </c>
    </row>
    <row r="737" spans="1:1">
      <c r="A737" s="22" t="str">
        <f>'ANSI Buildup Factors'!L396</f>
        <v xml:space="preserve">    - [1.016, 0.441, 0.180, 10.89, -0.0845]</v>
      </c>
    </row>
    <row r="738" spans="1:1">
      <c r="A738" s="22" t="str">
        <f>'ANSI Buildup Factors'!L397</f>
        <v xml:space="preserve">    - [1.057, 0.372, 0.226, 11.52, -0.1182]</v>
      </c>
    </row>
    <row r="739" spans="1:1">
      <c r="A739" s="22" t="str">
        <f>'ANSI Buildup Factors'!L398</f>
        <v xml:space="preserve">    - [1.129, 0.364, 0.234, 14.07, -0.1357]</v>
      </c>
    </row>
    <row r="740" spans="1:1">
      <c r="A740" s="22" t="str">
        <f>'ANSI Buildup Factors'!L399</f>
        <v xml:space="preserve">    - [1.226, 0.405, 0.213, 14.14, -0.1172]</v>
      </c>
    </row>
    <row r="741" spans="1:1">
      <c r="A741" s="22" t="str">
        <f>'ANSI Buildup Factors'!L400</f>
        <v xml:space="preserve">    - [1.335, 0.456, 0.192, 14.25, -0.1107]</v>
      </c>
    </row>
    <row r="742" spans="1:1">
      <c r="A742" s="22" t="str">
        <f>'ANSI Buildup Factors'!L401</f>
        <v xml:space="preserve">    - [1.564, 0.574, 0.142, 14.35, -0.0801]</v>
      </c>
    </row>
    <row r="743" spans="1:1">
      <c r="A743" s="22" t="str">
        <f>'ANSI Buildup Factors'!L402</f>
        <v xml:space="preserve">    - [1.760, 0.708, 0.093, 14.30, -0.0580]</v>
      </c>
    </row>
    <row r="744" spans="1:1">
      <c r="A744" s="22" t="str">
        <f>'ANSI Buildup Factors'!L403</f>
        <v xml:space="preserve">    - [2.062, 0.949, 0.024, 13.69, -0.0280]</v>
      </c>
    </row>
    <row r="745" spans="1:1">
      <c r="A745" s="22" t="str">
        <f>'ANSI Buildup Factors'!L404</f>
        <v xml:space="preserve">    - [2.175, 1.118, -0.012, 12.58, -0.0188]</v>
      </c>
    </row>
    <row r="746" spans="1:1">
      <c r="A746" s="22" t="str">
        <f>'ANSI Buildup Factors'!L405</f>
        <v xml:space="preserve">    - [2.204, 1.257, -0.039, 10.26, -0.0113]</v>
      </c>
    </row>
    <row r="747" spans="1:1">
      <c r="A747" s="22" t="str">
        <f>'ANSI Buildup Factors'!L406</f>
        <v xml:space="preserve">    - [2.172, 1.299, -0.047, 9.76, -0.0090]</v>
      </c>
    </row>
    <row r="748" spans="1:1">
      <c r="A748" s="22" t="str">
        <f>'ANSI Buildup Factors'!L407</f>
        <v xml:space="preserve">    - [2.128, 1.304, -0.048, 8.71, -0.0108]</v>
      </c>
    </row>
    <row r="749" spans="1:1">
      <c r="A749" s="22" t="str">
        <f>'ANSI Buildup Factors'!L408</f>
        <v xml:space="preserve">    - [2.058, 1.333, -0.059, 23.64, 0.0150]</v>
      </c>
    </row>
    <row r="750" spans="1:1">
      <c r="A750" s="22" t="str">
        <f>'ANSI Buildup Factors'!L409</f>
        <v xml:space="preserve">    - [1.963, 1.322, -0.060, 18.99, 0.0166]</v>
      </c>
    </row>
    <row r="751" spans="1:1">
      <c r="A751" s="22" t="str">
        <f>'ANSI Buildup Factors'!L410</f>
        <v xml:space="preserve">    - [1.904, 1.289, -0.056, 17.12, 0.0159]</v>
      </c>
    </row>
    <row r="752" spans="1:1">
      <c r="A752" s="22" t="str">
        <f>'ANSI Buildup Factors'!L411</f>
        <v xml:space="preserve">    - [1.796, 1.210, -0.043, 15.77, 0.0128]</v>
      </c>
    </row>
    <row r="753" spans="1:1">
      <c r="A753" s="22" t="str">
        <f>'ANSI Buildup Factors'!L412</f>
        <v xml:space="preserve">    - [1.737, 1.148, -0.030, 17.57, 0.0079]</v>
      </c>
    </row>
    <row r="754" spans="1:1">
      <c r="A754" s="22" t="str">
        <f>'ANSI Buildup Factors'!L413</f>
        <v xml:space="preserve">    - [1.640, 1.070, -0.011, 13.24, -0.0067]</v>
      </c>
    </row>
    <row r="755" spans="1:1">
      <c r="A755" s="22" t="str">
        <f>'ANSI Buildup Factors'!L414</f>
        <v xml:space="preserve">    - [1.574, 1.009, 0.007, 12.05, -0.0167]</v>
      </c>
    </row>
    <row r="756" spans="1:1">
      <c r="A756" s="22" t="str">
        <f>'ANSI Buildup Factors'!L415</f>
        <v xml:space="preserve">    - [1.508, 0.983, 0.015, 13.21, -0.0231]</v>
      </c>
    </row>
    <row r="757" spans="1:1">
      <c r="A757" s="22" t="str">
        <f>'ANSI Buildup Factors'!L416</f>
        <v xml:space="preserve">    - [1.459, 0.962, 0.023, 13.19, -0.0303]</v>
      </c>
    </row>
    <row r="758" spans="1:1">
      <c r="A758" s="22" t="str">
        <f>'ANSI Buildup Factors'!L417</f>
        <v xml:space="preserve">    - [1.376, 0.943, 0.031, 13.52, -0.0363]</v>
      </c>
    </row>
    <row r="759" spans="1:1">
      <c r="A759" s="22" t="str">
        <f>'ANSI Buildup Factors'!L418</f>
        <v xml:space="preserve">    - [1.313, 0.934, 0.037, 13.60, -0.0424]</v>
      </c>
    </row>
    <row r="760" spans="1:1">
      <c r="A760" s="22" t="str">
        <f>'ANSI Buildup Factors'!L419</f>
        <v xml:space="preserve">    - [1.219, 0.916, 0.050, 13.91, -0.0551]</v>
      </c>
    </row>
    <row r="761" spans="1:1">
      <c r="A761" s="22" t="str">
        <f>'ANSI Buildup Factors'!A422</f>
        <v>Iron</v>
      </c>
    </row>
    <row r="762" spans="1:1">
      <c r="A762" s="23" t="s">
        <v>1863</v>
      </c>
    </row>
    <row r="763" spans="1:1">
      <c r="A763" s="22" t="str">
        <f>'ANSI Buildup Factors'!K424</f>
        <v xml:space="preserve">    - 0.015</v>
      </c>
    </row>
    <row r="764" spans="1:1">
      <c r="A764" s="22" t="str">
        <f>'ANSI Buildup Factors'!K425</f>
        <v xml:space="preserve">    - 0.020</v>
      </c>
    </row>
    <row r="765" spans="1:1">
      <c r="A765" s="22" t="str">
        <f>'ANSI Buildup Factors'!K426</f>
        <v xml:space="preserve">    - 0.030</v>
      </c>
    </row>
    <row r="766" spans="1:1">
      <c r="A766" s="22" t="str">
        <f>'ANSI Buildup Factors'!K427</f>
        <v xml:space="preserve">    - 0.040</v>
      </c>
    </row>
    <row r="767" spans="1:1">
      <c r="A767" s="22" t="str">
        <f>'ANSI Buildup Factors'!K428</f>
        <v xml:space="preserve">    - 0.050</v>
      </c>
    </row>
    <row r="768" spans="1:1">
      <c r="A768" s="22" t="str">
        <f>'ANSI Buildup Factors'!K429</f>
        <v xml:space="preserve">    - 0.060</v>
      </c>
    </row>
    <row r="769" spans="1:1">
      <c r="A769" s="22" t="str">
        <f>'ANSI Buildup Factors'!K430</f>
        <v xml:space="preserve">    - 0.080</v>
      </c>
    </row>
    <row r="770" spans="1:1">
      <c r="A770" s="22" t="str">
        <f>'ANSI Buildup Factors'!K431</f>
        <v xml:space="preserve">    - 0.100</v>
      </c>
    </row>
    <row r="771" spans="1:1">
      <c r="A771" s="22" t="str">
        <f>'ANSI Buildup Factors'!K432</f>
        <v xml:space="preserve">    - 0.150</v>
      </c>
    </row>
    <row r="772" spans="1:1">
      <c r="A772" s="22" t="str">
        <f>'ANSI Buildup Factors'!K433</f>
        <v xml:space="preserve">    - 0.200</v>
      </c>
    </row>
    <row r="773" spans="1:1">
      <c r="A773" s="22" t="str">
        <f>'ANSI Buildup Factors'!K434</f>
        <v xml:space="preserve">    - 0.300</v>
      </c>
    </row>
    <row r="774" spans="1:1">
      <c r="A774" s="22" t="str">
        <f>'ANSI Buildup Factors'!K435</f>
        <v xml:space="preserve">    - 0.400</v>
      </c>
    </row>
    <row r="775" spans="1:1">
      <c r="A775" s="22" t="str">
        <f>'ANSI Buildup Factors'!K436</f>
        <v xml:space="preserve">    - 0.500</v>
      </c>
    </row>
    <row r="776" spans="1:1">
      <c r="A776" s="22" t="str">
        <f>'ANSI Buildup Factors'!K437</f>
        <v xml:space="preserve">    - 0.600</v>
      </c>
    </row>
    <row r="777" spans="1:1">
      <c r="A777" s="22" t="str">
        <f>'ANSI Buildup Factors'!K438</f>
        <v xml:space="preserve">    - 0.800</v>
      </c>
    </row>
    <row r="778" spans="1:1">
      <c r="A778" s="22" t="str">
        <f>'ANSI Buildup Factors'!K439</f>
        <v xml:space="preserve">    - 1.000</v>
      </c>
    </row>
    <row r="779" spans="1:1">
      <c r="A779" s="22" t="str">
        <f>'ANSI Buildup Factors'!K440</f>
        <v xml:space="preserve">    - 1.500</v>
      </c>
    </row>
    <row r="780" spans="1:1">
      <c r="A780" s="22" t="str">
        <f>'ANSI Buildup Factors'!K441</f>
        <v xml:space="preserve">    - 2.000</v>
      </c>
    </row>
    <row r="781" spans="1:1">
      <c r="A781" s="22" t="str">
        <f>'ANSI Buildup Factors'!K442</f>
        <v xml:space="preserve">    - 3.000</v>
      </c>
    </row>
    <row r="782" spans="1:1">
      <c r="A782" s="22" t="str">
        <f>'ANSI Buildup Factors'!K443</f>
        <v xml:space="preserve">    - 4.000</v>
      </c>
    </row>
    <row r="783" spans="1:1">
      <c r="A783" s="22" t="str">
        <f>'ANSI Buildup Factors'!K444</f>
        <v xml:space="preserve">    - 5.000</v>
      </c>
    </row>
    <row r="784" spans="1:1">
      <c r="A784" s="22" t="str">
        <f>'ANSI Buildup Factors'!K445</f>
        <v xml:space="preserve">    - 6.000</v>
      </c>
    </row>
    <row r="785" spans="1:1">
      <c r="A785" s="22" t="str">
        <f>'ANSI Buildup Factors'!K446</f>
        <v xml:space="preserve">    - 8.000</v>
      </c>
    </row>
    <row r="786" spans="1:1">
      <c r="A786" s="22" t="str">
        <f>'ANSI Buildup Factors'!K447</f>
        <v xml:space="preserve">    - 10.000</v>
      </c>
    </row>
    <row r="787" spans="1:1">
      <c r="A787" s="22" t="str">
        <f>'ANSI Buildup Factors'!K448</f>
        <v xml:space="preserve">    - 15.000</v>
      </c>
    </row>
    <row r="788" spans="1:1">
      <c r="A788" s="24" t="s">
        <v>1864</v>
      </c>
    </row>
    <row r="789" spans="1:1">
      <c r="A789" s="24" t="s">
        <v>1865</v>
      </c>
    </row>
    <row r="790" spans="1:1">
      <c r="A790" s="22" t="str">
        <f>'ANSI Buildup Factors'!L424</f>
        <v xml:space="preserve">    - [1.004, 1.561, -0.554, 5.60, 0.3524]</v>
      </c>
    </row>
    <row r="791" spans="1:1">
      <c r="A791" s="22" t="str">
        <f>'ANSI Buildup Factors'!L425</f>
        <v xml:space="preserve">    - [1.012, 0.130, 0.620, 11.39, -0.6162]</v>
      </c>
    </row>
    <row r="792" spans="1:1">
      <c r="A792" s="22" t="str">
        <f>'ANSI Buildup Factors'!L426</f>
        <v xml:space="preserve">    - [1.028, 0.374, 0.190, 29.34, -0.3170]</v>
      </c>
    </row>
    <row r="793" spans="1:1">
      <c r="A793" s="22" t="str">
        <f>'ANSI Buildup Factors'!L427</f>
        <v xml:space="preserve">    - [1.058, 0.336, 0.248, 11.65, -0.1188]</v>
      </c>
    </row>
    <row r="794" spans="1:1">
      <c r="A794" s="22" t="str">
        <f>'ANSI Buildup Factors'!L428</f>
        <v xml:space="preserve">    - [1.099, 0.366, 0.232, 14.01, -0.1354]</v>
      </c>
    </row>
    <row r="795" spans="1:1">
      <c r="A795" s="22" t="str">
        <f>'ANSI Buildup Factors'!L429</f>
        <v xml:space="preserve">    - [1.148, 0.405, 0.208, 14.17, -0.1142]</v>
      </c>
    </row>
    <row r="796" spans="1:1">
      <c r="A796" s="22" t="str">
        <f>'ANSI Buildup Factors'!L430</f>
        <v xml:space="preserve">    - [1.267, 0.470, 0.180, 14.48, -0.0974]</v>
      </c>
    </row>
    <row r="797" spans="1:1">
      <c r="A797" s="22" t="str">
        <f>'ANSI Buildup Factors'!L431</f>
        <v xml:space="preserve">    - [1.389, 0.557, 0.144, 14.11, -0.0791]</v>
      </c>
    </row>
    <row r="798" spans="1:1">
      <c r="A798" s="22" t="str">
        <f>'ANSI Buildup Factors'!L432</f>
        <v xml:space="preserve">    - [1.660, 0.743, 0.079, 14.12, -0.0476]</v>
      </c>
    </row>
    <row r="799" spans="1:1">
      <c r="A799" s="22" t="str">
        <f>'ANSI Buildup Factors'!L433</f>
        <v xml:space="preserve">    - [1.839, 0.911, 0.034, 13.23, -0.0334]</v>
      </c>
    </row>
    <row r="800" spans="1:1">
      <c r="A800" s="22" t="str">
        <f>'ANSI Buildup Factors'!L434</f>
        <v xml:space="preserve">    - [1.973, 1.095, -0.009, 11.86, -0.0183]</v>
      </c>
    </row>
    <row r="801" spans="1:1">
      <c r="A801" s="22" t="str">
        <f>'ANSI Buildup Factors'!L435</f>
        <v xml:space="preserve">    - [1.992, 1.187, -0.027, 10.72, -0.0140]</v>
      </c>
    </row>
    <row r="802" spans="1:1">
      <c r="A802" s="22" t="str">
        <f>'ANSI Buildup Factors'!L436</f>
        <v xml:space="preserve">    - [1.967, 1.240, -0.039, 8.34, -0.0074]</v>
      </c>
    </row>
    <row r="803" spans="1:1">
      <c r="A803" s="22" t="str">
        <f>'ANSI Buildup Factors'!L437</f>
        <v xml:space="preserve">    - [1.947, 1.247, -0.040, 8.20, -0.0096]</v>
      </c>
    </row>
    <row r="804" spans="1:1">
      <c r="A804" s="22" t="str">
        <f>'ANSI Buildup Factors'!L438</f>
        <v xml:space="preserve">    - [1.906, 1.233, -0.038, 7.93, -0.0110]</v>
      </c>
    </row>
    <row r="805" spans="1:1">
      <c r="A805" s="22" t="str">
        <f>'ANSI Buildup Factors'!L439</f>
        <v xml:space="preserve">    - [1.841, 1.250, -0.048, 19.49, 0.0140]</v>
      </c>
    </row>
    <row r="806" spans="1:1">
      <c r="A806" s="22" t="str">
        <f>'ANSI Buildup Factors'!L440</f>
        <v xml:space="preserve">    - [1.750, 1.197, -0.040, 15.90, 0.0110]</v>
      </c>
    </row>
    <row r="807" spans="1:1">
      <c r="A807" s="22" t="str">
        <f>'ANSI Buildup Factors'!L441</f>
        <v xml:space="preserve">    - [1.712, 1.123, -0.021, 7.97, -0.0057]</v>
      </c>
    </row>
    <row r="808" spans="1:1">
      <c r="A808" s="22" t="str">
        <f>'ANSI Buildup Factors'!L442</f>
        <v xml:space="preserve">    - [1.627, 1.059, -0.005, 11.99, -0.0132]</v>
      </c>
    </row>
    <row r="809" spans="1:1">
      <c r="A809" s="22" t="str">
        <f>'ANSI Buildup Factors'!L443</f>
        <v xml:space="preserve">    - [1.553, 1.026, 0.005, 12.93, -0.0191]</v>
      </c>
    </row>
    <row r="810" spans="1:1">
      <c r="A810" s="22" t="str">
        <f>'ANSI Buildup Factors'!L444</f>
        <v xml:space="preserve">    - [1.483, 1.009, 0.012, 13.12, -0.0258]</v>
      </c>
    </row>
    <row r="811" spans="1:1">
      <c r="A811" s="22" t="str">
        <f>'ANSI Buildup Factors'!L445</f>
        <v xml:space="preserve">    - [1.442, 0.980, 0.023, 13.37, -0.0355]</v>
      </c>
    </row>
    <row r="812" spans="1:1">
      <c r="A812" s="22" t="str">
        <f>'ANSI Buildup Factors'!L446</f>
        <v xml:space="preserve">    - [1.354, 0.974, 0.029, 13.65, -0.0424]</v>
      </c>
    </row>
    <row r="813" spans="1:1">
      <c r="A813" s="22" t="str">
        <f>'ANSI Buildup Factors'!L447</f>
        <v xml:space="preserve">    - [1.297, 0.949, 0.042, 13.97, -0.0561]</v>
      </c>
    </row>
    <row r="814" spans="1:1">
      <c r="A814" s="22" t="str">
        <f>'ANSI Buildup Factors'!L448</f>
        <v xml:space="preserve">    - [1.199, 0.957, 0.049, 14.37, -0.0594]</v>
      </c>
    </row>
    <row r="815" spans="1:1">
      <c r="A815" s="22" t="str">
        <f>'ANSI Buildup Factors'!A451</f>
        <v>Copper</v>
      </c>
    </row>
    <row r="816" spans="1:1">
      <c r="A816" s="23" t="s">
        <v>1863</v>
      </c>
    </row>
    <row r="817" spans="1:1">
      <c r="A817" s="22" t="str">
        <f>'ANSI Buildup Factors'!K453</f>
        <v xml:space="preserve">    - 0.015</v>
      </c>
    </row>
    <row r="818" spans="1:1">
      <c r="A818" s="22" t="str">
        <f>'ANSI Buildup Factors'!K454</f>
        <v xml:space="preserve">    - 0.020</v>
      </c>
    </row>
    <row r="819" spans="1:1">
      <c r="A819" s="22" t="str">
        <f>'ANSI Buildup Factors'!K455</f>
        <v xml:space="preserve">    - 0.030</v>
      </c>
    </row>
    <row r="820" spans="1:1">
      <c r="A820" s="22" t="str">
        <f>'ANSI Buildup Factors'!K456</f>
        <v xml:space="preserve">    - 0.040</v>
      </c>
    </row>
    <row r="821" spans="1:1">
      <c r="A821" s="22" t="str">
        <f>'ANSI Buildup Factors'!K457</f>
        <v xml:space="preserve">    - 0.050</v>
      </c>
    </row>
    <row r="822" spans="1:1">
      <c r="A822" s="22" t="str">
        <f>'ANSI Buildup Factors'!K458</f>
        <v xml:space="preserve">    - 0.060</v>
      </c>
    </row>
    <row r="823" spans="1:1">
      <c r="A823" s="22" t="str">
        <f>'ANSI Buildup Factors'!K459</f>
        <v xml:space="preserve">    - 0.080</v>
      </c>
    </row>
    <row r="824" spans="1:1">
      <c r="A824" s="22" t="str">
        <f>'ANSI Buildup Factors'!K460</f>
        <v xml:space="preserve">    - 0.100</v>
      </c>
    </row>
    <row r="825" spans="1:1">
      <c r="A825" s="22" t="str">
        <f>'ANSI Buildup Factors'!K461</f>
        <v xml:space="preserve">    - 0.150</v>
      </c>
    </row>
    <row r="826" spans="1:1">
      <c r="A826" s="22" t="str">
        <f>'ANSI Buildup Factors'!K462</f>
        <v xml:space="preserve">    - 0.200</v>
      </c>
    </row>
    <row r="827" spans="1:1">
      <c r="A827" s="22" t="str">
        <f>'ANSI Buildup Factors'!K463</f>
        <v xml:space="preserve">    - 0.300</v>
      </c>
    </row>
    <row r="828" spans="1:1">
      <c r="A828" s="22" t="str">
        <f>'ANSI Buildup Factors'!K464</f>
        <v xml:space="preserve">    - 0.400</v>
      </c>
    </row>
    <row r="829" spans="1:1">
      <c r="A829" s="22" t="str">
        <f>'ANSI Buildup Factors'!K465</f>
        <v xml:space="preserve">    - 0.500</v>
      </c>
    </row>
    <row r="830" spans="1:1">
      <c r="A830" s="22" t="str">
        <f>'ANSI Buildup Factors'!K466</f>
        <v xml:space="preserve">    - 0.600</v>
      </c>
    </row>
    <row r="831" spans="1:1">
      <c r="A831" s="22" t="str">
        <f>'ANSI Buildup Factors'!K467</f>
        <v xml:space="preserve">    - 0.800</v>
      </c>
    </row>
    <row r="832" spans="1:1">
      <c r="A832" s="22" t="str">
        <f>'ANSI Buildup Factors'!K468</f>
        <v xml:space="preserve">    - 1.000</v>
      </c>
    </row>
    <row r="833" spans="1:1">
      <c r="A833" s="22" t="str">
        <f>'ANSI Buildup Factors'!K469</f>
        <v xml:space="preserve">    - 1.500</v>
      </c>
    </row>
    <row r="834" spans="1:1">
      <c r="A834" s="22" t="str">
        <f>'ANSI Buildup Factors'!K470</f>
        <v xml:space="preserve">    - 2.000</v>
      </c>
    </row>
    <row r="835" spans="1:1">
      <c r="A835" s="22" t="str">
        <f>'ANSI Buildup Factors'!K471</f>
        <v xml:space="preserve">    - 3.000</v>
      </c>
    </row>
    <row r="836" spans="1:1">
      <c r="A836" s="22" t="str">
        <f>'ANSI Buildup Factors'!K472</f>
        <v xml:space="preserve">    - 4.000</v>
      </c>
    </row>
    <row r="837" spans="1:1">
      <c r="A837" s="22" t="str">
        <f>'ANSI Buildup Factors'!K473</f>
        <v xml:space="preserve">    - 5.000</v>
      </c>
    </row>
    <row r="838" spans="1:1">
      <c r="A838" s="22" t="str">
        <f>'ANSI Buildup Factors'!K474</f>
        <v xml:space="preserve">    - 6.000</v>
      </c>
    </row>
    <row r="839" spans="1:1">
      <c r="A839" s="22" t="str">
        <f>'ANSI Buildup Factors'!K475</f>
        <v xml:space="preserve">    - 8.000</v>
      </c>
    </row>
    <row r="840" spans="1:1">
      <c r="A840" s="22" t="str">
        <f>'ANSI Buildup Factors'!K476</f>
        <v xml:space="preserve">    - 10.000</v>
      </c>
    </row>
    <row r="841" spans="1:1">
      <c r="A841" s="22" t="str">
        <f>'ANSI Buildup Factors'!K477</f>
        <v xml:space="preserve">    - 15.000</v>
      </c>
    </row>
    <row r="842" spans="1:1">
      <c r="A842" s="24" t="s">
        <v>1864</v>
      </c>
    </row>
    <row r="843" spans="1:1">
      <c r="A843" s="24" t="s">
        <v>1865</v>
      </c>
    </row>
    <row r="844" spans="1:1">
      <c r="A844" s="22" t="str">
        <f>'ANSI Buildup Factors'!L453</f>
        <v xml:space="preserve">    - [1.001, 2.044, -0.310, 11.15, 0.2519]</v>
      </c>
    </row>
    <row r="845" spans="1:1">
      <c r="A845" s="22" t="str">
        <f>'ANSI Buildup Factors'!L454</f>
        <v xml:space="preserve">    - [1.009, 0.103, 0.764, 10.78, -1.0613]</v>
      </c>
    </row>
    <row r="846" spans="1:1">
      <c r="A846" s="22" t="str">
        <f>'ANSI Buildup Factors'!L455</f>
        <v xml:space="preserve">    - [1.020, 0.359, 0.205, 12.00, -0.0510]</v>
      </c>
    </row>
    <row r="847" spans="1:1">
      <c r="A847" s="22" t="str">
        <f>'ANSI Buildup Factors'!L456</f>
        <v xml:space="preserve">    - [1.042, 0.330, 0.239, 14.45, -0.0962]</v>
      </c>
    </row>
    <row r="848" spans="1:1">
      <c r="A848" s="22" t="str">
        <f>'ANSI Buildup Factors'!L457</f>
        <v xml:space="preserve">    - [1.071, 0.353, 0.243, 12.89, -0.1407]</v>
      </c>
    </row>
    <row r="849" spans="1:1">
      <c r="A849" s="22" t="str">
        <f>'ANSI Buildup Factors'!L458</f>
        <v xml:space="preserve">    - [1.109, 0.364, 0.237, 13.54, -0.1349]</v>
      </c>
    </row>
    <row r="850" spans="1:1">
      <c r="A850" s="22" t="str">
        <f>'ANSI Buildup Factors'!L459</f>
        <v xml:space="preserve">    - [1.189, 0.446, 0.192, 13.97, -0.1094]</v>
      </c>
    </row>
    <row r="851" spans="1:1">
      <c r="A851" s="22" t="str">
        <f>'ANSI Buildup Factors'!L460</f>
        <v xml:space="preserve">    - [1.287, 0.507, 0.165, 13.89, -0.0924]</v>
      </c>
    </row>
    <row r="852" spans="1:1">
      <c r="A852" s="22" t="str">
        <f>'ANSI Buildup Factors'!L461</f>
        <v xml:space="preserve">    - [1.518, 0.675, 0.100, 13.99, -0.0555]</v>
      </c>
    </row>
    <row r="853" spans="1:1">
      <c r="A853" s="22" t="str">
        <f>'ANSI Buildup Factors'!L462</f>
        <v xml:space="preserve">    - [1.695, 0.835, 0.052, 13.62, -0.0364]</v>
      </c>
    </row>
    <row r="854" spans="1:1">
      <c r="A854" s="22" t="str">
        <f>'ANSI Buildup Factors'!L463</f>
        <v xml:space="preserve">    - [1.865, 1.023, 0.005, 12.51, -0.0197]</v>
      </c>
    </row>
    <row r="855" spans="1:1">
      <c r="A855" s="22" t="str">
        <f>'ANSI Buildup Factors'!L464</f>
        <v xml:space="preserve">    - [1.908, 1.135, -0.018, 11.46, -0.0137]</v>
      </c>
    </row>
    <row r="856" spans="1:1">
      <c r="A856" s="22" t="str">
        <f>'ANSI Buildup Factors'!L465</f>
        <v xml:space="preserve">    - [1.909, 1.189, -0.029, 9.92, -0.0106]</v>
      </c>
    </row>
    <row r="857" spans="1:1">
      <c r="A857" s="22" t="str">
        <f>'ANSI Buildup Factors'!L466</f>
        <v xml:space="preserve">    - [1.889, 1.216, -0.035, 8.53, -0.0091]</v>
      </c>
    </row>
    <row r="858" spans="1:1">
      <c r="A858" s="22" t="str">
        <f>'ANSI Buildup Factors'!L467</f>
        <v xml:space="preserve">    - [1.847, 1.226, -0.037, 7.03, -0.0118]</v>
      </c>
    </row>
    <row r="859" spans="1:1">
      <c r="A859" s="22" t="str">
        <f>'ANSI Buildup Factors'!L468</f>
        <v xml:space="preserve">    - [1.816, 1.204, -0.034, 7.47, -0.0114]</v>
      </c>
    </row>
    <row r="860" spans="1:1">
      <c r="A860" s="22" t="str">
        <f>'ANSI Buildup Factors'!L469</f>
        <v xml:space="preserve">    - [1.733, 1.185, -0.037, 18.36, 0.0106]</v>
      </c>
    </row>
    <row r="861" spans="1:1">
      <c r="A861" s="22" t="str">
        <f>'ANSI Buildup Factors'!L470</f>
        <v xml:space="preserve">    - [1.695, 1.121, -0.021, 8.90, -0.0042]</v>
      </c>
    </row>
    <row r="862" spans="1:1">
      <c r="A862" s="22" t="str">
        <f>'ANSI Buildup Factors'!L471</f>
        <v xml:space="preserve">    - [1.617, 1.059, -0.004, 12.21, -0.0146]</v>
      </c>
    </row>
    <row r="863" spans="1:1">
      <c r="A863" s="22" t="str">
        <f>'ANSI Buildup Factors'!L472</f>
        <v xml:space="preserve">    - [1.546, 1.022, 0.009, 12.92, -0.0258]</v>
      </c>
    </row>
    <row r="864" spans="1:1">
      <c r="A864" s="22" t="str">
        <f>'ANSI Buildup Factors'!L473</f>
        <v xml:space="preserve">    - [1.479, 1.008, 0.015, 13.26, -0.0310]</v>
      </c>
    </row>
    <row r="865" spans="1:1">
      <c r="A865" s="22" t="str">
        <f>'ANSI Buildup Factors'!L474</f>
        <v xml:space="preserve">    - [1.428, 0.995, 0.021, 13.23, -0.0371]</v>
      </c>
    </row>
    <row r="866" spans="1:1">
      <c r="A866" s="22" t="str">
        <f>'ANSI Buildup Factors'!L475</f>
        <v xml:space="preserve">    - [1.353, 0.960, 0.038, 13.50, -0.0547]</v>
      </c>
    </row>
    <row r="867" spans="1:1">
      <c r="A867" s="22" t="str">
        <f>'ANSI Buildup Factors'!L476</f>
        <v xml:space="preserve">    - [1.289, 0.962, 0.042, 13.91, -0.0577]</v>
      </c>
    </row>
    <row r="868" spans="1:1">
      <c r="A868" s="22" t="str">
        <f>'ANSI Buildup Factors'!L477</f>
        <v xml:space="preserve">    - [1.191, 0.969, 0.052, 14.48, -0.0640]</v>
      </c>
    </row>
    <row r="869" spans="1:1">
      <c r="A869" s="22" t="str">
        <f>'ANSI Buildup Factors'!A480</f>
        <v>Molybdenum</v>
      </c>
    </row>
    <row r="870" spans="1:1">
      <c r="A870" s="23" t="s">
        <v>1863</v>
      </c>
    </row>
    <row r="871" spans="1:1">
      <c r="A871" s="22" t="str">
        <f>'ANSI Buildup Factors'!K482</f>
        <v xml:space="preserve">    - 0.015</v>
      </c>
    </row>
    <row r="872" spans="1:1">
      <c r="A872" s="22" t="str">
        <f>'ANSI Buildup Factors'!K483</f>
        <v xml:space="preserve">    - 0.019</v>
      </c>
    </row>
    <row r="873" spans="1:1">
      <c r="A873" s="22" t="str">
        <f>'ANSI Buildup Factors'!K484</f>
        <v xml:space="preserve">    - 0.020</v>
      </c>
    </row>
    <row r="874" spans="1:1">
      <c r="A874" s="22" t="str">
        <f>'ANSI Buildup Factors'!K485</f>
        <v xml:space="preserve">    - 0.021</v>
      </c>
    </row>
    <row r="875" spans="1:1">
      <c r="A875" s="22" t="str">
        <f>'ANSI Buildup Factors'!K486</f>
        <v xml:space="preserve">    - 0.022</v>
      </c>
    </row>
    <row r="876" spans="1:1">
      <c r="A876" s="22" t="str">
        <f>'ANSI Buildup Factors'!K487</f>
        <v xml:space="preserve">    - 0.024</v>
      </c>
    </row>
    <row r="877" spans="1:1">
      <c r="A877" s="22" t="str">
        <f>'ANSI Buildup Factors'!K488</f>
        <v xml:space="preserve">    - 0.026</v>
      </c>
    </row>
    <row r="878" spans="1:1">
      <c r="A878" s="22" t="str">
        <f>'ANSI Buildup Factors'!K489</f>
        <v xml:space="preserve">    - 0.028</v>
      </c>
    </row>
    <row r="879" spans="1:1">
      <c r="A879" s="22" t="str">
        <f>'ANSI Buildup Factors'!K490</f>
        <v xml:space="preserve">    - 0.030</v>
      </c>
    </row>
    <row r="880" spans="1:1">
      <c r="A880" s="22" t="str">
        <f>'ANSI Buildup Factors'!K491</f>
        <v xml:space="preserve">    - 0.035</v>
      </c>
    </row>
    <row r="881" spans="1:1">
      <c r="A881" s="22" t="str">
        <f>'ANSI Buildup Factors'!K492</f>
        <v xml:space="preserve">    - 0.040</v>
      </c>
    </row>
    <row r="882" spans="1:1">
      <c r="A882" s="22" t="str">
        <f>'ANSI Buildup Factors'!K493</f>
        <v xml:space="preserve">    - 0.050</v>
      </c>
    </row>
    <row r="883" spans="1:1">
      <c r="A883" s="22" t="str">
        <f>'ANSI Buildup Factors'!K494</f>
        <v xml:space="preserve">    - 0.060</v>
      </c>
    </row>
    <row r="884" spans="1:1">
      <c r="A884" s="22" t="str">
        <f>'ANSI Buildup Factors'!K495</f>
        <v xml:space="preserve">    - 0.080</v>
      </c>
    </row>
    <row r="885" spans="1:1">
      <c r="A885" s="22" t="str">
        <f>'ANSI Buildup Factors'!K496</f>
        <v xml:space="preserve">    - 0.100</v>
      </c>
    </row>
    <row r="886" spans="1:1">
      <c r="A886" s="22" t="str">
        <f>'ANSI Buildup Factors'!K497</f>
        <v xml:space="preserve">    - 0.150</v>
      </c>
    </row>
    <row r="887" spans="1:1">
      <c r="A887" s="22" t="str">
        <f>'ANSI Buildup Factors'!K498</f>
        <v xml:space="preserve">    - 0.200</v>
      </c>
    </row>
    <row r="888" spans="1:1">
      <c r="A888" s="22" t="str">
        <f>'ANSI Buildup Factors'!K499</f>
        <v xml:space="preserve">    - 0.300</v>
      </c>
    </row>
    <row r="889" spans="1:1">
      <c r="A889" s="22" t="str">
        <f>'ANSI Buildup Factors'!K500</f>
        <v xml:space="preserve">    - 0.400</v>
      </c>
    </row>
    <row r="890" spans="1:1">
      <c r="A890" s="22" t="str">
        <f>'ANSI Buildup Factors'!K501</f>
        <v xml:space="preserve">    - 0.500</v>
      </c>
    </row>
    <row r="891" spans="1:1">
      <c r="A891" s="22" t="str">
        <f>'ANSI Buildup Factors'!K502</f>
        <v xml:space="preserve">    - 0.600</v>
      </c>
    </row>
    <row r="892" spans="1:1">
      <c r="A892" s="22" t="str">
        <f>'ANSI Buildup Factors'!K503</f>
        <v xml:space="preserve">    - 0.800</v>
      </c>
    </row>
    <row r="893" spans="1:1">
      <c r="A893" s="22" t="str">
        <f>'ANSI Buildup Factors'!K504</f>
        <v xml:space="preserve">    - 1.000</v>
      </c>
    </row>
    <row r="894" spans="1:1">
      <c r="A894" s="22" t="str">
        <f>'ANSI Buildup Factors'!K505</f>
        <v xml:space="preserve">    - 1.500</v>
      </c>
    </row>
    <row r="895" spans="1:1">
      <c r="A895" s="22" t="str">
        <f>'ANSI Buildup Factors'!K506</f>
        <v xml:space="preserve">    - 2.000</v>
      </c>
    </row>
    <row r="896" spans="1:1">
      <c r="A896" s="22" t="str">
        <f>'ANSI Buildup Factors'!K507</f>
        <v xml:space="preserve">    - 3.000</v>
      </c>
    </row>
    <row r="897" spans="1:1">
      <c r="A897" s="22" t="str">
        <f>'ANSI Buildup Factors'!K508</f>
        <v xml:space="preserve">    - 4.000</v>
      </c>
    </row>
    <row r="898" spans="1:1">
      <c r="A898" s="22" t="str">
        <f>'ANSI Buildup Factors'!K509</f>
        <v xml:space="preserve">    - 5.000</v>
      </c>
    </row>
    <row r="899" spans="1:1">
      <c r="A899" s="22" t="str">
        <f>'ANSI Buildup Factors'!K510</f>
        <v xml:space="preserve">    - 6.000</v>
      </c>
    </row>
    <row r="900" spans="1:1">
      <c r="A900" s="22" t="str">
        <f>'ANSI Buildup Factors'!K511</f>
        <v xml:space="preserve">    - 8.000</v>
      </c>
    </row>
    <row r="901" spans="1:1">
      <c r="A901" s="22" t="str">
        <f>'ANSI Buildup Factors'!K512</f>
        <v xml:space="preserve">    - 10.000</v>
      </c>
    </row>
    <row r="902" spans="1:1">
      <c r="A902" s="22" t="str">
        <f>'ANSI Buildup Factors'!K513</f>
        <v xml:space="preserve">    - 15.000</v>
      </c>
    </row>
    <row r="903" spans="1:1">
      <c r="A903" s="24" t="s">
        <v>1864</v>
      </c>
    </row>
    <row r="904" spans="1:1">
      <c r="A904" s="24" t="s">
        <v>1865</v>
      </c>
    </row>
    <row r="905" spans="1:1">
      <c r="A905" s="22" t="str">
        <f>'ANSI Buildup Factors'!L482</f>
        <v xml:space="preserve">    - [1.009, 0.366, 0.223, 12.62, -0.1086]</v>
      </c>
    </row>
    <row r="906" spans="1:1">
      <c r="A906" s="22" t="str">
        <f>'ANSI Buildup Factors'!L483</f>
        <v xml:space="preserve">    - [1.017, 0.383, 0.193, 15.61, -0.0672]</v>
      </c>
    </row>
    <row r="907" spans="1:1">
      <c r="A907" s="22" t="str">
        <f>'ANSI Buildup Factors'!L484</f>
        <v xml:space="preserve">    - [2.556, 2.027, 0.023, 13.30, -0.0123]</v>
      </c>
    </row>
    <row r="908" spans="1:1">
      <c r="A908" s="22" t="str">
        <f>'ANSI Buildup Factors'!L485</f>
        <v xml:space="preserve">    - [2.758, 1.901, 0.036, 10.61, -0.0286]</v>
      </c>
    </row>
    <row r="909" spans="1:1">
      <c r="A909" s="22" t="str">
        <f>'ANSI Buildup Factors'!L486</f>
        <v xml:space="preserve">    - [2.977, 1.762, 0.051, 10.41, -0.0427]</v>
      </c>
    </row>
    <row r="910" spans="1:1">
      <c r="A910" s="22" t="str">
        <f>'ANSI Buildup Factors'!L487</f>
        <v xml:space="preserve">    - [3.266, 1.584, 0.065, 10.03, -0.0440]</v>
      </c>
    </row>
    <row r="911" spans="1:1">
      <c r="A911" s="22" t="str">
        <f>'ANSI Buildup Factors'!L488</f>
        <v xml:space="preserve">    - [3.290, 1.499, 0.059, 34.29, -0.1015]</v>
      </c>
    </row>
    <row r="912" spans="1:1">
      <c r="A912" s="22" t="str">
        <f>'ANSI Buildup Factors'!L489</f>
        <v xml:space="preserve">    - [3.638, 1.258, 0.089, 28.63, -0.1109]</v>
      </c>
    </row>
    <row r="913" spans="1:1">
      <c r="A913" s="22" t="str">
        <f>'ANSI Buildup Factors'!L490</f>
        <v xml:space="preserve">    - [3.642, 1.092, 0.109, 32.14, -0.2177]</v>
      </c>
    </row>
    <row r="914" spans="1:1">
      <c r="A914" s="22" t="str">
        <f>'ANSI Buildup Factors'!L491</f>
        <v xml:space="preserve">    - [3.958, 0.529, 0.259, 17.14, -0.2127]</v>
      </c>
    </row>
    <row r="915" spans="1:1">
      <c r="A915" s="22" t="str">
        <f>'ANSI Buildup Factors'!L492</f>
        <v xml:space="preserve">    - [3.941, 0.322, 0.088, 23.37, -0.0321]</v>
      </c>
    </row>
    <row r="916" spans="1:1">
      <c r="A916" s="22" t="str">
        <f>'ANSI Buildup Factors'!L493</f>
        <v xml:space="preserve">    - [3.109, 0.038, -0.317, 11.96, 0.0558]</v>
      </c>
    </row>
    <row r="917" spans="1:1">
      <c r="A917" s="22" t="str">
        <f>'ANSI Buildup Factors'!L494</f>
        <v xml:space="preserve">    - [2.408, 0.004, 1.103, 17.52, -0.1479]</v>
      </c>
    </row>
    <row r="918" spans="1:1">
      <c r="A918" s="22" t="str">
        <f>'ANSI Buildup Factors'!L495</f>
        <v xml:space="preserve">    - [1.661, 0.033, 0.767, 14.40, -0.2560]</v>
      </c>
    </row>
    <row r="919" spans="1:1">
      <c r="A919" s="22" t="str">
        <f>'ANSI Buildup Factors'!L496</f>
        <v xml:space="preserve">    - [1.158, 0.300, 0.290, 13.75, -0.1554]</v>
      </c>
    </row>
    <row r="920" spans="1:1">
      <c r="A920" s="22" t="str">
        <f>'ANSI Buildup Factors'!L497</f>
        <v xml:space="preserve">    - [1.241, 0.490, 0.174, 14.42, -0.0901]</v>
      </c>
    </row>
    <row r="921" spans="1:1">
      <c r="A921" s="22" t="str">
        <f>'ANSI Buildup Factors'!L498</f>
        <v xml:space="preserve">    - [1.474, 0.514, 0.173, 14.29, -0.0993]</v>
      </c>
    </row>
    <row r="922" spans="1:1">
      <c r="A922" s="22" t="str">
        <f>'ANSI Buildup Factors'!L499</f>
        <v xml:space="preserve">    - [1.589, 0.733, 0.080, 14.49, -0.0428]</v>
      </c>
    </row>
    <row r="923" spans="1:1">
      <c r="A923" s="22" t="str">
        <f>'ANSI Buildup Factors'!L500</f>
        <v xml:space="preserve">    - [1.711, 0.891, 0.038, 14.18, -0.0333]</v>
      </c>
    </row>
    <row r="924" spans="1:1">
      <c r="A924" s="22" t="str">
        <f>'ANSI Buildup Factors'!L501</f>
        <v xml:space="preserve">    - [1.773, 0.978, 0.016, 14.33, -0.0238]</v>
      </c>
    </row>
    <row r="925" spans="1:1">
      <c r="A925" s="22" t="str">
        <f>'ANSI Buildup Factors'!L502</f>
        <v xml:space="preserve">    - [1.796, 1.024, 0.004, 13.94, -0.0183]</v>
      </c>
    </row>
    <row r="926" spans="1:1">
      <c r="A926" s="22" t="str">
        <f>'ANSI Buildup Factors'!L503</f>
        <v xml:space="preserve">    - [1.804, 1.073, -0.008, 14.02, -0.0129]</v>
      </c>
    </row>
    <row r="927" spans="1:1">
      <c r="A927" s="22" t="str">
        <f>'ANSI Buildup Factors'!L504</f>
        <v xml:space="preserve">    - [1.784, 1.092, -0.013, 13.43, -0.0103]</v>
      </c>
    </row>
    <row r="928" spans="1:1">
      <c r="A928" s="22" t="str">
        <f>'ANSI Buildup Factors'!L505</f>
        <v xml:space="preserve">    - [1.624, 1.161, -0.030, 7.13, 0.0009]</v>
      </c>
    </row>
    <row r="929" spans="1:1">
      <c r="A929" s="22" t="str">
        <f>'ANSI Buildup Factors'!L506</f>
        <v xml:space="preserve">    - [1.601, 1.127, -0.021, 12.62, -0.0054]</v>
      </c>
    </row>
    <row r="930" spans="1:1">
      <c r="A930" s="22" t="str">
        <f>'ANSI Buildup Factors'!L507</f>
        <v xml:space="preserve">    - [1.557, 1.065, 0.000, 12.84, -0.0283]</v>
      </c>
    </row>
    <row r="931" spans="1:1">
      <c r="A931" s="22" t="str">
        <f>'ANSI Buildup Factors'!L508</f>
        <v xml:space="preserve">    - [1.505, 1.023, 0.016, 13.36, -0.0428]</v>
      </c>
    </row>
    <row r="932" spans="1:1">
      <c r="A932" s="22" t="str">
        <f>'ANSI Buildup Factors'!L509</f>
        <v xml:space="preserve">    - [1.519, 0.942, 0.046, 13.59, -0.0702]</v>
      </c>
    </row>
    <row r="933" spans="1:1">
      <c r="A933" s="22" t="str">
        <f>'ANSI Buildup Factors'!L510</f>
        <v xml:space="preserve">    - [1.497, 0.921, 0.057, 13.82, -0.0796]</v>
      </c>
    </row>
    <row r="934" spans="1:1">
      <c r="A934" s="22" t="str">
        <f>'ANSI Buildup Factors'!L511</f>
        <v xml:space="preserve">    - [1.531, 0.878, 0.080, 14.15, -0.0985]</v>
      </c>
    </row>
    <row r="935" spans="1:1">
      <c r="A935" s="22" t="str">
        <f>'ANSI Buildup Factors'!L512</f>
        <v xml:space="preserve">    - [1.502, 0.965, 0.059, 14.21, -0.0784]</v>
      </c>
    </row>
    <row r="936" spans="1:1">
      <c r="A936" s="22" t="str">
        <f>'ANSI Buildup Factors'!L513</f>
        <v xml:space="preserve">    - [1.573, 1.118, 0.035, 14.16, -0.0599]</v>
      </c>
    </row>
    <row r="937" spans="1:1">
      <c r="A937" s="22" t="str">
        <f>'ANSI Buildup Factors'!A516</f>
        <v>Tin</v>
      </c>
    </row>
    <row r="938" spans="1:1">
      <c r="A938" s="23" t="s">
        <v>1863</v>
      </c>
    </row>
    <row r="939" spans="1:1">
      <c r="A939" s="22" t="str">
        <f>'ANSI Buildup Factors'!K518</f>
        <v xml:space="preserve">    - 0.015</v>
      </c>
    </row>
    <row r="940" spans="1:1">
      <c r="A940" s="22" t="str">
        <f>'ANSI Buildup Factors'!K519</f>
        <v xml:space="preserve">    - 0.020</v>
      </c>
    </row>
    <row r="941" spans="1:1">
      <c r="A941" s="22" t="str">
        <f>'ANSI Buildup Factors'!K520</f>
        <v xml:space="preserve">    - 0.029</v>
      </c>
    </row>
    <row r="942" spans="1:1">
      <c r="A942" s="22" t="str">
        <f>'ANSI Buildup Factors'!K521</f>
        <v xml:space="preserve">    - 0.030</v>
      </c>
    </row>
    <row r="943" spans="1:1">
      <c r="A943" s="22" t="str">
        <f>'ANSI Buildup Factors'!K522</f>
        <v xml:space="preserve">    - 0.035</v>
      </c>
    </row>
    <row r="944" spans="1:1">
      <c r="A944" s="22" t="str">
        <f>'ANSI Buildup Factors'!K523</f>
        <v xml:space="preserve">    - 0.040</v>
      </c>
    </row>
    <row r="945" spans="1:1">
      <c r="A945" s="22" t="str">
        <f>'ANSI Buildup Factors'!K524</f>
        <v xml:space="preserve">    - 0.045</v>
      </c>
    </row>
    <row r="946" spans="1:1">
      <c r="A946" s="22" t="str">
        <f>'ANSI Buildup Factors'!K525</f>
        <v xml:space="preserve">    - 0.050</v>
      </c>
    </row>
    <row r="947" spans="1:1">
      <c r="A947" s="22" t="str">
        <f>'ANSI Buildup Factors'!K526</f>
        <v xml:space="preserve">    - 0.055</v>
      </c>
    </row>
    <row r="948" spans="1:1">
      <c r="A948" s="22" t="str">
        <f>'ANSI Buildup Factors'!K527</f>
        <v xml:space="preserve">    - 0.060</v>
      </c>
    </row>
    <row r="949" spans="1:1">
      <c r="A949" s="22" t="str">
        <f>'ANSI Buildup Factors'!K528</f>
        <v xml:space="preserve">    - 0.070</v>
      </c>
    </row>
    <row r="950" spans="1:1">
      <c r="A950" s="22" t="str">
        <f>'ANSI Buildup Factors'!K529</f>
        <v xml:space="preserve">    - 0.080</v>
      </c>
    </row>
    <row r="951" spans="1:1">
      <c r="A951" s="22" t="str">
        <f>'ANSI Buildup Factors'!K530</f>
        <v xml:space="preserve">    - 0.090</v>
      </c>
    </row>
    <row r="952" spans="1:1">
      <c r="A952" s="22" t="str">
        <f>'ANSI Buildup Factors'!K531</f>
        <v xml:space="preserve">    - 0.100</v>
      </c>
    </row>
    <row r="953" spans="1:1">
      <c r="A953" s="22" t="str">
        <f>'ANSI Buildup Factors'!K532</f>
        <v xml:space="preserve">    - 0.150</v>
      </c>
    </row>
    <row r="954" spans="1:1">
      <c r="A954" s="22" t="str">
        <f>'ANSI Buildup Factors'!K533</f>
        <v xml:space="preserve">    - 0.200</v>
      </c>
    </row>
    <row r="955" spans="1:1">
      <c r="A955" s="22" t="str">
        <f>'ANSI Buildup Factors'!K534</f>
        <v xml:space="preserve">    - 0.300</v>
      </c>
    </row>
    <row r="956" spans="1:1">
      <c r="A956" s="22" t="str">
        <f>'ANSI Buildup Factors'!K535</f>
        <v xml:space="preserve">    - 0.400</v>
      </c>
    </row>
    <row r="957" spans="1:1">
      <c r="A957" s="22" t="str">
        <f>'ANSI Buildup Factors'!K536</f>
        <v xml:space="preserve">    - 0.500</v>
      </c>
    </row>
    <row r="958" spans="1:1">
      <c r="A958" s="22" t="str">
        <f>'ANSI Buildup Factors'!K537</f>
        <v xml:space="preserve">    - 0.600</v>
      </c>
    </row>
    <row r="959" spans="1:1">
      <c r="A959" s="22" t="str">
        <f>'ANSI Buildup Factors'!K538</f>
        <v xml:space="preserve">    - 0.800</v>
      </c>
    </row>
    <row r="960" spans="1:1">
      <c r="A960" s="22" t="str">
        <f>'ANSI Buildup Factors'!K539</f>
        <v xml:space="preserve">    - 1.000</v>
      </c>
    </row>
    <row r="961" spans="1:1">
      <c r="A961" s="22" t="str">
        <f>'ANSI Buildup Factors'!K540</f>
        <v xml:space="preserve">    - 1.500</v>
      </c>
    </row>
    <row r="962" spans="1:1">
      <c r="A962" s="22" t="str">
        <f>'ANSI Buildup Factors'!K541</f>
        <v xml:space="preserve">    - 2.000</v>
      </c>
    </row>
    <row r="963" spans="1:1">
      <c r="A963" s="22" t="str">
        <f>'ANSI Buildup Factors'!K542</f>
        <v xml:space="preserve">    - 3.000</v>
      </c>
    </row>
    <row r="964" spans="1:1">
      <c r="A964" s="22" t="str">
        <f>'ANSI Buildup Factors'!K543</f>
        <v xml:space="preserve">    - 4.000</v>
      </c>
    </row>
    <row r="965" spans="1:1">
      <c r="A965" s="22" t="str">
        <f>'ANSI Buildup Factors'!K544</f>
        <v xml:space="preserve">    - 5.000</v>
      </c>
    </row>
    <row r="966" spans="1:1">
      <c r="A966" s="22" t="str">
        <f>'ANSI Buildup Factors'!K545</f>
        <v xml:space="preserve">    - 6.000</v>
      </c>
    </row>
    <row r="967" spans="1:1">
      <c r="A967" s="22" t="str">
        <f>'ANSI Buildup Factors'!K546</f>
        <v xml:space="preserve">    - 8.000</v>
      </c>
    </row>
    <row r="968" spans="1:1">
      <c r="A968" s="22" t="str">
        <f>'ANSI Buildup Factors'!K547</f>
        <v xml:space="preserve">    - 10.000</v>
      </c>
    </row>
    <row r="969" spans="1:1">
      <c r="A969" s="22" t="str">
        <f>'ANSI Buildup Factors'!K548</f>
        <v xml:space="preserve">    - 15.000</v>
      </c>
    </row>
    <row r="970" spans="1:1">
      <c r="A970" s="24" t="s">
        <v>1864</v>
      </c>
    </row>
    <row r="971" spans="1:1">
      <c r="A971" s="24" t="s">
        <v>1865</v>
      </c>
    </row>
    <row r="972" spans="1:1">
      <c r="A972" s="22" t="str">
        <f>'ANSI Buildup Factors'!L518</f>
        <v xml:space="preserve">    - [1.005, 0.432, 0.160, 26.10, -0.1522]</v>
      </c>
    </row>
    <row r="973" spans="1:1">
      <c r="A973" s="22" t="str">
        <f>'ANSI Buildup Factors'!L519</f>
        <v xml:space="preserve">    - [1.011, 0.389, 0.192, 14.26, -0.0695]</v>
      </c>
    </row>
    <row r="974" spans="1:1">
      <c r="A974" s="22" t="str">
        <f>'ANSI Buildup Factors'!L520</f>
        <v xml:space="preserve">    - [1.030, 0.333, 0.239, 14.11, -0.0965]</v>
      </c>
    </row>
    <row r="975" spans="1:1">
      <c r="A975" s="22" t="str">
        <f>'ANSI Buildup Factors'!L521</f>
        <v xml:space="preserve">    - [2.897, 1.873, 0.040, 10.77, -0.0311]</v>
      </c>
    </row>
    <row r="976" spans="1:1">
      <c r="A976" s="22" t="str">
        <f>'ANSI Buildup Factors'!L522</f>
        <v xml:space="preserve">    - [3.281, 1.569, 0.061, 14.08, -0.0411]</v>
      </c>
    </row>
    <row r="977" spans="1:1">
      <c r="A977" s="22" t="str">
        <f>'ANSI Buildup Factors'!L523</f>
        <v xml:space="preserve">    - [3.574, 1.221, 0.097, 26.32, -0.1252]</v>
      </c>
    </row>
    <row r="978" spans="1:1">
      <c r="A978" s="22" t="str">
        <f>'ANSI Buildup Factors'!L524</f>
        <v xml:space="preserve">    - [3.498, 0.863, 0.159, 17.41, -0.1220]</v>
      </c>
    </row>
    <row r="979" spans="1:1">
      <c r="A979" s="22" t="str">
        <f>'ANSI Buildup Factors'!L525</f>
        <v xml:space="preserve">    - [3.487, 0.491, 0.280, 16.80, -0.2372]</v>
      </c>
    </row>
    <row r="980" spans="1:1">
      <c r="A980" s="22" t="str">
        <f>'ANSI Buildup Factors'!L526</f>
        <v xml:space="preserve">    - [3.212, 0.321, 0.232, 14.20, 0.1250]</v>
      </c>
    </row>
    <row r="981" spans="1:1">
      <c r="A981" s="22" t="str">
        <f>'ANSI Buildup Factors'!L527</f>
        <v xml:space="preserve">    - [2.945, 0.234, -0.028, 5.00, -0.0557]</v>
      </c>
    </row>
    <row r="982" spans="1:1">
      <c r="A982" s="22" t="str">
        <f>'ANSI Buildup Factors'!L528</f>
        <v xml:space="preserve">    - [2.248, 0.049, -0.565, 9.48, 0.0993]</v>
      </c>
    </row>
    <row r="983" spans="1:1">
      <c r="A983" s="22" t="str">
        <f>'ANSI Buildup Factors'!L529</f>
        <v xml:space="preserve">    - [1.808, 0.017, 0.811, 15.45, -0.1526]</v>
      </c>
    </row>
    <row r="984" spans="1:1">
      <c r="A984" s="22" t="str">
        <f>'ANSI Buildup Factors'!L530</f>
        <v xml:space="preserve">    - [1.542, 0.032, 0.775, 14.12, -0.2754]</v>
      </c>
    </row>
    <row r="985" spans="1:1">
      <c r="A985" s="22" t="str">
        <f>'ANSI Buildup Factors'!L531</f>
        <v xml:space="preserve">    - [1.396, 0.056, 0.688, 13.79, -0.3221]</v>
      </c>
    </row>
    <row r="986" spans="1:1">
      <c r="A986" s="22" t="str">
        <f>'ANSI Buildup Factors'!L532</f>
        <v xml:space="preserve">    - [1.219, 0.326, 0.279, 13.95, -0.1554]</v>
      </c>
    </row>
    <row r="987" spans="1:1">
      <c r="A987" s="22" t="str">
        <f>'ANSI Buildup Factors'!L533</f>
        <v xml:space="preserve">    - [1.261, 0.500, 0.171, 14.62, -0.0918]</v>
      </c>
    </row>
    <row r="988" spans="1:1">
      <c r="A988" s="22" t="str">
        <f>'ANSI Buildup Factors'!L534</f>
        <v xml:space="preserve">    - [1.405, 0.647, 0.106, 14.23, -0.0501]</v>
      </c>
    </row>
    <row r="989" spans="1:1">
      <c r="A989" s="22" t="str">
        <f>'ANSI Buildup Factors'!L535</f>
        <v xml:space="preserve">    - [1.531, 0.788, 0.065, 14.14, -0.0424]</v>
      </c>
    </row>
    <row r="990" spans="1:1">
      <c r="A990" s="22" t="str">
        <f>'ANSI Buildup Factors'!L536</f>
        <v xml:space="preserve">    - [1.610, 0.871, 0.043, 14.06, -0.0355]</v>
      </c>
    </row>
    <row r="991" spans="1:1">
      <c r="A991" s="22" t="str">
        <f>'ANSI Buildup Factors'!L537</f>
        <v xml:space="preserve">    - [1.645, 0.935, 0.024, 14.02, -0.0249]</v>
      </c>
    </row>
    <row r="992" spans="1:1">
      <c r="A992" s="22" t="str">
        <f>'ANSI Buildup Factors'!L538</f>
        <v xml:space="preserve">    - [1.683, 0.999, 0.008, 14.09, -0.0183]</v>
      </c>
    </row>
    <row r="993" spans="1:1">
      <c r="A993" s="22" t="str">
        <f>'ANSI Buildup Factors'!L539</f>
        <v xml:space="preserve">    - [1.685, 1.029, 0.001, 13.43, -0.0162]</v>
      </c>
    </row>
    <row r="994" spans="1:1">
      <c r="A994" s="22" t="str">
        <f>'ANSI Buildup Factors'!L540</f>
        <v xml:space="preserve">    - [1.570, 1.122, -0.021, 14.30, -0.0045]</v>
      </c>
    </row>
    <row r="995" spans="1:1">
      <c r="A995" s="22" t="str">
        <f>'ANSI Buildup Factors'!L541</f>
        <v xml:space="preserve">    - [1.556, 1.108, -0.016, 13.10, -0.0087]</v>
      </c>
    </row>
    <row r="996" spans="1:1">
      <c r="A996" s="22" t="str">
        <f>'ANSI Buildup Factors'!L542</f>
        <v xml:space="preserve">    - [1.523, 1.058, 0.004, 12.99, -0.0331]</v>
      </c>
    </row>
    <row r="997" spans="1:1">
      <c r="A997" s="22" t="str">
        <f>'ANSI Buildup Factors'!L543</f>
        <v xml:space="preserve">    - [1.470, 1.035, 0.016, 13.43, -0.0449]</v>
      </c>
    </row>
    <row r="998" spans="1:1">
      <c r="A998" s="22" t="str">
        <f>'ANSI Buildup Factors'!L544</f>
        <v xml:space="preserve">    - [1.490, 0.957, 0.046, 13.69, -0.0729]</v>
      </c>
    </row>
    <row r="999" spans="1:1">
      <c r="A999" s="22" t="str">
        <f>'ANSI Buildup Factors'!L545</f>
        <v xml:space="preserve">    - [1.479, 0.933, 0.059, 13.92, -0.0842]</v>
      </c>
    </row>
    <row r="1000" spans="1:1">
      <c r="A1000" s="22" t="str">
        <f>'ANSI Buildup Factors'!L546</f>
        <v xml:space="preserve">    - [1.525, 0.913, 0.076, 14.16, -0.0983]</v>
      </c>
    </row>
    <row r="1001" spans="1:1">
      <c r="A1001" s="22" t="str">
        <f>'ANSI Buildup Factors'!L547</f>
        <v xml:space="preserve">    - [1.504, 1.033, 0.048, 14.18, -0.0710]</v>
      </c>
    </row>
    <row r="1002" spans="1:1">
      <c r="A1002" s="22" t="str">
        <f>'ANSI Buildup Factors'!L548</f>
        <v xml:space="preserve">    - [1.592, 1.207, 0.026, 13.91, -0.0566]</v>
      </c>
    </row>
    <row r="1003" spans="1:1">
      <c r="A1003" s="22" t="str">
        <f>'ANSI Buildup Factors'!A551</f>
        <v>Lanthanum</v>
      </c>
    </row>
    <row r="1004" spans="1:1">
      <c r="A1004" s="23" t="s">
        <v>1863</v>
      </c>
    </row>
    <row r="1005" spans="1:1">
      <c r="A1005" s="22" t="str">
        <f>'ANSI Buildup Factors'!K553</f>
        <v xml:space="preserve">    - 0.015</v>
      </c>
    </row>
    <row r="1006" spans="1:1">
      <c r="A1006" s="22" t="str">
        <f>'ANSI Buildup Factors'!K554</f>
        <v xml:space="preserve">    - 0.020</v>
      </c>
    </row>
    <row r="1007" spans="1:1">
      <c r="A1007" s="22" t="str">
        <f>'ANSI Buildup Factors'!K555</f>
        <v xml:space="preserve">    - 0.030</v>
      </c>
    </row>
    <row r="1008" spans="1:1">
      <c r="A1008" s="22" t="str">
        <f>'ANSI Buildup Factors'!K556</f>
        <v xml:space="preserve">    - 0.038</v>
      </c>
    </row>
    <row r="1009" spans="1:1">
      <c r="A1009" s="22" t="str">
        <f>'ANSI Buildup Factors'!K557</f>
        <v xml:space="preserve">    - 0.039</v>
      </c>
    </row>
    <row r="1010" spans="1:1">
      <c r="A1010" s="22" t="str">
        <f>'ANSI Buildup Factors'!K558</f>
        <v xml:space="preserve">    - 0.040</v>
      </c>
    </row>
    <row r="1011" spans="1:1">
      <c r="A1011" s="22" t="str">
        <f>'ANSI Buildup Factors'!K559</f>
        <v xml:space="preserve">    - 0.042</v>
      </c>
    </row>
    <row r="1012" spans="1:1">
      <c r="A1012" s="22" t="str">
        <f>'ANSI Buildup Factors'!K560</f>
        <v xml:space="preserve">    - 0.044</v>
      </c>
    </row>
    <row r="1013" spans="1:1">
      <c r="A1013" s="22" t="str">
        <f>'ANSI Buildup Factors'!K561</f>
        <v xml:space="preserve">    - 0.046</v>
      </c>
    </row>
    <row r="1014" spans="1:1">
      <c r="A1014" s="22" t="str">
        <f>'ANSI Buildup Factors'!K562</f>
        <v xml:space="preserve">    - 0.048</v>
      </c>
    </row>
    <row r="1015" spans="1:1">
      <c r="A1015" s="22" t="str">
        <f>'ANSI Buildup Factors'!K563</f>
        <v xml:space="preserve">    - 0.050</v>
      </c>
    </row>
    <row r="1016" spans="1:1">
      <c r="A1016" s="22" t="str">
        <f>'ANSI Buildup Factors'!K564</f>
        <v xml:space="preserve">    - 0.055</v>
      </c>
    </row>
    <row r="1017" spans="1:1">
      <c r="A1017" s="22" t="str">
        <f>'ANSI Buildup Factors'!K565</f>
        <v xml:space="preserve">    - 0.060</v>
      </c>
    </row>
    <row r="1018" spans="1:1">
      <c r="A1018" s="22" t="str">
        <f>'ANSI Buildup Factors'!K566</f>
        <v xml:space="preserve">    - 0.070</v>
      </c>
    </row>
    <row r="1019" spans="1:1">
      <c r="A1019" s="22" t="str">
        <f>'ANSI Buildup Factors'!K567</f>
        <v xml:space="preserve">    - 0.080</v>
      </c>
    </row>
    <row r="1020" spans="1:1">
      <c r="A1020" s="22" t="str">
        <f>'ANSI Buildup Factors'!K568</f>
        <v xml:space="preserve">    - 0.090</v>
      </c>
    </row>
    <row r="1021" spans="1:1">
      <c r="A1021" s="22" t="str">
        <f>'ANSI Buildup Factors'!K569</f>
        <v xml:space="preserve">    - 0.100</v>
      </c>
    </row>
    <row r="1022" spans="1:1">
      <c r="A1022" s="22" t="str">
        <f>'ANSI Buildup Factors'!K570</f>
        <v xml:space="preserve">    - 0.150</v>
      </c>
    </row>
    <row r="1023" spans="1:1">
      <c r="A1023" s="22" t="str">
        <f>'ANSI Buildup Factors'!K571</f>
        <v xml:space="preserve">    - 0.200</v>
      </c>
    </row>
    <row r="1024" spans="1:1">
      <c r="A1024" s="22" t="str">
        <f>'ANSI Buildup Factors'!K572</f>
        <v xml:space="preserve">    - 0.300</v>
      </c>
    </row>
    <row r="1025" spans="1:1">
      <c r="A1025" s="22" t="str">
        <f>'ANSI Buildup Factors'!K573</f>
        <v xml:space="preserve">    - 0.400</v>
      </c>
    </row>
    <row r="1026" spans="1:1">
      <c r="A1026" s="22" t="str">
        <f>'ANSI Buildup Factors'!K574</f>
        <v xml:space="preserve">    - 0.500</v>
      </c>
    </row>
    <row r="1027" spans="1:1">
      <c r="A1027" s="22" t="str">
        <f>'ANSI Buildup Factors'!K575</f>
        <v xml:space="preserve">    - 0.600</v>
      </c>
    </row>
    <row r="1028" spans="1:1">
      <c r="A1028" s="22" t="str">
        <f>'ANSI Buildup Factors'!K576</f>
        <v xml:space="preserve">    - 0.800</v>
      </c>
    </row>
    <row r="1029" spans="1:1">
      <c r="A1029" s="22" t="str">
        <f>'ANSI Buildup Factors'!K577</f>
        <v xml:space="preserve">    - 1.000</v>
      </c>
    </row>
    <row r="1030" spans="1:1">
      <c r="A1030" s="22" t="str">
        <f>'ANSI Buildup Factors'!K578</f>
        <v xml:space="preserve">    - 1.500</v>
      </c>
    </row>
    <row r="1031" spans="1:1">
      <c r="A1031" s="22" t="str">
        <f>'ANSI Buildup Factors'!K579</f>
        <v xml:space="preserve">    - 2.000</v>
      </c>
    </row>
    <row r="1032" spans="1:1">
      <c r="A1032" s="22" t="str">
        <f>'ANSI Buildup Factors'!K580</f>
        <v xml:space="preserve">    - 3.000</v>
      </c>
    </row>
    <row r="1033" spans="1:1">
      <c r="A1033" s="22" t="str">
        <f>'ANSI Buildup Factors'!K581</f>
        <v xml:space="preserve">    - 4.000</v>
      </c>
    </row>
    <row r="1034" spans="1:1">
      <c r="A1034" s="22" t="str">
        <f>'ANSI Buildup Factors'!K582</f>
        <v xml:space="preserve">    - 5.000</v>
      </c>
    </row>
    <row r="1035" spans="1:1">
      <c r="A1035" s="22" t="str">
        <f>'ANSI Buildup Factors'!K583</f>
        <v xml:space="preserve">    - 6.000</v>
      </c>
    </row>
    <row r="1036" spans="1:1">
      <c r="A1036" s="22" t="str">
        <f>'ANSI Buildup Factors'!K584</f>
        <v xml:space="preserve">    - 8.000</v>
      </c>
    </row>
    <row r="1037" spans="1:1">
      <c r="A1037" s="22" t="str">
        <f>'ANSI Buildup Factors'!K585</f>
        <v xml:space="preserve">    - 10.000</v>
      </c>
    </row>
    <row r="1038" spans="1:1">
      <c r="A1038" s="22" t="str">
        <f>'ANSI Buildup Factors'!K586</f>
        <v xml:space="preserve">    - 15.000</v>
      </c>
    </row>
    <row r="1039" spans="1:1">
      <c r="A1039" s="24" t="s">
        <v>1864</v>
      </c>
    </row>
    <row r="1040" spans="1:1">
      <c r="A1040" s="24" t="s">
        <v>1865</v>
      </c>
    </row>
    <row r="1041" spans="1:1">
      <c r="A1041" s="22" t="str">
        <f>'ANSI Buildup Factors'!L553</f>
        <v xml:space="preserve">    - [1.003, 0.501, 0.128, 11.60, -0.0387]</v>
      </c>
    </row>
    <row r="1042" spans="1:1">
      <c r="A1042" s="22" t="str">
        <f>'ANSI Buildup Factors'!L554</f>
        <v xml:space="preserve">    - [1.007, 0.414, 0.172, 17.10, -0.0603]</v>
      </c>
    </row>
    <row r="1043" spans="1:1">
      <c r="A1043" s="22" t="str">
        <f>'ANSI Buildup Factors'!L555</f>
        <v xml:space="preserve">    - [1.022, 0.322, 0.244, 13.95, -0.0909]</v>
      </c>
    </row>
    <row r="1044" spans="1:1">
      <c r="A1044" s="22" t="str">
        <f>'ANSI Buildup Factors'!L556</f>
        <v xml:space="preserve">    - [1.039, 0.326, 0.239, 15.04, -0.0953]</v>
      </c>
    </row>
    <row r="1045" spans="1:1">
      <c r="A1045" s="22" t="str">
        <f>'ANSI Buildup Factors'!L557</f>
        <v xml:space="preserve">    - [2.829, 1.842, 0.046, 9.59, -0.0394]</v>
      </c>
    </row>
    <row r="1046" spans="1:1">
      <c r="A1046" s="22" t="str">
        <f>'ANSI Buildup Factors'!L558</f>
        <v xml:space="preserve">    - [2.921, 1.788, 0.049, 10.98, -0.0358]</v>
      </c>
    </row>
    <row r="1047" spans="1:1">
      <c r="A1047" s="22" t="str">
        <f>'ANSI Buildup Factors'!L559</f>
        <v xml:space="preserve">    - [3.041, 1.678, 0.059, 11.23, -0.0405]</v>
      </c>
    </row>
    <row r="1048" spans="1:1">
      <c r="A1048" s="22" t="str">
        <f>'ANSI Buildup Factors'!L560</f>
        <v xml:space="preserve">    - [2.993, 1.632, 0.057, 14.01, -0.0389]</v>
      </c>
    </row>
    <row r="1049" spans="1:1">
      <c r="A1049" s="22" t="str">
        <f>'ANSI Buildup Factors'!L561</f>
        <v xml:space="preserve">    - [3.042, 1.526, 0.066, 21.62, -0.0704]</v>
      </c>
    </row>
    <row r="1050" spans="1:1">
      <c r="A1050" s="22" t="str">
        <f>'ANSI Buildup Factors'!L562</f>
        <v xml:space="preserve">    - [3.118, 1.412, 0.077, 25.91, -0.0902]</v>
      </c>
    </row>
    <row r="1051" spans="1:1">
      <c r="A1051" s="22" t="str">
        <f>'ANSI Buildup Factors'!L563</f>
        <v xml:space="preserve">    - [3.127, 1.311, 0.089, 20.24, -0.0771]</v>
      </c>
    </row>
    <row r="1052" spans="1:1">
      <c r="A1052" s="22" t="str">
        <f>'ANSI Buildup Factors'!L564</f>
        <v xml:space="preserve">    - [3.000, 1.038, 0.128, 17.58, -0.0930]</v>
      </c>
    </row>
    <row r="1053" spans="1:1">
      <c r="A1053" s="22" t="str">
        <f>'ANSI Buildup Factors'!L565</f>
        <v xml:space="preserve">    - [2.825, 0.774, 0.184, 16.36, -0.1517]</v>
      </c>
    </row>
    <row r="1054" spans="1:1">
      <c r="A1054" s="22" t="str">
        <f>'ANSI Buildup Factors'!L566</f>
        <v xml:space="preserve">    - [2.422, 0.299, 0.349, 28.55, -0.3688]</v>
      </c>
    </row>
    <row r="1055" spans="1:1">
      <c r="A1055" s="22" t="str">
        <f>'ANSI Buildup Factors'!L567</f>
        <v xml:space="preserve">    - [2.048, 0.212, -0.124, 16.38, 0.0663]</v>
      </c>
    </row>
    <row r="1056" spans="1:1">
      <c r="A1056" s="22" t="str">
        <f>'ANSI Buildup Factors'!L568</f>
        <v xml:space="preserve">    - [1.686, 0.075, 0.026, 8.77, 0.1150]</v>
      </c>
    </row>
    <row r="1057" spans="1:1">
      <c r="A1057" s="22" t="str">
        <f>'ANSI Buildup Factors'!L569</f>
        <v xml:space="preserve">    - [1.470, 0.039, 0.661, 14.46, -0.1664]</v>
      </c>
    </row>
    <row r="1058" spans="1:1">
      <c r="A1058" s="22" t="str">
        <f>'ANSI Buildup Factors'!L570</f>
        <v xml:space="preserve">    - [1.194, 0.236, 0.361, 13.74, -0.2061]</v>
      </c>
    </row>
    <row r="1059" spans="1:1">
      <c r="A1059" s="22" t="str">
        <f>'ANSI Buildup Factors'!L571</f>
        <v xml:space="preserve">    - [1.194, 0.450, 0.195, 14.20, -0.1044]</v>
      </c>
    </row>
    <row r="1060" spans="1:1">
      <c r="A1060" s="22" t="str">
        <f>'ANSI Buildup Factors'!L572</f>
        <v xml:space="preserve">    - [1.308, 0.580, 0.131, 13.84, -0.0623]</v>
      </c>
    </row>
    <row r="1061" spans="1:1">
      <c r="A1061" s="22" t="str">
        <f>'ANSI Buildup Factors'!L573</f>
        <v xml:space="preserve">    - [1.416, 0.713, 0.087, 14.12, -0.0505]</v>
      </c>
    </row>
    <row r="1062" spans="1:1">
      <c r="A1062" s="22" t="str">
        <f>'ANSI Buildup Factors'!L574</f>
        <v xml:space="preserve">    - [1.488, 0.803, 0.060, 14.10, -0.0399]</v>
      </c>
    </row>
    <row r="1063" spans="1:1">
      <c r="A1063" s="22" t="str">
        <f>'ANSI Buildup Factors'!L575</f>
        <v xml:space="preserve">    - [1.534, 0.865, 0.041, 13.81, -0.0304]</v>
      </c>
    </row>
    <row r="1064" spans="1:1">
      <c r="A1064" s="22" t="str">
        <f>'ANSI Buildup Factors'!L576</f>
        <v xml:space="preserve">    - [1.588, 0.934, 0.023, 13.66, -0.0234]</v>
      </c>
    </row>
    <row r="1065" spans="1:1">
      <c r="A1065" s="22" t="str">
        <f>'ANSI Buildup Factors'!L577</f>
        <v xml:space="preserve">    - [1.602, 0.974, 0.014, 13.24, -0.0222]</v>
      </c>
    </row>
    <row r="1066" spans="1:1">
      <c r="A1066" s="22" t="str">
        <f>'ANSI Buildup Factors'!L578</f>
        <v xml:space="preserve">    - [1.538, 1.072, -0.009, 13.64, -0.0108]</v>
      </c>
    </row>
    <row r="1067" spans="1:1">
      <c r="A1067" s="22" t="str">
        <f>'ANSI Buildup Factors'!L579</f>
        <v xml:space="preserve">    - [1.553, 1.044, 0.002, 13.08, -0.0225]</v>
      </c>
    </row>
    <row r="1068" spans="1:1">
      <c r="A1068" s="22" t="str">
        <f>'ANSI Buildup Factors'!L580</f>
        <v xml:space="preserve">    - [1.543, 1.009, 0.019, 13.39, -0.0447]</v>
      </c>
    </row>
    <row r="1069" spans="1:1">
      <c r="A1069" s="22" t="str">
        <f>'ANSI Buildup Factors'!L581</f>
        <v xml:space="preserve">    - [1.523, 0.970, 0.037, 13.74, -0.0609]</v>
      </c>
    </row>
    <row r="1070" spans="1:1">
      <c r="A1070" s="22" t="str">
        <f>'ANSI Buildup Factors'!L582</f>
        <v xml:space="preserve">    - [1.611, 0.888, 0.070, 13.96, -0.0893]</v>
      </c>
    </row>
    <row r="1071" spans="1:1">
      <c r="A1071" s="22" t="str">
        <f>'ANSI Buildup Factors'!L583</f>
        <v xml:space="preserve">    - [1.650, 0.884, 0.076, 14.19, -0.0919]</v>
      </c>
    </row>
    <row r="1072" spans="1:1">
      <c r="A1072" s="22" t="str">
        <f>'ANSI Buildup Factors'!L584</f>
        <v xml:space="preserve">    - [1.847, 0.929, 0.073, 14.18, -0.0906]</v>
      </c>
    </row>
    <row r="1073" spans="1:1">
      <c r="A1073" s="22" t="str">
        <f>'ANSI Buildup Factors'!L585</f>
        <v xml:space="preserve">    - [1.918, 1.097, 0.035, 14.06, -0.0582]</v>
      </c>
    </row>
    <row r="1074" spans="1:1">
      <c r="A1074" s="22" t="str">
        <f>'ANSI Buildup Factors'!L586</f>
        <v xml:space="preserve">    - [2.180, 1.316, 0.008, 13.68, -0.0396]</v>
      </c>
    </row>
    <row r="1075" spans="1:1">
      <c r="A1075" s="22" t="str">
        <f>'ANSI Buildup Factors'!A589</f>
        <v>Gadolinium</v>
      </c>
    </row>
    <row r="1076" spans="1:1">
      <c r="A1076" s="23" t="s">
        <v>1863</v>
      </c>
    </row>
    <row r="1077" spans="1:1">
      <c r="A1077" s="22" t="str">
        <f>'ANSI Buildup Factors'!K591</f>
        <v xml:space="preserve">    - 0.015</v>
      </c>
    </row>
    <row r="1078" spans="1:1">
      <c r="A1078" s="22" t="str">
        <f>'ANSI Buildup Factors'!K592</f>
        <v xml:space="preserve">    - 0.020</v>
      </c>
    </row>
    <row r="1079" spans="1:1">
      <c r="A1079" s="22" t="str">
        <f>'ANSI Buildup Factors'!K593</f>
        <v xml:space="preserve">    - 0.030</v>
      </c>
    </row>
    <row r="1080" spans="1:1">
      <c r="A1080" s="22" t="str">
        <f>'ANSI Buildup Factors'!K594</f>
        <v xml:space="preserve">    - 0.040</v>
      </c>
    </row>
    <row r="1081" spans="1:1">
      <c r="A1081" s="22" t="str">
        <f>'ANSI Buildup Factors'!K595</f>
        <v xml:space="preserve">    - 0.050</v>
      </c>
    </row>
    <row r="1082" spans="1:1">
      <c r="A1082" s="22" t="str">
        <f>'ANSI Buildup Factors'!K596</f>
        <v xml:space="preserve">    - 0.051</v>
      </c>
    </row>
    <row r="1083" spans="1:1">
      <c r="A1083" s="22" t="str">
        <f>'ANSI Buildup Factors'!K597</f>
        <v xml:space="preserve">    - 0.052</v>
      </c>
    </row>
    <row r="1084" spans="1:1">
      <c r="A1084" s="22" t="str">
        <f>'ANSI Buildup Factors'!K598</f>
        <v xml:space="preserve">    - 0.054</v>
      </c>
    </row>
    <row r="1085" spans="1:1">
      <c r="A1085" s="22" t="str">
        <f>'ANSI Buildup Factors'!K599</f>
        <v xml:space="preserve">    - 0.056</v>
      </c>
    </row>
    <row r="1086" spans="1:1">
      <c r="A1086" s="22" t="str">
        <f>'ANSI Buildup Factors'!K600</f>
        <v xml:space="preserve">    - 0.058</v>
      </c>
    </row>
    <row r="1087" spans="1:1">
      <c r="A1087" s="22" t="str">
        <f>'ANSI Buildup Factors'!K601</f>
        <v xml:space="preserve">    - 0.060</v>
      </c>
    </row>
    <row r="1088" spans="1:1">
      <c r="A1088" s="22" t="str">
        <f>'ANSI Buildup Factors'!K602</f>
        <v xml:space="preserve">    - 0.065</v>
      </c>
    </row>
    <row r="1089" spans="1:1">
      <c r="A1089" s="22" t="str">
        <f>'ANSI Buildup Factors'!K603</f>
        <v xml:space="preserve">    - 0.070</v>
      </c>
    </row>
    <row r="1090" spans="1:1">
      <c r="A1090" s="22" t="str">
        <f>'ANSI Buildup Factors'!K604</f>
        <v xml:space="preserve">    - 0.075</v>
      </c>
    </row>
    <row r="1091" spans="1:1">
      <c r="A1091" s="22" t="str">
        <f>'ANSI Buildup Factors'!K605</f>
        <v xml:space="preserve">    - 0.080</v>
      </c>
    </row>
    <row r="1092" spans="1:1">
      <c r="A1092" s="22" t="str">
        <f>'ANSI Buildup Factors'!K606</f>
        <v xml:space="preserve">    - 0.090</v>
      </c>
    </row>
    <row r="1093" spans="1:1">
      <c r="A1093" s="22" t="str">
        <f>'ANSI Buildup Factors'!K607</f>
        <v xml:space="preserve">    - 0.100</v>
      </c>
    </row>
    <row r="1094" spans="1:1">
      <c r="A1094" s="22" t="str">
        <f>'ANSI Buildup Factors'!K608</f>
        <v xml:space="preserve">    - 0.150</v>
      </c>
    </row>
    <row r="1095" spans="1:1">
      <c r="A1095" s="22" t="str">
        <f>'ANSI Buildup Factors'!K609</f>
        <v xml:space="preserve">    - 0.200</v>
      </c>
    </row>
    <row r="1096" spans="1:1">
      <c r="A1096" s="22" t="str">
        <f>'ANSI Buildup Factors'!K610</f>
        <v xml:space="preserve">    - 0.300</v>
      </c>
    </row>
    <row r="1097" spans="1:1">
      <c r="A1097" s="22" t="str">
        <f>'ANSI Buildup Factors'!K611</f>
        <v xml:space="preserve">    - 0.400</v>
      </c>
    </row>
    <row r="1098" spans="1:1">
      <c r="A1098" s="22" t="str">
        <f>'ANSI Buildup Factors'!K612</f>
        <v xml:space="preserve">    - 0.500</v>
      </c>
    </row>
    <row r="1099" spans="1:1">
      <c r="A1099" s="22" t="str">
        <f>'ANSI Buildup Factors'!K613</f>
        <v xml:space="preserve">    - 0.600</v>
      </c>
    </row>
    <row r="1100" spans="1:1">
      <c r="A1100" s="22" t="str">
        <f>'ANSI Buildup Factors'!K614</f>
        <v xml:space="preserve">    - 0.800</v>
      </c>
    </row>
    <row r="1101" spans="1:1">
      <c r="A1101" s="22" t="str">
        <f>'ANSI Buildup Factors'!K615</f>
        <v xml:space="preserve">    - 1.000</v>
      </c>
    </row>
    <row r="1102" spans="1:1">
      <c r="A1102" s="22" t="str">
        <f>'ANSI Buildup Factors'!K616</f>
        <v xml:space="preserve">    - 1.500</v>
      </c>
    </row>
    <row r="1103" spans="1:1">
      <c r="A1103" s="22" t="str">
        <f>'ANSI Buildup Factors'!K617</f>
        <v xml:space="preserve">    - 2.000</v>
      </c>
    </row>
    <row r="1104" spans="1:1">
      <c r="A1104" s="22" t="str">
        <f>'ANSI Buildup Factors'!K618</f>
        <v xml:space="preserve">    - 3.000</v>
      </c>
    </row>
    <row r="1105" spans="1:1">
      <c r="A1105" s="22" t="str">
        <f>'ANSI Buildup Factors'!K619</f>
        <v xml:space="preserve">    - 4.000</v>
      </c>
    </row>
    <row r="1106" spans="1:1">
      <c r="A1106" s="22" t="str">
        <f>'ANSI Buildup Factors'!K620</f>
        <v xml:space="preserve">    - 5.000</v>
      </c>
    </row>
    <row r="1107" spans="1:1">
      <c r="A1107" s="22" t="str">
        <f>'ANSI Buildup Factors'!K621</f>
        <v xml:space="preserve">    - 6.000</v>
      </c>
    </row>
    <row r="1108" spans="1:1">
      <c r="A1108" s="22" t="str">
        <f>'ANSI Buildup Factors'!K622</f>
        <v xml:space="preserve">    - 8.000</v>
      </c>
    </row>
    <row r="1109" spans="1:1">
      <c r="A1109" s="22" t="str">
        <f>'ANSI Buildup Factors'!K623</f>
        <v xml:space="preserve">    - 10.000</v>
      </c>
    </row>
    <row r="1110" spans="1:1">
      <c r="A1110" s="22" t="str">
        <f>'ANSI Buildup Factors'!K624</f>
        <v xml:space="preserve">    - 15.000</v>
      </c>
    </row>
    <row r="1111" spans="1:1">
      <c r="A1111" s="24" t="s">
        <v>1864</v>
      </c>
    </row>
    <row r="1112" spans="1:1">
      <c r="A1112" s="24" t="s">
        <v>1865</v>
      </c>
    </row>
    <row r="1113" spans="1:1">
      <c r="A1113" s="22" t="str">
        <f>'ANSI Buildup Factors'!L591</f>
        <v xml:space="preserve">    - [1.003, 0.261, 0.299, 21.25, -0.2771]</v>
      </c>
    </row>
    <row r="1114" spans="1:1">
      <c r="A1114" s="22" t="str">
        <f>'ANSI Buildup Factors'!L592</f>
        <v xml:space="preserve">    - [1.005, 0.393, 0.195, 12.95, -0.0802]</v>
      </c>
    </row>
    <row r="1115" spans="1:1">
      <c r="A1115" s="22" t="str">
        <f>'ANSI Buildup Factors'!L593</f>
        <v xml:space="preserve">    - [1.015, 0.326, 0.241, 13.87, -0.0885]</v>
      </c>
    </row>
    <row r="1116" spans="1:1">
      <c r="A1116" s="22" t="str">
        <f>'ANSI Buildup Factors'!L594</f>
        <v xml:space="preserve">    - [1.031, 0.312, 0.256, 14.14, -0.0997]</v>
      </c>
    </row>
    <row r="1117" spans="1:1">
      <c r="A1117" s="22" t="str">
        <f>'ANSI Buildup Factors'!L595</f>
        <v xml:space="preserve">    - [1.051, 0.324, 0.248, 14.02, -0.1050]</v>
      </c>
    </row>
    <row r="1118" spans="1:1">
      <c r="A1118" s="22" t="str">
        <f>'ANSI Buildup Factors'!L596</f>
        <v xml:space="preserve">    - [2.757, 1.753, 0.054, 9.91, -0.0401]</v>
      </c>
    </row>
    <row r="1119" spans="1:1">
      <c r="A1119" s="22" t="str">
        <f>'ANSI Buildup Factors'!L597</f>
        <v xml:space="preserve">    - [2.769, 1.719, 0.056, 12.05, -0.0413]</v>
      </c>
    </row>
    <row r="1120" spans="1:1">
      <c r="A1120" s="22" t="str">
        <f>'ANSI Buildup Factors'!L598</f>
        <v xml:space="preserve">    - [2.693, 1.696, 0.052, 13.52, -0.0347]</v>
      </c>
    </row>
    <row r="1121" spans="1:1">
      <c r="A1121" s="22" t="str">
        <f>'ANSI Buildup Factors'!L599</f>
        <v xml:space="preserve">    - [2.643, 1.629, 0.056, 32.16, -0.1844]</v>
      </c>
    </row>
    <row r="1122" spans="1:1">
      <c r="A1122" s="22" t="str">
        <f>'ANSI Buildup Factors'!L600</f>
        <v xml:space="preserve">    - [2.505, 1.624, 0.049, 23.79, -0.0550]</v>
      </c>
    </row>
    <row r="1123" spans="1:1">
      <c r="A1123" s="22" t="str">
        <f>'ANSI Buildup Factors'!L601</f>
        <v xml:space="preserve">    - [2.512, 1.510, 0.062, 28.83, -0.1054]</v>
      </c>
    </row>
    <row r="1124" spans="1:1">
      <c r="A1124" s="22" t="str">
        <f>'ANSI Buildup Factors'!L602</f>
        <v xml:space="preserve">    - [2.553, 1.207, 0.106, 18.01, -0.0839]</v>
      </c>
    </row>
    <row r="1125" spans="1:1">
      <c r="A1125" s="22" t="str">
        <f>'ANSI Buildup Factors'!L603</f>
        <v xml:space="preserve">    - [2.323, 1.035, 0.128, 17.88, -0.1051]</v>
      </c>
    </row>
    <row r="1126" spans="1:1">
      <c r="A1126" s="22" t="str">
        <f>'ANSI Buildup Factors'!L604</f>
        <v xml:space="preserve">    - [2.191, 0.816, 0.174, 16.26, -0.1458]</v>
      </c>
    </row>
    <row r="1127" spans="1:1">
      <c r="A1127" s="22" t="str">
        <f>'ANSI Buildup Factors'!L605</f>
        <v xml:space="preserve">    - [2.104, 0.593, 0.243, 15.93, -0.2151]</v>
      </c>
    </row>
    <row r="1128" spans="1:1">
      <c r="A1128" s="22" t="str">
        <f>'ANSI Buildup Factors'!L606</f>
        <v xml:space="preserve">    - [1.804, 0.320, 0.294, 28.34, -0.0207]</v>
      </c>
    </row>
    <row r="1129" spans="1:1">
      <c r="A1129" s="22" t="str">
        <f>'ANSI Buildup Factors'!L607</f>
        <v xml:space="preserve">    - [1.617, 0.241, -0.007, 19.33, 0.0608]</v>
      </c>
    </row>
    <row r="1130" spans="1:1">
      <c r="A1130" s="22" t="str">
        <f>'ANSI Buildup Factors'!L608</f>
        <v xml:space="preserve">    - [1.198, 0.149, 0.473, 13.83, -0.2602]</v>
      </c>
    </row>
    <row r="1131" spans="1:1">
      <c r="A1131" s="22" t="str">
        <f>'ANSI Buildup Factors'!L609</f>
        <v xml:space="preserve">    - [1.159, 0.389, 0.229, 14.18, -0.1218]</v>
      </c>
    </row>
    <row r="1132" spans="1:1">
      <c r="A1132" s="22" t="str">
        <f>'ANSI Buildup Factors'!L610</f>
        <v xml:space="preserve">    - [1.233, 0.544, 0.143, 13.81, -0.0659]</v>
      </c>
    </row>
    <row r="1133" spans="1:1">
      <c r="A1133" s="22" t="str">
        <f>'ANSI Buildup Factors'!L611</f>
        <v xml:space="preserve">    - [1.321, 0.669, 0.099, 14.23, -0.0534]</v>
      </c>
    </row>
    <row r="1134" spans="1:1">
      <c r="A1134" s="22" t="str">
        <f>'ANSI Buildup Factors'!L612</f>
        <v xml:space="preserve">    - [1.394, 0.744, 0.076, 14.15, -0.0447]</v>
      </c>
    </row>
    <row r="1135" spans="1:1">
      <c r="A1135" s="22" t="str">
        <f>'ANSI Buildup Factors'!L613</f>
        <v xml:space="preserve">    - [1.442, 0.800, 0.058, 13.75, -0.0359]</v>
      </c>
    </row>
    <row r="1136" spans="1:1">
      <c r="A1136" s="22" t="str">
        <f>'ANSI Buildup Factors'!L614</f>
        <v xml:space="preserve">    - [1.506, 0.872, 0.038, 13.69, -0.0279]</v>
      </c>
    </row>
    <row r="1137" spans="1:1">
      <c r="A1137" s="22" t="str">
        <f>'ANSI Buildup Factors'!L615</f>
        <v xml:space="preserve">    - [1.527, 0.929, 0.023, 13.52, -0.0222]</v>
      </c>
    </row>
    <row r="1138" spans="1:1">
      <c r="A1138" s="22" t="str">
        <f>'ANSI Buildup Factors'!L616</f>
        <v xml:space="preserve">    - [1.495, 1.023, 0.003, 14.01, -0.0176]</v>
      </c>
    </row>
    <row r="1139" spans="1:1">
      <c r="A1139" s="22" t="str">
        <f>'ANSI Buildup Factors'!L617</f>
        <v xml:space="preserve">    - [1.496, 1.042, 0.001, 13.15, -0.0192]</v>
      </c>
    </row>
    <row r="1140" spans="1:1">
      <c r="A1140" s="22" t="str">
        <f>'ANSI Buildup Factors'!L618</f>
        <v xml:space="preserve">    - [1.488, 1.014, 0.018, 13.26, -0.0438]</v>
      </c>
    </row>
    <row r="1141" spans="1:1">
      <c r="A1141" s="22" t="str">
        <f>'ANSI Buildup Factors'!L619</f>
        <v xml:space="preserve">    - [1.466, 0.987, 0.033, 13.74, -0.0572]</v>
      </c>
    </row>
    <row r="1142" spans="1:1">
      <c r="A1142" s="22" t="str">
        <f>'ANSI Buildup Factors'!L620</f>
        <v xml:space="preserve">    - [1.533, 0.915, 0.063, 13.98, -0.0835]</v>
      </c>
    </row>
    <row r="1143" spans="1:1">
      <c r="A1143" s="22" t="str">
        <f>'ANSI Buildup Factors'!L621</f>
        <v xml:space="preserve">    - [1.563, 0.915, 0.069, 14.16, -0.0873]</v>
      </c>
    </row>
    <row r="1144" spans="1:1">
      <c r="A1144" s="22" t="str">
        <f>'ANSI Buildup Factors'!L622</f>
        <v xml:space="preserve">    - [1.726, 0.966, 0.066, 14.13, -0.0861]</v>
      </c>
    </row>
    <row r="1145" spans="1:1">
      <c r="A1145" s="22" t="str">
        <f>'ANSI Buildup Factors'!L623</f>
        <v xml:space="preserve">    - [1.793, 1.127, 0.033, 13.96, -0.0587]</v>
      </c>
    </row>
    <row r="1146" spans="1:1">
      <c r="A1146" s="22" t="str">
        <f>'ANSI Buildup Factors'!L624</f>
        <v xml:space="preserve">    - [2.000, 1.358, 0.005, 13.71, -0.0370]</v>
      </c>
    </row>
    <row r="1147" spans="1:1">
      <c r="A1147" s="22" t="str">
        <f>'ANSI Buildup Factors'!A627</f>
        <v>Tungsten</v>
      </c>
    </row>
    <row r="1148" spans="1:1">
      <c r="A1148" s="23" t="s">
        <v>1863</v>
      </c>
    </row>
    <row r="1149" spans="1:1">
      <c r="A1149" s="22" t="str">
        <f>'ANSI Buildup Factors'!K629</f>
        <v xml:space="preserve">    - 0.015</v>
      </c>
    </row>
    <row r="1150" spans="1:1">
      <c r="A1150" s="22" t="str">
        <f>'ANSI Buildup Factors'!K630</f>
        <v xml:space="preserve">    - 0.020</v>
      </c>
    </row>
    <row r="1151" spans="1:1">
      <c r="A1151" s="22" t="str">
        <f>'ANSI Buildup Factors'!K631</f>
        <v xml:space="preserve">    - 0.030</v>
      </c>
    </row>
    <row r="1152" spans="1:1">
      <c r="A1152" s="22" t="str">
        <f>'ANSI Buildup Factors'!K632</f>
        <v xml:space="preserve">    - 0.040</v>
      </c>
    </row>
    <row r="1153" spans="1:1">
      <c r="A1153" s="22" t="str">
        <f>'ANSI Buildup Factors'!K633</f>
        <v xml:space="preserve">    - 0.050</v>
      </c>
    </row>
    <row r="1154" spans="1:1">
      <c r="A1154" s="22" t="str">
        <f>'ANSI Buildup Factors'!K634</f>
        <v xml:space="preserve">    - 0.060</v>
      </c>
    </row>
    <row r="1155" spans="1:1">
      <c r="A1155" s="22" t="str">
        <f>'ANSI Buildup Factors'!K635</f>
        <v xml:space="preserve">    - 0.069</v>
      </c>
    </row>
    <row r="1156" spans="1:1">
      <c r="A1156" s="22" t="str">
        <f>'ANSI Buildup Factors'!K636</f>
        <v xml:space="preserve">    - 0.070</v>
      </c>
    </row>
    <row r="1157" spans="1:1">
      <c r="A1157" s="22" t="str">
        <f>'ANSI Buildup Factors'!K637</f>
        <v xml:space="preserve">    - 0.075</v>
      </c>
    </row>
    <row r="1158" spans="1:1">
      <c r="A1158" s="22" t="str">
        <f>'ANSI Buildup Factors'!K638</f>
        <v xml:space="preserve">    - 0.080</v>
      </c>
    </row>
    <row r="1159" spans="1:1">
      <c r="A1159" s="22" t="str">
        <f>'ANSI Buildup Factors'!K639</f>
        <v xml:space="preserve">    - 0.090</v>
      </c>
    </row>
    <row r="1160" spans="1:1">
      <c r="A1160" s="22" t="str">
        <f>'ANSI Buildup Factors'!K640</f>
        <v xml:space="preserve">    - 0.100</v>
      </c>
    </row>
    <row r="1161" spans="1:1">
      <c r="A1161" s="22" t="str">
        <f>'ANSI Buildup Factors'!K641</f>
        <v xml:space="preserve">    - 0.110</v>
      </c>
    </row>
    <row r="1162" spans="1:1">
      <c r="A1162" s="22" t="str">
        <f>'ANSI Buildup Factors'!K642</f>
        <v xml:space="preserve">    - 0.120</v>
      </c>
    </row>
    <row r="1163" spans="1:1">
      <c r="A1163" s="22" t="str">
        <f>'ANSI Buildup Factors'!K643</f>
        <v xml:space="preserve">    - 0.130</v>
      </c>
    </row>
    <row r="1164" spans="1:1">
      <c r="A1164" s="22" t="str">
        <f>'ANSI Buildup Factors'!K644</f>
        <v xml:space="preserve">    - 0.140</v>
      </c>
    </row>
    <row r="1165" spans="1:1">
      <c r="A1165" s="22" t="str">
        <f>'ANSI Buildup Factors'!K645</f>
        <v xml:space="preserve">    - 0.150</v>
      </c>
    </row>
    <row r="1166" spans="1:1">
      <c r="A1166" s="22" t="str">
        <f>'ANSI Buildup Factors'!K646</f>
        <v xml:space="preserve">    - 0.200</v>
      </c>
    </row>
    <row r="1167" spans="1:1">
      <c r="A1167" s="22" t="str">
        <f>'ANSI Buildup Factors'!K647</f>
        <v xml:space="preserve">    - 0.300</v>
      </c>
    </row>
    <row r="1168" spans="1:1">
      <c r="A1168" s="22" t="str">
        <f>'ANSI Buildup Factors'!K648</f>
        <v xml:space="preserve">    - 0.400</v>
      </c>
    </row>
    <row r="1169" spans="1:1">
      <c r="A1169" s="22" t="str">
        <f>'ANSI Buildup Factors'!K649</f>
        <v xml:space="preserve">    - 0.500</v>
      </c>
    </row>
    <row r="1170" spans="1:1">
      <c r="A1170" s="22" t="str">
        <f>'ANSI Buildup Factors'!K650</f>
        <v xml:space="preserve">    - 0.600</v>
      </c>
    </row>
    <row r="1171" spans="1:1">
      <c r="A1171" s="22" t="str">
        <f>'ANSI Buildup Factors'!K651</f>
        <v xml:space="preserve">    - 0.800</v>
      </c>
    </row>
    <row r="1172" spans="1:1">
      <c r="A1172" s="22" t="str">
        <f>'ANSI Buildup Factors'!K652</f>
        <v xml:space="preserve">    - 1.000</v>
      </c>
    </row>
    <row r="1173" spans="1:1">
      <c r="A1173" s="22" t="str">
        <f>'ANSI Buildup Factors'!K653</f>
        <v xml:space="preserve">    - 1.500</v>
      </c>
    </row>
    <row r="1174" spans="1:1">
      <c r="A1174" s="22" t="str">
        <f>'ANSI Buildup Factors'!K654</f>
        <v xml:space="preserve">    - 2.000</v>
      </c>
    </row>
    <row r="1175" spans="1:1">
      <c r="A1175" s="22" t="str">
        <f>'ANSI Buildup Factors'!K655</f>
        <v xml:space="preserve">    - 3.000</v>
      </c>
    </row>
    <row r="1176" spans="1:1">
      <c r="A1176" s="22" t="str">
        <f>'ANSI Buildup Factors'!K656</f>
        <v xml:space="preserve">    - 4.000</v>
      </c>
    </row>
    <row r="1177" spans="1:1">
      <c r="A1177" s="22" t="str">
        <f>'ANSI Buildup Factors'!K657</f>
        <v xml:space="preserve">    - 5.000</v>
      </c>
    </row>
    <row r="1178" spans="1:1">
      <c r="A1178" s="22" t="str">
        <f>'ANSI Buildup Factors'!K658</f>
        <v xml:space="preserve">    - 6.000</v>
      </c>
    </row>
    <row r="1179" spans="1:1">
      <c r="A1179" s="22" t="str">
        <f>'ANSI Buildup Factors'!K659</f>
        <v xml:space="preserve">    - 8.000</v>
      </c>
    </row>
    <row r="1180" spans="1:1">
      <c r="A1180" s="22" t="str">
        <f>'ANSI Buildup Factors'!K660</f>
        <v xml:space="preserve">    - 10.000</v>
      </c>
    </row>
    <row r="1181" spans="1:1">
      <c r="A1181" s="22" t="str">
        <f>'ANSI Buildup Factors'!K661</f>
        <v xml:space="preserve">    - 15.000</v>
      </c>
    </row>
    <row r="1182" spans="1:1">
      <c r="A1182" s="24" t="s">
        <v>1864</v>
      </c>
    </row>
    <row r="1183" spans="1:1">
      <c r="A1183" s="24" t="s">
        <v>1865</v>
      </c>
    </row>
    <row r="1184" spans="1:1">
      <c r="A1184" s="22" t="str">
        <f>'ANSI Buildup Factors'!L629</f>
        <v xml:space="preserve">    - [1.002, 0.317, 0.228, 33.67, -0.4556]</v>
      </c>
    </row>
    <row r="1185" spans="1:1">
      <c r="A1185" s="22" t="str">
        <f>'ANSI Buildup Factors'!L630</f>
        <v xml:space="preserve">    - [1.003, 0.468, 0.137, 25.30, -0.0820]</v>
      </c>
    </row>
    <row r="1186" spans="1:1">
      <c r="A1186" s="22" t="str">
        <f>'ANSI Buildup Factors'!L631</f>
        <v xml:space="preserve">    - [1.009, 0.388, 0.187, 19.12, -0.0843]</v>
      </c>
    </row>
    <row r="1187" spans="1:1">
      <c r="A1187" s="22" t="str">
        <f>'ANSI Buildup Factors'!L632</f>
        <v xml:space="preserve">    - [1.019, 0.320, 0.251, 13.89, -0.1026]</v>
      </c>
    </row>
    <row r="1188" spans="1:1">
      <c r="A1188" s="22" t="str">
        <f>'ANSI Buildup Factors'!L633</f>
        <v xml:space="preserve">    - [1.033, 0.299, 0.264, 13.96, -0.1066]</v>
      </c>
    </row>
    <row r="1189" spans="1:1">
      <c r="A1189" s="22" t="str">
        <f>'ANSI Buildup Factors'!L634</f>
        <v xml:space="preserve">    - [1.048, 0.314, 0.257, 14.20, -0.1100]</v>
      </c>
    </row>
    <row r="1190" spans="1:1">
      <c r="A1190" s="22" t="str">
        <f>'ANSI Buildup Factors'!L635</f>
        <v xml:space="preserve">    - [1.060, 0.352, 0.236, 14.20, -0.1079]</v>
      </c>
    </row>
    <row r="1191" spans="1:1">
      <c r="A1191" s="22" t="str">
        <f>'ANSI Buildup Factors'!L636</f>
        <v xml:space="preserve">    - [2.446, 1.708, 0.058, 11.02, -0.0404]</v>
      </c>
    </row>
    <row r="1192" spans="1:1">
      <c r="A1192" s="22" t="str">
        <f>'ANSI Buildup Factors'!L637</f>
        <v xml:space="preserve">    - [2.310, 1.603, 0.062, 15.06, -0.0503]</v>
      </c>
    </row>
    <row r="1193" spans="1:1">
      <c r="A1193" s="22" t="str">
        <f>'ANSI Buildup Factors'!L638</f>
        <v xml:space="preserve">    - [2.238, 1.442, 0.079, 17.80, -0.0858]</v>
      </c>
    </row>
    <row r="1194" spans="1:1">
      <c r="A1194" s="22" t="str">
        <f>'ANSI Buildup Factors'!L639</f>
        <v xml:space="preserve">    - [1.951, 1.179, 0.104, 17.18, -0.0757]</v>
      </c>
    </row>
    <row r="1195" spans="1:1">
      <c r="A1195" s="22" t="str">
        <f>'ANSI Buildup Factors'!L640</f>
        <v xml:space="preserve">    - [1.764, 0.867, 0.160, 15.88, -0.1366]</v>
      </c>
    </row>
    <row r="1196" spans="1:1">
      <c r="A1196" s="22" t="str">
        <f>'ANSI Buildup Factors'!L641</f>
        <v xml:space="preserve">    - [1.610, 0.562, 0.247, 15.87, -0.2118]</v>
      </c>
    </row>
    <row r="1197" spans="1:1">
      <c r="A1197" s="22" t="str">
        <f>'ANSI Buildup Factors'!L642</f>
        <v xml:space="preserve">    - [1.501, 0.340, 0.305, 24.33, -0.1784]</v>
      </c>
    </row>
    <row r="1198" spans="1:1">
      <c r="A1198" s="22" t="str">
        <f>'ANSI Buildup Factors'!L643</f>
        <v xml:space="preserve">    - [1.393, 0.306, 0.122, 9.72, -0.0574]</v>
      </c>
    </row>
    <row r="1199" spans="1:1">
      <c r="A1199" s="22" t="str">
        <f>'ANSI Buildup Factors'!L644</f>
        <v xml:space="preserve">    - [1.314, 0.210, 0.156, 10.36, 0.0356]</v>
      </c>
    </row>
    <row r="1200" spans="1:1">
      <c r="A1200" s="22" t="str">
        <f>'ANSI Buildup Factors'!L645</f>
        <v xml:space="preserve">    - [1.253, 0.145, 0.353, 15.12, -0.0845]</v>
      </c>
    </row>
    <row r="1201" spans="1:1">
      <c r="A1201" s="22" t="str">
        <f>'ANSI Buildup Factors'!L646</f>
        <v xml:space="preserve">    - [1.155, 0.248, 0.347, 13.68, -0.1966]</v>
      </c>
    </row>
    <row r="1202" spans="1:1">
      <c r="A1202" s="22" t="str">
        <f>'ANSI Buildup Factors'!L647</f>
        <v xml:space="preserve">    - [1.170, 0.487, 0.168, 13.62, -0.0812]</v>
      </c>
    </row>
    <row r="1203" spans="1:1">
      <c r="A1203" s="22" t="str">
        <f>'ANSI Buildup Factors'!L648</f>
        <v xml:space="preserve">    - [1.234, 0.601, 0.123, 14.14, -0.0647]</v>
      </c>
    </row>
    <row r="1204" spans="1:1">
      <c r="A1204" s="22" t="str">
        <f>'ANSI Buildup Factors'!L649</f>
        <v xml:space="preserve">    - [1.293, 0.672, 0.098, 14.13, -0.0532]</v>
      </c>
    </row>
    <row r="1205" spans="1:1">
      <c r="A1205" s="22" t="str">
        <f>'ANSI Buildup Factors'!L650</f>
        <v xml:space="preserve">    - [1.338, 0.722, 0.080, 13.69, -0.0438]</v>
      </c>
    </row>
    <row r="1206" spans="1:1">
      <c r="A1206" s="22" t="str">
        <f>'ANSI Buildup Factors'!L651</f>
        <v xml:space="preserve">    - [1.402, 0.797, 0.057, 13.71, -0.0334]</v>
      </c>
    </row>
    <row r="1207" spans="1:1">
      <c r="A1207" s="22" t="str">
        <f>'ANSI Buildup Factors'!L652</f>
        <v xml:space="preserve">    - [1.436, 0.853, 0.042, 13.34, -0.0285]</v>
      </c>
    </row>
    <row r="1208" spans="1:1">
      <c r="A1208" s="22" t="str">
        <f>'ANSI Buildup Factors'!L653</f>
        <v xml:space="preserve">    - [1.421, 0.977, 0.013, 14.30, -0.0205]</v>
      </c>
    </row>
    <row r="1209" spans="1:1">
      <c r="A1209" s="22" t="str">
        <f>'ANSI Buildup Factors'!L654</f>
        <v xml:space="preserve">    - [1.428, 1.012, 0.007, 13.40, -0.0200]</v>
      </c>
    </row>
    <row r="1210" spans="1:1">
      <c r="A1210" s="22" t="str">
        <f>'ANSI Buildup Factors'!L655</f>
        <v xml:space="preserve">    - [1.406, 1.023, 0.014, 13.42, -0.0385]</v>
      </c>
    </row>
    <row r="1211" spans="1:1">
      <c r="A1211" s="22" t="str">
        <f>'ANSI Buildup Factors'!L656</f>
        <v xml:space="preserve">    - [1.363, 1.037, 0.018, 13.72, -0.0437]</v>
      </c>
    </row>
    <row r="1212" spans="1:1">
      <c r="A1212" s="22" t="str">
        <f>'ANSI Buildup Factors'!L657</f>
        <v xml:space="preserve">    - [1.393, 0.964, 0.049, 13.94, -0.0723]</v>
      </c>
    </row>
    <row r="1213" spans="1:1">
      <c r="A1213" s="22" t="str">
        <f>'ANSI Buildup Factors'!L658</f>
        <v xml:space="preserve">    - [1.397, 0.963, 0.056, 14.34, -0.0769]</v>
      </c>
    </row>
    <row r="1214" spans="1:1">
      <c r="A1214" s="22" t="str">
        <f>'ANSI Buildup Factors'!L659</f>
        <v xml:space="preserve">    - [1.465, 0.990, 0.063, 14.15, -0.0848]</v>
      </c>
    </row>
    <row r="1215" spans="1:1">
      <c r="A1215" s="22" t="str">
        <f>'ANSI Buildup Factors'!L660</f>
        <v xml:space="preserve">    - [1.475, 1.151, 0.031, 14.10, -0.0561]</v>
      </c>
    </row>
    <row r="1216" spans="1:1">
      <c r="A1216" s="22" t="str">
        <f>'ANSI Buildup Factors'!L661</f>
        <v xml:space="preserve">    - [1.589, 1.335, 0.016, 13.60, -0.0494]</v>
      </c>
    </row>
    <row r="1217" spans="1:1">
      <c r="A1217" s="22" t="str">
        <f>'ANSI Buildup Factors'!A664</f>
        <v>Lead</v>
      </c>
    </row>
    <row r="1218" spans="1:1">
      <c r="A1218" s="23" t="s">
        <v>1863</v>
      </c>
    </row>
    <row r="1219" spans="1:1">
      <c r="A1219" s="22" t="str">
        <f>'ANSI Buildup Factors'!K666</f>
        <v xml:space="preserve">    - 0.030</v>
      </c>
    </row>
    <row r="1220" spans="1:1">
      <c r="A1220" s="22" t="str">
        <f>'ANSI Buildup Factors'!K667</f>
        <v xml:space="preserve">    - 0.040</v>
      </c>
    </row>
    <row r="1221" spans="1:1">
      <c r="A1221" s="22" t="str">
        <f>'ANSI Buildup Factors'!K668</f>
        <v xml:space="preserve">    - 0.050</v>
      </c>
    </row>
    <row r="1222" spans="1:1">
      <c r="A1222" s="22" t="str">
        <f>'ANSI Buildup Factors'!K669</f>
        <v xml:space="preserve">    - 0.060</v>
      </c>
    </row>
    <row r="1223" spans="1:1">
      <c r="A1223" s="22" t="str">
        <f>'ANSI Buildup Factors'!K670</f>
        <v xml:space="preserve">    - 0.080</v>
      </c>
    </row>
    <row r="1224" spans="1:1">
      <c r="A1224" s="22" t="str">
        <f>'ANSI Buildup Factors'!K671</f>
        <v xml:space="preserve">    - 0.088</v>
      </c>
    </row>
    <row r="1225" spans="1:1">
      <c r="A1225" s="22" t="str">
        <f>'ANSI Buildup Factors'!K672</f>
        <v xml:space="preserve">    - 0.089</v>
      </c>
    </row>
    <row r="1226" spans="1:1">
      <c r="A1226" s="22" t="str">
        <f>'ANSI Buildup Factors'!K673</f>
        <v xml:space="preserve">    - 0.090</v>
      </c>
    </row>
    <row r="1227" spans="1:1">
      <c r="A1227" s="22" t="str">
        <f>'ANSI Buildup Factors'!K674</f>
        <v xml:space="preserve">    - 0.100</v>
      </c>
    </row>
    <row r="1228" spans="1:1">
      <c r="A1228" s="22" t="str">
        <f>'ANSI Buildup Factors'!K675</f>
        <v xml:space="preserve">    - 0.110</v>
      </c>
    </row>
    <row r="1229" spans="1:1">
      <c r="A1229" s="22" t="str">
        <f>'ANSI Buildup Factors'!K676</f>
        <v xml:space="preserve">    - 0.120</v>
      </c>
    </row>
    <row r="1230" spans="1:1">
      <c r="A1230" s="22" t="str">
        <f>'ANSI Buildup Factors'!K677</f>
        <v xml:space="preserve">    - 0.130</v>
      </c>
    </row>
    <row r="1231" spans="1:1">
      <c r="A1231" s="22" t="str">
        <f>'ANSI Buildup Factors'!K678</f>
        <v xml:space="preserve">    - 0.140</v>
      </c>
    </row>
    <row r="1232" spans="1:1">
      <c r="A1232" s="22" t="str">
        <f>'ANSI Buildup Factors'!K679</f>
        <v xml:space="preserve">    - 0.150</v>
      </c>
    </row>
    <row r="1233" spans="1:1">
      <c r="A1233" s="22" t="str">
        <f>'ANSI Buildup Factors'!K680</f>
        <v xml:space="preserve">    - 0.160</v>
      </c>
    </row>
    <row r="1234" spans="1:1">
      <c r="A1234" s="22" t="str">
        <f>'ANSI Buildup Factors'!K681</f>
        <v xml:space="preserve">    - 0.200</v>
      </c>
    </row>
    <row r="1235" spans="1:1">
      <c r="A1235" s="22" t="str">
        <f>'ANSI Buildup Factors'!K682</f>
        <v xml:space="preserve">    - 0.300</v>
      </c>
    </row>
    <row r="1236" spans="1:1">
      <c r="A1236" s="22" t="str">
        <f>'ANSI Buildup Factors'!K683</f>
        <v xml:space="preserve">    - 0.400</v>
      </c>
    </row>
    <row r="1237" spans="1:1">
      <c r="A1237" s="22" t="str">
        <f>'ANSI Buildup Factors'!K684</f>
        <v xml:space="preserve">    - 0.500</v>
      </c>
    </row>
    <row r="1238" spans="1:1">
      <c r="A1238" s="22" t="str">
        <f>'ANSI Buildup Factors'!K685</f>
        <v xml:space="preserve">    - 0.600</v>
      </c>
    </row>
    <row r="1239" spans="1:1">
      <c r="A1239" s="22" t="str">
        <f>'ANSI Buildup Factors'!K686</f>
        <v xml:space="preserve">    - 0.800</v>
      </c>
    </row>
    <row r="1240" spans="1:1">
      <c r="A1240" s="22" t="str">
        <f>'ANSI Buildup Factors'!K687</f>
        <v xml:space="preserve">    - 1.000</v>
      </c>
    </row>
    <row r="1241" spans="1:1">
      <c r="A1241" s="22" t="str">
        <f>'ANSI Buildup Factors'!K688</f>
        <v xml:space="preserve">    - 1.500</v>
      </c>
    </row>
    <row r="1242" spans="1:1">
      <c r="A1242" s="22" t="str">
        <f>'ANSI Buildup Factors'!K689</f>
        <v xml:space="preserve">    - 2.000</v>
      </c>
    </row>
    <row r="1243" spans="1:1">
      <c r="A1243" s="22" t="str">
        <f>'ANSI Buildup Factors'!K690</f>
        <v xml:space="preserve">    - 3.000</v>
      </c>
    </row>
    <row r="1244" spans="1:1">
      <c r="A1244" s="22" t="str">
        <f>'ANSI Buildup Factors'!K691</f>
        <v xml:space="preserve">    - 4.000</v>
      </c>
    </row>
    <row r="1245" spans="1:1">
      <c r="A1245" s="22" t="str">
        <f>'ANSI Buildup Factors'!K692</f>
        <v xml:space="preserve">    - 5.000</v>
      </c>
    </row>
    <row r="1246" spans="1:1">
      <c r="A1246" s="22" t="str">
        <f>'ANSI Buildup Factors'!K693</f>
        <v xml:space="preserve">    - 6.000</v>
      </c>
    </row>
    <row r="1247" spans="1:1">
      <c r="A1247" s="22" t="str">
        <f>'ANSI Buildup Factors'!K694</f>
        <v xml:space="preserve">    - 8.000</v>
      </c>
    </row>
    <row r="1248" spans="1:1">
      <c r="A1248" s="22" t="str">
        <f>'ANSI Buildup Factors'!K695</f>
        <v xml:space="preserve">    - 10.000</v>
      </c>
    </row>
    <row r="1249" spans="1:1">
      <c r="A1249" s="22" t="str">
        <f>'ANSI Buildup Factors'!K696</f>
        <v xml:space="preserve">    - 15.000</v>
      </c>
    </row>
    <row r="1250" spans="1:1">
      <c r="A1250" s="24" t="s">
        <v>1864</v>
      </c>
    </row>
    <row r="1251" spans="1:1">
      <c r="A1251" s="24" t="s">
        <v>1865</v>
      </c>
    </row>
    <row r="1252" spans="1:1">
      <c r="A1252" s="22" t="str">
        <f>'ANSI Buildup Factors'!L666</f>
        <v xml:space="preserve">    - [1.007, 0.322, 0.246, 13.67, -0.1030]</v>
      </c>
    </row>
    <row r="1253" spans="1:1">
      <c r="A1253" s="22" t="str">
        <f>'ANSI Buildup Factors'!L667</f>
        <v xml:space="preserve">    - [1.014, 0.317, 0.245, 14.95, -0.0867]</v>
      </c>
    </row>
    <row r="1254" spans="1:1">
      <c r="A1254" s="22" t="str">
        <f>'ANSI Buildup Factors'!L668</f>
        <v xml:space="preserve">    - [1.023, 0.312, 0.252, 14.17, -0.1005]</v>
      </c>
    </row>
    <row r="1255" spans="1:1">
      <c r="A1255" s="22" t="str">
        <f>'ANSI Buildup Factors'!L669</f>
        <v xml:space="preserve">    - [1.033, 0.320, 0.260, 13.89, -0.1223]</v>
      </c>
    </row>
    <row r="1256" spans="1:1">
      <c r="A1256" s="22" t="str">
        <f>'ANSI Buildup Factors'!L670</f>
        <v xml:space="preserve">    - [1.058, 0.362, 0.233, 13.91, -0.1127]</v>
      </c>
    </row>
    <row r="1257" spans="1:1">
      <c r="A1257" s="22" t="str">
        <f>'ANSI Buildup Factors'!L671</f>
        <v xml:space="preserve">    - [1.067, 0.382, 0.220, 14.14, -0.1048]</v>
      </c>
    </row>
    <row r="1258" spans="1:1">
      <c r="A1258" s="22" t="str">
        <f>'ANSI Buildup Factors'!L672</f>
        <v xml:space="preserve">    - [2.368, 1.580, 0.075, 12.44, -0.0635]</v>
      </c>
    </row>
    <row r="1259" spans="1:1">
      <c r="A1259" s="22" t="str">
        <f>'ANSI Buildup Factors'!L673</f>
        <v xml:space="preserve">    - [2.187, 1.693, 0.050, 18.21, -0.0415]</v>
      </c>
    </row>
    <row r="1260" spans="1:1">
      <c r="A1260" s="22" t="str">
        <f>'ANSI Buildup Factors'!L674</f>
        <v xml:space="preserve">    - [1.930, 1.499, 0.061, 29.65, -0.1162]</v>
      </c>
    </row>
    <row r="1261" spans="1:1">
      <c r="A1261" s="22" t="str">
        <f>'ANSI Buildup Factors'!L675</f>
        <v xml:space="preserve">    - [1.821, 1.196, 0.102, 16.64, -0.0756]</v>
      </c>
    </row>
    <row r="1262" spans="1:1">
      <c r="A1262" s="22" t="str">
        <f>'ANSI Buildup Factors'!L676</f>
        <v xml:space="preserve">    - [1.644, 0.970, 0.136, 16.10, -0.1135]</v>
      </c>
    </row>
    <row r="1263" spans="1:1">
      <c r="A1263" s="22" t="str">
        <f>'ANSI Buildup Factors'!L677</f>
        <v xml:space="preserve">    - [1.540, 0.718, 0.194, 15.69, -0.1685]</v>
      </c>
    </row>
    <row r="1264" spans="1:1">
      <c r="A1264" s="22" t="str">
        <f>'ANSI Buildup Factors'!L678</f>
        <v xml:space="preserve">    - [1.472, 0.479, 0.273, 16.50, -0.2153]</v>
      </c>
    </row>
    <row r="1265" spans="1:1">
      <c r="A1265" s="22" t="str">
        <f>'ANSI Buildup Factors'!L679</f>
        <v xml:space="preserve">    - [1.402, 0.352, 0.269, 17.09, -0.0247]</v>
      </c>
    </row>
    <row r="1266" spans="1:1">
      <c r="A1266" s="22" t="str">
        <f>'ANSI Buildup Factors'!L680</f>
        <v xml:space="preserve">    - [1.334, 0.329, 0.145, 11.38, -0.0643]</v>
      </c>
    </row>
    <row r="1267" spans="1:1">
      <c r="A1267" s="22" t="str">
        <f>'ANSI Buildup Factors'!L681</f>
        <v xml:space="preserve">    - [1.201, 0.158, 0.426, 14.12, -0.1873]</v>
      </c>
    </row>
    <row r="1268" spans="1:1">
      <c r="A1268" s="22" t="str">
        <f>'ANSI Buildup Factors'!L682</f>
        <v xml:space="preserve">    - [1.148, 0.422, 0.203, 13.49, -0.1013]</v>
      </c>
    </row>
    <row r="1269" spans="1:1">
      <c r="A1269" s="22" t="str">
        <f>'ANSI Buildup Factors'!L683</f>
        <v xml:space="preserve">    - [1.187, 0.562, 0.137, 14.19, -0.0706]</v>
      </c>
    </row>
    <row r="1270" spans="1:1">
      <c r="A1270" s="22" t="str">
        <f>'ANSI Buildup Factors'!L684</f>
        <v xml:space="preserve">    - [1.233, 0.634, 0.109, 14.20, -0.0556]</v>
      </c>
    </row>
    <row r="1271" spans="1:1">
      <c r="A1271" s="22" t="str">
        <f>'ANSI Buildup Factors'!L685</f>
        <v xml:space="preserve">    - [1.269, 0.685, 0.089, 13.78, -0.0440]</v>
      </c>
    </row>
    <row r="1272" spans="1:1">
      <c r="A1272" s="22" t="str">
        <f>'ANSI Buildup Factors'!L686</f>
        <v xml:space="preserve">    - [1.329, 0.759, 0.065, 13.69, -0.0317]</v>
      </c>
    </row>
    <row r="1273" spans="1:1">
      <c r="A1273" s="22" t="str">
        <f>'ANSI Buildup Factors'!L687</f>
        <v xml:space="preserve">    - [1.367, 0.811, 0.051, 13.67, -0.0283]</v>
      </c>
    </row>
    <row r="1274" spans="1:1">
      <c r="A1274" s="22" t="str">
        <f>'ANSI Buildup Factors'!L688</f>
        <v xml:space="preserve">    - [1.369, 0.942, 0.020, 14.65, -0.0207]</v>
      </c>
    </row>
    <row r="1275" spans="1:1">
      <c r="A1275" s="22" t="str">
        <f>'ANSI Buildup Factors'!L689</f>
        <v xml:space="preserve">    - [1.384, 0.980, 0.014, 13.51, -0.0216]</v>
      </c>
    </row>
    <row r="1276" spans="1:1">
      <c r="A1276" s="22" t="str">
        <f>'ANSI Buildup Factors'!L690</f>
        <v xml:space="preserve">    - [1.367, 1.006, 0.017, 13.33, -0.0377]</v>
      </c>
    </row>
    <row r="1277" spans="1:1">
      <c r="A1277" s="22" t="str">
        <f>'ANSI Buildup Factors'!L691</f>
        <v xml:space="preserve">    - [1.337, 1.009, 0.024, 14.15, -0.0455]</v>
      </c>
    </row>
    <row r="1278" spans="1:1">
      <c r="A1278" s="22" t="str">
        <f>'ANSI Buildup Factors'!L692</f>
        <v xml:space="preserve">    - [1.360, 0.957, 0.049, 14.04, -0.0683]</v>
      </c>
    </row>
    <row r="1279" spans="1:1">
      <c r="A1279" s="22" t="str">
        <f>'ANSI Buildup Factors'!L693</f>
        <v xml:space="preserve">    - [1.363, 0.965, 0.054, 14.21, -0.0716]</v>
      </c>
    </row>
    <row r="1280" spans="1:1">
      <c r="A1280" s="22" t="str">
        <f>'ANSI Buildup Factors'!L694</f>
        <v xml:space="preserve">    - [1.441, 0.994, 0.061, 14.18, -0.0800]</v>
      </c>
    </row>
    <row r="1281" spans="1:1">
      <c r="A1281" s="22" t="str">
        <f>'ANSI Buildup Factors'!L695</f>
        <v xml:space="preserve">    - [1.464, 1.148, 0.032, 14.08, -0.0554]</v>
      </c>
    </row>
    <row r="1282" spans="1:1">
      <c r="A1282" s="22" t="str">
        <f>'ANSI Buildup Factors'!L696</f>
        <v xml:space="preserve">    - [1.573, 1.337, 0.016, 13.54, -0.0463]</v>
      </c>
    </row>
    <row r="1283" spans="1:1">
      <c r="A1283" s="22" t="str">
        <f>'ANSI Buildup Factors'!A699</f>
        <v>Uranium</v>
      </c>
    </row>
    <row r="1284" spans="1:1">
      <c r="A1284" s="23" t="s">
        <v>1863</v>
      </c>
    </row>
    <row r="1285" spans="1:1">
      <c r="A1285" s="22" t="str">
        <f>'ANSI Buildup Factors'!K701</f>
        <v xml:space="preserve">    - 0.030</v>
      </c>
    </row>
    <row r="1286" spans="1:1">
      <c r="A1286" s="22" t="str">
        <f>'ANSI Buildup Factors'!K702</f>
        <v xml:space="preserve">    - 0.040</v>
      </c>
    </row>
    <row r="1287" spans="1:1">
      <c r="A1287" s="22" t="str">
        <f>'ANSI Buildup Factors'!K703</f>
        <v xml:space="preserve">    - 0.050</v>
      </c>
    </row>
    <row r="1288" spans="1:1">
      <c r="A1288" s="22" t="str">
        <f>'ANSI Buildup Factors'!K704</f>
        <v xml:space="preserve">    - 0.060</v>
      </c>
    </row>
    <row r="1289" spans="1:1">
      <c r="A1289" s="22" t="str">
        <f>'ANSI Buildup Factors'!K705</f>
        <v xml:space="preserve">    - 0.080</v>
      </c>
    </row>
    <row r="1290" spans="1:1">
      <c r="A1290" s="22" t="str">
        <f>'ANSI Buildup Factors'!K706</f>
        <v xml:space="preserve">    - 0.100</v>
      </c>
    </row>
    <row r="1291" spans="1:1">
      <c r="A1291" s="22" t="str">
        <f>'ANSI Buildup Factors'!K707</f>
        <v xml:space="preserve">    - 0.115</v>
      </c>
    </row>
    <row r="1292" spans="1:1">
      <c r="A1292" s="22" t="str">
        <f>'ANSI Buildup Factors'!K708</f>
        <v xml:space="preserve">    - 0.116</v>
      </c>
    </row>
    <row r="1293" spans="1:1">
      <c r="A1293" s="22" t="str">
        <f>'ANSI Buildup Factors'!K709</f>
        <v xml:space="preserve">    - 0.120</v>
      </c>
    </row>
    <row r="1294" spans="1:1">
      <c r="A1294" s="22" t="str">
        <f>'ANSI Buildup Factors'!K710</f>
        <v xml:space="preserve">    - 0.130</v>
      </c>
    </row>
    <row r="1295" spans="1:1">
      <c r="A1295" s="22" t="str">
        <f>'ANSI Buildup Factors'!K711</f>
        <v xml:space="preserve">    - 0.140</v>
      </c>
    </row>
    <row r="1296" spans="1:1">
      <c r="A1296" s="22" t="str">
        <f>'ANSI Buildup Factors'!K712</f>
        <v xml:space="preserve">    - 0.150</v>
      </c>
    </row>
    <row r="1297" spans="1:1">
      <c r="A1297" s="22" t="str">
        <f>'ANSI Buildup Factors'!K713</f>
        <v xml:space="preserve">    - 0.160</v>
      </c>
    </row>
    <row r="1298" spans="1:1">
      <c r="A1298" s="22" t="str">
        <f>'ANSI Buildup Factors'!K714</f>
        <v xml:space="preserve">    - 0.170</v>
      </c>
    </row>
    <row r="1299" spans="1:1">
      <c r="A1299" s="22" t="str">
        <f>'ANSI Buildup Factors'!K715</f>
        <v xml:space="preserve">    - 0.180</v>
      </c>
    </row>
    <row r="1300" spans="1:1">
      <c r="A1300" s="22" t="str">
        <f>'ANSI Buildup Factors'!K716</f>
        <v xml:space="preserve">    - 0.190</v>
      </c>
    </row>
    <row r="1301" spans="1:1">
      <c r="A1301" s="22" t="str">
        <f>'ANSI Buildup Factors'!K717</f>
        <v xml:space="preserve">    - 0.200</v>
      </c>
    </row>
    <row r="1302" spans="1:1">
      <c r="A1302" s="22" t="str">
        <f>'ANSI Buildup Factors'!K718</f>
        <v xml:space="preserve">    - 0.250</v>
      </c>
    </row>
    <row r="1303" spans="1:1">
      <c r="A1303" s="22" t="str">
        <f>'ANSI Buildup Factors'!K719</f>
        <v xml:space="preserve">    - 0.300</v>
      </c>
    </row>
    <row r="1304" spans="1:1">
      <c r="A1304" s="22" t="str">
        <f>'ANSI Buildup Factors'!K720</f>
        <v xml:space="preserve">    - 0.400</v>
      </c>
    </row>
    <row r="1305" spans="1:1">
      <c r="A1305" s="22" t="str">
        <f>'ANSI Buildup Factors'!K721</f>
        <v xml:space="preserve">    - 0.500</v>
      </c>
    </row>
    <row r="1306" spans="1:1">
      <c r="A1306" s="22" t="str">
        <f>'ANSI Buildup Factors'!K722</f>
        <v xml:space="preserve">    - 0.600</v>
      </c>
    </row>
    <row r="1307" spans="1:1">
      <c r="A1307" s="22" t="str">
        <f>'ANSI Buildup Factors'!K723</f>
        <v xml:space="preserve">    - 0.800</v>
      </c>
    </row>
    <row r="1308" spans="1:1">
      <c r="A1308" s="22" t="str">
        <f>'ANSI Buildup Factors'!K724</f>
        <v xml:space="preserve">    - 1.000</v>
      </c>
    </row>
    <row r="1309" spans="1:1">
      <c r="A1309" s="22" t="str">
        <f>'ANSI Buildup Factors'!K725</f>
        <v xml:space="preserve">    - 1.500</v>
      </c>
    </row>
    <row r="1310" spans="1:1">
      <c r="A1310" s="22" t="str">
        <f>'ANSI Buildup Factors'!K726</f>
        <v xml:space="preserve">    - 2.000</v>
      </c>
    </row>
    <row r="1311" spans="1:1">
      <c r="A1311" s="22" t="str">
        <f>'ANSI Buildup Factors'!K727</f>
        <v xml:space="preserve">    - 3.000</v>
      </c>
    </row>
    <row r="1312" spans="1:1">
      <c r="A1312" s="22" t="str">
        <f>'ANSI Buildup Factors'!K728</f>
        <v xml:space="preserve">    - 4.000</v>
      </c>
    </row>
    <row r="1313" spans="1:1">
      <c r="A1313" s="22" t="str">
        <f>'ANSI Buildup Factors'!K729</f>
        <v xml:space="preserve">    - 5.000</v>
      </c>
    </row>
    <row r="1314" spans="1:1">
      <c r="A1314" s="22" t="str">
        <f>'ANSI Buildup Factors'!K730</f>
        <v xml:space="preserve">    - 6.000</v>
      </c>
    </row>
    <row r="1315" spans="1:1">
      <c r="A1315" s="22" t="str">
        <f>'ANSI Buildup Factors'!K731</f>
        <v xml:space="preserve">    - 8.000</v>
      </c>
    </row>
    <row r="1316" spans="1:1">
      <c r="A1316" s="22" t="str">
        <f>'ANSI Buildup Factors'!K732</f>
        <v xml:space="preserve">    - 10.000</v>
      </c>
    </row>
    <row r="1317" spans="1:1">
      <c r="A1317" s="22" t="str">
        <f>'ANSI Buildup Factors'!K733</f>
        <v xml:space="preserve">    - 15.000</v>
      </c>
    </row>
    <row r="1318" spans="1:1">
      <c r="A1318" s="24" t="s">
        <v>1864</v>
      </c>
    </row>
    <row r="1319" spans="1:1">
      <c r="A1319" s="24" t="s">
        <v>1865</v>
      </c>
    </row>
    <row r="1320" spans="1:1">
      <c r="A1320" s="22" t="str">
        <f>'ANSI Buildup Factors'!L701</f>
        <v xml:space="preserve">    - [1.005, 0.336, 0.224, 25.06, -0.2039]</v>
      </c>
    </row>
    <row r="1321" spans="1:1">
      <c r="A1321" s="22" t="str">
        <f>'ANSI Buildup Factors'!L702</f>
        <v xml:space="preserve">    - [1.010, 0.296, 0.272, 14.23, -0.1199]</v>
      </c>
    </row>
    <row r="1322" spans="1:1">
      <c r="A1322" s="22" t="str">
        <f>'ANSI Buildup Factors'!L703</f>
        <v xml:space="preserve">    - [1.016, 0.313, 0.248, 13.81, -0.0893]</v>
      </c>
    </row>
    <row r="1323" spans="1:1">
      <c r="A1323" s="22" t="str">
        <f>'ANSI Buildup Factors'!L704</f>
        <v xml:space="preserve">    - [1.022, 0.336, 0.244, 14.48, -0.1157]</v>
      </c>
    </row>
    <row r="1324" spans="1:1">
      <c r="A1324" s="22" t="str">
        <f>'ANSI Buildup Factors'!L705</f>
        <v xml:space="preserve">    - [1.039, 0.357, 0.236, 13.87, -0.1154]</v>
      </c>
    </row>
    <row r="1325" spans="1:1">
      <c r="A1325" s="22" t="str">
        <f>'ANSI Buildup Factors'!L706</f>
        <v xml:space="preserve">    - [1.057, 0.390, 0.217, 13.78, -0.1096]</v>
      </c>
    </row>
    <row r="1326" spans="1:1">
      <c r="A1326" s="22" t="str">
        <f>'ANSI Buildup Factors'!L707</f>
        <v xml:space="preserve">    - [1.071, 0.435, 0.194, 14.51, -0.0996]</v>
      </c>
    </row>
    <row r="1327" spans="1:1">
      <c r="A1327" s="22" t="str">
        <f>'ANSI Buildup Factors'!L708</f>
        <v xml:space="preserve">    - [2.070, 1.630, 0.057, 14.52, -0.0412]</v>
      </c>
    </row>
    <row r="1328" spans="1:1">
      <c r="A1328" s="22" t="str">
        <f>'ANSI Buildup Factors'!L709</f>
        <v xml:space="preserve">    - [1.921, 1.623, 0.050, 29.71, -0.1023]</v>
      </c>
    </row>
    <row r="1329" spans="1:1">
      <c r="A1329" s="22" t="str">
        <f>'ANSI Buildup Factors'!L710</f>
        <v xml:space="preserve">    - [1.917, 1.318, 0.093, 15.12, -0.0711]</v>
      </c>
    </row>
    <row r="1330" spans="1:1">
      <c r="A1330" s="22" t="str">
        <f>'ANSI Buildup Factors'!L711</f>
        <v xml:space="preserve">    - [1.734, 1.184, 0.103, 16.31, -0.0814]</v>
      </c>
    </row>
    <row r="1331" spans="1:1">
      <c r="A1331" s="22" t="str">
        <f>'ANSI Buildup Factors'!L712</f>
        <v xml:space="preserve">    - [1.598, 1.030, 0.122, 16.02, -0.0996]</v>
      </c>
    </row>
    <row r="1332" spans="1:1">
      <c r="A1332" s="22" t="str">
        <f>'ANSI Buildup Factors'!L713</f>
        <v xml:space="preserve">    - [1.529, 0.826, 0.164, 15.64, -0.1408]</v>
      </c>
    </row>
    <row r="1333" spans="1:1">
      <c r="A1333" s="22" t="str">
        <f>'ANSI Buildup Factors'!L714</f>
        <v xml:space="preserve">    - [1.461, 0.649, 0.209, 15.75, -0.1759]</v>
      </c>
    </row>
    <row r="1334" spans="1:1">
      <c r="A1334" s="22" t="str">
        <f>'ANSI Buildup Factors'!L715</f>
        <v xml:space="preserve">    - [1.423, 0.470, 0.269, 16.82, -0.2004]</v>
      </c>
    </row>
    <row r="1335" spans="1:1">
      <c r="A1335" s="22" t="str">
        <f>'ANSI Buildup Factors'!L716</f>
        <v xml:space="preserve">    - [1.377, 0.374, 0.267, 18.15, -0.0639]</v>
      </c>
    </row>
    <row r="1336" spans="1:1">
      <c r="A1336" s="22" t="str">
        <f>'ANSI Buildup Factors'!L717</f>
        <v xml:space="preserve">    - [1.324, 0.366, 0.167, 13.28, -0.0655]</v>
      </c>
    </row>
    <row r="1337" spans="1:1">
      <c r="A1337" s="22" t="str">
        <f>'ANSI Buildup Factors'!L718</f>
        <v xml:space="preserve">    - [1.206, 0.191, 0.378, 14.46, -0.1639]</v>
      </c>
    </row>
    <row r="1338" spans="1:1">
      <c r="A1338" s="22" t="str">
        <f>'ANSI Buildup Factors'!L719</f>
        <v xml:space="preserve">    - [1.160, 0.284, 0.304, 13.28, -0.1643]</v>
      </c>
    </row>
    <row r="1339" spans="1:1">
      <c r="A1339" s="22" t="str">
        <f>'ANSI Buildup Factors'!L720</f>
        <v xml:space="preserve">    - [1.157, 0.490, 0.171, 13.96, -0.0911]</v>
      </c>
    </row>
    <row r="1340" spans="1:1">
      <c r="A1340" s="22" t="str">
        <f>'ANSI Buildup Factors'!L721</f>
        <v xml:space="preserve">    - [1.185, 0.577, 0.131, 14.05, -0.0682]</v>
      </c>
    </row>
    <row r="1341" spans="1:1">
      <c r="A1341" s="22" t="str">
        <f>'ANSI Buildup Factors'!L722</f>
        <v xml:space="preserve">    - [1.207, 0.643, 0.101, 13.80, -0.0473]</v>
      </c>
    </row>
    <row r="1342" spans="1:1">
      <c r="A1342" s="22" t="str">
        <f>'ANSI Buildup Factors'!L723</f>
        <v xml:space="preserve">    - [1.261, 0.705, 0.080, 13.89, -0.0362]</v>
      </c>
    </row>
    <row r="1343" spans="1:1">
      <c r="A1343" s="22" t="str">
        <f>'ANSI Buildup Factors'!L724</f>
        <v xml:space="preserve">    - [1.298, 0.754, 0.066, 13.69, -0.0325]</v>
      </c>
    </row>
    <row r="1344" spans="1:1">
      <c r="A1344" s="22" t="str">
        <f>'ANSI Buildup Factors'!L725</f>
        <v xml:space="preserve">    - [1.320, 0.873, 0.038, 14.78, -0.0282]</v>
      </c>
    </row>
    <row r="1345" spans="1:1">
      <c r="A1345" s="22" t="str">
        <f>'ANSI Buildup Factors'!L726</f>
        <v xml:space="preserve">    - [1.338, 0.923, 0.028, 13.56, -0.0274]</v>
      </c>
    </row>
    <row r="1346" spans="1:1">
      <c r="A1346" s="22" t="str">
        <f>'ANSI Buildup Factors'!L727</f>
        <v xml:space="preserve">    - [1.326, 0.968, 0.024, 13.45, -0.0372]</v>
      </c>
    </row>
    <row r="1347" spans="1:1">
      <c r="A1347" s="22" t="str">
        <f>'ANSI Buildup Factors'!L728</f>
        <v xml:space="preserve">    - [1.299, 0.984, 0.027, 13.84, -0.0418]</v>
      </c>
    </row>
    <row r="1348" spans="1:1">
      <c r="A1348" s="22" t="str">
        <f>'ANSI Buildup Factors'!L729</f>
        <v xml:space="preserve">    - [1.327, 0.932, 0.052, 14.08, -0.0638]</v>
      </c>
    </row>
    <row r="1349" spans="1:1">
      <c r="A1349" s="22" t="str">
        <f>'ANSI Buildup Factors'!L730</f>
        <v xml:space="preserve">    - [1.339, 0.935, 0.058, 14.53, -0.0676]</v>
      </c>
    </row>
    <row r="1350" spans="1:1">
      <c r="A1350" s="22" t="str">
        <f>'ANSI Buildup Factors'!L731</f>
        <v xml:space="preserve">    - [1.422, 0.973, 0.063, 14.26, -0.0761]</v>
      </c>
    </row>
    <row r="1351" spans="1:1">
      <c r="A1351" s="22" t="str">
        <f>'ANSI Buildup Factors'!L732</f>
        <v xml:space="preserve">    - [1.451, 1.133, 0.032, 14.31, -0.0502]</v>
      </c>
    </row>
    <row r="1352" spans="1:1">
      <c r="A1352" s="22" t="str">
        <f>'ANSI Buildup Factors'!L733</f>
        <v xml:space="preserve">    - [1.557, 1.328, 0.015, 13.75, -0.0405]</v>
      </c>
    </row>
    <row r="1353" spans="1:1">
      <c r="A1353" s="22" t="str">
        <f>'ANSI Buildup Factors'!A736</f>
        <v>Water</v>
      </c>
    </row>
    <row r="1354" spans="1:1">
      <c r="A1354" s="23" t="s">
        <v>1863</v>
      </c>
    </row>
    <row r="1355" spans="1:1">
      <c r="A1355" s="22" t="str">
        <f>'ANSI Buildup Factors'!K738</f>
        <v xml:space="preserve">    - 0.015</v>
      </c>
    </row>
    <row r="1356" spans="1:1">
      <c r="A1356" s="22" t="str">
        <f>'ANSI Buildup Factors'!K739</f>
        <v xml:space="preserve">    - 0.020</v>
      </c>
    </row>
    <row r="1357" spans="1:1">
      <c r="A1357" s="22" t="str">
        <f>'ANSI Buildup Factors'!K740</f>
        <v xml:space="preserve">    - 0.030</v>
      </c>
    </row>
    <row r="1358" spans="1:1">
      <c r="A1358" s="22" t="str">
        <f>'ANSI Buildup Factors'!K741</f>
        <v xml:space="preserve">    - 0.040</v>
      </c>
    </row>
    <row r="1359" spans="1:1">
      <c r="A1359" s="22" t="str">
        <f>'ANSI Buildup Factors'!K742</f>
        <v xml:space="preserve">    - 0.050</v>
      </c>
    </row>
    <row r="1360" spans="1:1">
      <c r="A1360" s="22" t="str">
        <f>'ANSI Buildup Factors'!K743</f>
        <v xml:space="preserve">    - 0.060</v>
      </c>
    </row>
    <row r="1361" spans="1:1">
      <c r="A1361" s="22" t="str">
        <f>'ANSI Buildup Factors'!K744</f>
        <v xml:space="preserve">    - 0.080</v>
      </c>
    </row>
    <row r="1362" spans="1:1">
      <c r="A1362" s="22" t="str">
        <f>'ANSI Buildup Factors'!K745</f>
        <v xml:space="preserve">    - 0.100</v>
      </c>
    </row>
    <row r="1363" spans="1:1">
      <c r="A1363" s="22" t="str">
        <f>'ANSI Buildup Factors'!K746</f>
        <v xml:space="preserve">    - 0.150</v>
      </c>
    </row>
    <row r="1364" spans="1:1">
      <c r="A1364" s="22" t="str">
        <f>'ANSI Buildup Factors'!K747</f>
        <v xml:space="preserve">    - 0.200</v>
      </c>
    </row>
    <row r="1365" spans="1:1">
      <c r="A1365" s="22" t="str">
        <f>'ANSI Buildup Factors'!K748</f>
        <v xml:space="preserve">    - 0.300</v>
      </c>
    </row>
    <row r="1366" spans="1:1">
      <c r="A1366" s="22" t="str">
        <f>'ANSI Buildup Factors'!K749</f>
        <v xml:space="preserve">    - 0.400</v>
      </c>
    </row>
    <row r="1367" spans="1:1">
      <c r="A1367" s="22" t="str">
        <f>'ANSI Buildup Factors'!K750</f>
        <v xml:space="preserve">    - 0.500</v>
      </c>
    </row>
    <row r="1368" spans="1:1">
      <c r="A1368" s="22" t="str">
        <f>'ANSI Buildup Factors'!K751</f>
        <v xml:space="preserve">    - 0.600</v>
      </c>
    </row>
    <row r="1369" spans="1:1">
      <c r="A1369" s="22" t="str">
        <f>'ANSI Buildup Factors'!K752</f>
        <v xml:space="preserve">    - 0.800</v>
      </c>
    </row>
    <row r="1370" spans="1:1">
      <c r="A1370" s="22" t="str">
        <f>'ANSI Buildup Factors'!K753</f>
        <v xml:space="preserve">    - 1.000</v>
      </c>
    </row>
    <row r="1371" spans="1:1">
      <c r="A1371" s="22" t="str">
        <f>'ANSI Buildup Factors'!K754</f>
        <v xml:space="preserve">    - 1.500</v>
      </c>
    </row>
    <row r="1372" spans="1:1">
      <c r="A1372" s="22" t="str">
        <f>'ANSI Buildup Factors'!K755</f>
        <v xml:space="preserve">    - 2.000</v>
      </c>
    </row>
    <row r="1373" spans="1:1">
      <c r="A1373" s="22" t="str">
        <f>'ANSI Buildup Factors'!K756</f>
        <v xml:space="preserve">    - 3.000</v>
      </c>
    </row>
    <row r="1374" spans="1:1">
      <c r="A1374" s="22" t="str">
        <f>'ANSI Buildup Factors'!K757</f>
        <v xml:space="preserve">    - 4.000</v>
      </c>
    </row>
    <row r="1375" spans="1:1">
      <c r="A1375" s="22" t="str">
        <f>'ANSI Buildup Factors'!K758</f>
        <v xml:space="preserve">    - 5.000</v>
      </c>
    </row>
    <row r="1376" spans="1:1">
      <c r="A1376" s="22" t="str">
        <f>'ANSI Buildup Factors'!K759</f>
        <v xml:space="preserve">    - 6.000</v>
      </c>
    </row>
    <row r="1377" spans="1:1">
      <c r="A1377" s="22" t="str">
        <f>'ANSI Buildup Factors'!K760</f>
        <v xml:space="preserve">    - 8.000</v>
      </c>
    </row>
    <row r="1378" spans="1:1">
      <c r="A1378" s="22" t="str">
        <f>'ANSI Buildup Factors'!K761</f>
        <v xml:space="preserve">    - 10.000</v>
      </c>
    </row>
    <row r="1379" spans="1:1">
      <c r="A1379" s="22" t="str">
        <f>'ANSI Buildup Factors'!K762</f>
        <v xml:space="preserve">    - 15.000</v>
      </c>
    </row>
    <row r="1380" spans="1:1">
      <c r="A1380" s="24" t="s">
        <v>1864</v>
      </c>
    </row>
    <row r="1381" spans="1:1">
      <c r="A1381" s="24" t="s">
        <v>1865</v>
      </c>
    </row>
    <row r="1382" spans="1:1">
      <c r="A1382" s="22" t="str">
        <f>'ANSI Buildup Factors'!L738</f>
        <v xml:space="preserve">    - [1.182, 0.463, 0.175, 14.23, -0.0908]</v>
      </c>
    </row>
    <row r="1383" spans="1:1">
      <c r="A1383" s="22" t="str">
        <f>'ANSI Buildup Factors'!L739</f>
        <v xml:space="preserve">    - [1.427, 0.549, 0.143, 14.86, -0.0707]</v>
      </c>
    </row>
    <row r="1384" spans="1:1">
      <c r="A1384" s="22" t="str">
        <f>'ANSI Buildup Factors'!L740</f>
        <v xml:space="preserve">    - [2.335, 0.736, 0.087, 13.28, -0.0419]</v>
      </c>
    </row>
    <row r="1385" spans="1:1">
      <c r="A1385" s="22" t="str">
        <f>'ANSI Buildup Factors'!L741</f>
        <v xml:space="preserve">    - [3.477, 1.117, -0.019, 11.67, 0.0026]</v>
      </c>
    </row>
    <row r="1386" spans="1:1">
      <c r="A1386" s="22" t="str">
        <f>'ANSI Buildup Factors'!L742</f>
        <v xml:space="preserve">    - [4.461, 1.457, -0.084, 13.62, 0.0341]</v>
      </c>
    </row>
    <row r="1387" spans="1:1">
      <c r="A1387" s="22" t="str">
        <f>'ANSI Buildup Factors'!L743</f>
        <v xml:space="preserve">    - [4.983, 1.730, -0.126, 13.64, 0.0561]</v>
      </c>
    </row>
    <row r="1388" spans="1:1">
      <c r="A1388" s="22" t="str">
        <f>'ANSI Buildup Factors'!L744</f>
        <v xml:space="preserve">    - [5.059, 2.059, -0.168, 13.67, 0.0770]</v>
      </c>
    </row>
    <row r="1389" spans="1:1">
      <c r="A1389" s="22" t="str">
        <f>'ANSI Buildup Factors'!L745</f>
        <v xml:space="preserve">    - [4.663, 2.221, -0.186, 13.33, 0.0826]</v>
      </c>
    </row>
    <row r="1390" spans="1:1">
      <c r="A1390" s="22" t="str">
        <f>'ANSI Buildup Factors'!L746</f>
        <v xml:space="preserve">    - [3.897, 2.242, -0.185, 14.19, 0.0777]</v>
      </c>
    </row>
    <row r="1391" spans="1:1">
      <c r="A1391" s="22" t="str">
        <f>'ANSI Buildup Factors'!L747</f>
        <v xml:space="preserve">    - [3.478, 2.154, -0.176, 14.50, 0.0774]</v>
      </c>
    </row>
    <row r="1392" spans="1:1">
      <c r="A1392" s="22" t="str">
        <f>'ANSI Buildup Factors'!L748</f>
        <v xml:space="preserve">    - [2.920, 2.022, -0.164, 14.21, 0.0655]</v>
      </c>
    </row>
    <row r="1393" spans="1:1">
      <c r="A1393" s="22" t="str">
        <f>'ANSI Buildup Factors'!L749</f>
        <v xml:space="preserve">    - [2.660, 1.882, -0.149, 14.24, 0.0595]</v>
      </c>
    </row>
    <row r="1394" spans="1:1">
      <c r="A1394" s="22" t="str">
        <f>'ANSI Buildup Factors'!L750</f>
        <v xml:space="preserve">    - [2.500, 1.766, -0.135, 14.33, 0.0546]</v>
      </c>
    </row>
    <row r="1395" spans="1:1">
      <c r="A1395" s="22" t="str">
        <f>'ANSI Buildup Factors'!L751</f>
        <v xml:space="preserve">    - [2.377, 1.679, -0.124, 14.23, 0.0503]</v>
      </c>
    </row>
    <row r="1396" spans="1:1">
      <c r="A1396" s="22" t="str">
        <f>'ANSI Buildup Factors'!L752</f>
        <v xml:space="preserve">    - [2.212, 1.544, -0.105, 14.36, 0.0437]</v>
      </c>
    </row>
    <row r="1397" spans="1:1">
      <c r="A1397" s="22" t="str">
        <f>'ANSI Buildup Factors'!L753</f>
        <v xml:space="preserve">    - [2.103, 1.441, -0.089, 14.22, 0.0378]</v>
      </c>
    </row>
    <row r="1398" spans="1:1">
      <c r="A1398" s="22" t="str">
        <f>'ANSI Buildup Factors'!L754</f>
        <v xml:space="preserve">    - [1.939, 1.269, -0.058, 14.52, 0.0246]</v>
      </c>
    </row>
    <row r="1399" spans="1:1">
      <c r="A1399" s="22" t="str">
        <f>'ANSI Buildup Factors'!L755</f>
        <v xml:space="preserve">    - [1.839, 1.173, -0.039, 14.07, 0.0161]</v>
      </c>
    </row>
    <row r="1400" spans="1:1">
      <c r="A1400" s="22" t="str">
        <f>'ANSI Buildup Factors'!L756</f>
        <v xml:space="preserve">    - [1.710, 1.056, -0.013, 11.82, 0.0047]</v>
      </c>
    </row>
    <row r="1401" spans="1:1">
      <c r="A1401" s="22" t="str">
        <f>'ANSI Buildup Factors'!L757</f>
        <v xml:space="preserve">    - [1.621, 0.989, 0.004, 13.45, -0.0041]</v>
      </c>
    </row>
    <row r="1402" spans="1:1">
      <c r="A1402" s="22" t="str">
        <f>'ANSI Buildup Factors'!L758</f>
        <v xml:space="preserve">    - [1.554, 0.939, 0.018, 13.55, -0.0122]</v>
      </c>
    </row>
    <row r="1403" spans="1:1">
      <c r="A1403" s="22" t="str">
        <f>'ANSI Buildup Factors'!L759</f>
        <v xml:space="preserve">    - [1.507, 0.903, 0.029, 16.13, -0.0272]</v>
      </c>
    </row>
    <row r="1404" spans="1:1">
      <c r="A1404" s="22" t="str">
        <f>'ANSI Buildup Factors'!L760</f>
        <v xml:space="preserve">    - [1.422, 0.879, 0.035, 13.36, -0.0191]</v>
      </c>
    </row>
    <row r="1405" spans="1:1">
      <c r="A1405" s="22" t="str">
        <f>'ANSI Buildup Factors'!L761</f>
        <v xml:space="preserve">    - [1.362, 0.859, 0.042, 13.37, -0.0247]</v>
      </c>
    </row>
    <row r="1406" spans="1:1">
      <c r="A1406" s="22" t="str">
        <f>'ANSI Buildup Factors'!L762</f>
        <v xml:space="preserve">    - [1.267, 0.843, 0.047, 15.08, -0.0336]</v>
      </c>
    </row>
    <row r="1407" spans="1:1">
      <c r="A1407" s="22" t="str">
        <f>'ANSI Buildup Factors'!A765</f>
        <v>Air</v>
      </c>
    </row>
    <row r="1408" spans="1:1">
      <c r="A1408" s="23" t="s">
        <v>1863</v>
      </c>
    </row>
    <row r="1409" spans="1:1">
      <c r="A1409" s="22" t="str">
        <f>'ANSI Buildup Factors'!K767</f>
        <v xml:space="preserve">    - 0.015</v>
      </c>
    </row>
    <row r="1410" spans="1:1">
      <c r="A1410" s="22" t="str">
        <f>'ANSI Buildup Factors'!K768</f>
        <v xml:space="preserve">    - 0.020</v>
      </c>
    </row>
    <row r="1411" spans="1:1">
      <c r="A1411" s="22" t="str">
        <f>'ANSI Buildup Factors'!K769</f>
        <v xml:space="preserve">    - 0.030</v>
      </c>
    </row>
    <row r="1412" spans="1:1">
      <c r="A1412" s="22" t="str">
        <f>'ANSI Buildup Factors'!K770</f>
        <v xml:space="preserve">    - 0.040</v>
      </c>
    </row>
    <row r="1413" spans="1:1">
      <c r="A1413" s="22" t="str">
        <f>'ANSI Buildup Factors'!K771</f>
        <v xml:space="preserve">    - 0.050</v>
      </c>
    </row>
    <row r="1414" spans="1:1">
      <c r="A1414" s="22" t="str">
        <f>'ANSI Buildup Factors'!K772</f>
        <v xml:space="preserve">    - 0.060</v>
      </c>
    </row>
    <row r="1415" spans="1:1">
      <c r="A1415" s="22" t="str">
        <f>'ANSI Buildup Factors'!K773</f>
        <v xml:space="preserve">    - 0.080</v>
      </c>
    </row>
    <row r="1416" spans="1:1">
      <c r="A1416" s="22" t="str">
        <f>'ANSI Buildup Factors'!K774</f>
        <v xml:space="preserve">    - 0.100</v>
      </c>
    </row>
    <row r="1417" spans="1:1">
      <c r="A1417" s="22" t="str">
        <f>'ANSI Buildup Factors'!K775</f>
        <v xml:space="preserve">    - 0.150</v>
      </c>
    </row>
    <row r="1418" spans="1:1">
      <c r="A1418" s="22" t="str">
        <f>'ANSI Buildup Factors'!K776</f>
        <v xml:space="preserve">    - 0.200</v>
      </c>
    </row>
    <row r="1419" spans="1:1">
      <c r="A1419" s="22" t="str">
        <f>'ANSI Buildup Factors'!K777</f>
        <v xml:space="preserve">    - 0.300</v>
      </c>
    </row>
    <row r="1420" spans="1:1">
      <c r="A1420" s="22" t="str">
        <f>'ANSI Buildup Factors'!K778</f>
        <v xml:space="preserve">    - 0.400</v>
      </c>
    </row>
    <row r="1421" spans="1:1">
      <c r="A1421" s="22" t="str">
        <f>'ANSI Buildup Factors'!K779</f>
        <v xml:space="preserve">    - 0.500</v>
      </c>
    </row>
    <row r="1422" spans="1:1">
      <c r="A1422" s="22" t="str">
        <f>'ANSI Buildup Factors'!K780</f>
        <v xml:space="preserve">    - 0.600</v>
      </c>
    </row>
    <row r="1423" spans="1:1">
      <c r="A1423" s="22" t="str">
        <f>'ANSI Buildup Factors'!K781</f>
        <v xml:space="preserve">    - 0.800</v>
      </c>
    </row>
    <row r="1424" spans="1:1">
      <c r="A1424" s="22" t="str">
        <f>'ANSI Buildup Factors'!K782</f>
        <v xml:space="preserve">    - 1.000</v>
      </c>
    </row>
    <row r="1425" spans="1:1">
      <c r="A1425" s="22" t="str">
        <f>'ANSI Buildup Factors'!K783</f>
        <v xml:space="preserve">    - 1.500</v>
      </c>
    </row>
    <row r="1426" spans="1:1">
      <c r="A1426" s="22" t="str">
        <f>'ANSI Buildup Factors'!K784</f>
        <v xml:space="preserve">    - 2.000</v>
      </c>
    </row>
    <row r="1427" spans="1:1">
      <c r="A1427" s="22" t="str">
        <f>'ANSI Buildup Factors'!K785</f>
        <v xml:space="preserve">    - 3.000</v>
      </c>
    </row>
    <row r="1428" spans="1:1">
      <c r="A1428" s="22" t="str">
        <f>'ANSI Buildup Factors'!K786</f>
        <v xml:space="preserve">    - 4.000</v>
      </c>
    </row>
    <row r="1429" spans="1:1">
      <c r="A1429" s="22" t="str">
        <f>'ANSI Buildup Factors'!K787</f>
        <v xml:space="preserve">    - 5.000</v>
      </c>
    </row>
    <row r="1430" spans="1:1">
      <c r="A1430" s="22" t="str">
        <f>'ANSI Buildup Factors'!K788</f>
        <v xml:space="preserve">    - 6.000</v>
      </c>
    </row>
    <row r="1431" spans="1:1">
      <c r="A1431" s="22" t="str">
        <f>'ANSI Buildup Factors'!K789</f>
        <v xml:space="preserve">    - 8.000</v>
      </c>
    </row>
    <row r="1432" spans="1:1">
      <c r="A1432" s="22" t="str">
        <f>'ANSI Buildup Factors'!K790</f>
        <v xml:space="preserve">    - 10.000</v>
      </c>
    </row>
    <row r="1433" spans="1:1">
      <c r="A1433" s="22" t="str">
        <f>'ANSI Buildup Factors'!K791</f>
        <v xml:space="preserve">    - 15.000</v>
      </c>
    </row>
    <row r="1434" spans="1:1">
      <c r="A1434" s="24" t="s">
        <v>1864</v>
      </c>
    </row>
    <row r="1435" spans="1:1">
      <c r="A1435" s="24" t="s">
        <v>1865</v>
      </c>
    </row>
    <row r="1436" spans="1:1">
      <c r="A1436" s="22" t="str">
        <f>'ANSI Buildup Factors'!L767</f>
        <v xml:space="preserve">    - [1.170, 0.459, 0.175, 13.73, -0.0862]</v>
      </c>
    </row>
    <row r="1437" spans="1:1">
      <c r="A1437" s="22" t="str">
        <f>'ANSI Buildup Factors'!L768</f>
        <v xml:space="preserve">    - [1.407, 0.512, 0.161, 14.40, -0.0819]</v>
      </c>
    </row>
    <row r="1438" spans="1:1">
      <c r="A1438" s="22" t="str">
        <f>'ANSI Buildup Factors'!L769</f>
        <v xml:space="preserve">    - [2.292, 0.693, 0.102, 13.34, -0.0484]</v>
      </c>
    </row>
    <row r="1439" spans="1:1">
      <c r="A1439" s="22" t="str">
        <f>'ANSI Buildup Factors'!L770</f>
        <v xml:space="preserve">    - [3.390, 1.052, -0.004, 19.76, -0.0068]</v>
      </c>
    </row>
    <row r="1440" spans="1:1">
      <c r="A1440" s="22" t="str">
        <f>'ANSI Buildup Factors'!L771</f>
        <v xml:space="preserve">    - [4.322, 1.383, -0.071, 13.51, 0.0270]</v>
      </c>
    </row>
    <row r="1441" spans="1:1">
      <c r="A1441" s="22" t="str">
        <f>'ANSI Buildup Factors'!L772</f>
        <v xml:space="preserve">    - [4.837, 1.653, -0.115, 13.66, 0.0511]</v>
      </c>
    </row>
    <row r="1442" spans="1:1">
      <c r="A1442" s="22" t="str">
        <f>'ANSI Buildup Factors'!L773</f>
        <v xml:space="preserve">    - [4.929, 1.983, -0.159, 13.74, 0.0730]</v>
      </c>
    </row>
    <row r="1443" spans="1:1">
      <c r="A1443" s="22" t="str">
        <f>'ANSI Buildup Factors'!L774</f>
        <v xml:space="preserve">    - [4.580, 2.146, -0.178, 12.83, 0.0759]</v>
      </c>
    </row>
    <row r="1444" spans="1:1">
      <c r="A1444" s="22" t="str">
        <f>'ANSI Buildup Factors'!L775</f>
        <v xml:space="preserve">    - [3.894, 2.148, -0.173, 14.46, 0.0698]</v>
      </c>
    </row>
    <row r="1445" spans="1:1">
      <c r="A1445" s="22" t="str">
        <f>'ANSI Buildup Factors'!L776</f>
        <v xml:space="preserve">    - [3.345, 2.147, -0.176, 14.08, 0.0719]</v>
      </c>
    </row>
    <row r="1446" spans="1:1">
      <c r="A1446" s="22" t="str">
        <f>'ANSI Buildup Factors'!L777</f>
        <v xml:space="preserve">    - [2.887, 1.990, -0.160, 14.13, 0.0633]</v>
      </c>
    </row>
    <row r="1447" spans="1:1">
      <c r="A1447" s="22" t="str">
        <f>'ANSI Buildup Factors'!L778</f>
        <v xml:space="preserve">    - [2.635, 1.860, -0.146, 14.24, 0.0583]</v>
      </c>
    </row>
    <row r="1448" spans="1:1">
      <c r="A1448" s="22" t="str">
        <f>'ANSI Buildup Factors'!L779</f>
        <v xml:space="preserve">    - [2.496, 1.736, -0.130, 14.32, 0.0505]</v>
      </c>
    </row>
    <row r="1449" spans="1:1">
      <c r="A1449" s="22" t="str">
        <f>'ANSI Buildup Factors'!L780</f>
        <v xml:space="preserve">    - [2.371, 1.656, -0.120, 14.27, 0.0472]</v>
      </c>
    </row>
    <row r="1450" spans="1:1">
      <c r="A1450" s="22" t="str">
        <f>'ANSI Buildup Factors'!L781</f>
        <v xml:space="preserve">    - [2.207, 1.532, -0.103, 14.12, 0.0425]</v>
      </c>
    </row>
    <row r="1451" spans="1:1">
      <c r="A1451" s="22" t="str">
        <f>'ANSI Buildup Factors'!L782</f>
        <v xml:space="preserve">    - [2.102, 1.428, -0.086, 14.35, 0.0344]</v>
      </c>
    </row>
    <row r="1452" spans="1:1">
      <c r="A1452" s="22" t="str">
        <f>'ANSI Buildup Factors'!L783</f>
        <v xml:space="preserve">    - [1.939, 1.265, -0.057, 14.24, 0.0232]</v>
      </c>
    </row>
    <row r="1453" spans="1:1">
      <c r="A1453" s="22" t="str">
        <f>'ANSI Buildup Factors'!L784</f>
        <v xml:space="preserve">    - [1.835, 1.173, -0.039, 14.07, 0.0161]</v>
      </c>
    </row>
    <row r="1454" spans="1:1">
      <c r="A1454" s="22" t="str">
        <f>'ANSI Buildup Factors'!L785</f>
        <v xml:space="preserve">    - [1.712, 1.051, -0.011, 13.67, 0.0024]</v>
      </c>
    </row>
    <row r="1455" spans="1:1">
      <c r="A1455" s="22" t="str">
        <f>'ANSI Buildup Factors'!L786</f>
        <v xml:space="preserve">    - [1.627, 0.983, 0.006, 13.51, -0.0051]</v>
      </c>
    </row>
    <row r="1456" spans="1:1">
      <c r="A1456" s="22" t="str">
        <f>'ANSI Buildup Factors'!L787</f>
        <v xml:space="preserve">    - [1.558, 0.943, 0.017, 13.82, -0.0117]</v>
      </c>
    </row>
    <row r="1457" spans="1:1">
      <c r="A1457" s="22" t="str">
        <f>'ANSI Buildup Factors'!L788</f>
        <v xml:space="preserve">    - [1.505, 0.915, 0.025, 16.37, -0.0231]</v>
      </c>
    </row>
    <row r="1458" spans="1:1">
      <c r="A1458" s="22" t="str">
        <f>'ANSI Buildup Factors'!L789</f>
        <v xml:space="preserve">    - [1.418, 0.891, 0.032, 12.06, -0.0167]</v>
      </c>
    </row>
    <row r="1459" spans="1:1">
      <c r="A1459" s="22" t="str">
        <f>'ANSI Buildup Factors'!L790</f>
        <v xml:space="preserve">    - [1.358, 0.875, 0.037, 14.01, -0.0226]</v>
      </c>
    </row>
    <row r="1460" spans="1:1">
      <c r="A1460" s="22" t="str">
        <f>'ANSI Buildup Factors'!L791</f>
        <v xml:space="preserve">    - [1.267, 0.844, 0.048, 14.55, -0.0344]</v>
      </c>
    </row>
    <row r="1461" spans="1:1">
      <c r="A1461" s="22" t="str">
        <f>'ANSI Buildup Factors'!A794</f>
        <v>Concrete</v>
      </c>
    </row>
    <row r="1462" spans="1:1">
      <c r="A1462" s="23" t="s">
        <v>1863</v>
      </c>
    </row>
    <row r="1463" spans="1:1">
      <c r="A1463" s="22" t="str">
        <f>'ANSI Buildup Factors'!K796</f>
        <v xml:space="preserve">    - 0.015</v>
      </c>
    </row>
    <row r="1464" spans="1:1">
      <c r="A1464" s="22" t="str">
        <f>'ANSI Buildup Factors'!K797</f>
        <v xml:space="preserve">    - 0.020</v>
      </c>
    </row>
    <row r="1465" spans="1:1">
      <c r="A1465" s="22" t="str">
        <f>'ANSI Buildup Factors'!K798</f>
        <v xml:space="preserve">    - 0.030</v>
      </c>
    </row>
    <row r="1466" spans="1:1">
      <c r="A1466" s="22" t="str">
        <f>'ANSI Buildup Factors'!K799</f>
        <v xml:space="preserve">    - 0.040</v>
      </c>
    </row>
    <row r="1467" spans="1:1">
      <c r="A1467" s="22" t="str">
        <f>'ANSI Buildup Factors'!K800</f>
        <v xml:space="preserve">    - 0.050</v>
      </c>
    </row>
    <row r="1468" spans="1:1">
      <c r="A1468" s="22" t="str">
        <f>'ANSI Buildup Factors'!K801</f>
        <v xml:space="preserve">    - 0.060</v>
      </c>
    </row>
    <row r="1469" spans="1:1">
      <c r="A1469" s="22" t="str">
        <f>'ANSI Buildup Factors'!K802</f>
        <v xml:space="preserve">    - 0.080</v>
      </c>
    </row>
    <row r="1470" spans="1:1">
      <c r="A1470" s="22" t="str">
        <f>'ANSI Buildup Factors'!K803</f>
        <v xml:space="preserve">    - 0.100</v>
      </c>
    </row>
    <row r="1471" spans="1:1">
      <c r="A1471" s="22" t="str">
        <f>'ANSI Buildup Factors'!K804</f>
        <v xml:space="preserve">    - 0.150</v>
      </c>
    </row>
    <row r="1472" spans="1:1">
      <c r="A1472" s="22" t="str">
        <f>'ANSI Buildup Factors'!K805</f>
        <v xml:space="preserve">    - 0.200</v>
      </c>
    </row>
    <row r="1473" spans="1:1">
      <c r="A1473" s="22" t="str">
        <f>'ANSI Buildup Factors'!K806</f>
        <v xml:space="preserve">    - 0.300</v>
      </c>
    </row>
    <row r="1474" spans="1:1">
      <c r="A1474" s="22" t="str">
        <f>'ANSI Buildup Factors'!K807</f>
        <v xml:space="preserve">    - 0.400</v>
      </c>
    </row>
    <row r="1475" spans="1:1">
      <c r="A1475" s="22" t="str">
        <f>'ANSI Buildup Factors'!K808</f>
        <v xml:space="preserve">    - 0.500</v>
      </c>
    </row>
    <row r="1476" spans="1:1">
      <c r="A1476" s="22" t="str">
        <f>'ANSI Buildup Factors'!K809</f>
        <v xml:space="preserve">    - 0.600</v>
      </c>
    </row>
    <row r="1477" spans="1:1">
      <c r="A1477" s="22" t="str">
        <f>'ANSI Buildup Factors'!K810</f>
        <v xml:space="preserve">    - 0.800</v>
      </c>
    </row>
    <row r="1478" spans="1:1">
      <c r="A1478" s="22" t="str">
        <f>'ANSI Buildup Factors'!K811</f>
        <v xml:space="preserve">    - 1.000</v>
      </c>
    </row>
    <row r="1479" spans="1:1">
      <c r="A1479" s="22" t="str">
        <f>'ANSI Buildup Factors'!K812</f>
        <v xml:space="preserve">    - 1.500</v>
      </c>
    </row>
    <row r="1480" spans="1:1">
      <c r="A1480" s="22" t="str">
        <f>'ANSI Buildup Factors'!K813</f>
        <v xml:space="preserve">    - 2.000</v>
      </c>
    </row>
    <row r="1481" spans="1:1">
      <c r="A1481" s="22" t="str">
        <f>'ANSI Buildup Factors'!K814</f>
        <v xml:space="preserve">    - 3.000</v>
      </c>
    </row>
    <row r="1482" spans="1:1">
      <c r="A1482" s="22" t="str">
        <f>'ANSI Buildup Factors'!K815</f>
        <v xml:space="preserve">    - 4.000</v>
      </c>
    </row>
    <row r="1483" spans="1:1">
      <c r="A1483" s="22" t="str">
        <f>'ANSI Buildup Factors'!K816</f>
        <v xml:space="preserve">    - 5.000</v>
      </c>
    </row>
    <row r="1484" spans="1:1">
      <c r="A1484" s="22" t="str">
        <f>'ANSI Buildup Factors'!K817</f>
        <v xml:space="preserve">    - 6.000</v>
      </c>
    </row>
    <row r="1485" spans="1:1">
      <c r="A1485" s="22" t="str">
        <f>'ANSI Buildup Factors'!K818</f>
        <v xml:space="preserve">    - 8.000</v>
      </c>
    </row>
    <row r="1486" spans="1:1">
      <c r="A1486" s="22" t="str">
        <f>'ANSI Buildup Factors'!K819</f>
        <v xml:space="preserve">    - 10.000</v>
      </c>
    </row>
    <row r="1487" spans="1:1">
      <c r="A1487" s="22" t="str">
        <f>'ANSI Buildup Factors'!K820</f>
        <v xml:space="preserve">    - 15.000</v>
      </c>
    </row>
    <row r="1488" spans="1:1">
      <c r="A1488" s="24" t="s">
        <v>1864</v>
      </c>
    </row>
    <row r="1489" spans="1:1">
      <c r="A1489" s="24" t="s">
        <v>1865</v>
      </c>
    </row>
    <row r="1490" spans="1:1">
      <c r="A1490" s="22" t="str">
        <f>'ANSI Buildup Factors'!L796</f>
        <v xml:space="preserve">    - [1.029, 0.364, 0.240, 14.12, -0.1704]</v>
      </c>
    </row>
    <row r="1491" spans="1:1">
      <c r="A1491" s="22" t="str">
        <f>'ANSI Buildup Factors'!L797</f>
        <v xml:space="preserve">    - [1.067, 0.389, 0.214, 12.68, -0.1126]</v>
      </c>
    </row>
    <row r="1492" spans="1:1">
      <c r="A1492" s="22" t="str">
        <f>'ANSI Buildup Factors'!L798</f>
        <v xml:space="preserve">    - [1.212, 0.421, 0.201, 14.12, -0.1079]</v>
      </c>
    </row>
    <row r="1493" spans="1:1">
      <c r="A1493" s="22" t="str">
        <f>'ANSI Buildup Factors'!L799</f>
        <v xml:space="preserve">    - [1.455, 0.493, 0.171, 14.53, -0.0925]</v>
      </c>
    </row>
    <row r="1494" spans="1:1">
      <c r="A1494" s="22" t="str">
        <f>'ANSI Buildup Factors'!L800</f>
        <v xml:space="preserve">    - [1.737, 0.628, 0.115, 15.82, -0.0600]</v>
      </c>
    </row>
    <row r="1495" spans="1:1">
      <c r="A1495" s="22" t="str">
        <f>'ANSI Buildup Factors'!L801</f>
        <v xml:space="preserve">    - [2.125, 0.664, 0.118, 11.90, -0.0615]</v>
      </c>
    </row>
    <row r="1496" spans="1:1">
      <c r="A1496" s="22" t="str">
        <f>'ANSI Buildup Factors'!L802</f>
        <v xml:space="preserve">    - [2.557, 0.895, 0.042, 14.37, -0.0413]</v>
      </c>
    </row>
    <row r="1497" spans="1:1">
      <c r="A1497" s="22" t="str">
        <f>'ANSI Buildup Factors'!L803</f>
        <v xml:space="preserve">    - [2.766, 1.069, 0.001, 12.64, -0.0251]</v>
      </c>
    </row>
    <row r="1498" spans="1:1">
      <c r="A1498" s="22" t="str">
        <f>'ANSI Buildup Factors'!L804</f>
        <v xml:space="preserve">    - [2.824, 1.315, -0.049, 8.66, -0.0048]</v>
      </c>
    </row>
    <row r="1499" spans="1:1">
      <c r="A1499" s="22" t="str">
        <f>'ANSI Buildup Factors'!L805</f>
        <v xml:space="preserve">    - [2.716, 1.430, -0.070, 18.52, 0.0108]</v>
      </c>
    </row>
    <row r="1500" spans="1:1">
      <c r="A1500" s="22" t="str">
        <f>'ANSI Buildup Factors'!L806</f>
        <v xml:space="preserve">    - [2.522, 1.492, -0.082, 16.59, 0.0161]</v>
      </c>
    </row>
    <row r="1501" spans="1:1">
      <c r="A1501" s="22" t="str">
        <f>'ANSI Buildup Factors'!L807</f>
        <v xml:space="preserve">    - [2.372, 1.494, -0.085, 15.96, 0.0194]</v>
      </c>
    </row>
    <row r="1502" spans="1:1">
      <c r="A1502" s="22" t="str">
        <f>'ANSI Buildup Factors'!L808</f>
        <v xml:space="preserve">    - [2.271, 1.466, -0.082, 16.25, 0.0195]</v>
      </c>
    </row>
    <row r="1503" spans="1:1">
      <c r="A1503" s="22" t="str">
        <f>'ANSI Buildup Factors'!L809</f>
        <v xml:space="preserve">    - [2.192, 1.434, -0.078, 17.02, 0.0199]</v>
      </c>
    </row>
    <row r="1504" spans="1:1">
      <c r="A1504" s="22" t="str">
        <f>'ANSI Buildup Factors'!L810</f>
        <v xml:space="preserve">    - [2.066, 1.386, -0.073, 15.07, 0.0202]</v>
      </c>
    </row>
    <row r="1505" spans="1:1">
      <c r="A1505" s="22" t="str">
        <f>'ANSI Buildup Factors'!L811</f>
        <v xml:space="preserve">    - [1.982, 1.332, -0.065, 15.38, 0.0193]</v>
      </c>
    </row>
    <row r="1506" spans="1:1">
      <c r="A1506" s="22" t="str">
        <f>'ANSI Buildup Factors'!L812</f>
        <v xml:space="preserve">    - [1.848, 1.227, -0.047, 16.41, 0.0160]</v>
      </c>
    </row>
    <row r="1507" spans="1:1">
      <c r="A1507" s="22" t="str">
        <f>'ANSI Buildup Factors'!L813</f>
        <v xml:space="preserve">    - [1.775, 1.154, -0.033, 14.35, 0.0100]</v>
      </c>
    </row>
    <row r="1508" spans="1:1">
      <c r="A1508" s="22" t="str">
        <f>'ANSI Buildup Factors'!L814</f>
        <v xml:space="preserve">    - [1.671, 1.054, -0.010, 10.47, -0.0008]</v>
      </c>
    </row>
    <row r="1509" spans="1:1">
      <c r="A1509" s="22" t="str">
        <f>'ANSI Buildup Factors'!L815</f>
        <v xml:space="preserve">    - [1.597, 0.988, 0.008, 12.53, -0.0115]</v>
      </c>
    </row>
    <row r="1510" spans="1:1">
      <c r="A1510" s="22" t="str">
        <f>'ANSI Buildup Factors'!L816</f>
        <v xml:space="preserve">    - [1.527, 0.951, 0.020, 9.99, -0.0184]</v>
      </c>
    </row>
    <row r="1511" spans="1:1">
      <c r="A1511" s="22" t="str">
        <f>'ANSI Buildup Factors'!L817</f>
        <v xml:space="preserve">    - [1.478, 0.940, 0.021, 13.11, -0.0163]</v>
      </c>
    </row>
    <row r="1512" spans="1:1">
      <c r="A1512" s="22" t="str">
        <f>'ANSI Buildup Factors'!L818</f>
        <v xml:space="preserve">    - [1.395, 0.917, 0.028, 13.45, -0.0213]</v>
      </c>
    </row>
    <row r="1513" spans="1:1">
      <c r="A1513" s="22" t="str">
        <f>'ANSI Buildup Factors'!L819</f>
        <v xml:space="preserve">    - [1.334, 0.901, 0.035, 12.56, -0.0267]</v>
      </c>
    </row>
    <row r="1514" spans="1:1">
      <c r="A1514" s="22" t="str">
        <f>'ANSI Buildup Factors'!L820</f>
        <v xml:space="preserve">    - [1.260, 0.823, 0.065, 14.28, -0.0581]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FBBDC-A503-4AE2-BD56-3F6288C5953B}">
  <sheetPr codeName="Sheet3"/>
  <dimension ref="B2:O36"/>
  <sheetViews>
    <sheetView topLeftCell="A13" zoomScale="130" zoomScaleNormal="130" workbookViewId="0">
      <selection activeCell="O9" sqref="O9"/>
    </sheetView>
  </sheetViews>
  <sheetFormatPr baseColWidth="10" defaultColWidth="8.83203125" defaultRowHeight="15"/>
  <cols>
    <col min="3" max="6" width="9.5" bestFit="1" customWidth="1"/>
    <col min="7" max="7" width="11.5" bestFit="1" customWidth="1"/>
    <col min="8" max="8" width="9.5" bestFit="1" customWidth="1"/>
  </cols>
  <sheetData>
    <row r="2" spans="2:15">
      <c r="B2" t="s">
        <v>1892</v>
      </c>
    </row>
    <row r="3" spans="2:15">
      <c r="B3" s="5" t="s">
        <v>47</v>
      </c>
    </row>
    <row r="4" spans="2:15">
      <c r="B4" s="5"/>
    </row>
    <row r="5" spans="2:15">
      <c r="B5" t="s">
        <v>1893</v>
      </c>
      <c r="F5" t="s">
        <v>1895</v>
      </c>
      <c r="I5" t="s">
        <v>1896</v>
      </c>
      <c r="L5" t="s">
        <v>1897</v>
      </c>
    </row>
    <row r="6" spans="2:15">
      <c r="B6" s="6" t="s">
        <v>1894</v>
      </c>
      <c r="F6" s="6" t="s">
        <v>1894</v>
      </c>
      <c r="I6" s="6" t="s">
        <v>1894</v>
      </c>
      <c r="L6" s="6" t="s">
        <v>1894</v>
      </c>
    </row>
    <row r="7" spans="2:15">
      <c r="B7" t="s">
        <v>0</v>
      </c>
      <c r="C7" t="s">
        <v>18</v>
      </c>
      <c r="I7" t="s">
        <v>0</v>
      </c>
      <c r="J7" t="s">
        <v>18</v>
      </c>
    </row>
    <row r="8" spans="2:15">
      <c r="B8">
        <v>0.01</v>
      </c>
      <c r="C8" s="3">
        <v>4.6399999999999997</v>
      </c>
      <c r="D8" s="3"/>
      <c r="E8" s="3"/>
      <c r="F8" s="3" t="str">
        <f>CONCATENATE("    - ", TEXT(B8,"0.000"))</f>
        <v xml:space="preserve">    - 0.010</v>
      </c>
      <c r="G8" s="3" t="str">
        <f>CONCATENATE("    - ", TEXT(C8,"0.000E+00"))</f>
        <v xml:space="preserve">    - 4.640E+00</v>
      </c>
      <c r="H8" s="3"/>
      <c r="I8">
        <v>0.01</v>
      </c>
      <c r="J8" s="1">
        <v>4.6399999999999997</v>
      </c>
      <c r="L8">
        <f>B8-I8</f>
        <v>0</v>
      </c>
      <c r="M8">
        <f>C8-J8</f>
        <v>0</v>
      </c>
    </row>
    <row r="9" spans="2:15">
      <c r="B9" s="4">
        <v>1.4999999999999999E-2</v>
      </c>
      <c r="C9" s="3">
        <v>1.3</v>
      </c>
      <c r="D9" s="3"/>
      <c r="E9" s="3"/>
      <c r="F9" s="3" t="str">
        <f t="shared" ref="F9:F34" si="0">CONCATENATE("    - ", TEXT(B9,"0.000"))</f>
        <v xml:space="preserve">    - 0.015</v>
      </c>
      <c r="G9" s="3" t="str">
        <f t="shared" ref="G9:G34" si="1">CONCATENATE("    - ", TEXT(C9,"0.000E+00"))</f>
        <v xml:space="preserve">    - 1.300E+00</v>
      </c>
      <c r="H9" s="3"/>
      <c r="I9">
        <v>1.4999999999999999E-2</v>
      </c>
      <c r="J9" s="1">
        <v>1.3</v>
      </c>
      <c r="L9">
        <f t="shared" ref="L9:M34" si="2">B9-I9</f>
        <v>0</v>
      </c>
      <c r="M9">
        <f t="shared" si="2"/>
        <v>0</v>
      </c>
    </row>
    <row r="10" spans="2:15">
      <c r="B10" s="4">
        <v>0.02</v>
      </c>
      <c r="C10" s="3">
        <v>0.52549999999999997</v>
      </c>
      <c r="D10" s="3"/>
      <c r="E10" s="3"/>
      <c r="F10" s="3" t="str">
        <f t="shared" si="0"/>
        <v xml:space="preserve">    - 0.020</v>
      </c>
      <c r="G10" s="3" t="str">
        <f t="shared" si="1"/>
        <v xml:space="preserve">    - 5.255E-01</v>
      </c>
      <c r="H10" s="3"/>
      <c r="I10">
        <v>0.02</v>
      </c>
      <c r="J10" s="1">
        <v>0.52549999999999997</v>
      </c>
      <c r="K10" s="1"/>
      <c r="L10">
        <f t="shared" si="2"/>
        <v>0</v>
      </c>
      <c r="M10">
        <f t="shared" si="2"/>
        <v>0</v>
      </c>
      <c r="N10" s="1"/>
      <c r="O10" s="1"/>
    </row>
    <row r="11" spans="2:15">
      <c r="B11" s="4">
        <v>0.03</v>
      </c>
      <c r="C11" s="3">
        <v>0.15010000000000001</v>
      </c>
      <c r="D11" s="3"/>
      <c r="E11" s="3"/>
      <c r="F11" s="3" t="str">
        <f t="shared" si="0"/>
        <v xml:space="preserve">    - 0.030</v>
      </c>
      <c r="G11" s="3" t="str">
        <f t="shared" si="1"/>
        <v xml:space="preserve">    - 1.501E-01</v>
      </c>
      <c r="H11" s="3"/>
      <c r="I11">
        <v>0.03</v>
      </c>
      <c r="J11" s="1">
        <v>0.15010000000000001</v>
      </c>
      <c r="K11" s="1"/>
      <c r="L11">
        <f t="shared" si="2"/>
        <v>0</v>
      </c>
      <c r="M11">
        <f t="shared" si="2"/>
        <v>0</v>
      </c>
      <c r="N11" s="1"/>
      <c r="O11" s="1"/>
    </row>
    <row r="12" spans="2:15">
      <c r="B12" s="4">
        <v>0.04</v>
      </c>
      <c r="C12" s="3">
        <v>6.694E-2</v>
      </c>
      <c r="D12" s="3"/>
      <c r="E12" s="3"/>
      <c r="F12" s="3" t="str">
        <f t="shared" si="0"/>
        <v xml:space="preserve">    - 0.040</v>
      </c>
      <c r="G12" s="3" t="str">
        <f t="shared" si="1"/>
        <v xml:space="preserve">    - 6.694E-02</v>
      </c>
      <c r="H12" s="3"/>
      <c r="I12">
        <v>0.04</v>
      </c>
      <c r="J12" s="1">
        <v>6.694E-2</v>
      </c>
      <c r="K12" s="1"/>
      <c r="L12">
        <f t="shared" si="2"/>
        <v>0</v>
      </c>
      <c r="M12">
        <f t="shared" si="2"/>
        <v>0</v>
      </c>
      <c r="N12" s="1"/>
      <c r="O12" s="1"/>
    </row>
    <row r="13" spans="2:15">
      <c r="B13" s="4">
        <v>0.05</v>
      </c>
      <c r="C13" s="3">
        <v>4.0309999999999999E-2</v>
      </c>
      <c r="D13" s="3"/>
      <c r="E13" s="3"/>
      <c r="F13" s="3" t="str">
        <f t="shared" si="0"/>
        <v xml:space="preserve">    - 0.050</v>
      </c>
      <c r="G13" s="3" t="str">
        <f t="shared" si="1"/>
        <v xml:space="preserve">    - 4.031E-02</v>
      </c>
      <c r="H13" s="3"/>
      <c r="I13">
        <v>0.05</v>
      </c>
      <c r="J13" s="1">
        <v>4.0309999999999999E-2</v>
      </c>
      <c r="K13" s="1"/>
      <c r="L13">
        <f t="shared" si="2"/>
        <v>0</v>
      </c>
      <c r="M13">
        <f t="shared" si="2"/>
        <v>0</v>
      </c>
      <c r="N13" s="1"/>
      <c r="O13" s="1"/>
    </row>
    <row r="14" spans="2:15">
      <c r="B14" s="4">
        <v>0.06</v>
      </c>
      <c r="C14" s="3">
        <v>3.0040000000000001E-2</v>
      </c>
      <c r="D14" s="3"/>
      <c r="E14" s="3"/>
      <c r="F14" s="3" t="str">
        <f t="shared" si="0"/>
        <v xml:space="preserve">    - 0.060</v>
      </c>
      <c r="G14" s="3" t="str">
        <f t="shared" si="1"/>
        <v xml:space="preserve">    - 3.004E-02</v>
      </c>
      <c r="H14" s="3"/>
      <c r="I14">
        <v>0.06</v>
      </c>
      <c r="J14" s="1">
        <v>3.0040000000000001E-2</v>
      </c>
      <c r="K14" s="1"/>
      <c r="L14">
        <f t="shared" si="2"/>
        <v>0</v>
      </c>
      <c r="M14">
        <f t="shared" si="2"/>
        <v>0</v>
      </c>
      <c r="N14" s="1"/>
      <c r="O14" s="1"/>
    </row>
    <row r="15" spans="2:15">
      <c r="B15" s="4">
        <v>0.08</v>
      </c>
      <c r="C15" s="3">
        <v>2.393E-2</v>
      </c>
      <c r="D15" s="3"/>
      <c r="E15" s="3"/>
      <c r="F15" s="3" t="str">
        <f t="shared" si="0"/>
        <v xml:space="preserve">    - 0.080</v>
      </c>
      <c r="G15" s="3" t="str">
        <f t="shared" si="1"/>
        <v xml:space="preserve">    - 2.393E-02</v>
      </c>
      <c r="H15" s="3"/>
      <c r="I15">
        <v>0.08</v>
      </c>
      <c r="J15" s="1">
        <v>2.393E-2</v>
      </c>
      <c r="K15" s="1"/>
      <c r="L15">
        <f t="shared" si="2"/>
        <v>0</v>
      </c>
      <c r="M15">
        <f t="shared" si="2"/>
        <v>0</v>
      </c>
      <c r="N15" s="1"/>
      <c r="O15" s="1"/>
    </row>
    <row r="16" spans="2:15">
      <c r="B16" s="4">
        <v>0.1</v>
      </c>
      <c r="C16" s="3">
        <v>2.3179999999999999E-2</v>
      </c>
      <c r="D16" s="3"/>
      <c r="E16" s="3"/>
      <c r="F16" s="3" t="str">
        <f t="shared" si="0"/>
        <v xml:space="preserve">    - 0.100</v>
      </c>
      <c r="G16" s="3" t="str">
        <f t="shared" si="1"/>
        <v xml:space="preserve">    - 2.318E-02</v>
      </c>
      <c r="H16" s="3"/>
      <c r="I16">
        <v>0.1</v>
      </c>
      <c r="J16" s="1">
        <v>2.3179999999999999E-2</v>
      </c>
      <c r="K16" s="1"/>
      <c r="L16">
        <f t="shared" si="2"/>
        <v>0</v>
      </c>
      <c r="M16">
        <f t="shared" si="2"/>
        <v>0</v>
      </c>
      <c r="N16" s="1"/>
      <c r="O16" s="1"/>
    </row>
    <row r="17" spans="2:15">
      <c r="B17" s="4">
        <v>0.15</v>
      </c>
      <c r="C17" s="3">
        <v>2.494E-2</v>
      </c>
      <c r="D17" s="3"/>
      <c r="E17" s="3"/>
      <c r="F17" s="3" t="str">
        <f t="shared" si="0"/>
        <v xml:space="preserve">    - 0.150</v>
      </c>
      <c r="G17" s="3" t="str">
        <f t="shared" si="1"/>
        <v xml:space="preserve">    - 2.494E-02</v>
      </c>
      <c r="H17" s="3"/>
      <c r="I17">
        <v>0.15</v>
      </c>
      <c r="J17" s="1">
        <v>2.494E-2</v>
      </c>
      <c r="K17" s="1"/>
      <c r="L17">
        <f t="shared" si="2"/>
        <v>0</v>
      </c>
      <c r="M17">
        <f t="shared" si="2"/>
        <v>0</v>
      </c>
      <c r="N17" s="1"/>
      <c r="O17" s="1"/>
    </row>
    <row r="18" spans="2:15">
      <c r="B18" s="4">
        <v>0.2</v>
      </c>
      <c r="C18" s="3">
        <v>2.6720000000000001E-2</v>
      </c>
      <c r="D18" s="3"/>
      <c r="E18" s="3"/>
      <c r="F18" s="3" t="str">
        <f t="shared" si="0"/>
        <v xml:space="preserve">    - 0.200</v>
      </c>
      <c r="G18" s="3" t="str">
        <f t="shared" si="1"/>
        <v xml:space="preserve">    - 2.672E-02</v>
      </c>
      <c r="H18" s="3"/>
      <c r="I18">
        <v>0.2</v>
      </c>
      <c r="J18" s="1">
        <v>2.6720000000000001E-2</v>
      </c>
      <c r="K18" s="1"/>
      <c r="L18">
        <f t="shared" si="2"/>
        <v>0</v>
      </c>
      <c r="M18">
        <f t="shared" si="2"/>
        <v>0</v>
      </c>
      <c r="N18" s="1"/>
      <c r="O18" s="1"/>
    </row>
    <row r="19" spans="2:15">
      <c r="B19" s="4">
        <v>0.3</v>
      </c>
      <c r="C19" s="3">
        <v>2.8719999999999999E-2</v>
      </c>
      <c r="D19" s="3"/>
      <c r="E19" s="3"/>
      <c r="F19" s="3" t="str">
        <f t="shared" si="0"/>
        <v xml:space="preserve">    - 0.300</v>
      </c>
      <c r="G19" s="3" t="str">
        <f t="shared" si="1"/>
        <v xml:space="preserve">    - 2.872E-02</v>
      </c>
      <c r="H19" s="3"/>
      <c r="I19">
        <v>0.3</v>
      </c>
      <c r="J19" s="1">
        <v>2.8719999999999999E-2</v>
      </c>
      <c r="K19" s="1"/>
      <c r="L19">
        <f t="shared" si="2"/>
        <v>0</v>
      </c>
      <c r="M19">
        <f t="shared" si="2"/>
        <v>0</v>
      </c>
      <c r="N19" s="1"/>
      <c r="O19" s="1"/>
    </row>
    <row r="20" spans="2:15">
      <c r="B20" s="4">
        <v>0.4</v>
      </c>
      <c r="C20" s="3">
        <v>2.9489999999999999E-2</v>
      </c>
      <c r="D20" s="3"/>
      <c r="E20" s="3"/>
      <c r="F20" s="3" t="str">
        <f t="shared" si="0"/>
        <v xml:space="preserve">    - 0.400</v>
      </c>
      <c r="G20" s="3" t="str">
        <f t="shared" si="1"/>
        <v xml:space="preserve">    - 2.949E-02</v>
      </c>
      <c r="H20" s="3"/>
      <c r="I20">
        <v>0.4</v>
      </c>
      <c r="J20" s="1">
        <v>2.9489999999999999E-2</v>
      </c>
      <c r="K20" s="1"/>
      <c r="L20">
        <f t="shared" si="2"/>
        <v>0</v>
      </c>
      <c r="M20">
        <f t="shared" si="2"/>
        <v>0</v>
      </c>
      <c r="N20" s="1"/>
      <c r="O20" s="1"/>
    </row>
    <row r="21" spans="2:15">
      <c r="B21" s="4">
        <v>0.5</v>
      </c>
      <c r="C21" s="3">
        <v>2.9659999999999999E-2</v>
      </c>
      <c r="D21" s="3"/>
      <c r="E21" s="3"/>
      <c r="F21" s="3" t="str">
        <f t="shared" si="0"/>
        <v xml:space="preserve">    - 0.500</v>
      </c>
      <c r="G21" s="3" t="str">
        <f t="shared" si="1"/>
        <v xml:space="preserve">    - 2.966E-02</v>
      </c>
      <c r="H21" s="3"/>
      <c r="I21">
        <v>0.5</v>
      </c>
      <c r="J21" s="1">
        <v>2.9659999999999999E-2</v>
      </c>
      <c r="K21" s="1"/>
      <c r="L21">
        <f t="shared" si="2"/>
        <v>0</v>
      </c>
      <c r="M21">
        <f t="shared" si="2"/>
        <v>0</v>
      </c>
      <c r="N21" s="1"/>
      <c r="O21" s="1"/>
    </row>
    <row r="22" spans="2:15">
      <c r="B22" s="4">
        <v>0.6</v>
      </c>
      <c r="C22" s="3">
        <v>2.9530000000000001E-2</v>
      </c>
      <c r="D22" s="3"/>
      <c r="E22" s="3"/>
      <c r="F22" s="3" t="str">
        <f t="shared" si="0"/>
        <v xml:space="preserve">    - 0.600</v>
      </c>
      <c r="G22" s="3" t="str">
        <f t="shared" si="1"/>
        <v xml:space="preserve">    - 2.953E-02</v>
      </c>
      <c r="H22" s="3"/>
      <c r="I22">
        <v>0.6</v>
      </c>
      <c r="J22" s="1">
        <v>2.9530000000000001E-2</v>
      </c>
      <c r="K22" s="1"/>
      <c r="L22">
        <f t="shared" si="2"/>
        <v>0</v>
      </c>
      <c r="M22">
        <f t="shared" si="2"/>
        <v>0</v>
      </c>
      <c r="N22" s="1"/>
      <c r="O22" s="1"/>
    </row>
    <row r="23" spans="2:15">
      <c r="B23" s="4">
        <v>0.8</v>
      </c>
      <c r="C23" s="3">
        <v>2.8819999999999998E-2</v>
      </c>
      <c r="D23" s="3"/>
      <c r="E23" s="3"/>
      <c r="F23" s="3" t="str">
        <f t="shared" si="0"/>
        <v xml:space="preserve">    - 0.800</v>
      </c>
      <c r="G23" s="3" t="str">
        <f t="shared" si="1"/>
        <v xml:space="preserve">    - 2.882E-02</v>
      </c>
      <c r="H23" s="3"/>
      <c r="I23">
        <v>0.8</v>
      </c>
      <c r="J23" s="1">
        <v>2.8819999999999998E-2</v>
      </c>
      <c r="K23" s="1"/>
      <c r="L23">
        <f t="shared" si="2"/>
        <v>0</v>
      </c>
      <c r="M23">
        <f t="shared" si="2"/>
        <v>0</v>
      </c>
      <c r="N23" s="1"/>
      <c r="O23" s="1"/>
    </row>
    <row r="24" spans="2:15">
      <c r="B24" s="4">
        <v>1</v>
      </c>
      <c r="C24" s="3">
        <v>2.7869999999999999E-2</v>
      </c>
      <c r="D24" s="3"/>
      <c r="E24" s="3"/>
      <c r="F24" s="3" t="str">
        <f t="shared" si="0"/>
        <v xml:space="preserve">    - 1.000</v>
      </c>
      <c r="G24" s="3" t="str">
        <f t="shared" si="1"/>
        <v xml:space="preserve">    - 2.787E-02</v>
      </c>
      <c r="H24" s="3"/>
      <c r="I24">
        <v>1</v>
      </c>
      <c r="J24" s="1">
        <v>2.7869999999999999E-2</v>
      </c>
      <c r="K24" s="1"/>
      <c r="L24">
        <f t="shared" si="2"/>
        <v>0</v>
      </c>
      <c r="M24">
        <f t="shared" si="2"/>
        <v>0</v>
      </c>
      <c r="N24" s="1"/>
      <c r="O24" s="1"/>
    </row>
    <row r="25" spans="2:15">
      <c r="B25" s="4">
        <v>1.5</v>
      </c>
      <c r="C25" s="3">
        <v>2.545E-2</v>
      </c>
      <c r="D25" s="3"/>
      <c r="E25" s="3"/>
      <c r="F25" s="3" t="str">
        <f t="shared" si="0"/>
        <v xml:space="preserve">    - 1.500</v>
      </c>
      <c r="G25" s="3" t="str">
        <f t="shared" si="1"/>
        <v xml:space="preserve">    - 2.545E-02</v>
      </c>
      <c r="H25" s="3"/>
      <c r="I25">
        <v>1.5</v>
      </c>
      <c r="J25" s="1">
        <v>2.545E-2</v>
      </c>
      <c r="K25" s="1"/>
      <c r="L25">
        <f t="shared" si="2"/>
        <v>0</v>
      </c>
      <c r="M25">
        <f t="shared" si="2"/>
        <v>0</v>
      </c>
      <c r="N25" s="1"/>
      <c r="O25" s="1"/>
    </row>
    <row r="26" spans="2:15">
      <c r="B26" s="4">
        <v>2</v>
      </c>
      <c r="C26" s="3">
        <v>2.342E-2</v>
      </c>
      <c r="D26" s="3"/>
      <c r="E26" s="3"/>
      <c r="F26" s="3" t="str">
        <f t="shared" si="0"/>
        <v xml:space="preserve">    - 2.000</v>
      </c>
      <c r="G26" s="3" t="str">
        <f t="shared" si="1"/>
        <v xml:space="preserve">    - 2.342E-02</v>
      </c>
      <c r="H26" s="3"/>
      <c r="I26">
        <v>2</v>
      </c>
      <c r="J26" s="1">
        <v>2.342E-2</v>
      </c>
      <c r="K26" s="1"/>
      <c r="L26">
        <f t="shared" si="2"/>
        <v>0</v>
      </c>
      <c r="M26">
        <f t="shared" si="2"/>
        <v>0</v>
      </c>
      <c r="N26" s="1"/>
      <c r="O26" s="1"/>
    </row>
    <row r="27" spans="2:15">
      <c r="B27" s="4">
        <v>3</v>
      </c>
      <c r="C27" s="3">
        <v>2.0539999999999999E-2</v>
      </c>
      <c r="D27" s="3"/>
      <c r="E27" s="3"/>
      <c r="F27" s="3" t="str">
        <f t="shared" si="0"/>
        <v xml:space="preserve">    - 3.000</v>
      </c>
      <c r="G27" s="3" t="str">
        <f t="shared" si="1"/>
        <v xml:space="preserve">    - 2.054E-02</v>
      </c>
      <c r="H27" s="3"/>
      <c r="I27">
        <v>3</v>
      </c>
      <c r="J27" s="1">
        <v>2.0539999999999999E-2</v>
      </c>
      <c r="K27" s="1"/>
      <c r="L27">
        <f t="shared" si="2"/>
        <v>0</v>
      </c>
      <c r="M27">
        <f t="shared" si="2"/>
        <v>0</v>
      </c>
      <c r="N27" s="1"/>
      <c r="O27" s="1"/>
    </row>
    <row r="28" spans="2:15">
      <c r="B28" s="4">
        <v>4</v>
      </c>
      <c r="C28" s="3">
        <v>1.866E-2</v>
      </c>
      <c r="D28" s="3"/>
      <c r="E28" s="3"/>
      <c r="F28" s="3" t="str">
        <f t="shared" si="0"/>
        <v xml:space="preserve">    - 4.000</v>
      </c>
      <c r="G28" s="3" t="str">
        <f t="shared" si="1"/>
        <v xml:space="preserve">    - 1.866E-02</v>
      </c>
      <c r="H28" s="3"/>
      <c r="I28">
        <v>4</v>
      </c>
      <c r="J28" s="1">
        <v>1.866E-2</v>
      </c>
      <c r="K28" s="1"/>
      <c r="L28">
        <f t="shared" si="2"/>
        <v>0</v>
      </c>
      <c r="M28">
        <f t="shared" si="2"/>
        <v>0</v>
      </c>
      <c r="N28" s="1"/>
      <c r="O28" s="1"/>
    </row>
    <row r="29" spans="2:15">
      <c r="B29" s="4">
        <v>5</v>
      </c>
      <c r="C29" s="3">
        <v>1.737E-2</v>
      </c>
      <c r="D29" s="3"/>
      <c r="E29" s="3"/>
      <c r="F29" s="3" t="str">
        <f t="shared" si="0"/>
        <v xml:space="preserve">    - 5.000</v>
      </c>
      <c r="G29" s="3" t="str">
        <f t="shared" si="1"/>
        <v xml:space="preserve">    - 1.737E-02</v>
      </c>
      <c r="H29" s="3"/>
      <c r="I29">
        <v>5</v>
      </c>
      <c r="J29" s="1">
        <v>1.737E-2</v>
      </c>
      <c r="K29" s="1"/>
      <c r="L29">
        <f t="shared" si="2"/>
        <v>0</v>
      </c>
      <c r="M29">
        <f t="shared" si="2"/>
        <v>0</v>
      </c>
      <c r="N29" s="1"/>
      <c r="O29" s="1"/>
    </row>
    <row r="30" spans="2:15">
      <c r="B30" s="4">
        <v>6</v>
      </c>
      <c r="C30" s="3">
        <v>1.644E-2</v>
      </c>
      <c r="D30" s="3"/>
      <c r="E30" s="3"/>
      <c r="F30" s="3" t="str">
        <f t="shared" si="0"/>
        <v xml:space="preserve">    - 6.000</v>
      </c>
      <c r="G30" s="3" t="str">
        <f t="shared" si="1"/>
        <v xml:space="preserve">    - 1.644E-02</v>
      </c>
      <c r="H30" s="3"/>
      <c r="I30">
        <v>6</v>
      </c>
      <c r="J30" s="1">
        <v>1.644E-2</v>
      </c>
      <c r="K30" s="1"/>
      <c r="L30">
        <f t="shared" si="2"/>
        <v>0</v>
      </c>
      <c r="M30">
        <f t="shared" si="2"/>
        <v>0</v>
      </c>
      <c r="N30" s="1"/>
      <c r="O30" s="1"/>
    </row>
    <row r="31" spans="2:15">
      <c r="B31" s="4">
        <v>8</v>
      </c>
      <c r="C31" s="3">
        <v>1.521E-2</v>
      </c>
      <c r="D31" s="3"/>
      <c r="E31" s="3"/>
      <c r="F31" s="3" t="str">
        <f t="shared" si="0"/>
        <v xml:space="preserve">    - 8.000</v>
      </c>
      <c r="G31" s="3" t="str">
        <f t="shared" si="1"/>
        <v xml:space="preserve">    - 1.521E-02</v>
      </c>
      <c r="H31" s="3"/>
      <c r="I31">
        <v>8</v>
      </c>
      <c r="J31" s="1">
        <v>1.521E-2</v>
      </c>
      <c r="K31" s="1"/>
      <c r="L31">
        <f t="shared" si="2"/>
        <v>0</v>
      </c>
      <c r="M31">
        <f t="shared" si="2"/>
        <v>0</v>
      </c>
      <c r="N31" s="1"/>
      <c r="O31" s="1"/>
    </row>
    <row r="32" spans="2:15">
      <c r="B32" s="4">
        <v>10</v>
      </c>
      <c r="C32" s="3">
        <v>1.4460000000000001E-2</v>
      </c>
      <c r="D32" s="3"/>
      <c r="E32" s="3"/>
      <c r="F32" s="3" t="str">
        <f t="shared" si="0"/>
        <v xml:space="preserve">    - 10.000</v>
      </c>
      <c r="G32" s="3" t="str">
        <f t="shared" si="1"/>
        <v xml:space="preserve">    - 1.446E-02</v>
      </c>
      <c r="H32" s="3"/>
      <c r="I32">
        <v>10</v>
      </c>
      <c r="J32" s="1">
        <v>1.4460000000000001E-2</v>
      </c>
      <c r="K32" s="1"/>
      <c r="L32">
        <f t="shared" si="2"/>
        <v>0</v>
      </c>
      <c r="M32">
        <f t="shared" si="2"/>
        <v>0</v>
      </c>
      <c r="N32" s="1"/>
      <c r="O32" s="1"/>
    </row>
    <row r="33" spans="2:15">
      <c r="B33" s="4">
        <v>15</v>
      </c>
      <c r="C33" s="3">
        <v>1.349E-2</v>
      </c>
      <c r="D33" s="3"/>
      <c r="E33" s="3"/>
      <c r="F33" s="3" t="str">
        <f t="shared" si="0"/>
        <v xml:space="preserve">    - 15.000</v>
      </c>
      <c r="G33" s="3" t="str">
        <f t="shared" si="1"/>
        <v xml:space="preserve">    - 1.349E-02</v>
      </c>
      <c r="H33" s="3"/>
      <c r="I33">
        <v>15</v>
      </c>
      <c r="J33" s="1">
        <v>1.349E-2</v>
      </c>
      <c r="K33" s="1"/>
      <c r="L33">
        <f t="shared" si="2"/>
        <v>0</v>
      </c>
      <c r="M33">
        <f t="shared" si="2"/>
        <v>0</v>
      </c>
      <c r="N33" s="1"/>
      <c r="O33" s="1"/>
    </row>
    <row r="34" spans="2:15">
      <c r="B34" s="4">
        <v>20</v>
      </c>
      <c r="C34" s="3">
        <v>1.308E-2</v>
      </c>
      <c r="D34" s="3"/>
      <c r="E34" s="3"/>
      <c r="F34" s="3" t="str">
        <f t="shared" si="0"/>
        <v xml:space="preserve">    - 20.000</v>
      </c>
      <c r="G34" s="3" t="str">
        <f t="shared" si="1"/>
        <v xml:space="preserve">    - 1.308E-02</v>
      </c>
      <c r="H34" s="3"/>
      <c r="I34">
        <v>20</v>
      </c>
      <c r="J34" s="1">
        <v>1.308E-2</v>
      </c>
      <c r="K34" s="1"/>
      <c r="L34">
        <f t="shared" si="2"/>
        <v>0</v>
      </c>
      <c r="M34">
        <f t="shared" si="2"/>
        <v>0</v>
      </c>
      <c r="N34" s="1"/>
      <c r="O34" s="1"/>
    </row>
    <row r="35" spans="2:15">
      <c r="B35" s="4"/>
      <c r="C35" s="3"/>
      <c r="D35" s="3"/>
      <c r="E35" s="3"/>
      <c r="F35" s="3"/>
      <c r="G35" s="3"/>
      <c r="H35" s="3"/>
      <c r="K35" s="1"/>
      <c r="L35" s="1"/>
      <c r="M35" s="1"/>
      <c r="N35" s="1"/>
      <c r="O35" s="1"/>
    </row>
    <row r="36" spans="2:15">
      <c r="K36" s="1"/>
      <c r="L36" s="1"/>
      <c r="M36" s="1"/>
      <c r="N36" s="1"/>
      <c r="O36" s="1"/>
    </row>
  </sheetData>
  <conditionalFormatting sqref="L8:M34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README</vt:lpstr>
      <vt:lpstr>densities</vt:lpstr>
      <vt:lpstr>ANSI mass atten coeff</vt:lpstr>
      <vt:lpstr>DLC mass atten coeff</vt:lpstr>
      <vt:lpstr>final atten coeff</vt:lpstr>
      <vt:lpstr>ANSI Buildup Factors</vt:lpstr>
      <vt:lpstr>Mg Testing</vt:lpstr>
      <vt:lpstr>DLC Buildup Factors</vt:lpstr>
      <vt:lpstr>final G-P Buildup Factors</vt:lpstr>
      <vt:lpstr>mass energy abs coef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alan025</dc:creator>
  <cp:lastModifiedBy>Microsoft Office User</cp:lastModifiedBy>
  <dcterms:created xsi:type="dcterms:W3CDTF">2020-02-07T20:22:13Z</dcterms:created>
  <dcterms:modified xsi:type="dcterms:W3CDTF">2023-01-19T14:11:38Z</dcterms:modified>
</cp:coreProperties>
</file>