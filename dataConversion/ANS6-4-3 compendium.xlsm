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an/Desktop/github/ZapMeNot/dataConversion/"/>
    </mc:Choice>
  </mc:AlternateContent>
  <xr:revisionPtr revIDLastSave="0" documentId="13_ncr:1_{CA5CCBF6-12C7-7D4E-9CC4-052F05BB0928}" xr6:coauthVersionLast="47" xr6:coauthVersionMax="47" xr10:uidLastSave="{00000000-0000-0000-0000-000000000000}"/>
  <bookViews>
    <workbookView xWindow="2480" yWindow="500" windowWidth="25480" windowHeight="16040" activeTab="6" xr2:uid="{F5D138CD-512B-CE43-B8D1-AD8A6D4B58D8}"/>
  </bookViews>
  <sheets>
    <sheet name="README" sheetId="7" r:id="rId1"/>
    <sheet name="mass att coef wo coherent" sheetId="1" r:id="rId2"/>
    <sheet name="G-P Exposure BF Coeff" sheetId="6" r:id="rId3"/>
    <sheet name="mass energy abs coef" sheetId="3" r:id="rId4"/>
    <sheet name="Taylor Exposure BF Coeff" sheetId="8" r:id="rId5"/>
    <sheet name="BF Comparison" sheetId="11" r:id="rId6"/>
    <sheet name="Toolbox" sheetId="1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5" i="12" l="1"/>
  <c r="L5" i="12"/>
  <c r="V5" i="12" s="1"/>
  <c r="M5" i="12"/>
  <c r="N5" i="12"/>
  <c r="O5" i="12"/>
  <c r="P5" i="12"/>
  <c r="Q5" i="12"/>
  <c r="R5" i="12"/>
  <c r="AC269" i="12"/>
  <c r="AB269" i="12"/>
  <c r="AA269" i="12"/>
  <c r="Z269" i="12"/>
  <c r="Y269" i="12"/>
  <c r="X269" i="12"/>
  <c r="W269" i="12"/>
  <c r="V269" i="12"/>
  <c r="U269" i="12"/>
  <c r="AC268" i="12"/>
  <c r="AB268" i="12"/>
  <c r="AA268" i="12"/>
  <c r="Z268" i="12"/>
  <c r="Y268" i="12"/>
  <c r="X268" i="12"/>
  <c r="W268" i="12"/>
  <c r="V268" i="12"/>
  <c r="U268" i="12"/>
  <c r="AC267" i="12"/>
  <c r="AB267" i="12"/>
  <c r="AA267" i="12"/>
  <c r="Z267" i="12"/>
  <c r="Y267" i="12"/>
  <c r="X267" i="12"/>
  <c r="W267" i="12"/>
  <c r="V267" i="12"/>
  <c r="U267" i="12"/>
  <c r="AC266" i="12"/>
  <c r="AB266" i="12"/>
  <c r="AA266" i="12"/>
  <c r="Z266" i="12"/>
  <c r="Y266" i="12"/>
  <c r="X266" i="12"/>
  <c r="W266" i="12"/>
  <c r="V266" i="12"/>
  <c r="U266" i="12"/>
  <c r="AC265" i="12"/>
  <c r="AB265" i="12"/>
  <c r="AA265" i="12"/>
  <c r="Z265" i="12"/>
  <c r="Y265" i="12"/>
  <c r="X265" i="12"/>
  <c r="W265" i="12"/>
  <c r="V265" i="12"/>
  <c r="U265" i="12"/>
  <c r="AC264" i="12"/>
  <c r="AB264" i="12"/>
  <c r="AA264" i="12"/>
  <c r="Z264" i="12"/>
  <c r="Y264" i="12"/>
  <c r="X264" i="12"/>
  <c r="W264" i="12"/>
  <c r="V264" i="12"/>
  <c r="U264" i="12"/>
  <c r="AC263" i="12"/>
  <c r="AB263" i="12"/>
  <c r="AA263" i="12"/>
  <c r="Z263" i="12"/>
  <c r="Y263" i="12"/>
  <c r="X263" i="12"/>
  <c r="W263" i="12"/>
  <c r="V263" i="12"/>
  <c r="U263" i="12"/>
  <c r="AC262" i="12"/>
  <c r="AB262" i="12"/>
  <c r="AA262" i="12"/>
  <c r="Z262" i="12"/>
  <c r="Y262" i="12"/>
  <c r="X262" i="12"/>
  <c r="W262" i="12"/>
  <c r="V262" i="12"/>
  <c r="U262" i="12"/>
  <c r="AC261" i="12"/>
  <c r="AB261" i="12"/>
  <c r="AA261" i="12"/>
  <c r="Z261" i="12"/>
  <c r="Y261" i="12"/>
  <c r="X261" i="12"/>
  <c r="W261" i="12"/>
  <c r="V261" i="12"/>
  <c r="U261" i="12"/>
  <c r="AC260" i="12"/>
  <c r="AB260" i="12"/>
  <c r="AA260" i="12"/>
  <c r="Z260" i="12"/>
  <c r="Y260" i="12"/>
  <c r="X260" i="12"/>
  <c r="W260" i="12"/>
  <c r="V260" i="12"/>
  <c r="U260" i="12"/>
  <c r="AC259" i="12"/>
  <c r="AB259" i="12"/>
  <c r="AA259" i="12"/>
  <c r="Z259" i="12"/>
  <c r="Y259" i="12"/>
  <c r="X259" i="12"/>
  <c r="W259" i="12"/>
  <c r="V259" i="12"/>
  <c r="U259" i="12"/>
  <c r="AC258" i="12"/>
  <c r="AB258" i="12"/>
  <c r="AA258" i="12"/>
  <c r="Z258" i="12"/>
  <c r="Y258" i="12"/>
  <c r="X258" i="12"/>
  <c r="W258" i="12"/>
  <c r="V258" i="12"/>
  <c r="U258" i="12"/>
  <c r="AC257" i="12"/>
  <c r="AB257" i="12"/>
  <c r="AA257" i="12"/>
  <c r="Z257" i="12"/>
  <c r="Y257" i="12"/>
  <c r="X257" i="12"/>
  <c r="W257" i="12"/>
  <c r="V257" i="12"/>
  <c r="U257" i="12"/>
  <c r="AC256" i="12"/>
  <c r="AB256" i="12"/>
  <c r="AA256" i="12"/>
  <c r="Z256" i="12"/>
  <c r="Y256" i="12"/>
  <c r="X256" i="12"/>
  <c r="W256" i="12"/>
  <c r="V256" i="12"/>
  <c r="U256" i="12"/>
  <c r="AC255" i="12"/>
  <c r="AB255" i="12"/>
  <c r="AA255" i="12"/>
  <c r="Z255" i="12"/>
  <c r="Y255" i="12"/>
  <c r="X255" i="12"/>
  <c r="W255" i="12"/>
  <c r="V255" i="12"/>
  <c r="U255" i="12"/>
  <c r="AC254" i="12"/>
  <c r="AB254" i="12"/>
  <c r="AA254" i="12"/>
  <c r="Z254" i="12"/>
  <c r="Y254" i="12"/>
  <c r="X254" i="12"/>
  <c r="W254" i="12"/>
  <c r="V254" i="12"/>
  <c r="U254" i="12"/>
  <c r="AC253" i="12"/>
  <c r="AB253" i="12"/>
  <c r="AA253" i="12"/>
  <c r="Z253" i="12"/>
  <c r="Y253" i="12"/>
  <c r="X253" i="12"/>
  <c r="W253" i="12"/>
  <c r="V253" i="12"/>
  <c r="U253" i="12"/>
  <c r="AC252" i="12"/>
  <c r="AB252" i="12"/>
  <c r="AA252" i="12"/>
  <c r="Z252" i="12"/>
  <c r="Y252" i="12"/>
  <c r="X252" i="12"/>
  <c r="W252" i="12"/>
  <c r="V252" i="12"/>
  <c r="U252" i="12"/>
  <c r="AC251" i="12"/>
  <c r="AB251" i="12"/>
  <c r="AA251" i="12"/>
  <c r="Z251" i="12"/>
  <c r="Y251" i="12"/>
  <c r="X251" i="12"/>
  <c r="W251" i="12"/>
  <c r="V251" i="12"/>
  <c r="U251" i="12"/>
  <c r="AC250" i="12"/>
  <c r="AB250" i="12"/>
  <c r="AA250" i="12"/>
  <c r="Z250" i="12"/>
  <c r="Y250" i="12"/>
  <c r="X250" i="12"/>
  <c r="W250" i="12"/>
  <c r="V250" i="12"/>
  <c r="U250" i="12"/>
  <c r="AC249" i="12"/>
  <c r="AB249" i="12"/>
  <c r="AA249" i="12"/>
  <c r="Z249" i="12"/>
  <c r="Y249" i="12"/>
  <c r="X249" i="12"/>
  <c r="W249" i="12"/>
  <c r="V249" i="12"/>
  <c r="U249" i="12"/>
  <c r="AC248" i="12"/>
  <c r="AB248" i="12"/>
  <c r="AA248" i="12"/>
  <c r="Z248" i="12"/>
  <c r="Y248" i="12"/>
  <c r="X248" i="12"/>
  <c r="W248" i="12"/>
  <c r="V248" i="12"/>
  <c r="U248" i="12"/>
  <c r="AC247" i="12"/>
  <c r="AB247" i="12"/>
  <c r="AA247" i="12"/>
  <c r="Z247" i="12"/>
  <c r="Y247" i="12"/>
  <c r="X247" i="12"/>
  <c r="W247" i="12"/>
  <c r="V247" i="12"/>
  <c r="U247" i="12"/>
  <c r="AC246" i="12"/>
  <c r="AB246" i="12"/>
  <c r="AA246" i="12"/>
  <c r="Z246" i="12"/>
  <c r="Y246" i="12"/>
  <c r="X246" i="12"/>
  <c r="W246" i="12"/>
  <c r="V246" i="12"/>
  <c r="U246" i="12"/>
  <c r="AC245" i="12"/>
  <c r="AB245" i="12"/>
  <c r="AA245" i="12"/>
  <c r="Z245" i="12"/>
  <c r="Y245" i="12"/>
  <c r="X245" i="12"/>
  <c r="W245" i="12"/>
  <c r="V245" i="12"/>
  <c r="U245" i="12"/>
  <c r="AC239" i="12"/>
  <c r="AB239" i="12"/>
  <c r="AA239" i="12"/>
  <c r="Z239" i="12"/>
  <c r="Y239" i="12"/>
  <c r="X239" i="12"/>
  <c r="W239" i="12"/>
  <c r="V239" i="12"/>
  <c r="U239" i="12"/>
  <c r="AC238" i="12"/>
  <c r="AB238" i="12"/>
  <c r="AA238" i="12"/>
  <c r="Z238" i="12"/>
  <c r="Y238" i="12"/>
  <c r="X238" i="12"/>
  <c r="W238" i="12"/>
  <c r="V238" i="12"/>
  <c r="U238" i="12"/>
  <c r="AC237" i="12"/>
  <c r="AB237" i="12"/>
  <c r="AA237" i="12"/>
  <c r="Z237" i="12"/>
  <c r="Y237" i="12"/>
  <c r="X237" i="12"/>
  <c r="W237" i="12"/>
  <c r="V237" i="12"/>
  <c r="U237" i="12"/>
  <c r="AC236" i="12"/>
  <c r="AB236" i="12"/>
  <c r="AA236" i="12"/>
  <c r="Z236" i="12"/>
  <c r="Y236" i="12"/>
  <c r="X236" i="12"/>
  <c r="W236" i="12"/>
  <c r="V236" i="12"/>
  <c r="U236" i="12"/>
  <c r="AC235" i="12"/>
  <c r="AB235" i="12"/>
  <c r="AA235" i="12"/>
  <c r="Z235" i="12"/>
  <c r="Y235" i="12"/>
  <c r="X235" i="12"/>
  <c r="W235" i="12"/>
  <c r="V235" i="12"/>
  <c r="U235" i="12"/>
  <c r="AC234" i="12"/>
  <c r="AB234" i="12"/>
  <c r="AA234" i="12"/>
  <c r="Z234" i="12"/>
  <c r="Y234" i="12"/>
  <c r="X234" i="12"/>
  <c r="W234" i="12"/>
  <c r="V234" i="12"/>
  <c r="U234" i="12"/>
  <c r="AC233" i="12"/>
  <c r="AB233" i="12"/>
  <c r="AA233" i="12"/>
  <c r="Z233" i="12"/>
  <c r="Y233" i="12"/>
  <c r="X233" i="12"/>
  <c r="W233" i="12"/>
  <c r="V233" i="12"/>
  <c r="U233" i="12"/>
  <c r="AC232" i="12"/>
  <c r="AB232" i="12"/>
  <c r="AA232" i="12"/>
  <c r="Z232" i="12"/>
  <c r="Y232" i="12"/>
  <c r="X232" i="12"/>
  <c r="W232" i="12"/>
  <c r="V232" i="12"/>
  <c r="U232" i="12"/>
  <c r="AC231" i="12"/>
  <c r="AB231" i="12"/>
  <c r="AA231" i="12"/>
  <c r="Z231" i="12"/>
  <c r="Y231" i="12"/>
  <c r="X231" i="12"/>
  <c r="W231" i="12"/>
  <c r="V231" i="12"/>
  <c r="U231" i="12"/>
  <c r="AC230" i="12"/>
  <c r="AB230" i="12"/>
  <c r="AA230" i="12"/>
  <c r="Z230" i="12"/>
  <c r="Y230" i="12"/>
  <c r="X230" i="12"/>
  <c r="W230" i="12"/>
  <c r="V230" i="12"/>
  <c r="U230" i="12"/>
  <c r="AC229" i="12"/>
  <c r="AB229" i="12"/>
  <c r="AA229" i="12"/>
  <c r="Z229" i="12"/>
  <c r="Y229" i="12"/>
  <c r="X229" i="12"/>
  <c r="W229" i="12"/>
  <c r="V229" i="12"/>
  <c r="U229" i="12"/>
  <c r="AC228" i="12"/>
  <c r="AB228" i="12"/>
  <c r="AA228" i="12"/>
  <c r="Z228" i="12"/>
  <c r="Y228" i="12"/>
  <c r="X228" i="12"/>
  <c r="W228" i="12"/>
  <c r="V228" i="12"/>
  <c r="U228" i="12"/>
  <c r="AC227" i="12"/>
  <c r="AB227" i="12"/>
  <c r="AA227" i="12"/>
  <c r="Z227" i="12"/>
  <c r="Y227" i="12"/>
  <c r="X227" i="12"/>
  <c r="W227" i="12"/>
  <c r="V227" i="12"/>
  <c r="U227" i="12"/>
  <c r="AC226" i="12"/>
  <c r="AB226" i="12"/>
  <c r="AA226" i="12"/>
  <c r="Z226" i="12"/>
  <c r="Y226" i="12"/>
  <c r="X226" i="12"/>
  <c r="W226" i="12"/>
  <c r="V226" i="12"/>
  <c r="U226" i="12"/>
  <c r="AC225" i="12"/>
  <c r="AB225" i="12"/>
  <c r="AA225" i="12"/>
  <c r="Z225" i="12"/>
  <c r="Y225" i="12"/>
  <c r="X225" i="12"/>
  <c r="W225" i="12"/>
  <c r="V225" i="12"/>
  <c r="U225" i="12"/>
  <c r="AC224" i="12"/>
  <c r="AB224" i="12"/>
  <c r="AA224" i="12"/>
  <c r="Z224" i="12"/>
  <c r="Y224" i="12"/>
  <c r="X224" i="12"/>
  <c r="W224" i="12"/>
  <c r="V224" i="12"/>
  <c r="U224" i="12"/>
  <c r="AC223" i="12"/>
  <c r="AB223" i="12"/>
  <c r="AA223" i="12"/>
  <c r="Z223" i="12"/>
  <c r="Y223" i="12"/>
  <c r="X223" i="12"/>
  <c r="W223" i="12"/>
  <c r="V223" i="12"/>
  <c r="U223" i="12"/>
  <c r="AC222" i="12"/>
  <c r="AB222" i="12"/>
  <c r="AA222" i="12"/>
  <c r="Z222" i="12"/>
  <c r="Y222" i="12"/>
  <c r="X222" i="12"/>
  <c r="W222" i="12"/>
  <c r="V222" i="12"/>
  <c r="U222" i="12"/>
  <c r="AC221" i="12"/>
  <c r="AB221" i="12"/>
  <c r="AA221" i="12"/>
  <c r="Z221" i="12"/>
  <c r="Y221" i="12"/>
  <c r="X221" i="12"/>
  <c r="W221" i="12"/>
  <c r="V221" i="12"/>
  <c r="U221" i="12"/>
  <c r="AC220" i="12"/>
  <c r="AB220" i="12"/>
  <c r="AA220" i="12"/>
  <c r="Z220" i="12"/>
  <c r="Y220" i="12"/>
  <c r="X220" i="12"/>
  <c r="W220" i="12"/>
  <c r="V220" i="12"/>
  <c r="U220" i="12"/>
  <c r="AC219" i="12"/>
  <c r="AB219" i="12"/>
  <c r="AA219" i="12"/>
  <c r="Z219" i="12"/>
  <c r="Y219" i="12"/>
  <c r="X219" i="12"/>
  <c r="W219" i="12"/>
  <c r="V219" i="12"/>
  <c r="U219" i="12"/>
  <c r="AC218" i="12"/>
  <c r="AB218" i="12"/>
  <c r="AA218" i="12"/>
  <c r="Z218" i="12"/>
  <c r="Y218" i="12"/>
  <c r="X218" i="12"/>
  <c r="W218" i="12"/>
  <c r="V218" i="12"/>
  <c r="U218" i="12"/>
  <c r="AC217" i="12"/>
  <c r="AB217" i="12"/>
  <c r="AA217" i="12"/>
  <c r="Z217" i="12"/>
  <c r="Y217" i="12"/>
  <c r="X217" i="12"/>
  <c r="W217" i="12"/>
  <c r="V217" i="12"/>
  <c r="U217" i="12"/>
  <c r="AC216" i="12"/>
  <c r="AB216" i="12"/>
  <c r="AA216" i="12"/>
  <c r="Z216" i="12"/>
  <c r="Y216" i="12"/>
  <c r="X216" i="12"/>
  <c r="W216" i="12"/>
  <c r="V216" i="12"/>
  <c r="U216" i="12"/>
  <c r="AC215" i="12"/>
  <c r="AB215" i="12"/>
  <c r="AA215" i="12"/>
  <c r="Z215" i="12"/>
  <c r="Y215" i="12"/>
  <c r="X215" i="12"/>
  <c r="W215" i="12"/>
  <c r="V215" i="12"/>
  <c r="U215" i="12"/>
  <c r="AC209" i="12"/>
  <c r="AB209" i="12"/>
  <c r="AA209" i="12"/>
  <c r="Z209" i="12"/>
  <c r="Y209" i="12"/>
  <c r="X209" i="12"/>
  <c r="W209" i="12"/>
  <c r="V209" i="12"/>
  <c r="U209" i="12"/>
  <c r="AC208" i="12"/>
  <c r="AB208" i="12"/>
  <c r="AA208" i="12"/>
  <c r="Z208" i="12"/>
  <c r="Y208" i="12"/>
  <c r="X208" i="12"/>
  <c r="W208" i="12"/>
  <c r="V208" i="12"/>
  <c r="U208" i="12"/>
  <c r="AC207" i="12"/>
  <c r="AB207" i="12"/>
  <c r="AA207" i="12"/>
  <c r="Z207" i="12"/>
  <c r="Y207" i="12"/>
  <c r="X207" i="12"/>
  <c r="W207" i="12"/>
  <c r="V207" i="12"/>
  <c r="U207" i="12"/>
  <c r="AC206" i="12"/>
  <c r="AB206" i="12"/>
  <c r="AA206" i="12"/>
  <c r="Z206" i="12"/>
  <c r="Y206" i="12"/>
  <c r="X206" i="12"/>
  <c r="W206" i="12"/>
  <c r="V206" i="12"/>
  <c r="U206" i="12"/>
  <c r="AC205" i="12"/>
  <c r="AB205" i="12"/>
  <c r="AA205" i="12"/>
  <c r="Z205" i="12"/>
  <c r="Y205" i="12"/>
  <c r="X205" i="12"/>
  <c r="W205" i="12"/>
  <c r="V205" i="12"/>
  <c r="U205" i="12"/>
  <c r="AC204" i="12"/>
  <c r="AB204" i="12"/>
  <c r="AA204" i="12"/>
  <c r="Z204" i="12"/>
  <c r="Y204" i="12"/>
  <c r="X204" i="12"/>
  <c r="W204" i="12"/>
  <c r="V204" i="12"/>
  <c r="U204" i="12"/>
  <c r="AC203" i="12"/>
  <c r="AB203" i="12"/>
  <c r="AA203" i="12"/>
  <c r="Z203" i="12"/>
  <c r="Y203" i="12"/>
  <c r="X203" i="12"/>
  <c r="W203" i="12"/>
  <c r="V203" i="12"/>
  <c r="U203" i="12"/>
  <c r="AC202" i="12"/>
  <c r="AB202" i="12"/>
  <c r="AA202" i="12"/>
  <c r="Z202" i="12"/>
  <c r="Y202" i="12"/>
  <c r="X202" i="12"/>
  <c r="W202" i="12"/>
  <c r="V202" i="12"/>
  <c r="U202" i="12"/>
  <c r="AC201" i="12"/>
  <c r="AB201" i="12"/>
  <c r="AA201" i="12"/>
  <c r="Z201" i="12"/>
  <c r="Y201" i="12"/>
  <c r="X201" i="12"/>
  <c r="W201" i="12"/>
  <c r="V201" i="12"/>
  <c r="U201" i="12"/>
  <c r="AC200" i="12"/>
  <c r="AB200" i="12"/>
  <c r="AA200" i="12"/>
  <c r="Z200" i="12"/>
  <c r="Y200" i="12"/>
  <c r="X200" i="12"/>
  <c r="W200" i="12"/>
  <c r="V200" i="12"/>
  <c r="U200" i="12"/>
  <c r="AC199" i="12"/>
  <c r="AB199" i="12"/>
  <c r="AA199" i="12"/>
  <c r="Z199" i="12"/>
  <c r="Y199" i="12"/>
  <c r="X199" i="12"/>
  <c r="W199" i="12"/>
  <c r="V199" i="12"/>
  <c r="U199" i="12"/>
  <c r="AC198" i="12"/>
  <c r="AB198" i="12"/>
  <c r="AA198" i="12"/>
  <c r="Z198" i="12"/>
  <c r="Y198" i="12"/>
  <c r="X198" i="12"/>
  <c r="W198" i="12"/>
  <c r="V198" i="12"/>
  <c r="U198" i="12"/>
  <c r="AC197" i="12"/>
  <c r="AB197" i="12"/>
  <c r="AA197" i="12"/>
  <c r="Z197" i="12"/>
  <c r="Y197" i="12"/>
  <c r="X197" i="12"/>
  <c r="W197" i="12"/>
  <c r="V197" i="12"/>
  <c r="U197" i="12"/>
  <c r="AC196" i="12"/>
  <c r="AB196" i="12"/>
  <c r="AA196" i="12"/>
  <c r="Z196" i="12"/>
  <c r="Y196" i="12"/>
  <c r="X196" i="12"/>
  <c r="W196" i="12"/>
  <c r="V196" i="12"/>
  <c r="U196" i="12"/>
  <c r="AC195" i="12"/>
  <c r="AB195" i="12"/>
  <c r="AA195" i="12"/>
  <c r="Z195" i="12"/>
  <c r="Y195" i="12"/>
  <c r="X195" i="12"/>
  <c r="W195" i="12"/>
  <c r="V195" i="12"/>
  <c r="U195" i="12"/>
  <c r="AC194" i="12"/>
  <c r="AB194" i="12"/>
  <c r="AA194" i="12"/>
  <c r="Z194" i="12"/>
  <c r="Y194" i="12"/>
  <c r="X194" i="12"/>
  <c r="W194" i="12"/>
  <c r="V194" i="12"/>
  <c r="U194" i="12"/>
  <c r="AC193" i="12"/>
  <c r="AB193" i="12"/>
  <c r="AA193" i="12"/>
  <c r="Z193" i="12"/>
  <c r="Y193" i="12"/>
  <c r="X193" i="12"/>
  <c r="W193" i="12"/>
  <c r="V193" i="12"/>
  <c r="U193" i="12"/>
  <c r="AC192" i="12"/>
  <c r="AB192" i="12"/>
  <c r="AA192" i="12"/>
  <c r="Z192" i="12"/>
  <c r="Y192" i="12"/>
  <c r="X192" i="12"/>
  <c r="W192" i="12"/>
  <c r="V192" i="12"/>
  <c r="U192" i="12"/>
  <c r="AC191" i="12"/>
  <c r="AB191" i="12"/>
  <c r="AA191" i="12"/>
  <c r="Z191" i="12"/>
  <c r="Y191" i="12"/>
  <c r="X191" i="12"/>
  <c r="W191" i="12"/>
  <c r="V191" i="12"/>
  <c r="U191" i="12"/>
  <c r="AC190" i="12"/>
  <c r="AB190" i="12"/>
  <c r="AA190" i="12"/>
  <c r="Z190" i="12"/>
  <c r="Y190" i="12"/>
  <c r="X190" i="12"/>
  <c r="W190" i="12"/>
  <c r="V190" i="12"/>
  <c r="U190" i="12"/>
  <c r="AC189" i="12"/>
  <c r="AB189" i="12"/>
  <c r="AA189" i="12"/>
  <c r="Z189" i="12"/>
  <c r="Y189" i="12"/>
  <c r="X189" i="12"/>
  <c r="W189" i="12"/>
  <c r="V189" i="12"/>
  <c r="U189" i="12"/>
  <c r="AC188" i="12"/>
  <c r="AB188" i="12"/>
  <c r="AA188" i="12"/>
  <c r="Z188" i="12"/>
  <c r="Y188" i="12"/>
  <c r="X188" i="12"/>
  <c r="W188" i="12"/>
  <c r="V188" i="12"/>
  <c r="U188" i="12"/>
  <c r="AC187" i="12"/>
  <c r="AB187" i="12"/>
  <c r="AA187" i="12"/>
  <c r="Z187" i="12"/>
  <c r="Y187" i="12"/>
  <c r="X187" i="12"/>
  <c r="W187" i="12"/>
  <c r="V187" i="12"/>
  <c r="U187" i="12"/>
  <c r="AC186" i="12"/>
  <c r="AB186" i="12"/>
  <c r="AA186" i="12"/>
  <c r="Z186" i="12"/>
  <c r="Y186" i="12"/>
  <c r="X186" i="12"/>
  <c r="W186" i="12"/>
  <c r="V186" i="12"/>
  <c r="U186" i="12"/>
  <c r="AC185" i="12"/>
  <c r="AB185" i="12"/>
  <c r="AA185" i="12"/>
  <c r="Z185" i="12"/>
  <c r="Y185" i="12"/>
  <c r="X185" i="12"/>
  <c r="W185" i="12"/>
  <c r="V185" i="12"/>
  <c r="U185" i="12"/>
  <c r="AC179" i="12"/>
  <c r="AB179" i="12"/>
  <c r="AA179" i="12"/>
  <c r="Z179" i="12"/>
  <c r="Y179" i="12"/>
  <c r="X179" i="12"/>
  <c r="W179" i="12"/>
  <c r="V179" i="12"/>
  <c r="U179" i="12"/>
  <c r="AC178" i="12"/>
  <c r="AB178" i="12"/>
  <c r="AA178" i="12"/>
  <c r="Z178" i="12"/>
  <c r="Y178" i="12"/>
  <c r="X178" i="12"/>
  <c r="W178" i="12"/>
  <c r="V178" i="12"/>
  <c r="U178" i="12"/>
  <c r="AC177" i="12"/>
  <c r="AB177" i="12"/>
  <c r="AA177" i="12"/>
  <c r="Z177" i="12"/>
  <c r="Y177" i="12"/>
  <c r="X177" i="12"/>
  <c r="W177" i="12"/>
  <c r="V177" i="12"/>
  <c r="U177" i="12"/>
  <c r="AC176" i="12"/>
  <c r="AB176" i="12"/>
  <c r="AA176" i="12"/>
  <c r="Z176" i="12"/>
  <c r="Y176" i="12"/>
  <c r="X176" i="12"/>
  <c r="W176" i="12"/>
  <c r="V176" i="12"/>
  <c r="U176" i="12"/>
  <c r="AC175" i="12"/>
  <c r="AB175" i="12"/>
  <c r="AA175" i="12"/>
  <c r="Z175" i="12"/>
  <c r="Y175" i="12"/>
  <c r="X175" i="12"/>
  <c r="W175" i="12"/>
  <c r="V175" i="12"/>
  <c r="U175" i="12"/>
  <c r="AC174" i="12"/>
  <c r="AB174" i="12"/>
  <c r="AA174" i="12"/>
  <c r="Z174" i="12"/>
  <c r="Y174" i="12"/>
  <c r="X174" i="12"/>
  <c r="W174" i="12"/>
  <c r="V174" i="12"/>
  <c r="U174" i="12"/>
  <c r="AC173" i="12"/>
  <c r="AB173" i="12"/>
  <c r="AA173" i="12"/>
  <c r="Z173" i="12"/>
  <c r="Y173" i="12"/>
  <c r="X173" i="12"/>
  <c r="W173" i="12"/>
  <c r="V173" i="12"/>
  <c r="U173" i="12"/>
  <c r="AC172" i="12"/>
  <c r="AB172" i="12"/>
  <c r="AA172" i="12"/>
  <c r="Z172" i="12"/>
  <c r="Y172" i="12"/>
  <c r="X172" i="12"/>
  <c r="W172" i="12"/>
  <c r="V172" i="12"/>
  <c r="U172" i="12"/>
  <c r="AC171" i="12"/>
  <c r="AB171" i="12"/>
  <c r="AA171" i="12"/>
  <c r="Z171" i="12"/>
  <c r="Y171" i="12"/>
  <c r="X171" i="12"/>
  <c r="W171" i="12"/>
  <c r="V171" i="12"/>
  <c r="U171" i="12"/>
  <c r="AC170" i="12"/>
  <c r="AB170" i="12"/>
  <c r="AA170" i="12"/>
  <c r="Z170" i="12"/>
  <c r="Y170" i="12"/>
  <c r="X170" i="12"/>
  <c r="W170" i="12"/>
  <c r="V170" i="12"/>
  <c r="U170" i="12"/>
  <c r="AC169" i="12"/>
  <c r="AB169" i="12"/>
  <c r="AA169" i="12"/>
  <c r="Z169" i="12"/>
  <c r="Y169" i="12"/>
  <c r="X169" i="12"/>
  <c r="W169" i="12"/>
  <c r="V169" i="12"/>
  <c r="U169" i="12"/>
  <c r="AC168" i="12"/>
  <c r="AB168" i="12"/>
  <c r="AA168" i="12"/>
  <c r="Z168" i="12"/>
  <c r="Y168" i="12"/>
  <c r="X168" i="12"/>
  <c r="W168" i="12"/>
  <c r="V168" i="12"/>
  <c r="U168" i="12"/>
  <c r="AC167" i="12"/>
  <c r="AB167" i="12"/>
  <c r="AA167" i="12"/>
  <c r="Z167" i="12"/>
  <c r="Y167" i="12"/>
  <c r="X167" i="12"/>
  <c r="W167" i="12"/>
  <c r="V167" i="12"/>
  <c r="U167" i="12"/>
  <c r="AC166" i="12"/>
  <c r="AB166" i="12"/>
  <c r="AA166" i="12"/>
  <c r="Z166" i="12"/>
  <c r="Y166" i="12"/>
  <c r="X166" i="12"/>
  <c r="W166" i="12"/>
  <c r="V166" i="12"/>
  <c r="U166" i="12"/>
  <c r="AC165" i="12"/>
  <c r="AB165" i="12"/>
  <c r="AA165" i="12"/>
  <c r="Z165" i="12"/>
  <c r="Y165" i="12"/>
  <c r="X165" i="12"/>
  <c r="W165" i="12"/>
  <c r="V165" i="12"/>
  <c r="U165" i="12"/>
  <c r="AC164" i="12"/>
  <c r="AB164" i="12"/>
  <c r="AA164" i="12"/>
  <c r="Z164" i="12"/>
  <c r="Y164" i="12"/>
  <c r="X164" i="12"/>
  <c r="W164" i="12"/>
  <c r="V164" i="12"/>
  <c r="U164" i="12"/>
  <c r="AC163" i="12"/>
  <c r="AB163" i="12"/>
  <c r="AA163" i="12"/>
  <c r="Z163" i="12"/>
  <c r="Y163" i="12"/>
  <c r="X163" i="12"/>
  <c r="W163" i="12"/>
  <c r="V163" i="12"/>
  <c r="U163" i="12"/>
  <c r="AC162" i="12"/>
  <c r="AB162" i="12"/>
  <c r="AA162" i="12"/>
  <c r="Z162" i="12"/>
  <c r="Y162" i="12"/>
  <c r="X162" i="12"/>
  <c r="W162" i="12"/>
  <c r="V162" i="12"/>
  <c r="U162" i="12"/>
  <c r="AC161" i="12"/>
  <c r="AB161" i="12"/>
  <c r="AA161" i="12"/>
  <c r="Z161" i="12"/>
  <c r="Y161" i="12"/>
  <c r="X161" i="12"/>
  <c r="W161" i="12"/>
  <c r="V161" i="12"/>
  <c r="U161" i="12"/>
  <c r="AC160" i="12"/>
  <c r="AB160" i="12"/>
  <c r="AA160" i="12"/>
  <c r="Z160" i="12"/>
  <c r="Y160" i="12"/>
  <c r="X160" i="12"/>
  <c r="W160" i="12"/>
  <c r="V160" i="12"/>
  <c r="U160" i="12"/>
  <c r="AC159" i="12"/>
  <c r="AB159" i="12"/>
  <c r="AA159" i="12"/>
  <c r="Z159" i="12"/>
  <c r="Y159" i="12"/>
  <c r="X159" i="12"/>
  <c r="W159" i="12"/>
  <c r="V159" i="12"/>
  <c r="U159" i="12"/>
  <c r="AC158" i="12"/>
  <c r="AB158" i="12"/>
  <c r="AA158" i="12"/>
  <c r="Z158" i="12"/>
  <c r="Y158" i="12"/>
  <c r="X158" i="12"/>
  <c r="W158" i="12"/>
  <c r="V158" i="12"/>
  <c r="U158" i="12"/>
  <c r="AC157" i="12"/>
  <c r="AB157" i="12"/>
  <c r="AA157" i="12"/>
  <c r="Z157" i="12"/>
  <c r="Y157" i="12"/>
  <c r="X157" i="12"/>
  <c r="W157" i="12"/>
  <c r="V157" i="12"/>
  <c r="U157" i="12"/>
  <c r="AC156" i="12"/>
  <c r="AB156" i="12"/>
  <c r="AA156" i="12"/>
  <c r="Z156" i="12"/>
  <c r="Y156" i="12"/>
  <c r="X156" i="12"/>
  <c r="W156" i="12"/>
  <c r="V156" i="12"/>
  <c r="U156" i="12"/>
  <c r="AC155" i="12"/>
  <c r="AB155" i="12"/>
  <c r="AA155" i="12"/>
  <c r="Z155" i="12"/>
  <c r="Y155" i="12"/>
  <c r="X155" i="12"/>
  <c r="W155" i="12"/>
  <c r="V155" i="12"/>
  <c r="U155" i="12"/>
  <c r="AC149" i="12"/>
  <c r="AB149" i="12"/>
  <c r="AA149" i="12"/>
  <c r="Z149" i="12"/>
  <c r="Y149" i="12"/>
  <c r="X149" i="12"/>
  <c r="W149" i="12"/>
  <c r="V149" i="12"/>
  <c r="U149" i="12"/>
  <c r="AC148" i="12"/>
  <c r="AB148" i="12"/>
  <c r="AA148" i="12"/>
  <c r="Z148" i="12"/>
  <c r="Y148" i="12"/>
  <c r="X148" i="12"/>
  <c r="W148" i="12"/>
  <c r="V148" i="12"/>
  <c r="U148" i="12"/>
  <c r="AC147" i="12"/>
  <c r="AB147" i="12"/>
  <c r="AA147" i="12"/>
  <c r="Z147" i="12"/>
  <c r="Y147" i="12"/>
  <c r="X147" i="12"/>
  <c r="W147" i="12"/>
  <c r="V147" i="12"/>
  <c r="U147" i="12"/>
  <c r="AC146" i="12"/>
  <c r="AB146" i="12"/>
  <c r="AA146" i="12"/>
  <c r="Z146" i="12"/>
  <c r="Y146" i="12"/>
  <c r="X146" i="12"/>
  <c r="W146" i="12"/>
  <c r="V146" i="12"/>
  <c r="U146" i="12"/>
  <c r="AC145" i="12"/>
  <c r="AB145" i="12"/>
  <c r="AA145" i="12"/>
  <c r="Z145" i="12"/>
  <c r="Y145" i="12"/>
  <c r="X145" i="12"/>
  <c r="W145" i="12"/>
  <c r="V145" i="12"/>
  <c r="U145" i="12"/>
  <c r="AC144" i="12"/>
  <c r="AB144" i="12"/>
  <c r="AA144" i="12"/>
  <c r="Z144" i="12"/>
  <c r="Y144" i="12"/>
  <c r="X144" i="12"/>
  <c r="W144" i="12"/>
  <c r="V144" i="12"/>
  <c r="U144" i="12"/>
  <c r="AC143" i="12"/>
  <c r="AB143" i="12"/>
  <c r="AA143" i="12"/>
  <c r="Z143" i="12"/>
  <c r="Y143" i="12"/>
  <c r="X143" i="12"/>
  <c r="W143" i="12"/>
  <c r="V143" i="12"/>
  <c r="U143" i="12"/>
  <c r="AC142" i="12"/>
  <c r="AB142" i="12"/>
  <c r="AA142" i="12"/>
  <c r="Z142" i="12"/>
  <c r="Y142" i="12"/>
  <c r="X142" i="12"/>
  <c r="W142" i="12"/>
  <c r="V142" i="12"/>
  <c r="U142" i="12"/>
  <c r="AC141" i="12"/>
  <c r="AB141" i="12"/>
  <c r="AA141" i="12"/>
  <c r="Z141" i="12"/>
  <c r="Y141" i="12"/>
  <c r="X141" i="12"/>
  <c r="W141" i="12"/>
  <c r="V141" i="12"/>
  <c r="U141" i="12"/>
  <c r="AC140" i="12"/>
  <c r="AB140" i="12"/>
  <c r="AA140" i="12"/>
  <c r="Z140" i="12"/>
  <c r="Y140" i="12"/>
  <c r="X140" i="12"/>
  <c r="W140" i="12"/>
  <c r="V140" i="12"/>
  <c r="U140" i="12"/>
  <c r="AC139" i="12"/>
  <c r="AB139" i="12"/>
  <c r="AA139" i="12"/>
  <c r="Z139" i="12"/>
  <c r="Y139" i="12"/>
  <c r="X139" i="12"/>
  <c r="W139" i="12"/>
  <c r="V139" i="12"/>
  <c r="U139" i="12"/>
  <c r="AC138" i="12"/>
  <c r="AB138" i="12"/>
  <c r="AA138" i="12"/>
  <c r="Z138" i="12"/>
  <c r="Y138" i="12"/>
  <c r="X138" i="12"/>
  <c r="W138" i="12"/>
  <c r="V138" i="12"/>
  <c r="U138" i="12"/>
  <c r="AC137" i="12"/>
  <c r="AB137" i="12"/>
  <c r="AA137" i="12"/>
  <c r="Z137" i="12"/>
  <c r="Y137" i="12"/>
  <c r="X137" i="12"/>
  <c r="W137" i="12"/>
  <c r="V137" i="12"/>
  <c r="U137" i="12"/>
  <c r="AC136" i="12"/>
  <c r="AB136" i="12"/>
  <c r="AA136" i="12"/>
  <c r="Z136" i="12"/>
  <c r="Y136" i="12"/>
  <c r="X136" i="12"/>
  <c r="W136" i="12"/>
  <c r="V136" i="12"/>
  <c r="U136" i="12"/>
  <c r="AC135" i="12"/>
  <c r="AB135" i="12"/>
  <c r="AA135" i="12"/>
  <c r="Z135" i="12"/>
  <c r="Y135" i="12"/>
  <c r="X135" i="12"/>
  <c r="W135" i="12"/>
  <c r="V135" i="12"/>
  <c r="U135" i="12"/>
  <c r="AC134" i="12"/>
  <c r="AB134" i="12"/>
  <c r="AA134" i="12"/>
  <c r="Z134" i="12"/>
  <c r="Y134" i="12"/>
  <c r="X134" i="12"/>
  <c r="W134" i="12"/>
  <c r="V134" i="12"/>
  <c r="U134" i="12"/>
  <c r="AC133" i="12"/>
  <c r="AB133" i="12"/>
  <c r="AA133" i="12"/>
  <c r="Z133" i="12"/>
  <c r="Y133" i="12"/>
  <c r="X133" i="12"/>
  <c r="W133" i="12"/>
  <c r="V133" i="12"/>
  <c r="U133" i="12"/>
  <c r="AC132" i="12"/>
  <c r="AB132" i="12"/>
  <c r="AA132" i="12"/>
  <c r="Z132" i="12"/>
  <c r="Y132" i="12"/>
  <c r="X132" i="12"/>
  <c r="W132" i="12"/>
  <c r="V132" i="12"/>
  <c r="U132" i="12"/>
  <c r="AC131" i="12"/>
  <c r="AB131" i="12"/>
  <c r="AA131" i="12"/>
  <c r="Z131" i="12"/>
  <c r="Y131" i="12"/>
  <c r="X131" i="12"/>
  <c r="W131" i="12"/>
  <c r="V131" i="12"/>
  <c r="U131" i="12"/>
  <c r="AC130" i="12"/>
  <c r="AB130" i="12"/>
  <c r="AA130" i="12"/>
  <c r="Z130" i="12"/>
  <c r="Y130" i="12"/>
  <c r="X130" i="12"/>
  <c r="W130" i="12"/>
  <c r="V130" i="12"/>
  <c r="U130" i="12"/>
  <c r="AC129" i="12"/>
  <c r="AB129" i="12"/>
  <c r="AA129" i="12"/>
  <c r="Z129" i="12"/>
  <c r="Y129" i="12"/>
  <c r="X129" i="12"/>
  <c r="W129" i="12"/>
  <c r="V129" i="12"/>
  <c r="U129" i="12"/>
  <c r="AC128" i="12"/>
  <c r="AB128" i="12"/>
  <c r="AA128" i="12"/>
  <c r="Z128" i="12"/>
  <c r="Y128" i="12"/>
  <c r="X128" i="12"/>
  <c r="W128" i="12"/>
  <c r="V128" i="12"/>
  <c r="U128" i="12"/>
  <c r="AC127" i="12"/>
  <c r="AB127" i="12"/>
  <c r="AA127" i="12"/>
  <c r="Z127" i="12"/>
  <c r="Y127" i="12"/>
  <c r="X127" i="12"/>
  <c r="W127" i="12"/>
  <c r="V127" i="12"/>
  <c r="U127" i="12"/>
  <c r="AC126" i="12"/>
  <c r="AB126" i="12"/>
  <c r="AA126" i="12"/>
  <c r="Z126" i="12"/>
  <c r="Y126" i="12"/>
  <c r="X126" i="12"/>
  <c r="W126" i="12"/>
  <c r="V126" i="12"/>
  <c r="U126" i="12"/>
  <c r="AC125" i="12"/>
  <c r="AB125" i="12"/>
  <c r="AA125" i="12"/>
  <c r="Z125" i="12"/>
  <c r="Y125" i="12"/>
  <c r="X125" i="12"/>
  <c r="W125" i="12"/>
  <c r="V125" i="12"/>
  <c r="U125" i="12"/>
  <c r="AC119" i="12"/>
  <c r="AB119" i="12"/>
  <c r="AA119" i="12"/>
  <c r="Z119" i="12"/>
  <c r="Y119" i="12"/>
  <c r="X119" i="12"/>
  <c r="W119" i="12"/>
  <c r="V119" i="12"/>
  <c r="U119" i="12"/>
  <c r="AC118" i="12"/>
  <c r="AB118" i="12"/>
  <c r="AA118" i="12"/>
  <c r="Z118" i="12"/>
  <c r="Y118" i="12"/>
  <c r="X118" i="12"/>
  <c r="W118" i="12"/>
  <c r="V118" i="12"/>
  <c r="U118" i="12"/>
  <c r="AC117" i="12"/>
  <c r="AB117" i="12"/>
  <c r="AA117" i="12"/>
  <c r="Z117" i="12"/>
  <c r="Y117" i="12"/>
  <c r="X117" i="12"/>
  <c r="W117" i="12"/>
  <c r="V117" i="12"/>
  <c r="U117" i="12"/>
  <c r="AC116" i="12"/>
  <c r="AB116" i="12"/>
  <c r="AA116" i="12"/>
  <c r="Z116" i="12"/>
  <c r="Y116" i="12"/>
  <c r="X116" i="12"/>
  <c r="W116" i="12"/>
  <c r="V116" i="12"/>
  <c r="U116" i="12"/>
  <c r="AC115" i="12"/>
  <c r="AB115" i="12"/>
  <c r="AA115" i="12"/>
  <c r="Z115" i="12"/>
  <c r="Y115" i="12"/>
  <c r="X115" i="12"/>
  <c r="W115" i="12"/>
  <c r="V115" i="12"/>
  <c r="U115" i="12"/>
  <c r="AC114" i="12"/>
  <c r="AB114" i="12"/>
  <c r="AA114" i="12"/>
  <c r="Z114" i="12"/>
  <c r="Y114" i="12"/>
  <c r="X114" i="12"/>
  <c r="W114" i="12"/>
  <c r="V114" i="12"/>
  <c r="U114" i="12"/>
  <c r="AC113" i="12"/>
  <c r="AB113" i="12"/>
  <c r="AA113" i="12"/>
  <c r="Z113" i="12"/>
  <c r="Y113" i="12"/>
  <c r="X113" i="12"/>
  <c r="W113" i="12"/>
  <c r="V113" i="12"/>
  <c r="U113" i="12"/>
  <c r="AC112" i="12"/>
  <c r="AB112" i="12"/>
  <c r="AA112" i="12"/>
  <c r="Z112" i="12"/>
  <c r="Y112" i="12"/>
  <c r="X112" i="12"/>
  <c r="W112" i="12"/>
  <c r="V112" i="12"/>
  <c r="U112" i="12"/>
  <c r="AC111" i="12"/>
  <c r="AB111" i="12"/>
  <c r="AA111" i="12"/>
  <c r="Z111" i="12"/>
  <c r="Y111" i="12"/>
  <c r="X111" i="12"/>
  <c r="W111" i="12"/>
  <c r="V111" i="12"/>
  <c r="U111" i="12"/>
  <c r="AC110" i="12"/>
  <c r="AB110" i="12"/>
  <c r="AA110" i="12"/>
  <c r="Z110" i="12"/>
  <c r="Y110" i="12"/>
  <c r="X110" i="12"/>
  <c r="W110" i="12"/>
  <c r="V110" i="12"/>
  <c r="U110" i="12"/>
  <c r="AC109" i="12"/>
  <c r="AB109" i="12"/>
  <c r="AA109" i="12"/>
  <c r="Z109" i="12"/>
  <c r="Y109" i="12"/>
  <c r="X109" i="12"/>
  <c r="W109" i="12"/>
  <c r="V109" i="12"/>
  <c r="U109" i="12"/>
  <c r="AC108" i="12"/>
  <c r="AB108" i="12"/>
  <c r="AA108" i="12"/>
  <c r="Z108" i="12"/>
  <c r="Y108" i="12"/>
  <c r="X108" i="12"/>
  <c r="W108" i="12"/>
  <c r="V108" i="12"/>
  <c r="U108" i="12"/>
  <c r="AC107" i="12"/>
  <c r="AB107" i="12"/>
  <c r="AA107" i="12"/>
  <c r="Z107" i="12"/>
  <c r="Y107" i="12"/>
  <c r="X107" i="12"/>
  <c r="W107" i="12"/>
  <c r="V107" i="12"/>
  <c r="U107" i="12"/>
  <c r="AC106" i="12"/>
  <c r="AB106" i="12"/>
  <c r="AA106" i="12"/>
  <c r="Z106" i="12"/>
  <c r="Y106" i="12"/>
  <c r="X106" i="12"/>
  <c r="W106" i="12"/>
  <c r="V106" i="12"/>
  <c r="U106" i="12"/>
  <c r="AC105" i="12"/>
  <c r="AB105" i="12"/>
  <c r="AA105" i="12"/>
  <c r="Z105" i="12"/>
  <c r="Y105" i="12"/>
  <c r="X105" i="12"/>
  <c r="W105" i="12"/>
  <c r="V105" i="12"/>
  <c r="U105" i="12"/>
  <c r="AC104" i="12"/>
  <c r="AB104" i="12"/>
  <c r="AA104" i="12"/>
  <c r="Z104" i="12"/>
  <c r="Y104" i="12"/>
  <c r="X104" i="12"/>
  <c r="W104" i="12"/>
  <c r="V104" i="12"/>
  <c r="U104" i="12"/>
  <c r="AC103" i="12"/>
  <c r="AB103" i="12"/>
  <c r="AA103" i="12"/>
  <c r="Z103" i="12"/>
  <c r="Y103" i="12"/>
  <c r="X103" i="12"/>
  <c r="W103" i="12"/>
  <c r="V103" i="12"/>
  <c r="U103" i="12"/>
  <c r="AC102" i="12"/>
  <c r="AB102" i="12"/>
  <c r="AA102" i="12"/>
  <c r="Z102" i="12"/>
  <c r="Y102" i="12"/>
  <c r="X102" i="12"/>
  <c r="W102" i="12"/>
  <c r="V102" i="12"/>
  <c r="U102" i="12"/>
  <c r="AC101" i="12"/>
  <c r="AB101" i="12"/>
  <c r="AA101" i="12"/>
  <c r="Z101" i="12"/>
  <c r="Y101" i="12"/>
  <c r="X101" i="12"/>
  <c r="W101" i="12"/>
  <c r="V101" i="12"/>
  <c r="U101" i="12"/>
  <c r="AC100" i="12"/>
  <c r="AB100" i="12"/>
  <c r="AA100" i="12"/>
  <c r="Z100" i="12"/>
  <c r="Y100" i="12"/>
  <c r="X100" i="12"/>
  <c r="W100" i="12"/>
  <c r="V100" i="12"/>
  <c r="U100" i="12"/>
  <c r="AC99" i="12"/>
  <c r="AB99" i="12"/>
  <c r="AA99" i="12"/>
  <c r="Z99" i="12"/>
  <c r="Y99" i="12"/>
  <c r="X99" i="12"/>
  <c r="W99" i="12"/>
  <c r="V99" i="12"/>
  <c r="U99" i="12"/>
  <c r="AC98" i="12"/>
  <c r="AB98" i="12"/>
  <c r="AA98" i="12"/>
  <c r="Z98" i="12"/>
  <c r="Y98" i="12"/>
  <c r="X98" i="12"/>
  <c r="W98" i="12"/>
  <c r="V98" i="12"/>
  <c r="U98" i="12"/>
  <c r="AC97" i="12"/>
  <c r="AB97" i="12"/>
  <c r="AA97" i="12"/>
  <c r="Z97" i="12"/>
  <c r="Y97" i="12"/>
  <c r="X97" i="12"/>
  <c r="W97" i="12"/>
  <c r="V97" i="12"/>
  <c r="U97" i="12"/>
  <c r="AC96" i="12"/>
  <c r="AB96" i="12"/>
  <c r="AA96" i="12"/>
  <c r="Z96" i="12"/>
  <c r="Y96" i="12"/>
  <c r="X96" i="12"/>
  <c r="W96" i="12"/>
  <c r="V96" i="12"/>
  <c r="U96" i="12"/>
  <c r="AC95" i="12"/>
  <c r="AB95" i="12"/>
  <c r="AA95" i="12"/>
  <c r="Z95" i="12"/>
  <c r="Y95" i="12"/>
  <c r="X95" i="12"/>
  <c r="W95" i="12"/>
  <c r="V95" i="12"/>
  <c r="U95" i="12"/>
  <c r="AC89" i="12"/>
  <c r="AB89" i="12"/>
  <c r="AA89" i="12"/>
  <c r="Z89" i="12"/>
  <c r="Y89" i="12"/>
  <c r="X89" i="12"/>
  <c r="W89" i="12"/>
  <c r="V89" i="12"/>
  <c r="U89" i="12"/>
  <c r="AC88" i="12"/>
  <c r="AB88" i="12"/>
  <c r="AA88" i="12"/>
  <c r="Z88" i="12"/>
  <c r="Y88" i="12"/>
  <c r="X88" i="12"/>
  <c r="W88" i="12"/>
  <c r="V88" i="12"/>
  <c r="U88" i="12"/>
  <c r="AC87" i="12"/>
  <c r="AB87" i="12"/>
  <c r="AA87" i="12"/>
  <c r="Z87" i="12"/>
  <c r="Y87" i="12"/>
  <c r="X87" i="12"/>
  <c r="W87" i="12"/>
  <c r="V87" i="12"/>
  <c r="U87" i="12"/>
  <c r="AC86" i="12"/>
  <c r="AB86" i="12"/>
  <c r="AA86" i="12"/>
  <c r="Z86" i="12"/>
  <c r="Y86" i="12"/>
  <c r="X86" i="12"/>
  <c r="W86" i="12"/>
  <c r="V86" i="12"/>
  <c r="U86" i="12"/>
  <c r="AC85" i="12"/>
  <c r="AB85" i="12"/>
  <c r="AA85" i="12"/>
  <c r="Z85" i="12"/>
  <c r="Y85" i="12"/>
  <c r="X85" i="12"/>
  <c r="W85" i="12"/>
  <c r="V85" i="12"/>
  <c r="U85" i="12"/>
  <c r="AC84" i="12"/>
  <c r="AB84" i="12"/>
  <c r="AA84" i="12"/>
  <c r="Z84" i="12"/>
  <c r="Y84" i="12"/>
  <c r="X84" i="12"/>
  <c r="W84" i="12"/>
  <c r="V84" i="12"/>
  <c r="U84" i="12"/>
  <c r="AC83" i="12"/>
  <c r="AB83" i="12"/>
  <c r="AA83" i="12"/>
  <c r="Z83" i="12"/>
  <c r="Y83" i="12"/>
  <c r="X83" i="12"/>
  <c r="W83" i="12"/>
  <c r="V83" i="12"/>
  <c r="U83" i="12"/>
  <c r="AC82" i="12"/>
  <c r="AB82" i="12"/>
  <c r="AA82" i="12"/>
  <c r="Z82" i="12"/>
  <c r="Y82" i="12"/>
  <c r="X82" i="12"/>
  <c r="W82" i="12"/>
  <c r="V82" i="12"/>
  <c r="U82" i="12"/>
  <c r="AC81" i="12"/>
  <c r="AB81" i="12"/>
  <c r="AA81" i="12"/>
  <c r="Z81" i="12"/>
  <c r="Y81" i="12"/>
  <c r="X81" i="12"/>
  <c r="W81" i="12"/>
  <c r="V81" i="12"/>
  <c r="U81" i="12"/>
  <c r="AC80" i="12"/>
  <c r="AB80" i="12"/>
  <c r="AA80" i="12"/>
  <c r="Z80" i="12"/>
  <c r="Y80" i="12"/>
  <c r="X80" i="12"/>
  <c r="W80" i="12"/>
  <c r="V80" i="12"/>
  <c r="U80" i="12"/>
  <c r="AC79" i="12"/>
  <c r="AB79" i="12"/>
  <c r="AA79" i="12"/>
  <c r="Z79" i="12"/>
  <c r="Y79" i="12"/>
  <c r="X79" i="12"/>
  <c r="W79" i="12"/>
  <c r="V79" i="12"/>
  <c r="U79" i="12"/>
  <c r="AC78" i="12"/>
  <c r="AB78" i="12"/>
  <c r="AA78" i="12"/>
  <c r="Z78" i="12"/>
  <c r="Y78" i="12"/>
  <c r="X78" i="12"/>
  <c r="W78" i="12"/>
  <c r="V78" i="12"/>
  <c r="U78" i="12"/>
  <c r="AC77" i="12"/>
  <c r="AB77" i="12"/>
  <c r="AA77" i="12"/>
  <c r="Z77" i="12"/>
  <c r="Y77" i="12"/>
  <c r="X77" i="12"/>
  <c r="W77" i="12"/>
  <c r="V77" i="12"/>
  <c r="U77" i="12"/>
  <c r="AC76" i="12"/>
  <c r="AB76" i="12"/>
  <c r="AA76" i="12"/>
  <c r="Z76" i="12"/>
  <c r="Y76" i="12"/>
  <c r="X76" i="12"/>
  <c r="W76" i="12"/>
  <c r="V76" i="12"/>
  <c r="U76" i="12"/>
  <c r="AC75" i="12"/>
  <c r="AB75" i="12"/>
  <c r="AA75" i="12"/>
  <c r="Z75" i="12"/>
  <c r="Y75" i="12"/>
  <c r="X75" i="12"/>
  <c r="W75" i="12"/>
  <c r="V75" i="12"/>
  <c r="U75" i="12"/>
  <c r="AC74" i="12"/>
  <c r="AB74" i="12"/>
  <c r="AA74" i="12"/>
  <c r="Z74" i="12"/>
  <c r="Y74" i="12"/>
  <c r="X74" i="12"/>
  <c r="W74" i="12"/>
  <c r="V74" i="12"/>
  <c r="U74" i="12"/>
  <c r="AC73" i="12"/>
  <c r="AB73" i="12"/>
  <c r="AA73" i="12"/>
  <c r="Z73" i="12"/>
  <c r="Y73" i="12"/>
  <c r="X73" i="12"/>
  <c r="W73" i="12"/>
  <c r="V73" i="12"/>
  <c r="U73" i="12"/>
  <c r="AC72" i="12"/>
  <c r="AB72" i="12"/>
  <c r="AA72" i="12"/>
  <c r="Z72" i="12"/>
  <c r="Y72" i="12"/>
  <c r="X72" i="12"/>
  <c r="W72" i="12"/>
  <c r="V72" i="12"/>
  <c r="U72" i="12"/>
  <c r="AC71" i="12"/>
  <c r="AB71" i="12"/>
  <c r="AA71" i="12"/>
  <c r="Z71" i="12"/>
  <c r="Y71" i="12"/>
  <c r="X71" i="12"/>
  <c r="W71" i="12"/>
  <c r="V71" i="12"/>
  <c r="U71" i="12"/>
  <c r="AC70" i="12"/>
  <c r="AB70" i="12"/>
  <c r="AA70" i="12"/>
  <c r="Z70" i="12"/>
  <c r="Y70" i="12"/>
  <c r="X70" i="12"/>
  <c r="W70" i="12"/>
  <c r="V70" i="12"/>
  <c r="U70" i="12"/>
  <c r="AC69" i="12"/>
  <c r="AB69" i="12"/>
  <c r="AA69" i="12"/>
  <c r="Z69" i="12"/>
  <c r="Y69" i="12"/>
  <c r="X69" i="12"/>
  <c r="W69" i="12"/>
  <c r="V69" i="12"/>
  <c r="U69" i="12"/>
  <c r="AC68" i="12"/>
  <c r="AB68" i="12"/>
  <c r="AA68" i="12"/>
  <c r="Z68" i="12"/>
  <c r="Y68" i="12"/>
  <c r="X68" i="12"/>
  <c r="W68" i="12"/>
  <c r="V68" i="12"/>
  <c r="U68" i="12"/>
  <c r="AC67" i="12"/>
  <c r="AB67" i="12"/>
  <c r="AA67" i="12"/>
  <c r="Z67" i="12"/>
  <c r="Y67" i="12"/>
  <c r="X67" i="12"/>
  <c r="W67" i="12"/>
  <c r="V67" i="12"/>
  <c r="U67" i="12"/>
  <c r="AC66" i="12"/>
  <c r="AB66" i="12"/>
  <c r="AA66" i="12"/>
  <c r="Z66" i="12"/>
  <c r="Y66" i="12"/>
  <c r="X66" i="12"/>
  <c r="W66" i="12"/>
  <c r="V66" i="12"/>
  <c r="U66" i="12"/>
  <c r="AC65" i="12"/>
  <c r="AB65" i="12"/>
  <c r="AA65" i="12"/>
  <c r="Z65" i="12"/>
  <c r="Y65" i="12"/>
  <c r="X65" i="12"/>
  <c r="W65" i="12"/>
  <c r="V65" i="12"/>
  <c r="U65" i="12"/>
  <c r="AC59" i="12"/>
  <c r="AB59" i="12"/>
  <c r="AA59" i="12"/>
  <c r="Z59" i="12"/>
  <c r="Y59" i="12"/>
  <c r="X59" i="12"/>
  <c r="W59" i="12"/>
  <c r="V59" i="12"/>
  <c r="U59" i="12"/>
  <c r="AC58" i="12"/>
  <c r="AB58" i="12"/>
  <c r="AA58" i="12"/>
  <c r="Z58" i="12"/>
  <c r="Y58" i="12"/>
  <c r="X58" i="12"/>
  <c r="W58" i="12"/>
  <c r="V58" i="12"/>
  <c r="U58" i="12"/>
  <c r="AC57" i="12"/>
  <c r="AB57" i="12"/>
  <c r="AA57" i="12"/>
  <c r="Z57" i="12"/>
  <c r="Y57" i="12"/>
  <c r="X57" i="12"/>
  <c r="W57" i="12"/>
  <c r="V57" i="12"/>
  <c r="U57" i="12"/>
  <c r="AC56" i="12"/>
  <c r="AB56" i="12"/>
  <c r="AA56" i="12"/>
  <c r="Z56" i="12"/>
  <c r="Y56" i="12"/>
  <c r="X56" i="12"/>
  <c r="W56" i="12"/>
  <c r="V56" i="12"/>
  <c r="U56" i="12"/>
  <c r="AC55" i="12"/>
  <c r="AB55" i="12"/>
  <c r="AA55" i="12"/>
  <c r="Z55" i="12"/>
  <c r="Y55" i="12"/>
  <c r="X55" i="12"/>
  <c r="W55" i="12"/>
  <c r="V55" i="12"/>
  <c r="U55" i="12"/>
  <c r="AC54" i="12"/>
  <c r="AB54" i="12"/>
  <c r="AA54" i="12"/>
  <c r="Z54" i="12"/>
  <c r="Y54" i="12"/>
  <c r="X54" i="12"/>
  <c r="W54" i="12"/>
  <c r="V54" i="12"/>
  <c r="U54" i="12"/>
  <c r="AC53" i="12"/>
  <c r="AB53" i="12"/>
  <c r="AA53" i="12"/>
  <c r="Z53" i="12"/>
  <c r="Y53" i="12"/>
  <c r="X53" i="12"/>
  <c r="W53" i="12"/>
  <c r="V53" i="12"/>
  <c r="U53" i="12"/>
  <c r="AC52" i="12"/>
  <c r="AB52" i="12"/>
  <c r="AA52" i="12"/>
  <c r="Z52" i="12"/>
  <c r="Y52" i="12"/>
  <c r="X52" i="12"/>
  <c r="W52" i="12"/>
  <c r="V52" i="12"/>
  <c r="U52" i="12"/>
  <c r="AC51" i="12"/>
  <c r="AB51" i="12"/>
  <c r="AA51" i="12"/>
  <c r="Z51" i="12"/>
  <c r="Y51" i="12"/>
  <c r="X51" i="12"/>
  <c r="W51" i="12"/>
  <c r="V51" i="12"/>
  <c r="U51" i="12"/>
  <c r="AC50" i="12"/>
  <c r="AB50" i="12"/>
  <c r="AA50" i="12"/>
  <c r="Z50" i="12"/>
  <c r="Y50" i="12"/>
  <c r="X50" i="12"/>
  <c r="W50" i="12"/>
  <c r="V50" i="12"/>
  <c r="U50" i="12"/>
  <c r="AC49" i="12"/>
  <c r="AB49" i="12"/>
  <c r="AA49" i="12"/>
  <c r="Z49" i="12"/>
  <c r="Y49" i="12"/>
  <c r="X49" i="12"/>
  <c r="W49" i="12"/>
  <c r="V49" i="12"/>
  <c r="U49" i="12"/>
  <c r="AC48" i="12"/>
  <c r="AB48" i="12"/>
  <c r="AA48" i="12"/>
  <c r="Z48" i="12"/>
  <c r="Y48" i="12"/>
  <c r="X48" i="12"/>
  <c r="W48" i="12"/>
  <c r="V48" i="12"/>
  <c r="U48" i="12"/>
  <c r="AC47" i="12"/>
  <c r="AB47" i="12"/>
  <c r="AA47" i="12"/>
  <c r="Z47" i="12"/>
  <c r="Y47" i="12"/>
  <c r="X47" i="12"/>
  <c r="W47" i="12"/>
  <c r="V47" i="12"/>
  <c r="U47" i="12"/>
  <c r="AC46" i="12"/>
  <c r="AB46" i="12"/>
  <c r="AA46" i="12"/>
  <c r="Z46" i="12"/>
  <c r="Y46" i="12"/>
  <c r="X46" i="12"/>
  <c r="W46" i="12"/>
  <c r="V46" i="12"/>
  <c r="U46" i="12"/>
  <c r="AC45" i="12"/>
  <c r="AB45" i="12"/>
  <c r="AA45" i="12"/>
  <c r="Z45" i="12"/>
  <c r="Y45" i="12"/>
  <c r="X45" i="12"/>
  <c r="W45" i="12"/>
  <c r="V45" i="12"/>
  <c r="U45" i="12"/>
  <c r="AC44" i="12"/>
  <c r="AB44" i="12"/>
  <c r="AA44" i="12"/>
  <c r="Z44" i="12"/>
  <c r="Y44" i="12"/>
  <c r="X44" i="12"/>
  <c r="W44" i="12"/>
  <c r="V44" i="12"/>
  <c r="U44" i="12"/>
  <c r="AC43" i="12"/>
  <c r="AB43" i="12"/>
  <c r="AA43" i="12"/>
  <c r="Z43" i="12"/>
  <c r="Y43" i="12"/>
  <c r="X43" i="12"/>
  <c r="W43" i="12"/>
  <c r="V43" i="12"/>
  <c r="U43" i="12"/>
  <c r="AC42" i="12"/>
  <c r="AB42" i="12"/>
  <c r="AA42" i="12"/>
  <c r="Z42" i="12"/>
  <c r="Y42" i="12"/>
  <c r="X42" i="12"/>
  <c r="W42" i="12"/>
  <c r="V42" i="12"/>
  <c r="U42" i="12"/>
  <c r="AC41" i="12"/>
  <c r="AB41" i="12"/>
  <c r="AA41" i="12"/>
  <c r="Z41" i="12"/>
  <c r="Y41" i="12"/>
  <c r="X41" i="12"/>
  <c r="W41" i="12"/>
  <c r="V41" i="12"/>
  <c r="U41" i="12"/>
  <c r="AC40" i="12"/>
  <c r="AB40" i="12"/>
  <c r="AA40" i="12"/>
  <c r="Z40" i="12"/>
  <c r="Y40" i="12"/>
  <c r="X40" i="12"/>
  <c r="W40" i="12"/>
  <c r="V40" i="12"/>
  <c r="U40" i="12"/>
  <c r="AC39" i="12"/>
  <c r="AB39" i="12"/>
  <c r="AA39" i="12"/>
  <c r="Z39" i="12"/>
  <c r="Y39" i="12"/>
  <c r="X39" i="12"/>
  <c r="W39" i="12"/>
  <c r="V39" i="12"/>
  <c r="U39" i="12"/>
  <c r="AC38" i="12"/>
  <c r="AB38" i="12"/>
  <c r="AA38" i="12"/>
  <c r="Z38" i="12"/>
  <c r="Y38" i="12"/>
  <c r="X38" i="12"/>
  <c r="W38" i="12"/>
  <c r="V38" i="12"/>
  <c r="U38" i="12"/>
  <c r="AC37" i="12"/>
  <c r="AB37" i="12"/>
  <c r="AA37" i="12"/>
  <c r="Z37" i="12"/>
  <c r="Y37" i="12"/>
  <c r="X37" i="12"/>
  <c r="W37" i="12"/>
  <c r="V37" i="12"/>
  <c r="U37" i="12"/>
  <c r="AC36" i="12"/>
  <c r="AB36" i="12"/>
  <c r="AA36" i="12"/>
  <c r="Z36" i="12"/>
  <c r="Y36" i="12"/>
  <c r="X36" i="12"/>
  <c r="W36" i="12"/>
  <c r="V36" i="12"/>
  <c r="U36" i="12"/>
  <c r="AC35" i="12"/>
  <c r="AB35" i="12"/>
  <c r="AA35" i="12"/>
  <c r="Z35" i="12"/>
  <c r="Y35" i="12"/>
  <c r="X35" i="12"/>
  <c r="W35" i="12"/>
  <c r="V35" i="12"/>
  <c r="U35" i="12"/>
  <c r="U28" i="12"/>
  <c r="V28" i="12"/>
  <c r="W28" i="12"/>
  <c r="X28" i="12"/>
  <c r="Y28" i="12"/>
  <c r="Z28" i="12"/>
  <c r="AA28" i="12"/>
  <c r="AB28" i="12"/>
  <c r="AC28" i="12"/>
  <c r="U29" i="12"/>
  <c r="V29" i="12"/>
  <c r="W29" i="12"/>
  <c r="X29" i="12"/>
  <c r="Y29" i="12"/>
  <c r="Z29" i="12"/>
  <c r="AA29" i="12"/>
  <c r="AB29" i="12"/>
  <c r="AC29" i="12"/>
  <c r="W5" i="12"/>
  <c r="X5" i="12"/>
  <c r="Y5" i="12"/>
  <c r="Z5" i="12"/>
  <c r="AA5" i="12"/>
  <c r="AB5" i="12"/>
  <c r="AC5" i="12"/>
  <c r="V6" i="12"/>
  <c r="W6" i="12"/>
  <c r="X6" i="12"/>
  <c r="Y6" i="12"/>
  <c r="Z6" i="12"/>
  <c r="AA6" i="12"/>
  <c r="AB6" i="12"/>
  <c r="AC6" i="12"/>
  <c r="V7" i="12"/>
  <c r="W7" i="12"/>
  <c r="X7" i="12"/>
  <c r="Y7" i="12"/>
  <c r="Z7" i="12"/>
  <c r="AA7" i="12"/>
  <c r="AB7" i="12"/>
  <c r="AC7" i="12"/>
  <c r="V8" i="12"/>
  <c r="W8" i="12"/>
  <c r="X8" i="12"/>
  <c r="Y8" i="12"/>
  <c r="Z8" i="12"/>
  <c r="AA8" i="12"/>
  <c r="AB8" i="12"/>
  <c r="AC8" i="12"/>
  <c r="V9" i="12"/>
  <c r="W9" i="12"/>
  <c r="X9" i="12"/>
  <c r="Y9" i="12"/>
  <c r="Z9" i="12"/>
  <c r="AA9" i="12"/>
  <c r="AB9" i="12"/>
  <c r="AC9" i="12"/>
  <c r="V10" i="12"/>
  <c r="W10" i="12"/>
  <c r="X10" i="12"/>
  <c r="Y10" i="12"/>
  <c r="Z10" i="12"/>
  <c r="AA10" i="12"/>
  <c r="AB10" i="12"/>
  <c r="AC10" i="12"/>
  <c r="V11" i="12"/>
  <c r="W11" i="12"/>
  <c r="X11" i="12"/>
  <c r="Y11" i="12"/>
  <c r="Z11" i="12"/>
  <c r="AA11" i="12"/>
  <c r="AB11" i="12"/>
  <c r="AC11" i="12"/>
  <c r="V12" i="12"/>
  <c r="W12" i="12"/>
  <c r="X12" i="12"/>
  <c r="Y12" i="12"/>
  <c r="Z12" i="12"/>
  <c r="AA12" i="12"/>
  <c r="AB12" i="12"/>
  <c r="AC12" i="12"/>
  <c r="V13" i="12"/>
  <c r="W13" i="12"/>
  <c r="X13" i="12"/>
  <c r="Y13" i="12"/>
  <c r="Z13" i="12"/>
  <c r="AA13" i="12"/>
  <c r="AB13" i="12"/>
  <c r="AC13" i="12"/>
  <c r="V14" i="12"/>
  <c r="W14" i="12"/>
  <c r="X14" i="12"/>
  <c r="Y14" i="12"/>
  <c r="Z14" i="12"/>
  <c r="AA14" i="12"/>
  <c r="AB14" i="12"/>
  <c r="AC14" i="12"/>
  <c r="V15" i="12"/>
  <c r="W15" i="12"/>
  <c r="X15" i="12"/>
  <c r="Y15" i="12"/>
  <c r="Z15" i="12"/>
  <c r="AA15" i="12"/>
  <c r="AB15" i="12"/>
  <c r="AC15" i="12"/>
  <c r="V16" i="12"/>
  <c r="W16" i="12"/>
  <c r="X16" i="12"/>
  <c r="Y16" i="12"/>
  <c r="Z16" i="12"/>
  <c r="AA16" i="12"/>
  <c r="AB16" i="12"/>
  <c r="AC16" i="12"/>
  <c r="V17" i="12"/>
  <c r="W17" i="12"/>
  <c r="X17" i="12"/>
  <c r="Y17" i="12"/>
  <c r="Z17" i="12"/>
  <c r="AA17" i="12"/>
  <c r="AB17" i="12"/>
  <c r="AC17" i="12"/>
  <c r="V18" i="12"/>
  <c r="W18" i="12"/>
  <c r="X18" i="12"/>
  <c r="Y18" i="12"/>
  <c r="Z18" i="12"/>
  <c r="AA18" i="12"/>
  <c r="AB18" i="12"/>
  <c r="AC18" i="12"/>
  <c r="V19" i="12"/>
  <c r="W19" i="12"/>
  <c r="X19" i="12"/>
  <c r="Y19" i="12"/>
  <c r="Z19" i="12"/>
  <c r="AA19" i="12"/>
  <c r="AB19" i="12"/>
  <c r="AC19" i="12"/>
  <c r="V20" i="12"/>
  <c r="W20" i="12"/>
  <c r="X20" i="12"/>
  <c r="Y20" i="12"/>
  <c r="Z20" i="12"/>
  <c r="AA20" i="12"/>
  <c r="AB20" i="12"/>
  <c r="AC20" i="12"/>
  <c r="V21" i="12"/>
  <c r="W21" i="12"/>
  <c r="X21" i="12"/>
  <c r="Y21" i="12"/>
  <c r="Z21" i="12"/>
  <c r="AA21" i="12"/>
  <c r="AB21" i="12"/>
  <c r="AC21" i="12"/>
  <c r="V22" i="12"/>
  <c r="W22" i="12"/>
  <c r="X22" i="12"/>
  <c r="Y22" i="12"/>
  <c r="Z22" i="12"/>
  <c r="AA22" i="12"/>
  <c r="AB22" i="12"/>
  <c r="AC22" i="12"/>
  <c r="V23" i="12"/>
  <c r="W23" i="12"/>
  <c r="X23" i="12"/>
  <c r="Y23" i="12"/>
  <c r="Z23" i="12"/>
  <c r="AA23" i="12"/>
  <c r="AB23" i="12"/>
  <c r="AC23" i="12"/>
  <c r="V24" i="12"/>
  <c r="W24" i="12"/>
  <c r="X24" i="12"/>
  <c r="Y24" i="12"/>
  <c r="Z24" i="12"/>
  <c r="AA24" i="12"/>
  <c r="AB24" i="12"/>
  <c r="AC24" i="12"/>
  <c r="V25" i="12"/>
  <c r="W25" i="12"/>
  <c r="X25" i="12"/>
  <c r="Y25" i="12"/>
  <c r="Z25" i="12"/>
  <c r="AA25" i="12"/>
  <c r="AB25" i="12"/>
  <c r="AC25" i="12"/>
  <c r="V26" i="12"/>
  <c r="W26" i="12"/>
  <c r="X26" i="12"/>
  <c r="Y26" i="12"/>
  <c r="Z26" i="12"/>
  <c r="AA26" i="12"/>
  <c r="AB26" i="12"/>
  <c r="AC26" i="12"/>
  <c r="V27" i="12"/>
  <c r="W27" i="12"/>
  <c r="X27" i="12"/>
  <c r="Y27" i="12"/>
  <c r="Z27" i="12"/>
  <c r="AA27" i="12"/>
  <c r="AB27" i="12"/>
  <c r="AC27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5" i="12"/>
  <c r="K246" i="12"/>
  <c r="L246" i="12"/>
  <c r="M246" i="12"/>
  <c r="N246" i="12"/>
  <c r="O246" i="12"/>
  <c r="P246" i="12"/>
  <c r="Q246" i="12"/>
  <c r="R246" i="12"/>
  <c r="S246" i="12"/>
  <c r="K247" i="12"/>
  <c r="L247" i="12"/>
  <c r="M247" i="12"/>
  <c r="N247" i="12"/>
  <c r="O247" i="12"/>
  <c r="P247" i="12"/>
  <c r="Q247" i="12"/>
  <c r="R247" i="12"/>
  <c r="S247" i="12"/>
  <c r="K248" i="12"/>
  <c r="L248" i="12"/>
  <c r="M248" i="12"/>
  <c r="N248" i="12"/>
  <c r="O248" i="12"/>
  <c r="P248" i="12"/>
  <c r="Q248" i="12"/>
  <c r="R248" i="12"/>
  <c r="S248" i="12"/>
  <c r="K249" i="12"/>
  <c r="L249" i="12"/>
  <c r="M249" i="12"/>
  <c r="N249" i="12"/>
  <c r="O249" i="12"/>
  <c r="P249" i="12"/>
  <c r="Q249" i="12"/>
  <c r="R249" i="12"/>
  <c r="S249" i="12"/>
  <c r="K250" i="12"/>
  <c r="L250" i="12"/>
  <c r="M250" i="12"/>
  <c r="N250" i="12"/>
  <c r="O250" i="12"/>
  <c r="P250" i="12"/>
  <c r="Q250" i="12"/>
  <c r="R250" i="12"/>
  <c r="S250" i="12"/>
  <c r="K251" i="12"/>
  <c r="L251" i="12"/>
  <c r="M251" i="12"/>
  <c r="N251" i="12"/>
  <c r="O251" i="12"/>
  <c r="P251" i="12"/>
  <c r="Q251" i="12"/>
  <c r="R251" i="12"/>
  <c r="S251" i="12"/>
  <c r="K252" i="12"/>
  <c r="L252" i="12"/>
  <c r="M252" i="12"/>
  <c r="N252" i="12"/>
  <c r="O252" i="12"/>
  <c r="P252" i="12"/>
  <c r="Q252" i="12"/>
  <c r="R252" i="12"/>
  <c r="S252" i="12"/>
  <c r="K253" i="12"/>
  <c r="L253" i="12"/>
  <c r="M253" i="12"/>
  <c r="N253" i="12"/>
  <c r="O253" i="12"/>
  <c r="P253" i="12"/>
  <c r="Q253" i="12"/>
  <c r="R253" i="12"/>
  <c r="S253" i="12"/>
  <c r="K254" i="12"/>
  <c r="L254" i="12"/>
  <c r="M254" i="12"/>
  <c r="N254" i="12"/>
  <c r="O254" i="12"/>
  <c r="P254" i="12"/>
  <c r="Q254" i="12"/>
  <c r="R254" i="12"/>
  <c r="S254" i="12"/>
  <c r="K255" i="12"/>
  <c r="L255" i="12"/>
  <c r="M255" i="12"/>
  <c r="N255" i="12"/>
  <c r="O255" i="12"/>
  <c r="P255" i="12"/>
  <c r="Q255" i="12"/>
  <c r="R255" i="12"/>
  <c r="S255" i="12"/>
  <c r="K256" i="12"/>
  <c r="L256" i="12"/>
  <c r="M256" i="12"/>
  <c r="N256" i="12"/>
  <c r="O256" i="12"/>
  <c r="P256" i="12"/>
  <c r="Q256" i="12"/>
  <c r="R256" i="12"/>
  <c r="S256" i="12"/>
  <c r="K257" i="12"/>
  <c r="L257" i="12"/>
  <c r="M257" i="12"/>
  <c r="N257" i="12"/>
  <c r="O257" i="12"/>
  <c r="P257" i="12"/>
  <c r="Q257" i="12"/>
  <c r="R257" i="12"/>
  <c r="S257" i="12"/>
  <c r="K258" i="12"/>
  <c r="L258" i="12"/>
  <c r="M258" i="12"/>
  <c r="N258" i="12"/>
  <c r="O258" i="12"/>
  <c r="P258" i="12"/>
  <c r="Q258" i="12"/>
  <c r="R258" i="12"/>
  <c r="S258" i="12"/>
  <c r="K259" i="12"/>
  <c r="L259" i="12"/>
  <c r="M259" i="12"/>
  <c r="N259" i="12"/>
  <c r="O259" i="12"/>
  <c r="P259" i="12"/>
  <c r="Q259" i="12"/>
  <c r="R259" i="12"/>
  <c r="S259" i="12"/>
  <c r="K260" i="12"/>
  <c r="L260" i="12"/>
  <c r="M260" i="12"/>
  <c r="N260" i="12"/>
  <c r="O260" i="12"/>
  <c r="P260" i="12"/>
  <c r="Q260" i="12"/>
  <c r="R260" i="12"/>
  <c r="S260" i="12"/>
  <c r="K261" i="12"/>
  <c r="L261" i="12"/>
  <c r="M261" i="12"/>
  <c r="N261" i="12"/>
  <c r="O261" i="12"/>
  <c r="P261" i="12"/>
  <c r="Q261" i="12"/>
  <c r="R261" i="12"/>
  <c r="S261" i="12"/>
  <c r="K262" i="12"/>
  <c r="L262" i="12"/>
  <c r="M262" i="12"/>
  <c r="N262" i="12"/>
  <c r="O262" i="12"/>
  <c r="P262" i="12"/>
  <c r="Q262" i="12"/>
  <c r="R262" i="12"/>
  <c r="S262" i="12"/>
  <c r="K263" i="12"/>
  <c r="L263" i="12"/>
  <c r="M263" i="12"/>
  <c r="N263" i="12"/>
  <c r="O263" i="12"/>
  <c r="P263" i="12"/>
  <c r="Q263" i="12"/>
  <c r="R263" i="12"/>
  <c r="S263" i="12"/>
  <c r="K264" i="12"/>
  <c r="L264" i="12"/>
  <c r="M264" i="12"/>
  <c r="N264" i="12"/>
  <c r="O264" i="12"/>
  <c r="P264" i="12"/>
  <c r="Q264" i="12"/>
  <c r="R264" i="12"/>
  <c r="S264" i="12"/>
  <c r="K265" i="12"/>
  <c r="L265" i="12"/>
  <c r="M265" i="12"/>
  <c r="N265" i="12"/>
  <c r="O265" i="12"/>
  <c r="P265" i="12"/>
  <c r="Q265" i="12"/>
  <c r="R265" i="12"/>
  <c r="S265" i="12"/>
  <c r="K266" i="12"/>
  <c r="L266" i="12"/>
  <c r="M266" i="12"/>
  <c r="N266" i="12"/>
  <c r="O266" i="12"/>
  <c r="P266" i="12"/>
  <c r="Q266" i="12"/>
  <c r="R266" i="12"/>
  <c r="S266" i="12"/>
  <c r="K267" i="12"/>
  <c r="L267" i="12"/>
  <c r="M267" i="12"/>
  <c r="N267" i="12"/>
  <c r="O267" i="12"/>
  <c r="P267" i="12"/>
  <c r="Q267" i="12"/>
  <c r="R267" i="12"/>
  <c r="S267" i="12"/>
  <c r="K268" i="12"/>
  <c r="L268" i="12"/>
  <c r="M268" i="12"/>
  <c r="N268" i="12"/>
  <c r="O268" i="12"/>
  <c r="P268" i="12"/>
  <c r="Q268" i="12"/>
  <c r="R268" i="12"/>
  <c r="S268" i="12"/>
  <c r="K269" i="12"/>
  <c r="L269" i="12"/>
  <c r="M269" i="12"/>
  <c r="N269" i="12"/>
  <c r="O269" i="12"/>
  <c r="P269" i="12"/>
  <c r="Q269" i="12"/>
  <c r="R269" i="12"/>
  <c r="S269" i="12"/>
  <c r="L245" i="12"/>
  <c r="M245" i="12"/>
  <c r="N245" i="12"/>
  <c r="O245" i="12"/>
  <c r="P245" i="12"/>
  <c r="Q245" i="12"/>
  <c r="R245" i="12"/>
  <c r="S245" i="12"/>
  <c r="K245" i="12"/>
  <c r="K216" i="12"/>
  <c r="L216" i="12"/>
  <c r="M216" i="12"/>
  <c r="N216" i="12"/>
  <c r="O216" i="12"/>
  <c r="P216" i="12"/>
  <c r="Q216" i="12"/>
  <c r="R216" i="12"/>
  <c r="S216" i="12"/>
  <c r="K217" i="12"/>
  <c r="L217" i="12"/>
  <c r="M217" i="12"/>
  <c r="N217" i="12"/>
  <c r="O217" i="12"/>
  <c r="P217" i="12"/>
  <c r="Q217" i="12"/>
  <c r="R217" i="12"/>
  <c r="S217" i="12"/>
  <c r="K218" i="12"/>
  <c r="L218" i="12"/>
  <c r="M218" i="12"/>
  <c r="N218" i="12"/>
  <c r="O218" i="12"/>
  <c r="P218" i="12"/>
  <c r="Q218" i="12"/>
  <c r="R218" i="12"/>
  <c r="S218" i="12"/>
  <c r="K219" i="12"/>
  <c r="L219" i="12"/>
  <c r="M219" i="12"/>
  <c r="N219" i="12"/>
  <c r="O219" i="12"/>
  <c r="P219" i="12"/>
  <c r="Q219" i="12"/>
  <c r="R219" i="12"/>
  <c r="S219" i="12"/>
  <c r="K220" i="12"/>
  <c r="L220" i="12"/>
  <c r="M220" i="12"/>
  <c r="N220" i="12"/>
  <c r="O220" i="12"/>
  <c r="P220" i="12"/>
  <c r="Q220" i="12"/>
  <c r="R220" i="12"/>
  <c r="S220" i="12"/>
  <c r="K221" i="12"/>
  <c r="L221" i="12"/>
  <c r="M221" i="12"/>
  <c r="N221" i="12"/>
  <c r="O221" i="12"/>
  <c r="P221" i="12"/>
  <c r="Q221" i="12"/>
  <c r="R221" i="12"/>
  <c r="S221" i="12"/>
  <c r="K222" i="12"/>
  <c r="L222" i="12"/>
  <c r="M222" i="12"/>
  <c r="N222" i="12"/>
  <c r="O222" i="12"/>
  <c r="P222" i="12"/>
  <c r="Q222" i="12"/>
  <c r="R222" i="12"/>
  <c r="S222" i="12"/>
  <c r="K223" i="12"/>
  <c r="L223" i="12"/>
  <c r="M223" i="12"/>
  <c r="N223" i="12"/>
  <c r="O223" i="12"/>
  <c r="P223" i="12"/>
  <c r="Q223" i="12"/>
  <c r="R223" i="12"/>
  <c r="S223" i="12"/>
  <c r="K224" i="12"/>
  <c r="L224" i="12"/>
  <c r="M224" i="12"/>
  <c r="N224" i="12"/>
  <c r="O224" i="12"/>
  <c r="P224" i="12"/>
  <c r="Q224" i="12"/>
  <c r="R224" i="12"/>
  <c r="S224" i="12"/>
  <c r="K225" i="12"/>
  <c r="L225" i="12"/>
  <c r="M225" i="12"/>
  <c r="N225" i="12"/>
  <c r="O225" i="12"/>
  <c r="P225" i="12"/>
  <c r="Q225" i="12"/>
  <c r="R225" i="12"/>
  <c r="S225" i="12"/>
  <c r="K226" i="12"/>
  <c r="L226" i="12"/>
  <c r="M226" i="12"/>
  <c r="N226" i="12"/>
  <c r="O226" i="12"/>
  <c r="P226" i="12"/>
  <c r="Q226" i="12"/>
  <c r="R226" i="12"/>
  <c r="S226" i="12"/>
  <c r="K227" i="12"/>
  <c r="L227" i="12"/>
  <c r="M227" i="12"/>
  <c r="N227" i="12"/>
  <c r="O227" i="12"/>
  <c r="P227" i="12"/>
  <c r="Q227" i="12"/>
  <c r="R227" i="12"/>
  <c r="S227" i="12"/>
  <c r="K228" i="12"/>
  <c r="L228" i="12"/>
  <c r="M228" i="12"/>
  <c r="N228" i="12"/>
  <c r="O228" i="12"/>
  <c r="P228" i="12"/>
  <c r="Q228" i="12"/>
  <c r="R228" i="12"/>
  <c r="S228" i="12"/>
  <c r="K229" i="12"/>
  <c r="L229" i="12"/>
  <c r="M229" i="12"/>
  <c r="N229" i="12"/>
  <c r="O229" i="12"/>
  <c r="P229" i="12"/>
  <c r="Q229" i="12"/>
  <c r="R229" i="12"/>
  <c r="S229" i="12"/>
  <c r="K230" i="12"/>
  <c r="L230" i="12"/>
  <c r="M230" i="12"/>
  <c r="N230" i="12"/>
  <c r="O230" i="12"/>
  <c r="P230" i="12"/>
  <c r="Q230" i="12"/>
  <c r="R230" i="12"/>
  <c r="S230" i="12"/>
  <c r="K231" i="12"/>
  <c r="L231" i="12"/>
  <c r="M231" i="12"/>
  <c r="N231" i="12"/>
  <c r="O231" i="12"/>
  <c r="P231" i="12"/>
  <c r="Q231" i="12"/>
  <c r="R231" i="12"/>
  <c r="S231" i="12"/>
  <c r="K232" i="12"/>
  <c r="L232" i="12"/>
  <c r="M232" i="12"/>
  <c r="N232" i="12"/>
  <c r="O232" i="12"/>
  <c r="P232" i="12"/>
  <c r="Q232" i="12"/>
  <c r="R232" i="12"/>
  <c r="S232" i="12"/>
  <c r="K233" i="12"/>
  <c r="L233" i="12"/>
  <c r="M233" i="12"/>
  <c r="N233" i="12"/>
  <c r="O233" i="12"/>
  <c r="P233" i="12"/>
  <c r="Q233" i="12"/>
  <c r="R233" i="12"/>
  <c r="S233" i="12"/>
  <c r="K234" i="12"/>
  <c r="L234" i="12"/>
  <c r="M234" i="12"/>
  <c r="N234" i="12"/>
  <c r="O234" i="12"/>
  <c r="P234" i="12"/>
  <c r="Q234" i="12"/>
  <c r="R234" i="12"/>
  <c r="S234" i="12"/>
  <c r="K235" i="12"/>
  <c r="L235" i="12"/>
  <c r="M235" i="12"/>
  <c r="N235" i="12"/>
  <c r="O235" i="12"/>
  <c r="P235" i="12"/>
  <c r="Q235" i="12"/>
  <c r="R235" i="12"/>
  <c r="S235" i="12"/>
  <c r="K236" i="12"/>
  <c r="L236" i="12"/>
  <c r="M236" i="12"/>
  <c r="N236" i="12"/>
  <c r="O236" i="12"/>
  <c r="P236" i="12"/>
  <c r="Q236" i="12"/>
  <c r="R236" i="12"/>
  <c r="S236" i="12"/>
  <c r="K237" i="12"/>
  <c r="L237" i="12"/>
  <c r="M237" i="12"/>
  <c r="N237" i="12"/>
  <c r="O237" i="12"/>
  <c r="P237" i="12"/>
  <c r="Q237" i="12"/>
  <c r="R237" i="12"/>
  <c r="S237" i="12"/>
  <c r="K238" i="12"/>
  <c r="L238" i="12"/>
  <c r="M238" i="12"/>
  <c r="N238" i="12"/>
  <c r="O238" i="12"/>
  <c r="P238" i="12"/>
  <c r="Q238" i="12"/>
  <c r="R238" i="12"/>
  <c r="S238" i="12"/>
  <c r="K239" i="12"/>
  <c r="L239" i="12"/>
  <c r="M239" i="12"/>
  <c r="N239" i="12"/>
  <c r="O239" i="12"/>
  <c r="P239" i="12"/>
  <c r="Q239" i="12"/>
  <c r="R239" i="12"/>
  <c r="S239" i="12"/>
  <c r="L215" i="12"/>
  <c r="M215" i="12"/>
  <c r="N215" i="12"/>
  <c r="O215" i="12"/>
  <c r="P215" i="12"/>
  <c r="Q215" i="12"/>
  <c r="R215" i="12"/>
  <c r="S215" i="12"/>
  <c r="K215" i="12"/>
  <c r="K186" i="12"/>
  <c r="L186" i="12"/>
  <c r="M186" i="12"/>
  <c r="N186" i="12"/>
  <c r="O186" i="12"/>
  <c r="P186" i="12"/>
  <c r="Q186" i="12"/>
  <c r="R186" i="12"/>
  <c r="S186" i="12"/>
  <c r="K187" i="12"/>
  <c r="L187" i="12"/>
  <c r="M187" i="12"/>
  <c r="N187" i="12"/>
  <c r="O187" i="12"/>
  <c r="P187" i="12"/>
  <c r="Q187" i="12"/>
  <c r="R187" i="12"/>
  <c r="S187" i="12"/>
  <c r="K188" i="12"/>
  <c r="L188" i="12"/>
  <c r="M188" i="12"/>
  <c r="N188" i="12"/>
  <c r="O188" i="12"/>
  <c r="P188" i="12"/>
  <c r="Q188" i="12"/>
  <c r="R188" i="12"/>
  <c r="S188" i="12"/>
  <c r="K189" i="12"/>
  <c r="L189" i="12"/>
  <c r="M189" i="12"/>
  <c r="N189" i="12"/>
  <c r="O189" i="12"/>
  <c r="P189" i="12"/>
  <c r="Q189" i="12"/>
  <c r="R189" i="12"/>
  <c r="S189" i="12"/>
  <c r="K190" i="12"/>
  <c r="L190" i="12"/>
  <c r="M190" i="12"/>
  <c r="N190" i="12"/>
  <c r="O190" i="12"/>
  <c r="P190" i="12"/>
  <c r="Q190" i="12"/>
  <c r="R190" i="12"/>
  <c r="S190" i="12"/>
  <c r="K191" i="12"/>
  <c r="L191" i="12"/>
  <c r="M191" i="12"/>
  <c r="N191" i="12"/>
  <c r="O191" i="12"/>
  <c r="P191" i="12"/>
  <c r="Q191" i="12"/>
  <c r="R191" i="12"/>
  <c r="S191" i="12"/>
  <c r="K192" i="12"/>
  <c r="L192" i="12"/>
  <c r="M192" i="12"/>
  <c r="N192" i="12"/>
  <c r="O192" i="12"/>
  <c r="P192" i="12"/>
  <c r="Q192" i="12"/>
  <c r="R192" i="12"/>
  <c r="S192" i="12"/>
  <c r="K193" i="12"/>
  <c r="L193" i="12"/>
  <c r="M193" i="12"/>
  <c r="N193" i="12"/>
  <c r="O193" i="12"/>
  <c r="P193" i="12"/>
  <c r="Q193" i="12"/>
  <c r="R193" i="12"/>
  <c r="S193" i="12"/>
  <c r="K194" i="12"/>
  <c r="L194" i="12"/>
  <c r="M194" i="12"/>
  <c r="N194" i="12"/>
  <c r="O194" i="12"/>
  <c r="P194" i="12"/>
  <c r="Q194" i="12"/>
  <c r="R194" i="12"/>
  <c r="S194" i="12"/>
  <c r="K195" i="12"/>
  <c r="L195" i="12"/>
  <c r="M195" i="12"/>
  <c r="N195" i="12"/>
  <c r="O195" i="12"/>
  <c r="P195" i="12"/>
  <c r="Q195" i="12"/>
  <c r="R195" i="12"/>
  <c r="S195" i="12"/>
  <c r="K196" i="12"/>
  <c r="L196" i="12"/>
  <c r="M196" i="12"/>
  <c r="N196" i="12"/>
  <c r="O196" i="12"/>
  <c r="P196" i="12"/>
  <c r="Q196" i="12"/>
  <c r="R196" i="12"/>
  <c r="S196" i="12"/>
  <c r="K197" i="12"/>
  <c r="L197" i="12"/>
  <c r="M197" i="12"/>
  <c r="N197" i="12"/>
  <c r="O197" i="12"/>
  <c r="P197" i="12"/>
  <c r="Q197" i="12"/>
  <c r="R197" i="12"/>
  <c r="S197" i="12"/>
  <c r="K198" i="12"/>
  <c r="L198" i="12"/>
  <c r="M198" i="12"/>
  <c r="N198" i="12"/>
  <c r="O198" i="12"/>
  <c r="P198" i="12"/>
  <c r="Q198" i="12"/>
  <c r="R198" i="12"/>
  <c r="S198" i="12"/>
  <c r="K199" i="12"/>
  <c r="L199" i="12"/>
  <c r="M199" i="12"/>
  <c r="N199" i="12"/>
  <c r="O199" i="12"/>
  <c r="P199" i="12"/>
  <c r="Q199" i="12"/>
  <c r="R199" i="12"/>
  <c r="S199" i="12"/>
  <c r="K200" i="12"/>
  <c r="L200" i="12"/>
  <c r="M200" i="12"/>
  <c r="N200" i="12"/>
  <c r="O200" i="12"/>
  <c r="P200" i="12"/>
  <c r="Q200" i="12"/>
  <c r="R200" i="12"/>
  <c r="S200" i="12"/>
  <c r="K201" i="12"/>
  <c r="L201" i="12"/>
  <c r="M201" i="12"/>
  <c r="N201" i="12"/>
  <c r="O201" i="12"/>
  <c r="P201" i="12"/>
  <c r="Q201" i="12"/>
  <c r="R201" i="12"/>
  <c r="S201" i="12"/>
  <c r="K202" i="12"/>
  <c r="L202" i="12"/>
  <c r="M202" i="12"/>
  <c r="N202" i="12"/>
  <c r="O202" i="12"/>
  <c r="P202" i="12"/>
  <c r="Q202" i="12"/>
  <c r="R202" i="12"/>
  <c r="S202" i="12"/>
  <c r="K203" i="12"/>
  <c r="L203" i="12"/>
  <c r="M203" i="12"/>
  <c r="N203" i="12"/>
  <c r="O203" i="12"/>
  <c r="P203" i="12"/>
  <c r="Q203" i="12"/>
  <c r="R203" i="12"/>
  <c r="S203" i="12"/>
  <c r="K204" i="12"/>
  <c r="L204" i="12"/>
  <c r="M204" i="12"/>
  <c r="N204" i="12"/>
  <c r="O204" i="12"/>
  <c r="P204" i="12"/>
  <c r="Q204" i="12"/>
  <c r="R204" i="12"/>
  <c r="S204" i="12"/>
  <c r="K205" i="12"/>
  <c r="L205" i="12"/>
  <c r="M205" i="12"/>
  <c r="N205" i="12"/>
  <c r="O205" i="12"/>
  <c r="P205" i="12"/>
  <c r="Q205" i="12"/>
  <c r="R205" i="12"/>
  <c r="S205" i="12"/>
  <c r="K206" i="12"/>
  <c r="L206" i="12"/>
  <c r="M206" i="12"/>
  <c r="N206" i="12"/>
  <c r="O206" i="12"/>
  <c r="P206" i="12"/>
  <c r="Q206" i="12"/>
  <c r="R206" i="12"/>
  <c r="S206" i="12"/>
  <c r="K207" i="12"/>
  <c r="L207" i="12"/>
  <c r="M207" i="12"/>
  <c r="N207" i="12"/>
  <c r="O207" i="12"/>
  <c r="P207" i="12"/>
  <c r="Q207" i="12"/>
  <c r="R207" i="12"/>
  <c r="S207" i="12"/>
  <c r="K208" i="12"/>
  <c r="L208" i="12"/>
  <c r="M208" i="12"/>
  <c r="N208" i="12"/>
  <c r="O208" i="12"/>
  <c r="P208" i="12"/>
  <c r="Q208" i="12"/>
  <c r="R208" i="12"/>
  <c r="S208" i="12"/>
  <c r="K209" i="12"/>
  <c r="L209" i="12"/>
  <c r="M209" i="12"/>
  <c r="N209" i="12"/>
  <c r="O209" i="12"/>
  <c r="P209" i="12"/>
  <c r="Q209" i="12"/>
  <c r="R209" i="12"/>
  <c r="S209" i="12"/>
  <c r="L185" i="12"/>
  <c r="M185" i="12"/>
  <c r="N185" i="12"/>
  <c r="O185" i="12"/>
  <c r="P185" i="12"/>
  <c r="Q185" i="12"/>
  <c r="R185" i="12"/>
  <c r="S185" i="12"/>
  <c r="K185" i="12"/>
  <c r="K179" i="12"/>
  <c r="L179" i="12"/>
  <c r="M179" i="12"/>
  <c r="N179" i="12"/>
  <c r="O179" i="12"/>
  <c r="P179" i="12"/>
  <c r="Q179" i="12"/>
  <c r="R179" i="12"/>
  <c r="S179" i="12"/>
  <c r="K176" i="12"/>
  <c r="L176" i="12"/>
  <c r="M176" i="12"/>
  <c r="N176" i="12"/>
  <c r="O176" i="12"/>
  <c r="P176" i="12"/>
  <c r="Q176" i="12"/>
  <c r="R176" i="12"/>
  <c r="S176" i="12"/>
  <c r="K177" i="12"/>
  <c r="L177" i="12"/>
  <c r="M177" i="12"/>
  <c r="N177" i="12"/>
  <c r="O177" i="12"/>
  <c r="P177" i="12"/>
  <c r="Q177" i="12"/>
  <c r="R177" i="12"/>
  <c r="S177" i="12"/>
  <c r="K178" i="12"/>
  <c r="L178" i="12"/>
  <c r="M178" i="12"/>
  <c r="N178" i="12"/>
  <c r="O178" i="12"/>
  <c r="P178" i="12"/>
  <c r="Q178" i="12"/>
  <c r="R178" i="12"/>
  <c r="S178" i="12"/>
  <c r="K158" i="12"/>
  <c r="L158" i="12"/>
  <c r="M158" i="12"/>
  <c r="N158" i="12"/>
  <c r="O158" i="12"/>
  <c r="P158" i="12"/>
  <c r="Q158" i="12"/>
  <c r="R158" i="12"/>
  <c r="S158" i="12"/>
  <c r="K159" i="12"/>
  <c r="L159" i="12"/>
  <c r="M159" i="12"/>
  <c r="N159" i="12"/>
  <c r="O159" i="12"/>
  <c r="P159" i="12"/>
  <c r="Q159" i="12"/>
  <c r="R159" i="12"/>
  <c r="S159" i="12"/>
  <c r="K160" i="12"/>
  <c r="L160" i="12"/>
  <c r="M160" i="12"/>
  <c r="N160" i="12"/>
  <c r="O160" i="12"/>
  <c r="P160" i="12"/>
  <c r="Q160" i="12"/>
  <c r="R160" i="12"/>
  <c r="S160" i="12"/>
  <c r="K161" i="12"/>
  <c r="L161" i="12"/>
  <c r="M161" i="12"/>
  <c r="N161" i="12"/>
  <c r="O161" i="12"/>
  <c r="P161" i="12"/>
  <c r="Q161" i="12"/>
  <c r="R161" i="12"/>
  <c r="S161" i="12"/>
  <c r="K162" i="12"/>
  <c r="L162" i="12"/>
  <c r="M162" i="12"/>
  <c r="N162" i="12"/>
  <c r="O162" i="12"/>
  <c r="P162" i="12"/>
  <c r="Q162" i="12"/>
  <c r="R162" i="12"/>
  <c r="S162" i="12"/>
  <c r="K163" i="12"/>
  <c r="L163" i="12"/>
  <c r="M163" i="12"/>
  <c r="N163" i="12"/>
  <c r="O163" i="12"/>
  <c r="P163" i="12"/>
  <c r="Q163" i="12"/>
  <c r="R163" i="12"/>
  <c r="S163" i="12"/>
  <c r="K164" i="12"/>
  <c r="L164" i="12"/>
  <c r="M164" i="12"/>
  <c r="N164" i="12"/>
  <c r="O164" i="12"/>
  <c r="P164" i="12"/>
  <c r="Q164" i="12"/>
  <c r="R164" i="12"/>
  <c r="S164" i="12"/>
  <c r="K165" i="12"/>
  <c r="L165" i="12"/>
  <c r="M165" i="12"/>
  <c r="N165" i="12"/>
  <c r="O165" i="12"/>
  <c r="P165" i="12"/>
  <c r="Q165" i="12"/>
  <c r="R165" i="12"/>
  <c r="S165" i="12"/>
  <c r="K166" i="12"/>
  <c r="L166" i="12"/>
  <c r="M166" i="12"/>
  <c r="N166" i="12"/>
  <c r="O166" i="12"/>
  <c r="P166" i="12"/>
  <c r="Q166" i="12"/>
  <c r="R166" i="12"/>
  <c r="S166" i="12"/>
  <c r="K167" i="12"/>
  <c r="L167" i="12"/>
  <c r="M167" i="12"/>
  <c r="N167" i="12"/>
  <c r="O167" i="12"/>
  <c r="P167" i="12"/>
  <c r="Q167" i="12"/>
  <c r="R167" i="12"/>
  <c r="S167" i="12"/>
  <c r="K168" i="12"/>
  <c r="L168" i="12"/>
  <c r="M168" i="12"/>
  <c r="N168" i="12"/>
  <c r="O168" i="12"/>
  <c r="P168" i="12"/>
  <c r="Q168" i="12"/>
  <c r="R168" i="12"/>
  <c r="S168" i="12"/>
  <c r="K169" i="12"/>
  <c r="L169" i="12"/>
  <c r="M169" i="12"/>
  <c r="N169" i="12"/>
  <c r="O169" i="12"/>
  <c r="P169" i="12"/>
  <c r="Q169" i="12"/>
  <c r="R169" i="12"/>
  <c r="S169" i="12"/>
  <c r="K170" i="12"/>
  <c r="L170" i="12"/>
  <c r="M170" i="12"/>
  <c r="N170" i="12"/>
  <c r="O170" i="12"/>
  <c r="P170" i="12"/>
  <c r="Q170" i="12"/>
  <c r="R170" i="12"/>
  <c r="S170" i="12"/>
  <c r="K171" i="12"/>
  <c r="L171" i="12"/>
  <c r="M171" i="12"/>
  <c r="N171" i="12"/>
  <c r="O171" i="12"/>
  <c r="P171" i="12"/>
  <c r="Q171" i="12"/>
  <c r="R171" i="12"/>
  <c r="S171" i="12"/>
  <c r="K172" i="12"/>
  <c r="L172" i="12"/>
  <c r="M172" i="12"/>
  <c r="N172" i="12"/>
  <c r="O172" i="12"/>
  <c r="P172" i="12"/>
  <c r="Q172" i="12"/>
  <c r="R172" i="12"/>
  <c r="S172" i="12"/>
  <c r="K173" i="12"/>
  <c r="L173" i="12"/>
  <c r="M173" i="12"/>
  <c r="N173" i="12"/>
  <c r="O173" i="12"/>
  <c r="P173" i="12"/>
  <c r="Q173" i="12"/>
  <c r="R173" i="12"/>
  <c r="S173" i="12"/>
  <c r="K174" i="12"/>
  <c r="L174" i="12"/>
  <c r="M174" i="12"/>
  <c r="N174" i="12"/>
  <c r="O174" i="12"/>
  <c r="P174" i="12"/>
  <c r="Q174" i="12"/>
  <c r="R174" i="12"/>
  <c r="S174" i="12"/>
  <c r="K175" i="12"/>
  <c r="L175" i="12"/>
  <c r="M175" i="12"/>
  <c r="N175" i="12"/>
  <c r="O175" i="12"/>
  <c r="P175" i="12"/>
  <c r="Q175" i="12"/>
  <c r="R175" i="12"/>
  <c r="S175" i="12"/>
  <c r="L157" i="12"/>
  <c r="M157" i="12"/>
  <c r="N157" i="12"/>
  <c r="O157" i="12"/>
  <c r="P157" i="12"/>
  <c r="Q157" i="12"/>
  <c r="R157" i="12"/>
  <c r="S157" i="12"/>
  <c r="K157" i="12"/>
  <c r="K148" i="12"/>
  <c r="L148" i="12"/>
  <c r="M148" i="12"/>
  <c r="N148" i="12"/>
  <c r="O148" i="12"/>
  <c r="P148" i="12"/>
  <c r="Q148" i="12"/>
  <c r="R148" i="12"/>
  <c r="S148" i="12"/>
  <c r="K149" i="12"/>
  <c r="L149" i="12"/>
  <c r="M149" i="12"/>
  <c r="N149" i="12"/>
  <c r="O149" i="12"/>
  <c r="P149" i="12"/>
  <c r="Q149" i="12"/>
  <c r="R149" i="12"/>
  <c r="S149" i="12"/>
  <c r="K128" i="12"/>
  <c r="L128" i="12"/>
  <c r="M128" i="12"/>
  <c r="N128" i="12"/>
  <c r="O128" i="12"/>
  <c r="P128" i="12"/>
  <c r="Q128" i="12"/>
  <c r="R128" i="12"/>
  <c r="S128" i="12"/>
  <c r="K129" i="12"/>
  <c r="L129" i="12"/>
  <c r="M129" i="12"/>
  <c r="N129" i="12"/>
  <c r="O129" i="12"/>
  <c r="P129" i="12"/>
  <c r="Q129" i="12"/>
  <c r="R129" i="12"/>
  <c r="S129" i="12"/>
  <c r="K130" i="12"/>
  <c r="L130" i="12"/>
  <c r="M130" i="12"/>
  <c r="N130" i="12"/>
  <c r="O130" i="12"/>
  <c r="P130" i="12"/>
  <c r="Q130" i="12"/>
  <c r="R130" i="12"/>
  <c r="S130" i="12"/>
  <c r="K131" i="12"/>
  <c r="L131" i="12"/>
  <c r="M131" i="12"/>
  <c r="N131" i="12"/>
  <c r="O131" i="12"/>
  <c r="P131" i="12"/>
  <c r="Q131" i="12"/>
  <c r="R131" i="12"/>
  <c r="S131" i="12"/>
  <c r="K132" i="12"/>
  <c r="L132" i="12"/>
  <c r="M132" i="12"/>
  <c r="N132" i="12"/>
  <c r="O132" i="12"/>
  <c r="P132" i="12"/>
  <c r="Q132" i="12"/>
  <c r="R132" i="12"/>
  <c r="S132" i="12"/>
  <c r="K133" i="12"/>
  <c r="L133" i="12"/>
  <c r="M133" i="12"/>
  <c r="N133" i="12"/>
  <c r="O133" i="12"/>
  <c r="P133" i="12"/>
  <c r="Q133" i="12"/>
  <c r="R133" i="12"/>
  <c r="S133" i="12"/>
  <c r="K134" i="12"/>
  <c r="L134" i="12"/>
  <c r="M134" i="12"/>
  <c r="N134" i="12"/>
  <c r="O134" i="12"/>
  <c r="P134" i="12"/>
  <c r="Q134" i="12"/>
  <c r="R134" i="12"/>
  <c r="S134" i="12"/>
  <c r="K135" i="12"/>
  <c r="L135" i="12"/>
  <c r="M135" i="12"/>
  <c r="N135" i="12"/>
  <c r="O135" i="12"/>
  <c r="P135" i="12"/>
  <c r="Q135" i="12"/>
  <c r="R135" i="12"/>
  <c r="S135" i="12"/>
  <c r="K136" i="12"/>
  <c r="L136" i="12"/>
  <c r="M136" i="12"/>
  <c r="N136" i="12"/>
  <c r="O136" i="12"/>
  <c r="P136" i="12"/>
  <c r="Q136" i="12"/>
  <c r="R136" i="12"/>
  <c r="S136" i="12"/>
  <c r="K137" i="12"/>
  <c r="L137" i="12"/>
  <c r="M137" i="12"/>
  <c r="N137" i="12"/>
  <c r="O137" i="12"/>
  <c r="P137" i="12"/>
  <c r="Q137" i="12"/>
  <c r="R137" i="12"/>
  <c r="S137" i="12"/>
  <c r="K138" i="12"/>
  <c r="L138" i="12"/>
  <c r="M138" i="12"/>
  <c r="N138" i="12"/>
  <c r="O138" i="12"/>
  <c r="P138" i="12"/>
  <c r="Q138" i="12"/>
  <c r="R138" i="12"/>
  <c r="S138" i="12"/>
  <c r="K139" i="12"/>
  <c r="L139" i="12"/>
  <c r="M139" i="12"/>
  <c r="N139" i="12"/>
  <c r="O139" i="12"/>
  <c r="P139" i="12"/>
  <c r="Q139" i="12"/>
  <c r="R139" i="12"/>
  <c r="S139" i="12"/>
  <c r="K140" i="12"/>
  <c r="L140" i="12"/>
  <c r="M140" i="12"/>
  <c r="N140" i="12"/>
  <c r="O140" i="12"/>
  <c r="P140" i="12"/>
  <c r="Q140" i="12"/>
  <c r="R140" i="12"/>
  <c r="S140" i="12"/>
  <c r="K141" i="12"/>
  <c r="L141" i="12"/>
  <c r="M141" i="12"/>
  <c r="N141" i="12"/>
  <c r="O141" i="12"/>
  <c r="P141" i="12"/>
  <c r="Q141" i="12"/>
  <c r="R141" i="12"/>
  <c r="S141" i="12"/>
  <c r="K142" i="12"/>
  <c r="L142" i="12"/>
  <c r="M142" i="12"/>
  <c r="N142" i="12"/>
  <c r="O142" i="12"/>
  <c r="P142" i="12"/>
  <c r="Q142" i="12"/>
  <c r="R142" i="12"/>
  <c r="S142" i="12"/>
  <c r="K143" i="12"/>
  <c r="L143" i="12"/>
  <c r="M143" i="12"/>
  <c r="N143" i="12"/>
  <c r="O143" i="12"/>
  <c r="P143" i="12"/>
  <c r="Q143" i="12"/>
  <c r="R143" i="12"/>
  <c r="S143" i="12"/>
  <c r="K144" i="12"/>
  <c r="L144" i="12"/>
  <c r="M144" i="12"/>
  <c r="N144" i="12"/>
  <c r="O144" i="12"/>
  <c r="P144" i="12"/>
  <c r="Q144" i="12"/>
  <c r="R144" i="12"/>
  <c r="S144" i="12"/>
  <c r="K145" i="12"/>
  <c r="L145" i="12"/>
  <c r="M145" i="12"/>
  <c r="N145" i="12"/>
  <c r="O145" i="12"/>
  <c r="P145" i="12"/>
  <c r="Q145" i="12"/>
  <c r="R145" i="12"/>
  <c r="S145" i="12"/>
  <c r="K146" i="12"/>
  <c r="L146" i="12"/>
  <c r="M146" i="12"/>
  <c r="N146" i="12"/>
  <c r="O146" i="12"/>
  <c r="P146" i="12"/>
  <c r="Q146" i="12"/>
  <c r="R146" i="12"/>
  <c r="S146" i="12"/>
  <c r="K147" i="12"/>
  <c r="L147" i="12"/>
  <c r="M147" i="12"/>
  <c r="N147" i="12"/>
  <c r="O147" i="12"/>
  <c r="P147" i="12"/>
  <c r="Q147" i="12"/>
  <c r="R147" i="12"/>
  <c r="S147" i="12"/>
  <c r="L127" i="12"/>
  <c r="M127" i="12"/>
  <c r="N127" i="12"/>
  <c r="O127" i="12"/>
  <c r="P127" i="12"/>
  <c r="Q127" i="12"/>
  <c r="R127" i="12"/>
  <c r="S127" i="12"/>
  <c r="K127" i="12"/>
  <c r="K118" i="12"/>
  <c r="L118" i="12"/>
  <c r="M118" i="12"/>
  <c r="N118" i="12"/>
  <c r="O118" i="12"/>
  <c r="P118" i="12"/>
  <c r="Q118" i="12"/>
  <c r="R118" i="12"/>
  <c r="S118" i="12"/>
  <c r="K119" i="12"/>
  <c r="L119" i="12"/>
  <c r="M119" i="12"/>
  <c r="N119" i="12"/>
  <c r="O119" i="12"/>
  <c r="P119" i="12"/>
  <c r="Q119" i="12"/>
  <c r="R119" i="12"/>
  <c r="S119" i="12"/>
  <c r="K116" i="12"/>
  <c r="L116" i="12"/>
  <c r="M116" i="12"/>
  <c r="N116" i="12"/>
  <c r="O116" i="12"/>
  <c r="P116" i="12"/>
  <c r="Q116" i="12"/>
  <c r="R116" i="12"/>
  <c r="S116" i="12"/>
  <c r="K117" i="12"/>
  <c r="L117" i="12"/>
  <c r="M117" i="12"/>
  <c r="N117" i="12"/>
  <c r="O117" i="12"/>
  <c r="P117" i="12"/>
  <c r="Q117" i="12"/>
  <c r="R117" i="12"/>
  <c r="S117" i="12"/>
  <c r="K114" i="12"/>
  <c r="L114" i="12"/>
  <c r="M114" i="12"/>
  <c r="N114" i="12"/>
  <c r="O114" i="12"/>
  <c r="P114" i="12"/>
  <c r="Q114" i="12"/>
  <c r="R114" i="12"/>
  <c r="S114" i="12"/>
  <c r="K115" i="12"/>
  <c r="L115" i="12"/>
  <c r="M115" i="12"/>
  <c r="N115" i="12"/>
  <c r="O115" i="12"/>
  <c r="P115" i="12"/>
  <c r="Q115" i="12"/>
  <c r="R115" i="12"/>
  <c r="S115" i="12"/>
  <c r="K112" i="12"/>
  <c r="L112" i="12"/>
  <c r="M112" i="12"/>
  <c r="N112" i="12"/>
  <c r="O112" i="12"/>
  <c r="P112" i="12"/>
  <c r="Q112" i="12"/>
  <c r="R112" i="12"/>
  <c r="S112" i="12"/>
  <c r="K113" i="12"/>
  <c r="L113" i="12"/>
  <c r="M113" i="12"/>
  <c r="N113" i="12"/>
  <c r="O113" i="12"/>
  <c r="P113" i="12"/>
  <c r="Q113" i="12"/>
  <c r="R113" i="12"/>
  <c r="S113" i="12"/>
  <c r="K96" i="12"/>
  <c r="L96" i="12"/>
  <c r="M96" i="12"/>
  <c r="N96" i="12"/>
  <c r="O96" i="12"/>
  <c r="P96" i="12"/>
  <c r="Q96" i="12"/>
  <c r="R96" i="12"/>
  <c r="S96" i="12"/>
  <c r="K97" i="12"/>
  <c r="L97" i="12"/>
  <c r="M97" i="12"/>
  <c r="N97" i="12"/>
  <c r="O97" i="12"/>
  <c r="P97" i="12"/>
  <c r="Q97" i="12"/>
  <c r="R97" i="12"/>
  <c r="S97" i="12"/>
  <c r="K98" i="12"/>
  <c r="L98" i="12"/>
  <c r="M98" i="12"/>
  <c r="N98" i="12"/>
  <c r="O98" i="12"/>
  <c r="P98" i="12"/>
  <c r="Q98" i="12"/>
  <c r="R98" i="12"/>
  <c r="S98" i="12"/>
  <c r="K99" i="12"/>
  <c r="L99" i="12"/>
  <c r="M99" i="12"/>
  <c r="N99" i="12"/>
  <c r="O99" i="12"/>
  <c r="P99" i="12"/>
  <c r="Q99" i="12"/>
  <c r="R99" i="12"/>
  <c r="S99" i="12"/>
  <c r="K100" i="12"/>
  <c r="L100" i="12"/>
  <c r="M100" i="12"/>
  <c r="N100" i="12"/>
  <c r="O100" i="12"/>
  <c r="P100" i="12"/>
  <c r="Q100" i="12"/>
  <c r="R100" i="12"/>
  <c r="S100" i="12"/>
  <c r="K101" i="12"/>
  <c r="L101" i="12"/>
  <c r="M101" i="12"/>
  <c r="N101" i="12"/>
  <c r="O101" i="12"/>
  <c r="P101" i="12"/>
  <c r="Q101" i="12"/>
  <c r="R101" i="12"/>
  <c r="S101" i="12"/>
  <c r="K102" i="12"/>
  <c r="L102" i="12"/>
  <c r="M102" i="12"/>
  <c r="N102" i="12"/>
  <c r="O102" i="12"/>
  <c r="P102" i="12"/>
  <c r="Q102" i="12"/>
  <c r="R102" i="12"/>
  <c r="S102" i="12"/>
  <c r="K103" i="12"/>
  <c r="L103" i="12"/>
  <c r="M103" i="12"/>
  <c r="N103" i="12"/>
  <c r="O103" i="12"/>
  <c r="P103" i="12"/>
  <c r="Q103" i="12"/>
  <c r="R103" i="12"/>
  <c r="S103" i="12"/>
  <c r="K104" i="12"/>
  <c r="L104" i="12"/>
  <c r="M104" i="12"/>
  <c r="N104" i="12"/>
  <c r="O104" i="12"/>
  <c r="P104" i="12"/>
  <c r="Q104" i="12"/>
  <c r="R104" i="12"/>
  <c r="S104" i="12"/>
  <c r="K105" i="12"/>
  <c r="L105" i="12"/>
  <c r="M105" i="12"/>
  <c r="N105" i="12"/>
  <c r="O105" i="12"/>
  <c r="P105" i="12"/>
  <c r="Q105" i="12"/>
  <c r="R105" i="12"/>
  <c r="S105" i="12"/>
  <c r="K106" i="12"/>
  <c r="L106" i="12"/>
  <c r="M106" i="12"/>
  <c r="N106" i="12"/>
  <c r="O106" i="12"/>
  <c r="P106" i="12"/>
  <c r="Q106" i="12"/>
  <c r="R106" i="12"/>
  <c r="S106" i="12"/>
  <c r="K107" i="12"/>
  <c r="L107" i="12"/>
  <c r="M107" i="12"/>
  <c r="N107" i="12"/>
  <c r="O107" i="12"/>
  <c r="P107" i="12"/>
  <c r="Q107" i="12"/>
  <c r="R107" i="12"/>
  <c r="S107" i="12"/>
  <c r="K108" i="12"/>
  <c r="L108" i="12"/>
  <c r="M108" i="12"/>
  <c r="N108" i="12"/>
  <c r="O108" i="12"/>
  <c r="P108" i="12"/>
  <c r="Q108" i="12"/>
  <c r="R108" i="12"/>
  <c r="S108" i="12"/>
  <c r="K109" i="12"/>
  <c r="L109" i="12"/>
  <c r="M109" i="12"/>
  <c r="N109" i="12"/>
  <c r="O109" i="12"/>
  <c r="P109" i="12"/>
  <c r="Q109" i="12"/>
  <c r="R109" i="12"/>
  <c r="S109" i="12"/>
  <c r="K110" i="12"/>
  <c r="L110" i="12"/>
  <c r="M110" i="12"/>
  <c r="N110" i="12"/>
  <c r="O110" i="12"/>
  <c r="P110" i="12"/>
  <c r="Q110" i="12"/>
  <c r="R110" i="12"/>
  <c r="S110" i="12"/>
  <c r="K111" i="12"/>
  <c r="L111" i="12"/>
  <c r="M111" i="12"/>
  <c r="N111" i="12"/>
  <c r="O111" i="12"/>
  <c r="P111" i="12"/>
  <c r="Q111" i="12"/>
  <c r="R111" i="12"/>
  <c r="S111" i="12"/>
  <c r="L95" i="12"/>
  <c r="M95" i="12"/>
  <c r="N95" i="12"/>
  <c r="O95" i="12"/>
  <c r="P95" i="12"/>
  <c r="Q95" i="12"/>
  <c r="R95" i="12"/>
  <c r="S95" i="12"/>
  <c r="K95" i="12"/>
  <c r="K66" i="12"/>
  <c r="L66" i="12"/>
  <c r="M66" i="12"/>
  <c r="N66" i="12"/>
  <c r="O66" i="12"/>
  <c r="P66" i="12"/>
  <c r="Q66" i="12"/>
  <c r="R66" i="12"/>
  <c r="S66" i="12"/>
  <c r="K67" i="12"/>
  <c r="L67" i="12"/>
  <c r="M67" i="12"/>
  <c r="N67" i="12"/>
  <c r="O67" i="12"/>
  <c r="P67" i="12"/>
  <c r="Q67" i="12"/>
  <c r="R67" i="12"/>
  <c r="S67" i="12"/>
  <c r="K68" i="12"/>
  <c r="L68" i="12"/>
  <c r="M68" i="12"/>
  <c r="N68" i="12"/>
  <c r="O68" i="12"/>
  <c r="P68" i="12"/>
  <c r="Q68" i="12"/>
  <c r="R68" i="12"/>
  <c r="S68" i="12"/>
  <c r="K69" i="12"/>
  <c r="L69" i="12"/>
  <c r="M69" i="12"/>
  <c r="N69" i="12"/>
  <c r="O69" i="12"/>
  <c r="P69" i="12"/>
  <c r="Q69" i="12"/>
  <c r="R69" i="12"/>
  <c r="S69" i="12"/>
  <c r="K70" i="12"/>
  <c r="L70" i="12"/>
  <c r="M70" i="12"/>
  <c r="N70" i="12"/>
  <c r="O70" i="12"/>
  <c r="P70" i="12"/>
  <c r="Q70" i="12"/>
  <c r="R70" i="12"/>
  <c r="S70" i="12"/>
  <c r="K71" i="12"/>
  <c r="L71" i="12"/>
  <c r="M71" i="12"/>
  <c r="N71" i="12"/>
  <c r="O71" i="12"/>
  <c r="P71" i="12"/>
  <c r="Q71" i="12"/>
  <c r="R71" i="12"/>
  <c r="S71" i="12"/>
  <c r="K72" i="12"/>
  <c r="L72" i="12"/>
  <c r="M72" i="12"/>
  <c r="N72" i="12"/>
  <c r="O72" i="12"/>
  <c r="P72" i="12"/>
  <c r="Q72" i="12"/>
  <c r="R72" i="12"/>
  <c r="S72" i="12"/>
  <c r="K73" i="12"/>
  <c r="L73" i="12"/>
  <c r="M73" i="12"/>
  <c r="N73" i="12"/>
  <c r="O73" i="12"/>
  <c r="P73" i="12"/>
  <c r="Q73" i="12"/>
  <c r="R73" i="12"/>
  <c r="S73" i="12"/>
  <c r="K74" i="12"/>
  <c r="L74" i="12"/>
  <c r="M74" i="12"/>
  <c r="N74" i="12"/>
  <c r="O74" i="12"/>
  <c r="P74" i="12"/>
  <c r="Q74" i="12"/>
  <c r="R74" i="12"/>
  <c r="S74" i="12"/>
  <c r="K75" i="12"/>
  <c r="L75" i="12"/>
  <c r="M75" i="12"/>
  <c r="N75" i="12"/>
  <c r="O75" i="12"/>
  <c r="P75" i="12"/>
  <c r="Q75" i="12"/>
  <c r="R75" i="12"/>
  <c r="S75" i="12"/>
  <c r="K76" i="12"/>
  <c r="L76" i="12"/>
  <c r="M76" i="12"/>
  <c r="N76" i="12"/>
  <c r="O76" i="12"/>
  <c r="P76" i="12"/>
  <c r="Q76" i="12"/>
  <c r="R76" i="12"/>
  <c r="S76" i="12"/>
  <c r="K77" i="12"/>
  <c r="L77" i="12"/>
  <c r="M77" i="12"/>
  <c r="N77" i="12"/>
  <c r="O77" i="12"/>
  <c r="P77" i="12"/>
  <c r="Q77" i="12"/>
  <c r="R77" i="12"/>
  <c r="S77" i="12"/>
  <c r="K78" i="12"/>
  <c r="L78" i="12"/>
  <c r="M78" i="12"/>
  <c r="N78" i="12"/>
  <c r="O78" i="12"/>
  <c r="P78" i="12"/>
  <c r="Q78" i="12"/>
  <c r="R78" i="12"/>
  <c r="S78" i="12"/>
  <c r="K79" i="12"/>
  <c r="L79" i="12"/>
  <c r="M79" i="12"/>
  <c r="N79" i="12"/>
  <c r="O79" i="12"/>
  <c r="P79" i="12"/>
  <c r="Q79" i="12"/>
  <c r="R79" i="12"/>
  <c r="S79" i="12"/>
  <c r="K80" i="12"/>
  <c r="L80" i="12"/>
  <c r="M80" i="12"/>
  <c r="N80" i="12"/>
  <c r="O80" i="12"/>
  <c r="P80" i="12"/>
  <c r="Q80" i="12"/>
  <c r="R80" i="12"/>
  <c r="S80" i="12"/>
  <c r="K81" i="12"/>
  <c r="L81" i="12"/>
  <c r="M81" i="12"/>
  <c r="N81" i="12"/>
  <c r="O81" i="12"/>
  <c r="P81" i="12"/>
  <c r="Q81" i="12"/>
  <c r="R81" i="12"/>
  <c r="S81" i="12"/>
  <c r="K82" i="12"/>
  <c r="L82" i="12"/>
  <c r="M82" i="12"/>
  <c r="N82" i="12"/>
  <c r="O82" i="12"/>
  <c r="P82" i="12"/>
  <c r="Q82" i="12"/>
  <c r="R82" i="12"/>
  <c r="S82" i="12"/>
  <c r="K83" i="12"/>
  <c r="L83" i="12"/>
  <c r="M83" i="12"/>
  <c r="N83" i="12"/>
  <c r="O83" i="12"/>
  <c r="P83" i="12"/>
  <c r="Q83" i="12"/>
  <c r="R83" i="12"/>
  <c r="S83" i="12"/>
  <c r="K84" i="12"/>
  <c r="L84" i="12"/>
  <c r="M84" i="12"/>
  <c r="N84" i="12"/>
  <c r="O84" i="12"/>
  <c r="P84" i="12"/>
  <c r="Q84" i="12"/>
  <c r="R84" i="12"/>
  <c r="S84" i="12"/>
  <c r="K85" i="12"/>
  <c r="L85" i="12"/>
  <c r="M85" i="12"/>
  <c r="N85" i="12"/>
  <c r="O85" i="12"/>
  <c r="P85" i="12"/>
  <c r="Q85" i="12"/>
  <c r="R85" i="12"/>
  <c r="S85" i="12"/>
  <c r="K86" i="12"/>
  <c r="L86" i="12"/>
  <c r="M86" i="12"/>
  <c r="N86" i="12"/>
  <c r="O86" i="12"/>
  <c r="P86" i="12"/>
  <c r="Q86" i="12"/>
  <c r="R86" i="12"/>
  <c r="S86" i="12"/>
  <c r="K87" i="12"/>
  <c r="L87" i="12"/>
  <c r="M87" i="12"/>
  <c r="N87" i="12"/>
  <c r="O87" i="12"/>
  <c r="P87" i="12"/>
  <c r="Q87" i="12"/>
  <c r="R87" i="12"/>
  <c r="S87" i="12"/>
  <c r="K88" i="12"/>
  <c r="L88" i="12"/>
  <c r="M88" i="12"/>
  <c r="N88" i="12"/>
  <c r="O88" i="12"/>
  <c r="P88" i="12"/>
  <c r="Q88" i="12"/>
  <c r="R88" i="12"/>
  <c r="S88" i="12"/>
  <c r="K89" i="12"/>
  <c r="L89" i="12"/>
  <c r="M89" i="12"/>
  <c r="N89" i="12"/>
  <c r="O89" i="12"/>
  <c r="P89" i="12"/>
  <c r="Q89" i="12"/>
  <c r="R89" i="12"/>
  <c r="S89" i="12"/>
  <c r="L65" i="12"/>
  <c r="M65" i="12"/>
  <c r="N65" i="12"/>
  <c r="O65" i="12"/>
  <c r="P65" i="12"/>
  <c r="Q65" i="12"/>
  <c r="R65" i="12"/>
  <c r="S65" i="12"/>
  <c r="K65" i="12"/>
  <c r="K36" i="12"/>
  <c r="L36" i="12"/>
  <c r="M36" i="12"/>
  <c r="N36" i="12"/>
  <c r="O36" i="12"/>
  <c r="P36" i="12"/>
  <c r="Q36" i="12"/>
  <c r="R36" i="12"/>
  <c r="S36" i="12"/>
  <c r="K37" i="12"/>
  <c r="L37" i="12"/>
  <c r="M37" i="12"/>
  <c r="N37" i="12"/>
  <c r="O37" i="12"/>
  <c r="P37" i="12"/>
  <c r="Q37" i="12"/>
  <c r="R37" i="12"/>
  <c r="S37" i="12"/>
  <c r="K38" i="12"/>
  <c r="L38" i="12"/>
  <c r="M38" i="12"/>
  <c r="N38" i="12"/>
  <c r="O38" i="12"/>
  <c r="P38" i="12"/>
  <c r="Q38" i="12"/>
  <c r="R38" i="12"/>
  <c r="S38" i="12"/>
  <c r="K39" i="12"/>
  <c r="L39" i="12"/>
  <c r="M39" i="12"/>
  <c r="N39" i="12"/>
  <c r="O39" i="12"/>
  <c r="P39" i="12"/>
  <c r="Q39" i="12"/>
  <c r="R39" i="12"/>
  <c r="S39" i="12"/>
  <c r="K40" i="12"/>
  <c r="L40" i="12"/>
  <c r="M40" i="12"/>
  <c r="N40" i="12"/>
  <c r="O40" i="12"/>
  <c r="P40" i="12"/>
  <c r="Q40" i="12"/>
  <c r="R40" i="12"/>
  <c r="S40" i="12"/>
  <c r="K41" i="12"/>
  <c r="L41" i="12"/>
  <c r="M41" i="12"/>
  <c r="N41" i="12"/>
  <c r="O41" i="12"/>
  <c r="P41" i="12"/>
  <c r="Q41" i="12"/>
  <c r="R41" i="12"/>
  <c r="S41" i="12"/>
  <c r="K42" i="12"/>
  <c r="L42" i="12"/>
  <c r="M42" i="12"/>
  <c r="N42" i="12"/>
  <c r="O42" i="12"/>
  <c r="P42" i="12"/>
  <c r="Q42" i="12"/>
  <c r="R42" i="12"/>
  <c r="S42" i="12"/>
  <c r="K43" i="12"/>
  <c r="L43" i="12"/>
  <c r="M43" i="12"/>
  <c r="N43" i="12"/>
  <c r="O43" i="12"/>
  <c r="P43" i="12"/>
  <c r="Q43" i="12"/>
  <c r="R43" i="12"/>
  <c r="S43" i="12"/>
  <c r="K44" i="12"/>
  <c r="L44" i="12"/>
  <c r="M44" i="12"/>
  <c r="N44" i="12"/>
  <c r="O44" i="12"/>
  <c r="P44" i="12"/>
  <c r="Q44" i="12"/>
  <c r="R44" i="12"/>
  <c r="S44" i="12"/>
  <c r="K45" i="12"/>
  <c r="L45" i="12"/>
  <c r="M45" i="12"/>
  <c r="N45" i="12"/>
  <c r="O45" i="12"/>
  <c r="P45" i="12"/>
  <c r="Q45" i="12"/>
  <c r="R45" i="12"/>
  <c r="S45" i="12"/>
  <c r="K46" i="12"/>
  <c r="L46" i="12"/>
  <c r="M46" i="12"/>
  <c r="N46" i="12"/>
  <c r="O46" i="12"/>
  <c r="P46" i="12"/>
  <c r="Q46" i="12"/>
  <c r="R46" i="12"/>
  <c r="S46" i="12"/>
  <c r="K47" i="12"/>
  <c r="L47" i="12"/>
  <c r="M47" i="12"/>
  <c r="N47" i="12"/>
  <c r="O47" i="12"/>
  <c r="P47" i="12"/>
  <c r="Q47" i="12"/>
  <c r="R47" i="12"/>
  <c r="S47" i="12"/>
  <c r="K48" i="12"/>
  <c r="L48" i="12"/>
  <c r="M48" i="12"/>
  <c r="N48" i="12"/>
  <c r="O48" i="12"/>
  <c r="P48" i="12"/>
  <c r="Q48" i="12"/>
  <c r="R48" i="12"/>
  <c r="S48" i="12"/>
  <c r="K49" i="12"/>
  <c r="L49" i="12"/>
  <c r="M49" i="12"/>
  <c r="N49" i="12"/>
  <c r="O49" i="12"/>
  <c r="P49" i="12"/>
  <c r="Q49" i="12"/>
  <c r="R49" i="12"/>
  <c r="S49" i="12"/>
  <c r="K50" i="12"/>
  <c r="L50" i="12"/>
  <c r="M50" i="12"/>
  <c r="N50" i="12"/>
  <c r="O50" i="12"/>
  <c r="P50" i="12"/>
  <c r="Q50" i="12"/>
  <c r="R50" i="12"/>
  <c r="S50" i="12"/>
  <c r="K51" i="12"/>
  <c r="L51" i="12"/>
  <c r="M51" i="12"/>
  <c r="N51" i="12"/>
  <c r="O51" i="12"/>
  <c r="P51" i="12"/>
  <c r="Q51" i="12"/>
  <c r="R51" i="12"/>
  <c r="S51" i="12"/>
  <c r="K52" i="12"/>
  <c r="L52" i="12"/>
  <c r="M52" i="12"/>
  <c r="N52" i="12"/>
  <c r="O52" i="12"/>
  <c r="P52" i="12"/>
  <c r="Q52" i="12"/>
  <c r="R52" i="12"/>
  <c r="S52" i="12"/>
  <c r="K53" i="12"/>
  <c r="L53" i="12"/>
  <c r="M53" i="12"/>
  <c r="N53" i="12"/>
  <c r="O53" i="12"/>
  <c r="P53" i="12"/>
  <c r="Q53" i="12"/>
  <c r="R53" i="12"/>
  <c r="S53" i="12"/>
  <c r="K54" i="12"/>
  <c r="L54" i="12"/>
  <c r="M54" i="12"/>
  <c r="N54" i="12"/>
  <c r="O54" i="12"/>
  <c r="P54" i="12"/>
  <c r="Q54" i="12"/>
  <c r="R54" i="12"/>
  <c r="S54" i="12"/>
  <c r="K55" i="12"/>
  <c r="L55" i="12"/>
  <c r="M55" i="12"/>
  <c r="N55" i="12"/>
  <c r="O55" i="12"/>
  <c r="P55" i="12"/>
  <c r="Q55" i="12"/>
  <c r="R55" i="12"/>
  <c r="S55" i="12"/>
  <c r="K56" i="12"/>
  <c r="L56" i="12"/>
  <c r="M56" i="12"/>
  <c r="N56" i="12"/>
  <c r="O56" i="12"/>
  <c r="P56" i="12"/>
  <c r="Q56" i="12"/>
  <c r="R56" i="12"/>
  <c r="S56" i="12"/>
  <c r="K57" i="12"/>
  <c r="L57" i="12"/>
  <c r="M57" i="12"/>
  <c r="N57" i="12"/>
  <c r="O57" i="12"/>
  <c r="P57" i="12"/>
  <c r="Q57" i="12"/>
  <c r="R57" i="12"/>
  <c r="S57" i="12"/>
  <c r="K58" i="12"/>
  <c r="L58" i="12"/>
  <c r="M58" i="12"/>
  <c r="N58" i="12"/>
  <c r="O58" i="12"/>
  <c r="P58" i="12"/>
  <c r="Q58" i="12"/>
  <c r="R58" i="12"/>
  <c r="S58" i="12"/>
  <c r="K59" i="12"/>
  <c r="L59" i="12"/>
  <c r="M59" i="12"/>
  <c r="N59" i="12"/>
  <c r="O59" i="12"/>
  <c r="P59" i="12"/>
  <c r="Q59" i="12"/>
  <c r="R59" i="12"/>
  <c r="S59" i="12"/>
  <c r="L35" i="12"/>
  <c r="M35" i="12"/>
  <c r="N35" i="12"/>
  <c r="O35" i="12"/>
  <c r="P35" i="12"/>
  <c r="Q35" i="12"/>
  <c r="R35" i="12"/>
  <c r="S35" i="12"/>
  <c r="K3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K6" i="12"/>
  <c r="L6" i="12"/>
  <c r="M6" i="12"/>
  <c r="N6" i="12"/>
  <c r="O6" i="12"/>
  <c r="P6" i="12"/>
  <c r="Q6" i="12"/>
  <c r="R6" i="12"/>
  <c r="K7" i="12"/>
  <c r="L7" i="12"/>
  <c r="M7" i="12"/>
  <c r="N7" i="12"/>
  <c r="O7" i="12"/>
  <c r="P7" i="12"/>
  <c r="Q7" i="12"/>
  <c r="R7" i="12"/>
  <c r="K8" i="12"/>
  <c r="L8" i="12"/>
  <c r="M8" i="12"/>
  <c r="N8" i="12"/>
  <c r="O8" i="12"/>
  <c r="P8" i="12"/>
  <c r="Q8" i="12"/>
  <c r="R8" i="12"/>
  <c r="K9" i="12"/>
  <c r="L9" i="12"/>
  <c r="M9" i="12"/>
  <c r="N9" i="12"/>
  <c r="O9" i="12"/>
  <c r="P9" i="12"/>
  <c r="Q9" i="12"/>
  <c r="R9" i="12"/>
  <c r="K10" i="12"/>
  <c r="L10" i="12"/>
  <c r="M10" i="12"/>
  <c r="N10" i="12"/>
  <c r="O10" i="12"/>
  <c r="P10" i="12"/>
  <c r="Q10" i="12"/>
  <c r="R10" i="12"/>
  <c r="K11" i="12"/>
  <c r="L11" i="12"/>
  <c r="M11" i="12"/>
  <c r="N11" i="12"/>
  <c r="O11" i="12"/>
  <c r="P11" i="12"/>
  <c r="Q11" i="12"/>
  <c r="R11" i="12"/>
  <c r="K12" i="12"/>
  <c r="L12" i="12"/>
  <c r="M12" i="12"/>
  <c r="N12" i="12"/>
  <c r="O12" i="12"/>
  <c r="P12" i="12"/>
  <c r="Q12" i="12"/>
  <c r="R12" i="12"/>
  <c r="K13" i="12"/>
  <c r="L13" i="12"/>
  <c r="M13" i="12"/>
  <c r="N13" i="12"/>
  <c r="O13" i="12"/>
  <c r="P13" i="12"/>
  <c r="Q13" i="12"/>
  <c r="R13" i="12"/>
  <c r="K14" i="12"/>
  <c r="L14" i="12"/>
  <c r="M14" i="12"/>
  <c r="N14" i="12"/>
  <c r="O14" i="12"/>
  <c r="P14" i="12"/>
  <c r="Q14" i="12"/>
  <c r="R14" i="12"/>
  <c r="K15" i="12"/>
  <c r="L15" i="12"/>
  <c r="M15" i="12"/>
  <c r="N15" i="12"/>
  <c r="O15" i="12"/>
  <c r="P15" i="12"/>
  <c r="Q15" i="12"/>
  <c r="R15" i="12"/>
  <c r="K16" i="12"/>
  <c r="L16" i="12"/>
  <c r="M16" i="12"/>
  <c r="N16" i="12"/>
  <c r="O16" i="12"/>
  <c r="P16" i="12"/>
  <c r="Q16" i="12"/>
  <c r="R16" i="12"/>
  <c r="K17" i="12"/>
  <c r="L17" i="12"/>
  <c r="M17" i="12"/>
  <c r="N17" i="12"/>
  <c r="O17" i="12"/>
  <c r="P17" i="12"/>
  <c r="Q17" i="12"/>
  <c r="R17" i="12"/>
  <c r="K18" i="12"/>
  <c r="L18" i="12"/>
  <c r="M18" i="12"/>
  <c r="N18" i="12"/>
  <c r="O18" i="12"/>
  <c r="P18" i="12"/>
  <c r="Q18" i="12"/>
  <c r="R18" i="12"/>
  <c r="K19" i="12"/>
  <c r="L19" i="12"/>
  <c r="M19" i="12"/>
  <c r="N19" i="12"/>
  <c r="O19" i="12"/>
  <c r="P19" i="12"/>
  <c r="Q19" i="12"/>
  <c r="R19" i="12"/>
  <c r="K20" i="12"/>
  <c r="L20" i="12"/>
  <c r="M20" i="12"/>
  <c r="N20" i="12"/>
  <c r="O20" i="12"/>
  <c r="P20" i="12"/>
  <c r="Q20" i="12"/>
  <c r="R20" i="12"/>
  <c r="K21" i="12"/>
  <c r="L21" i="12"/>
  <c r="M21" i="12"/>
  <c r="N21" i="12"/>
  <c r="O21" i="12"/>
  <c r="P21" i="12"/>
  <c r="Q21" i="12"/>
  <c r="R21" i="12"/>
  <c r="K22" i="12"/>
  <c r="L22" i="12"/>
  <c r="M22" i="12"/>
  <c r="N22" i="12"/>
  <c r="O22" i="12"/>
  <c r="P22" i="12"/>
  <c r="Q22" i="12"/>
  <c r="R22" i="12"/>
  <c r="K23" i="12"/>
  <c r="L23" i="12"/>
  <c r="M23" i="12"/>
  <c r="N23" i="12"/>
  <c r="O23" i="12"/>
  <c r="P23" i="12"/>
  <c r="Q23" i="12"/>
  <c r="R23" i="12"/>
  <c r="K24" i="12"/>
  <c r="L24" i="12"/>
  <c r="M24" i="12"/>
  <c r="N24" i="12"/>
  <c r="O24" i="12"/>
  <c r="P24" i="12"/>
  <c r="Q24" i="12"/>
  <c r="R24" i="12"/>
  <c r="K25" i="12"/>
  <c r="L25" i="12"/>
  <c r="M25" i="12"/>
  <c r="N25" i="12"/>
  <c r="O25" i="12"/>
  <c r="P25" i="12"/>
  <c r="Q25" i="12"/>
  <c r="R25" i="12"/>
  <c r="K26" i="12"/>
  <c r="L26" i="12"/>
  <c r="M26" i="12"/>
  <c r="N26" i="12"/>
  <c r="O26" i="12"/>
  <c r="P26" i="12"/>
  <c r="Q26" i="12"/>
  <c r="R26" i="12"/>
  <c r="K27" i="12"/>
  <c r="L27" i="12"/>
  <c r="M27" i="12"/>
  <c r="N27" i="12"/>
  <c r="O27" i="12"/>
  <c r="P27" i="12"/>
  <c r="Q27" i="12"/>
  <c r="R27" i="12"/>
  <c r="K28" i="12"/>
  <c r="L28" i="12"/>
  <c r="M28" i="12"/>
  <c r="N28" i="12"/>
  <c r="O28" i="12"/>
  <c r="P28" i="12"/>
  <c r="Q28" i="12"/>
  <c r="R28" i="12"/>
  <c r="K29" i="12"/>
  <c r="L29" i="12"/>
  <c r="M29" i="12"/>
  <c r="N29" i="12"/>
  <c r="O29" i="12"/>
  <c r="P29" i="12"/>
  <c r="Q29" i="12"/>
  <c r="R29" i="12"/>
  <c r="K5" i="12"/>
  <c r="I33" i="11"/>
  <c r="I35" i="11"/>
  <c r="C35" i="11" s="1"/>
  <c r="I41" i="11"/>
  <c r="I42" i="11"/>
  <c r="C42" i="11" s="1"/>
  <c r="I43" i="11"/>
  <c r="C43" i="11" s="1"/>
  <c r="I44" i="11"/>
  <c r="C44" i="11" s="1"/>
  <c r="H30" i="11"/>
  <c r="I30" i="11" s="1"/>
  <c r="C30" i="11" s="1"/>
  <c r="H31" i="11"/>
  <c r="I31" i="11" s="1"/>
  <c r="C31" i="11" s="1"/>
  <c r="H32" i="11"/>
  <c r="I32" i="11" s="1"/>
  <c r="C32" i="11" s="1"/>
  <c r="H33" i="11"/>
  <c r="H34" i="11"/>
  <c r="I34" i="11" s="1"/>
  <c r="C34" i="11" s="1"/>
  <c r="H35" i="11"/>
  <c r="H36" i="11"/>
  <c r="I36" i="11" s="1"/>
  <c r="C36" i="11" s="1"/>
  <c r="H37" i="11"/>
  <c r="I37" i="11" s="1"/>
  <c r="C37" i="11" s="1"/>
  <c r="H38" i="11"/>
  <c r="I38" i="11" s="1"/>
  <c r="C38" i="11" s="1"/>
  <c r="H39" i="11"/>
  <c r="I39" i="11" s="1"/>
  <c r="C39" i="11" s="1"/>
  <c r="H40" i="11"/>
  <c r="I40" i="11" s="1"/>
  <c r="C40" i="11" s="1"/>
  <c r="H41" i="11"/>
  <c r="H42" i="11"/>
  <c r="H43" i="11"/>
  <c r="H44" i="11"/>
  <c r="H45" i="11"/>
  <c r="I45" i="11" s="1"/>
  <c r="C45" i="11" s="1"/>
  <c r="H46" i="11"/>
  <c r="I46" i="11" s="1"/>
  <c r="C46" i="11" s="1"/>
  <c r="H47" i="11"/>
  <c r="I47" i="11" s="1"/>
  <c r="C47" i="11" s="1"/>
  <c r="C33" i="11"/>
  <c r="C41" i="11"/>
  <c r="I19" i="11"/>
  <c r="C19" i="11" s="1"/>
  <c r="F19" i="11" s="1"/>
  <c r="I21" i="11"/>
  <c r="C21" i="11" s="1"/>
  <c r="F21" i="11" s="1"/>
  <c r="I27" i="11"/>
  <c r="C27" i="11" s="1"/>
  <c r="F27" i="11" s="1"/>
  <c r="I29" i="11"/>
  <c r="C29" i="11" s="1"/>
  <c r="F29" i="11" s="1"/>
  <c r="H14" i="11"/>
  <c r="I14" i="11" s="1"/>
  <c r="C14" i="11" s="1"/>
  <c r="F14" i="11" s="1"/>
  <c r="H15" i="11"/>
  <c r="I15" i="11" s="1"/>
  <c r="C15" i="11" s="1"/>
  <c r="F15" i="11" s="1"/>
  <c r="H16" i="11"/>
  <c r="I16" i="11" s="1"/>
  <c r="C16" i="11" s="1"/>
  <c r="F16" i="11" s="1"/>
  <c r="H17" i="11"/>
  <c r="I17" i="11" s="1"/>
  <c r="C17" i="11" s="1"/>
  <c r="F17" i="11" s="1"/>
  <c r="H18" i="11"/>
  <c r="I18" i="11" s="1"/>
  <c r="C18" i="11" s="1"/>
  <c r="F18" i="11" s="1"/>
  <c r="H19" i="11"/>
  <c r="H20" i="11"/>
  <c r="I20" i="11" s="1"/>
  <c r="C20" i="11" s="1"/>
  <c r="F20" i="11" s="1"/>
  <c r="H21" i="11"/>
  <c r="H22" i="11"/>
  <c r="I22" i="11" s="1"/>
  <c r="C22" i="11" s="1"/>
  <c r="F22" i="11" s="1"/>
  <c r="H23" i="11"/>
  <c r="I23" i="11" s="1"/>
  <c r="C23" i="11" s="1"/>
  <c r="F23" i="11" s="1"/>
  <c r="H24" i="11"/>
  <c r="I24" i="11" s="1"/>
  <c r="C24" i="11" s="1"/>
  <c r="F24" i="11" s="1"/>
  <c r="H25" i="11"/>
  <c r="I25" i="11" s="1"/>
  <c r="C25" i="11" s="1"/>
  <c r="F25" i="11" s="1"/>
  <c r="H26" i="11"/>
  <c r="I26" i="11" s="1"/>
  <c r="C26" i="11" s="1"/>
  <c r="F26" i="11" s="1"/>
  <c r="H27" i="11"/>
  <c r="H28" i="11"/>
  <c r="I28" i="11" s="1"/>
  <c r="C28" i="11" s="1"/>
  <c r="F28" i="11" s="1"/>
  <c r="H29" i="11"/>
  <c r="E11" i="11"/>
  <c r="D18" i="11" s="1"/>
  <c r="G18" i="11" s="1"/>
  <c r="N248" i="8"/>
  <c r="L248" i="8"/>
  <c r="N247" i="8"/>
  <c r="L247" i="8"/>
  <c r="N246" i="8"/>
  <c r="L246" i="8"/>
  <c r="N245" i="8"/>
  <c r="L245" i="8"/>
  <c r="N244" i="8"/>
  <c r="L244" i="8"/>
  <c r="N243" i="8"/>
  <c r="L243" i="8"/>
  <c r="N242" i="8"/>
  <c r="L242" i="8"/>
  <c r="N241" i="8"/>
  <c r="L241" i="8"/>
  <c r="N240" i="8"/>
  <c r="L240" i="8"/>
  <c r="N239" i="8"/>
  <c r="L239" i="8"/>
  <c r="N238" i="8"/>
  <c r="L238" i="8"/>
  <c r="N237" i="8"/>
  <c r="L237" i="8"/>
  <c r="N236" i="8"/>
  <c r="L236" i="8"/>
  <c r="N235" i="8"/>
  <c r="L235" i="8"/>
  <c r="N234" i="8"/>
  <c r="L234" i="8"/>
  <c r="N233" i="8"/>
  <c r="L233" i="8"/>
  <c r="N232" i="8"/>
  <c r="L232" i="8"/>
  <c r="N231" i="8"/>
  <c r="L231" i="8"/>
  <c r="N230" i="8"/>
  <c r="L230" i="8"/>
  <c r="N229" i="8"/>
  <c r="L229" i="8"/>
  <c r="N228" i="8"/>
  <c r="L228" i="8"/>
  <c r="N227" i="8"/>
  <c r="L227" i="8"/>
  <c r="N226" i="8"/>
  <c r="L226" i="8"/>
  <c r="N225" i="8"/>
  <c r="L225" i="8"/>
  <c r="N224" i="8"/>
  <c r="L224" i="8"/>
  <c r="N220" i="8"/>
  <c r="L220" i="8"/>
  <c r="N219" i="8"/>
  <c r="L219" i="8"/>
  <c r="N218" i="8"/>
  <c r="L218" i="8"/>
  <c r="N217" i="8"/>
  <c r="L217" i="8"/>
  <c r="N216" i="8"/>
  <c r="L216" i="8"/>
  <c r="N215" i="8"/>
  <c r="L215" i="8"/>
  <c r="N214" i="8"/>
  <c r="L214" i="8"/>
  <c r="N213" i="8"/>
  <c r="L213" i="8"/>
  <c r="N212" i="8"/>
  <c r="L212" i="8"/>
  <c r="N211" i="8"/>
  <c r="L211" i="8"/>
  <c r="N210" i="8"/>
  <c r="L210" i="8"/>
  <c r="N209" i="8"/>
  <c r="L209" i="8"/>
  <c r="N208" i="8"/>
  <c r="L208" i="8"/>
  <c r="N207" i="8"/>
  <c r="L207" i="8"/>
  <c r="N206" i="8"/>
  <c r="L206" i="8"/>
  <c r="N205" i="8"/>
  <c r="L205" i="8"/>
  <c r="N204" i="8"/>
  <c r="L204" i="8"/>
  <c r="N203" i="8"/>
  <c r="L203" i="8"/>
  <c r="N202" i="8"/>
  <c r="L202" i="8"/>
  <c r="N201" i="8"/>
  <c r="L201" i="8"/>
  <c r="N200" i="8"/>
  <c r="L200" i="8"/>
  <c r="N199" i="8"/>
  <c r="L199" i="8"/>
  <c r="N198" i="8"/>
  <c r="L198" i="8"/>
  <c r="N197" i="8"/>
  <c r="L197" i="8"/>
  <c r="N196" i="8"/>
  <c r="L196" i="8"/>
  <c r="N192" i="8"/>
  <c r="L192" i="8"/>
  <c r="N191" i="8"/>
  <c r="L191" i="8"/>
  <c r="N190" i="8"/>
  <c r="L190" i="8"/>
  <c r="N189" i="8"/>
  <c r="L189" i="8"/>
  <c r="N188" i="8"/>
  <c r="L188" i="8"/>
  <c r="N187" i="8"/>
  <c r="L187" i="8"/>
  <c r="N186" i="8"/>
  <c r="L186" i="8"/>
  <c r="N185" i="8"/>
  <c r="L185" i="8"/>
  <c r="N184" i="8"/>
  <c r="L184" i="8"/>
  <c r="N183" i="8"/>
  <c r="L183" i="8"/>
  <c r="N182" i="8"/>
  <c r="L182" i="8"/>
  <c r="N181" i="8"/>
  <c r="L181" i="8"/>
  <c r="N180" i="8"/>
  <c r="L180" i="8"/>
  <c r="N179" i="8"/>
  <c r="L179" i="8"/>
  <c r="N178" i="8"/>
  <c r="L178" i="8"/>
  <c r="N177" i="8"/>
  <c r="L177" i="8"/>
  <c r="N176" i="8"/>
  <c r="L176" i="8"/>
  <c r="N175" i="8"/>
  <c r="L175" i="8"/>
  <c r="N174" i="8"/>
  <c r="L174" i="8"/>
  <c r="N173" i="8"/>
  <c r="L173" i="8"/>
  <c r="N172" i="8"/>
  <c r="L172" i="8"/>
  <c r="N171" i="8"/>
  <c r="L171" i="8"/>
  <c r="N170" i="8"/>
  <c r="L170" i="8"/>
  <c r="N169" i="8"/>
  <c r="L169" i="8"/>
  <c r="N168" i="8"/>
  <c r="L168" i="8"/>
  <c r="N164" i="8"/>
  <c r="L164" i="8"/>
  <c r="N163" i="8"/>
  <c r="L163" i="8"/>
  <c r="N162" i="8"/>
  <c r="L162" i="8"/>
  <c r="N161" i="8"/>
  <c r="L161" i="8"/>
  <c r="N160" i="8"/>
  <c r="L160" i="8"/>
  <c r="N159" i="8"/>
  <c r="L159" i="8"/>
  <c r="N158" i="8"/>
  <c r="L158" i="8"/>
  <c r="N157" i="8"/>
  <c r="L157" i="8"/>
  <c r="N156" i="8"/>
  <c r="L156" i="8"/>
  <c r="N155" i="8"/>
  <c r="L155" i="8"/>
  <c r="N154" i="8"/>
  <c r="L154" i="8"/>
  <c r="N153" i="8"/>
  <c r="L153" i="8"/>
  <c r="N152" i="8"/>
  <c r="L152" i="8"/>
  <c r="N151" i="8"/>
  <c r="L151" i="8"/>
  <c r="N150" i="8"/>
  <c r="L150" i="8"/>
  <c r="N149" i="8"/>
  <c r="L149" i="8"/>
  <c r="N148" i="8"/>
  <c r="L148" i="8"/>
  <c r="N147" i="8"/>
  <c r="L147" i="8"/>
  <c r="N146" i="8"/>
  <c r="L146" i="8"/>
  <c r="L145" i="8"/>
  <c r="N145" i="8"/>
  <c r="L144" i="8"/>
  <c r="N144" i="8"/>
  <c r="N143" i="8"/>
  <c r="L143" i="8"/>
  <c r="N142" i="8"/>
  <c r="L142" i="8"/>
  <c r="N138" i="8"/>
  <c r="L138" i="8"/>
  <c r="N137" i="8"/>
  <c r="L137" i="8"/>
  <c r="N136" i="8"/>
  <c r="L136" i="8"/>
  <c r="N135" i="8"/>
  <c r="L135" i="8"/>
  <c r="N134" i="8"/>
  <c r="L134" i="8"/>
  <c r="N133" i="8"/>
  <c r="L133" i="8"/>
  <c r="N132" i="8"/>
  <c r="L132" i="8"/>
  <c r="N131" i="8"/>
  <c r="L131" i="8"/>
  <c r="N130" i="8"/>
  <c r="L130" i="8"/>
  <c r="N129" i="8"/>
  <c r="L129" i="8"/>
  <c r="N128" i="8"/>
  <c r="L128" i="8"/>
  <c r="N127" i="8"/>
  <c r="L127" i="8"/>
  <c r="N126" i="8"/>
  <c r="L126" i="8"/>
  <c r="N125" i="8"/>
  <c r="L125" i="8"/>
  <c r="N124" i="8"/>
  <c r="L124" i="8"/>
  <c r="N123" i="8"/>
  <c r="L123" i="8"/>
  <c r="N122" i="8"/>
  <c r="L122" i="8"/>
  <c r="N121" i="8"/>
  <c r="L121" i="8"/>
  <c r="N120" i="8"/>
  <c r="L120" i="8"/>
  <c r="N119" i="8"/>
  <c r="L119" i="8"/>
  <c r="N118" i="8"/>
  <c r="L118" i="8"/>
  <c r="N117" i="8"/>
  <c r="L117" i="8"/>
  <c r="N116" i="8"/>
  <c r="L116" i="8"/>
  <c r="N112" i="8"/>
  <c r="L112" i="8"/>
  <c r="N111" i="8"/>
  <c r="L111" i="8"/>
  <c r="N110" i="8"/>
  <c r="L110" i="8"/>
  <c r="N109" i="8"/>
  <c r="L109" i="8"/>
  <c r="N108" i="8"/>
  <c r="L108" i="8"/>
  <c r="N107" i="8"/>
  <c r="L107" i="8"/>
  <c r="N106" i="8"/>
  <c r="L106" i="8"/>
  <c r="N105" i="8"/>
  <c r="L105" i="8"/>
  <c r="N104" i="8"/>
  <c r="L104" i="8"/>
  <c r="N103" i="8"/>
  <c r="L103" i="8"/>
  <c r="N102" i="8"/>
  <c r="L102" i="8"/>
  <c r="N101" i="8"/>
  <c r="L101" i="8"/>
  <c r="N100" i="8"/>
  <c r="L100" i="8"/>
  <c r="N99" i="8"/>
  <c r="L99" i="8"/>
  <c r="N98" i="8"/>
  <c r="L98" i="8"/>
  <c r="N97" i="8"/>
  <c r="L97" i="8"/>
  <c r="N96" i="8"/>
  <c r="L96" i="8"/>
  <c r="N95" i="8"/>
  <c r="L95" i="8"/>
  <c r="N94" i="8"/>
  <c r="L94" i="8"/>
  <c r="N93" i="8"/>
  <c r="L93" i="8"/>
  <c r="N92" i="8"/>
  <c r="L92" i="8"/>
  <c r="N91" i="8"/>
  <c r="L91" i="8"/>
  <c r="N90" i="8"/>
  <c r="L90" i="8"/>
  <c r="N89" i="8"/>
  <c r="L89" i="8"/>
  <c r="N88" i="8"/>
  <c r="L88" i="8"/>
  <c r="N84" i="8"/>
  <c r="L84" i="8"/>
  <c r="N83" i="8"/>
  <c r="L83" i="8"/>
  <c r="N82" i="8"/>
  <c r="L82" i="8"/>
  <c r="N81" i="8"/>
  <c r="L81" i="8"/>
  <c r="N80" i="8"/>
  <c r="L80" i="8"/>
  <c r="N79" i="8"/>
  <c r="L79" i="8"/>
  <c r="N78" i="8"/>
  <c r="L78" i="8"/>
  <c r="N77" i="8"/>
  <c r="L77" i="8"/>
  <c r="N76" i="8"/>
  <c r="L76" i="8"/>
  <c r="N75" i="8"/>
  <c r="L75" i="8"/>
  <c r="N74" i="8"/>
  <c r="L74" i="8"/>
  <c r="N73" i="8"/>
  <c r="L73" i="8"/>
  <c r="N72" i="8"/>
  <c r="L72" i="8"/>
  <c r="N71" i="8"/>
  <c r="L71" i="8"/>
  <c r="N70" i="8"/>
  <c r="L70" i="8"/>
  <c r="N69" i="8"/>
  <c r="L69" i="8"/>
  <c r="N68" i="8"/>
  <c r="L68" i="8"/>
  <c r="N67" i="8"/>
  <c r="L67" i="8"/>
  <c r="N66" i="8"/>
  <c r="L66" i="8"/>
  <c r="N65" i="8"/>
  <c r="L65" i="8"/>
  <c r="N64" i="8"/>
  <c r="L64" i="8"/>
  <c r="N63" i="8"/>
  <c r="L63" i="8"/>
  <c r="N62" i="8"/>
  <c r="L62" i="8"/>
  <c r="N61" i="8"/>
  <c r="L61" i="8"/>
  <c r="N60" i="8"/>
  <c r="L60" i="8"/>
  <c r="N56" i="8"/>
  <c r="L56" i="8"/>
  <c r="N55" i="8"/>
  <c r="L55" i="8"/>
  <c r="N54" i="8"/>
  <c r="L54" i="8"/>
  <c r="N53" i="8"/>
  <c r="L53" i="8"/>
  <c r="N52" i="8"/>
  <c r="L52" i="8"/>
  <c r="N51" i="8"/>
  <c r="L51" i="8"/>
  <c r="N50" i="8"/>
  <c r="L50" i="8"/>
  <c r="N49" i="8"/>
  <c r="L49" i="8"/>
  <c r="N48" i="8"/>
  <c r="L48" i="8"/>
  <c r="N47" i="8"/>
  <c r="L47" i="8"/>
  <c r="N46" i="8"/>
  <c r="L46" i="8"/>
  <c r="N45" i="8"/>
  <c r="L45" i="8"/>
  <c r="N44" i="8"/>
  <c r="L44" i="8"/>
  <c r="N43" i="8"/>
  <c r="L43" i="8"/>
  <c r="N42" i="8"/>
  <c r="L42" i="8"/>
  <c r="N41" i="8"/>
  <c r="L41" i="8"/>
  <c r="N40" i="8"/>
  <c r="L40" i="8"/>
  <c r="N39" i="8"/>
  <c r="L39" i="8"/>
  <c r="N38" i="8"/>
  <c r="L38" i="8"/>
  <c r="N37" i="8"/>
  <c r="L37" i="8"/>
  <c r="N36" i="8"/>
  <c r="L36" i="8"/>
  <c r="N35" i="8"/>
  <c r="L35" i="8"/>
  <c r="N34" i="8"/>
  <c r="L34" i="8"/>
  <c r="N33" i="8"/>
  <c r="L33" i="8"/>
  <c r="N32" i="8"/>
  <c r="L32" i="8"/>
  <c r="N28" i="8"/>
  <c r="L28" i="8"/>
  <c r="N27" i="8"/>
  <c r="L27" i="8"/>
  <c r="N26" i="8"/>
  <c r="L26" i="8"/>
  <c r="N25" i="8"/>
  <c r="L25" i="8"/>
  <c r="N24" i="8"/>
  <c r="L24" i="8"/>
  <c r="N23" i="8"/>
  <c r="L23" i="8"/>
  <c r="N22" i="8"/>
  <c r="L22" i="8"/>
  <c r="N21" i="8"/>
  <c r="L21" i="8"/>
  <c r="N20" i="8"/>
  <c r="L20" i="8"/>
  <c r="N19" i="8"/>
  <c r="L19" i="8"/>
  <c r="N18" i="8"/>
  <c r="L18" i="8"/>
  <c r="N17" i="8"/>
  <c r="L17" i="8"/>
  <c r="N16" i="8"/>
  <c r="L16" i="8"/>
  <c r="N15" i="8"/>
  <c r="L15" i="8"/>
  <c r="N14" i="8"/>
  <c r="L14" i="8"/>
  <c r="N13" i="8"/>
  <c r="L13" i="8"/>
  <c r="N12" i="8"/>
  <c r="L12" i="8"/>
  <c r="N11" i="8"/>
  <c r="L11" i="8"/>
  <c r="N10" i="8"/>
  <c r="L10" i="8"/>
  <c r="N9" i="8"/>
  <c r="L9" i="8"/>
  <c r="N8" i="8"/>
  <c r="L8" i="8"/>
  <c r="N7" i="8"/>
  <c r="L7" i="8"/>
  <c r="N6" i="8"/>
  <c r="L6" i="8"/>
  <c r="N5" i="8"/>
  <c r="L5" i="8"/>
  <c r="N4" i="8"/>
  <c r="L4" i="8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Q50" i="1"/>
  <c r="AP50" i="1"/>
  <c r="AQ49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20" i="1"/>
  <c r="J4" i="1"/>
  <c r="J3" i="1"/>
  <c r="J2" i="1"/>
  <c r="I4" i="1"/>
  <c r="D33" i="11" l="1"/>
  <c r="D14" i="11"/>
  <c r="G14" i="11" s="1"/>
  <c r="D32" i="11"/>
  <c r="D16" i="11"/>
  <c r="G16" i="11" s="1"/>
  <c r="D47" i="11"/>
  <c r="D39" i="11"/>
  <c r="D31" i="11"/>
  <c r="D15" i="11"/>
  <c r="G15" i="11" s="1"/>
  <c r="D46" i="11"/>
  <c r="D38" i="11"/>
  <c r="D30" i="11"/>
  <c r="D22" i="11"/>
  <c r="G22" i="11" s="1"/>
  <c r="D45" i="11"/>
  <c r="D37" i="11"/>
  <c r="D29" i="11"/>
  <c r="G29" i="11" s="1"/>
  <c r="D21" i="11"/>
  <c r="G21" i="11" s="1"/>
  <c r="D44" i="11"/>
  <c r="D36" i="11"/>
  <c r="D28" i="11"/>
  <c r="G28" i="11" s="1"/>
  <c r="D20" i="11"/>
  <c r="G20" i="11" s="1"/>
  <c r="D41" i="11"/>
  <c r="D25" i="11"/>
  <c r="G25" i="11" s="1"/>
  <c r="D17" i="11"/>
  <c r="G17" i="11" s="1"/>
  <c r="D40" i="11"/>
  <c r="D24" i="11"/>
  <c r="G24" i="11" s="1"/>
  <c r="D23" i="11"/>
  <c r="G23" i="11" s="1"/>
  <c r="D43" i="11"/>
  <c r="D35" i="11"/>
  <c r="D27" i="11"/>
  <c r="G27" i="11" s="1"/>
  <c r="D19" i="11"/>
  <c r="G19" i="11" s="1"/>
  <c r="D42" i="11"/>
  <c r="D34" i="11"/>
  <c r="D26" i="11"/>
  <c r="G26" i="11" s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 l="1"/>
  <c r="AO49" i="1"/>
  <c r="AP49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20" i="1"/>
  <c r="E4" i="1" l="1"/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" i="3"/>
  <c r="C49" i="1" l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B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50" i="1"/>
  <c r="L5" i="6"/>
  <c r="N5" i="6"/>
  <c r="L6" i="6"/>
  <c r="N6" i="6"/>
  <c r="L7" i="6"/>
  <c r="N7" i="6"/>
  <c r="L8" i="6"/>
  <c r="N8" i="6"/>
  <c r="L9" i="6"/>
  <c r="N9" i="6"/>
  <c r="L10" i="6"/>
  <c r="N10" i="6"/>
  <c r="L11" i="6"/>
  <c r="N11" i="6"/>
  <c r="L12" i="6"/>
  <c r="N12" i="6"/>
  <c r="L13" i="6"/>
  <c r="N13" i="6"/>
  <c r="L14" i="6"/>
  <c r="N14" i="6"/>
  <c r="L15" i="6"/>
  <c r="N15" i="6"/>
  <c r="L16" i="6"/>
  <c r="N16" i="6"/>
  <c r="L17" i="6"/>
  <c r="N17" i="6"/>
  <c r="L18" i="6"/>
  <c r="N18" i="6"/>
  <c r="L19" i="6"/>
  <c r="N19" i="6"/>
  <c r="L20" i="6"/>
  <c r="N20" i="6"/>
  <c r="L21" i="6"/>
  <c r="N21" i="6"/>
  <c r="L22" i="6"/>
  <c r="N22" i="6"/>
  <c r="L23" i="6"/>
  <c r="N23" i="6"/>
  <c r="L24" i="6"/>
  <c r="N24" i="6"/>
  <c r="L25" i="6"/>
  <c r="N25" i="6"/>
  <c r="L26" i="6"/>
  <c r="N26" i="6"/>
  <c r="L27" i="6"/>
  <c r="N27" i="6"/>
  <c r="L28" i="6"/>
  <c r="N28" i="6"/>
  <c r="N4" i="6"/>
  <c r="L4" i="6"/>
  <c r="L33" i="6"/>
  <c r="N33" i="6"/>
  <c r="L34" i="6"/>
  <c r="N34" i="6"/>
  <c r="L35" i="6"/>
  <c r="N35" i="6"/>
  <c r="L36" i="6"/>
  <c r="N36" i="6"/>
  <c r="L37" i="6"/>
  <c r="N37" i="6"/>
  <c r="L38" i="6"/>
  <c r="N38" i="6"/>
  <c r="L39" i="6"/>
  <c r="N39" i="6"/>
  <c r="L40" i="6"/>
  <c r="N40" i="6"/>
  <c r="L41" i="6"/>
  <c r="N41" i="6"/>
  <c r="L42" i="6"/>
  <c r="N42" i="6"/>
  <c r="L43" i="6"/>
  <c r="N43" i="6"/>
  <c r="L44" i="6"/>
  <c r="N44" i="6"/>
  <c r="L45" i="6"/>
  <c r="N45" i="6"/>
  <c r="L46" i="6"/>
  <c r="N46" i="6"/>
  <c r="L47" i="6"/>
  <c r="N47" i="6"/>
  <c r="L48" i="6"/>
  <c r="N48" i="6"/>
  <c r="L49" i="6"/>
  <c r="N49" i="6"/>
  <c r="L50" i="6"/>
  <c r="N50" i="6"/>
  <c r="L51" i="6"/>
  <c r="N51" i="6"/>
  <c r="L52" i="6"/>
  <c r="N52" i="6"/>
  <c r="L53" i="6"/>
  <c r="N53" i="6"/>
  <c r="L54" i="6"/>
  <c r="N54" i="6"/>
  <c r="L55" i="6"/>
  <c r="N55" i="6"/>
  <c r="L56" i="6"/>
  <c r="N56" i="6"/>
  <c r="N32" i="6"/>
  <c r="L32" i="6"/>
  <c r="L61" i="6"/>
  <c r="N61" i="6"/>
  <c r="L62" i="6"/>
  <c r="N62" i="6"/>
  <c r="L63" i="6"/>
  <c r="N63" i="6"/>
  <c r="L64" i="6"/>
  <c r="N64" i="6"/>
  <c r="L65" i="6"/>
  <c r="N65" i="6"/>
  <c r="L66" i="6"/>
  <c r="N66" i="6"/>
  <c r="L67" i="6"/>
  <c r="N67" i="6"/>
  <c r="L68" i="6"/>
  <c r="N68" i="6"/>
  <c r="L69" i="6"/>
  <c r="N69" i="6"/>
  <c r="L70" i="6"/>
  <c r="N70" i="6"/>
  <c r="L71" i="6"/>
  <c r="N71" i="6"/>
  <c r="L72" i="6"/>
  <c r="N72" i="6"/>
  <c r="L73" i="6"/>
  <c r="N73" i="6"/>
  <c r="L74" i="6"/>
  <c r="N74" i="6"/>
  <c r="L75" i="6"/>
  <c r="N75" i="6"/>
  <c r="L76" i="6"/>
  <c r="N76" i="6"/>
  <c r="L77" i="6"/>
  <c r="N77" i="6"/>
  <c r="L78" i="6"/>
  <c r="N78" i="6"/>
  <c r="L79" i="6"/>
  <c r="N79" i="6"/>
  <c r="L80" i="6"/>
  <c r="N80" i="6"/>
  <c r="L81" i="6"/>
  <c r="N81" i="6"/>
  <c r="L82" i="6"/>
  <c r="N82" i="6"/>
  <c r="L83" i="6"/>
  <c r="N83" i="6"/>
  <c r="L84" i="6"/>
  <c r="N84" i="6"/>
  <c r="N60" i="6"/>
  <c r="L60" i="6"/>
  <c r="L89" i="6"/>
  <c r="N89" i="6"/>
  <c r="L90" i="6"/>
  <c r="N90" i="6"/>
  <c r="L91" i="6"/>
  <c r="N91" i="6"/>
  <c r="L92" i="6"/>
  <c r="N92" i="6"/>
  <c r="L93" i="6"/>
  <c r="N93" i="6"/>
  <c r="L94" i="6"/>
  <c r="N94" i="6"/>
  <c r="L95" i="6"/>
  <c r="N95" i="6"/>
  <c r="L96" i="6"/>
  <c r="N96" i="6"/>
  <c r="L97" i="6"/>
  <c r="N97" i="6"/>
  <c r="L98" i="6"/>
  <c r="N98" i="6"/>
  <c r="L99" i="6"/>
  <c r="N99" i="6"/>
  <c r="L100" i="6"/>
  <c r="N100" i="6"/>
  <c r="L101" i="6"/>
  <c r="N101" i="6"/>
  <c r="L102" i="6"/>
  <c r="N102" i="6"/>
  <c r="L103" i="6"/>
  <c r="N103" i="6"/>
  <c r="L104" i="6"/>
  <c r="N104" i="6"/>
  <c r="L105" i="6"/>
  <c r="N105" i="6"/>
  <c r="L106" i="6"/>
  <c r="N106" i="6"/>
  <c r="L107" i="6"/>
  <c r="N107" i="6"/>
  <c r="L108" i="6"/>
  <c r="N108" i="6"/>
  <c r="L109" i="6"/>
  <c r="N109" i="6"/>
  <c r="L110" i="6"/>
  <c r="N110" i="6"/>
  <c r="L111" i="6"/>
  <c r="N111" i="6"/>
  <c r="L112" i="6"/>
  <c r="N112" i="6"/>
  <c r="L113" i="6"/>
  <c r="N113" i="6"/>
  <c r="L114" i="6"/>
  <c r="N114" i="6"/>
  <c r="L115" i="6"/>
  <c r="N115" i="6"/>
  <c r="L116" i="6"/>
  <c r="N116" i="6"/>
  <c r="L117" i="6"/>
  <c r="N117" i="6"/>
  <c r="L118" i="6"/>
  <c r="N118" i="6"/>
  <c r="L119" i="6"/>
  <c r="N119" i="6"/>
  <c r="L120" i="6"/>
  <c r="N120" i="6"/>
  <c r="N88" i="6"/>
  <c r="L88" i="6"/>
  <c r="L125" i="6"/>
  <c r="N125" i="6"/>
  <c r="L126" i="6"/>
  <c r="N126" i="6"/>
  <c r="L127" i="6"/>
  <c r="N127" i="6"/>
  <c r="L128" i="6"/>
  <c r="N128" i="6"/>
  <c r="L129" i="6"/>
  <c r="N129" i="6"/>
  <c r="L130" i="6"/>
  <c r="N130" i="6"/>
  <c r="L131" i="6"/>
  <c r="N131" i="6"/>
  <c r="L132" i="6"/>
  <c r="N132" i="6"/>
  <c r="L133" i="6"/>
  <c r="N133" i="6"/>
  <c r="L134" i="6"/>
  <c r="N134" i="6"/>
  <c r="L135" i="6"/>
  <c r="N135" i="6"/>
  <c r="L136" i="6"/>
  <c r="N136" i="6"/>
  <c r="L137" i="6"/>
  <c r="N137" i="6"/>
  <c r="L138" i="6"/>
  <c r="N138" i="6"/>
  <c r="L139" i="6"/>
  <c r="N139" i="6"/>
  <c r="L140" i="6"/>
  <c r="N140" i="6"/>
  <c r="L141" i="6"/>
  <c r="N141" i="6"/>
  <c r="L142" i="6"/>
  <c r="N142" i="6"/>
  <c r="L143" i="6"/>
  <c r="N143" i="6"/>
  <c r="L144" i="6"/>
  <c r="N144" i="6"/>
  <c r="L145" i="6"/>
  <c r="N145" i="6"/>
  <c r="L146" i="6"/>
  <c r="N146" i="6"/>
  <c r="L147" i="6"/>
  <c r="N147" i="6"/>
  <c r="L148" i="6"/>
  <c r="N148" i="6"/>
  <c r="L149" i="6"/>
  <c r="N149" i="6"/>
  <c r="L150" i="6"/>
  <c r="N150" i="6"/>
  <c r="L151" i="6"/>
  <c r="N151" i="6"/>
  <c r="L152" i="6"/>
  <c r="N152" i="6"/>
  <c r="L153" i="6"/>
  <c r="N153" i="6"/>
  <c r="L154" i="6"/>
  <c r="N154" i="6"/>
  <c r="N124" i="6"/>
  <c r="L124" i="6"/>
  <c r="L183" i="6"/>
  <c r="N183" i="6"/>
  <c r="L184" i="6"/>
  <c r="N184" i="6"/>
  <c r="L185" i="6"/>
  <c r="N185" i="6"/>
  <c r="L186" i="6"/>
  <c r="N186" i="6"/>
  <c r="L187" i="6"/>
  <c r="N187" i="6"/>
  <c r="L188" i="6"/>
  <c r="N188" i="6"/>
  <c r="L189" i="6"/>
  <c r="N189" i="6"/>
  <c r="L190" i="6"/>
  <c r="N190" i="6"/>
  <c r="L159" i="6"/>
  <c r="N159" i="6"/>
  <c r="L160" i="6"/>
  <c r="N160" i="6"/>
  <c r="L161" i="6"/>
  <c r="N161" i="6"/>
  <c r="L162" i="6"/>
  <c r="N162" i="6"/>
  <c r="L163" i="6"/>
  <c r="N163" i="6"/>
  <c r="L164" i="6"/>
  <c r="N164" i="6"/>
  <c r="L165" i="6"/>
  <c r="N165" i="6"/>
  <c r="L166" i="6"/>
  <c r="N166" i="6"/>
  <c r="L167" i="6"/>
  <c r="N167" i="6"/>
  <c r="L168" i="6"/>
  <c r="N168" i="6"/>
  <c r="L169" i="6"/>
  <c r="N169" i="6"/>
  <c r="L170" i="6"/>
  <c r="N170" i="6"/>
  <c r="L171" i="6"/>
  <c r="N171" i="6"/>
  <c r="L172" i="6"/>
  <c r="N172" i="6"/>
  <c r="L173" i="6"/>
  <c r="N173" i="6"/>
  <c r="L174" i="6"/>
  <c r="N174" i="6"/>
  <c r="L175" i="6"/>
  <c r="N175" i="6"/>
  <c r="L176" i="6"/>
  <c r="N176" i="6"/>
  <c r="L177" i="6"/>
  <c r="N177" i="6"/>
  <c r="L178" i="6"/>
  <c r="N178" i="6"/>
  <c r="L179" i="6"/>
  <c r="N179" i="6"/>
  <c r="L180" i="6"/>
  <c r="N180" i="6"/>
  <c r="L181" i="6"/>
  <c r="N181" i="6"/>
  <c r="L182" i="6"/>
  <c r="N182" i="6"/>
  <c r="N158" i="6"/>
  <c r="L158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N250" i="6"/>
  <c r="L250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N222" i="6"/>
  <c r="L222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194" i="6"/>
  <c r="G189" i="6" l="1"/>
  <c r="G162" i="6"/>
  <c r="G161" i="6"/>
  <c r="G160" i="6"/>
</calcChain>
</file>

<file path=xl/sharedStrings.xml><?xml version="1.0" encoding="utf-8"?>
<sst xmlns="http://schemas.openxmlformats.org/spreadsheetml/2006/main" count="549" uniqueCount="112">
  <si>
    <t>cm2/g</t>
  </si>
  <si>
    <t>E(MeV)</t>
  </si>
  <si>
    <t>18Ar</t>
  </si>
  <si>
    <t>19K</t>
  </si>
  <si>
    <t>20Ca</t>
  </si>
  <si>
    <t>24Cr</t>
  </si>
  <si>
    <t>25Mn</t>
  </si>
  <si>
    <t>26Fe</t>
  </si>
  <si>
    <t>28Ni</t>
  </si>
  <si>
    <t>29Cu</t>
  </si>
  <si>
    <t>42Mo</t>
  </si>
  <si>
    <t>b</t>
  </si>
  <si>
    <t>c</t>
  </si>
  <si>
    <t>a</t>
  </si>
  <si>
    <t>d</t>
  </si>
  <si>
    <t>St. Dev.</t>
  </si>
  <si>
    <t>Xk</t>
  </si>
  <si>
    <t>Max. Dev.</t>
  </si>
  <si>
    <t>Xmax</t>
  </si>
  <si>
    <t>ANS-6.4.3-1991 Table 1a</t>
  </si>
  <si>
    <t>Air</t>
  </si>
  <si>
    <t>Water</t>
  </si>
  <si>
    <t>Concrete</t>
  </si>
  <si>
    <t>57La</t>
  </si>
  <si>
    <t>64Gd</t>
  </si>
  <si>
    <t>74w</t>
  </si>
  <si>
    <t>90Th</t>
  </si>
  <si>
    <t>72Hf</t>
  </si>
  <si>
    <t>82Pb</t>
  </si>
  <si>
    <t>92U</t>
  </si>
  <si>
    <t>40zr</t>
  </si>
  <si>
    <t>41Nb</t>
  </si>
  <si>
    <t>50Sn</t>
  </si>
  <si>
    <t>56Ba</t>
  </si>
  <si>
    <t>48Cd</t>
  </si>
  <si>
    <t>11Na</t>
  </si>
  <si>
    <t>12Mg</t>
  </si>
  <si>
    <t>14Si</t>
  </si>
  <si>
    <t>15p</t>
  </si>
  <si>
    <t>17cl</t>
  </si>
  <si>
    <t>13Al</t>
  </si>
  <si>
    <t>16s</t>
  </si>
  <si>
    <t>1H</t>
  </si>
  <si>
    <t>3Li</t>
  </si>
  <si>
    <t>4Be</t>
  </si>
  <si>
    <t>5B</t>
  </si>
  <si>
    <t>6C</t>
  </si>
  <si>
    <t>7N</t>
  </si>
  <si>
    <t>8O</t>
  </si>
  <si>
    <t>ANS-6.4.3-1991 Table 2</t>
  </si>
  <si>
    <t>ANS-6.4.3-1991 Table 5.1</t>
  </si>
  <si>
    <t>Iron</t>
  </si>
  <si>
    <t>Aluminum</t>
  </si>
  <si>
    <t>Copper</t>
  </si>
  <si>
    <t>Tungsten</t>
  </si>
  <si>
    <t>Lead</t>
  </si>
  <si>
    <t>Uranium</t>
  </si>
  <si>
    <t>water</t>
  </si>
  <si>
    <t>air</t>
  </si>
  <si>
    <t>concrete</t>
  </si>
  <si>
    <t>0.000</t>
  </si>
  <si>
    <t>0.00</t>
  </si>
  <si>
    <t>0.0000</t>
  </si>
  <si>
    <t>Formatting codes:</t>
  </si>
  <si>
    <t>Added Materials</t>
  </si>
  <si>
    <t>UO2</t>
  </si>
  <si>
    <t>O</t>
  </si>
  <si>
    <t>U</t>
  </si>
  <si>
    <t>w/o</t>
  </si>
  <si>
    <t>Element</t>
  </si>
  <si>
    <t>C</t>
  </si>
  <si>
    <t>Si</t>
  </si>
  <si>
    <t>P</t>
  </si>
  <si>
    <t>Cr</t>
  </si>
  <si>
    <t>Mn</t>
  </si>
  <si>
    <t>Fe</t>
  </si>
  <si>
    <t>Ni</t>
  </si>
  <si>
    <t>Mo</t>
  </si>
  <si>
    <t xml:space="preserve">S </t>
  </si>
  <si>
    <t>SS304L</t>
  </si>
  <si>
    <t>Resin Mix</t>
  </si>
  <si>
    <t>density (g/cc)</t>
  </si>
  <si>
    <t>Mixture</t>
  </si>
  <si>
    <t>resin</t>
  </si>
  <si>
    <t xml:space="preserve">This spreadsheet is used to generate the data in </t>
  </si>
  <si>
    <t>the ZapMeNot data file materialLibrary.yml, Rev. 1</t>
  </si>
  <si>
    <t>ANS-6.4.3-1991 Table 5.2</t>
  </si>
  <si>
    <t>A1</t>
  </si>
  <si>
    <t>alpha1</t>
  </si>
  <si>
    <t>alpha2</t>
  </si>
  <si>
    <t>MeV</t>
  </si>
  <si>
    <t>MFP</t>
  </si>
  <si>
    <t>GP</t>
  </si>
  <si>
    <t>Taylor</t>
  </si>
  <si>
    <t>Table</t>
  </si>
  <si>
    <t>A2</t>
  </si>
  <si>
    <t>K</t>
  </si>
  <si>
    <t>Comparison of GP and Taylor Buildup Factors at 0.1 MeV in Water</t>
  </si>
  <si>
    <t>GP Coefficients</t>
  </si>
  <si>
    <t>Taylor Coefficients</t>
  </si>
  <si>
    <t>GP Calculations</t>
  </si>
  <si>
    <t>GP % Diff</t>
  </si>
  <si>
    <t>Taylor % Diff</t>
  </si>
  <si>
    <t xml:space="preserve">                  iron medium, air response</t>
  </si>
  <si>
    <t xml:space="preserve">                  aluminum medium, air response</t>
  </si>
  <si>
    <t xml:space="preserve">                  copper medium, air response</t>
  </si>
  <si>
    <t xml:space="preserve">                  tungsten medium, air response</t>
  </si>
  <si>
    <t xml:space="preserve">                  lead medium, air response</t>
  </si>
  <si>
    <t xml:space="preserve">                  uranium medium, air response</t>
  </si>
  <si>
    <t xml:space="preserve">                  water medium, air response</t>
  </si>
  <si>
    <t xml:space="preserve">                  air medium, air response</t>
  </si>
  <si>
    <t xml:space="preserve">                  concrete medium, air response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</si>
</sst>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E+00"/>
    <numFmt numFmtId="165" formatCode="0.000"/>
    <numFmt numFmtId="166" formatCode="0.0000"/>
    <numFmt numFmtId="167" formatCode="0.000000"/>
    <numFmt numFmtId="168" formatCode="0.0%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MT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5">
    <xf numFmtId="0" fontId="0" fillId="0" borderId="0" xfId="0"/>
    <xf numFmtId="11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167" fontId="2" fillId="0" borderId="0" xfId="0" applyNumberFormat="1" applyFont="1"/>
    <xf numFmtId="0" fontId="3" fillId="0" borderId="0" xfId="0" applyFont="1"/>
    <xf numFmtId="9" fontId="0" fillId="0" borderId="0" xfId="1" applyFont="1"/>
    <xf numFmtId="168" fontId="0" fillId="0" borderId="0" xfId="1" applyNumberFormat="1" applyFont="1"/>
    <xf numFmtId="0" fontId="0" fillId="0" borderId="1" xfId="0" applyBorder="1"/>
    <xf numFmtId="0" fontId="0" fillId="0" borderId="0" xfId="1" applyNumberFormat="1" applyFont="1"/>
    <xf numFmtId="0" fontId="0" fillId="2" borderId="0" xfId="0" applyFill="1"/>
    <xf numFmtId="166" fontId="0" fillId="0" borderId="0" xfId="1" applyNumberFormat="1" applyFont="1"/>
    <xf numFmtId="166" fontId="0" fillId="2" borderId="0" xfId="1" applyNumberFormat="1" applyFont="1" applyFill="1"/>
    <xf numFmtId="165" fontId="0" fillId="0" borderId="0" xfId="1" applyNumberFormat="1" applyFont="1"/>
    <xf numFmtId="165" fontId="0" fillId="2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0" fillId="3" borderId="0" xfId="0" applyFill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GP Buildup</a:t>
            </a:r>
            <a:r>
              <a:rPr lang="en-US" baseline="0"/>
              <a:t> Factor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'BF Comparison'!$B$14:$B$47</c:f>
              <c:numCache>
                <c:formatCode>General</c:formatCode>
                <c:ptCount val="34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50</c:v>
                </c:pt>
                <c:pt idx="17">
                  <c:v>60</c:v>
                </c:pt>
                <c:pt idx="18">
                  <c:v>70</c:v>
                </c:pt>
                <c:pt idx="19">
                  <c:v>80</c:v>
                </c:pt>
                <c:pt idx="20">
                  <c:v>90</c:v>
                </c:pt>
                <c:pt idx="21">
                  <c:v>100</c:v>
                </c:pt>
                <c:pt idx="22">
                  <c:v>150</c:v>
                </c:pt>
                <c:pt idx="23">
                  <c:v>200</c:v>
                </c:pt>
                <c:pt idx="24">
                  <c:v>250</c:v>
                </c:pt>
                <c:pt idx="25">
                  <c:v>300</c:v>
                </c:pt>
                <c:pt idx="26">
                  <c:v>350</c:v>
                </c:pt>
                <c:pt idx="27">
                  <c:v>400</c:v>
                </c:pt>
                <c:pt idx="28">
                  <c:v>500</c:v>
                </c:pt>
                <c:pt idx="29">
                  <c:v>600</c:v>
                </c:pt>
                <c:pt idx="30">
                  <c:v>700</c:v>
                </c:pt>
                <c:pt idx="31">
                  <c:v>800</c:v>
                </c:pt>
                <c:pt idx="32">
                  <c:v>900</c:v>
                </c:pt>
                <c:pt idx="33">
                  <c:v>1000</c:v>
                </c:pt>
              </c:numCache>
            </c:numRef>
          </c:xVal>
          <c:yVal>
            <c:numRef>
              <c:f>'BF Comparison'!$C$14:$C$47</c:f>
              <c:numCache>
                <c:formatCode>0.00E+00</c:formatCode>
                <c:ptCount val="34"/>
                <c:pt idx="0">
                  <c:v>2.414519869549296</c:v>
                </c:pt>
                <c:pt idx="1">
                  <c:v>4.6630000000000003</c:v>
                </c:pt>
                <c:pt idx="2">
                  <c:v>11.816339127409414</c:v>
                </c:pt>
                <c:pt idx="3">
                  <c:v>23.316387162693282</c:v>
                </c:pt>
                <c:pt idx="4">
                  <c:v>40.312019181412069</c:v>
                </c:pt>
                <c:pt idx="5">
                  <c:v>64.066709197452269</c:v>
                </c:pt>
                <c:pt idx="6">
                  <c:v>95.906125219015536</c:v>
                </c:pt>
                <c:pt idx="7">
                  <c:v>137.17669916062795</c:v>
                </c:pt>
                <c:pt idx="8">
                  <c:v>189.21074698663642</c:v>
                </c:pt>
                <c:pt idx="9">
                  <c:v>330.68480345626637</c:v>
                </c:pt>
                <c:pt idx="10">
                  <c:v>958.48401254518967</c:v>
                </c:pt>
                <c:pt idx="11">
                  <c:v>2129.6496742888444</c:v>
                </c:pt>
                <c:pt idx="12">
                  <c:v>4243.2543504619562</c:v>
                </c:pt>
                <c:pt idx="13">
                  <c:v>8019.5942529856702</c:v>
                </c:pt>
                <c:pt idx="14">
                  <c:v>13868.865287192761</c:v>
                </c:pt>
                <c:pt idx="15">
                  <c:v>20783.754694027441</c:v>
                </c:pt>
                <c:pt idx="16">
                  <c:v>29521.705867783032</c:v>
                </c:pt>
                <c:pt idx="17">
                  <c:v>26298.751263819682</c:v>
                </c:pt>
                <c:pt idx="18">
                  <c:v>17140.297434069838</c:v>
                </c:pt>
                <c:pt idx="19">
                  <c:v>8959.5061208307288</c:v>
                </c:pt>
                <c:pt idx="20">
                  <c:v>4018.0497154700752</c:v>
                </c:pt>
                <c:pt idx="21">
                  <c:v>1658.8656387466765</c:v>
                </c:pt>
                <c:pt idx="22">
                  <c:v>86.407824116154231</c:v>
                </c:pt>
                <c:pt idx="23">
                  <c:v>42.438842399036112</c:v>
                </c:pt>
                <c:pt idx="24">
                  <c:v>31.00033047529211</c:v>
                </c:pt>
                <c:pt idx="25">
                  <c:v>25.647316291183554</c:v>
                </c:pt>
                <c:pt idx="26">
                  <c:v>22.503273067693343</c:v>
                </c:pt>
                <c:pt idx="27">
                  <c:v>20.414635744248255</c:v>
                </c:pt>
                <c:pt idx="28">
                  <c:v>17.779764410321889</c:v>
                </c:pt>
                <c:pt idx="29">
                  <c:v>16.160861252854808</c:v>
                </c:pt>
                <c:pt idx="30">
                  <c:v>15.050087467636065</c:v>
                </c:pt>
                <c:pt idx="31">
                  <c:v>14.232456837835171</c:v>
                </c:pt>
                <c:pt idx="32">
                  <c:v>13.600604001400498</c:v>
                </c:pt>
                <c:pt idx="33">
                  <c:v>13.094606945409245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E-4BC1-9633-0D28F31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088616"/>
        <c:axId val="668086976"/>
      </c:scatterChart>
      <c:valAx>
        <c:axId val="66808861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</a:t>
                </a:r>
                <a:r>
                  <a:rPr lang="en-US" baseline="0"/>
                  <a:t> Free 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86976"/>
        <c:crosses val="autoZero"/>
        <c:crossBetween val="midCat"/>
      </c:valAx>
      <c:valAx>
        <c:axId val="66808697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Buildup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88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Taylor</a:t>
            </a:r>
            <a:r>
              <a:rPr lang="en-US" baseline="0"/>
              <a:t> Buildup Factor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'BF Comparison'!$B$14:$B$47</c:f>
              <c:numCache>
                <c:formatCode>General</c:formatCode>
                <c:ptCount val="34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50</c:v>
                </c:pt>
                <c:pt idx="17">
                  <c:v>60</c:v>
                </c:pt>
                <c:pt idx="18">
                  <c:v>70</c:v>
                </c:pt>
                <c:pt idx="19">
                  <c:v>80</c:v>
                </c:pt>
                <c:pt idx="20">
                  <c:v>90</c:v>
                </c:pt>
                <c:pt idx="21">
                  <c:v>100</c:v>
                </c:pt>
                <c:pt idx="22">
                  <c:v>150</c:v>
                </c:pt>
                <c:pt idx="23">
                  <c:v>200</c:v>
                </c:pt>
                <c:pt idx="24">
                  <c:v>250</c:v>
                </c:pt>
                <c:pt idx="25">
                  <c:v>300</c:v>
                </c:pt>
                <c:pt idx="26">
                  <c:v>350</c:v>
                </c:pt>
                <c:pt idx="27">
                  <c:v>400</c:v>
                </c:pt>
                <c:pt idx="28">
                  <c:v>500</c:v>
                </c:pt>
                <c:pt idx="29">
                  <c:v>600</c:v>
                </c:pt>
                <c:pt idx="30">
                  <c:v>700</c:v>
                </c:pt>
                <c:pt idx="31">
                  <c:v>800</c:v>
                </c:pt>
                <c:pt idx="32">
                  <c:v>900</c:v>
                </c:pt>
                <c:pt idx="33">
                  <c:v>1000</c:v>
                </c:pt>
              </c:numCache>
            </c:numRef>
          </c:xVal>
          <c:yVal>
            <c:numRef>
              <c:f>'BF Comparison'!$D$14:$D$47</c:f>
              <c:numCache>
                <c:formatCode>0.00E+00</c:formatCode>
                <c:ptCount val="34"/>
                <c:pt idx="0">
                  <c:v>6.0428751918984176</c:v>
                </c:pt>
                <c:pt idx="1">
                  <c:v>11.716994078860466</c:v>
                </c:pt>
                <c:pt idx="2">
                  <c:v>25.204051390272241</c:v>
                </c:pt>
                <c:pt idx="3">
                  <c:v>42.004992735302551</c:v>
                </c:pt>
                <c:pt idx="4">
                  <c:v>62.759436939407067</c:v>
                </c:pt>
                <c:pt idx="5">
                  <c:v>88.218756911043045</c:v>
                </c:pt>
                <c:pt idx="6">
                  <c:v>119.26460740668347</c:v>
                </c:pt>
                <c:pt idx="7">
                  <c:v>156.93043050276367</c:v>
                </c:pt>
                <c:pt idx="8">
                  <c:v>202.42640800381741</c:v>
                </c:pt>
                <c:pt idx="9">
                  <c:v>322.81151703537932</c:v>
                </c:pt>
                <c:pt idx="10">
                  <c:v>894.67489489732975</c:v>
                </c:pt>
                <c:pt idx="11">
                  <c:v>2214.2074500852932</c:v>
                </c:pt>
                <c:pt idx="12">
                  <c:v>5155.3743936301944</c:v>
                </c:pt>
                <c:pt idx="13">
                  <c:v>11558.984279135737</c:v>
                </c:pt>
                <c:pt idx="14">
                  <c:v>25269.902883843541</c:v>
                </c:pt>
                <c:pt idx="15">
                  <c:v>54266.742078846553</c:v>
                </c:pt>
                <c:pt idx="16">
                  <c:v>241404.09808723725</c:v>
                </c:pt>
                <c:pt idx="17">
                  <c:v>1041183.9211840802</c:v>
                </c:pt>
                <c:pt idx="18">
                  <c:v>4406251.6804609522</c:v>
                </c:pt>
                <c:pt idx="19">
                  <c:v>18422332.84351217</c:v>
                </c:pt>
                <c:pt idx="20">
                  <c:v>76412969.022819981</c:v>
                </c:pt>
                <c:pt idx="21">
                  <c:v>315273661.89138085</c:v>
                </c:pt>
                <c:pt idx="22">
                  <c:v>363779145338.38037</c:v>
                </c:pt>
                <c:pt idx="23">
                  <c:v>412409357557146.38</c:v>
                </c:pt>
                <c:pt idx="24">
                  <c:v>4.6626994638574074E+17</c:v>
                </c:pt>
                <c:pt idx="25">
                  <c:v>5.269408147515084E+20</c:v>
                </c:pt>
                <c:pt idx="26">
                  <c:v>5.9546658796713146E+23</c:v>
                </c:pt>
                <c:pt idx="27">
                  <c:v>6.7289676899856763E+26</c:v>
                </c:pt>
                <c:pt idx="28">
                  <c:v>8.592687350252277E+32</c:v>
                </c:pt>
                <c:pt idx="29">
                  <c:v>1.0972597012972513E+39</c:v>
                </c:pt>
                <c:pt idx="30">
                  <c:v>1.4011668212595405E+45</c:v>
                </c:pt>
                <c:pt idx="31">
                  <c:v>1.7892468467375636E+51</c:v>
                </c:pt>
                <c:pt idx="32">
                  <c:v>2.2848130786215184E+57</c:v>
                </c:pt>
                <c:pt idx="33">
                  <c:v>2.9176358833650216E+63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3E-43A7-8B9B-CDB9337A2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969704"/>
        <c:axId val="724965440"/>
      </c:scatterChart>
      <c:valAx>
        <c:axId val="7249697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Free 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965440"/>
        <c:crosses val="autoZero"/>
        <c:crossBetween val="midCat"/>
      </c:valAx>
      <c:valAx>
        <c:axId val="72496544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Buildup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96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12</xdr:row>
      <xdr:rowOff>71437</xdr:rowOff>
    </xdr:from>
    <xdr:to>
      <xdr:col>16</xdr:col>
      <xdr:colOff>581025</xdr:colOff>
      <xdr:row>26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4ECCA-7B4B-4D8C-87F6-4B2EE2709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276225</xdr:colOff>
      <xdr:row>27</xdr:row>
      <xdr:rowOff>128587</xdr:rowOff>
    </xdr:from>
    <xdr:to>
      <xdr:col>16</xdr:col>
      <xdr:colOff>581025</xdr:colOff>
      <xdr:row>42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45064B-2F96-42F3-8275-863D0D9C92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C649-B191-9A45-8761-4667DF714835}">
  <sheetPr codeName="Sheet2"/>
  <dimension ref="B2:B3"/>
  <sheetViews>
    <sheetView workbookViewId="0"/>
  </sheetViews>
  <sheetFormatPr baseColWidth="10" defaultColWidth="11.5" defaultRowHeight="15"/>
  <sheetData>
    <row r="2" spans="2:2" ht="19">
      <c r="B2" s="11" t="s">
        <v>84</v>
      </c>
    </row>
    <row r="3" spans="2:2" ht="19">
      <c r="B3" s="11" t="s"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6E61E-1297-4FDC-B035-8C0AF22AD51D}">
  <sheetPr codeName="Sheet1"/>
  <dimension ref="A1:AQ78"/>
  <sheetViews>
    <sheetView workbookViewId="0"/>
  </sheetViews>
  <sheetFormatPr baseColWidth="10" defaultColWidth="8.83203125" defaultRowHeight="15"/>
  <cols>
    <col min="3" max="3" width="11.1640625" customWidth="1"/>
    <col min="4" max="5" width="11.1640625" bestFit="1" customWidth="1"/>
    <col min="6" max="40" width="11.5" bestFit="1" customWidth="1"/>
    <col min="41" max="42" width="11.5" customWidth="1"/>
    <col min="43" max="43" width="11.5" bestFit="1" customWidth="1"/>
  </cols>
  <sheetData>
    <row r="1" spans="3:10">
      <c r="C1" s="9" t="s">
        <v>64</v>
      </c>
      <c r="D1" t="s">
        <v>69</v>
      </c>
      <c r="E1" s="9" t="s">
        <v>68</v>
      </c>
      <c r="H1" t="s">
        <v>80</v>
      </c>
      <c r="I1" t="s">
        <v>81</v>
      </c>
      <c r="J1" t="s">
        <v>68</v>
      </c>
    </row>
    <row r="2" spans="3:10">
      <c r="C2" t="s">
        <v>65</v>
      </c>
      <c r="H2" t="s">
        <v>57</v>
      </c>
      <c r="I2">
        <v>0.13</v>
      </c>
      <c r="J2" s="6">
        <f>I2/$I$4</f>
        <v>6.4676616915422896E-2</v>
      </c>
    </row>
    <row r="3" spans="3:10">
      <c r="D3" t="s">
        <v>66</v>
      </c>
      <c r="E3">
        <v>0.118533</v>
      </c>
      <c r="H3" t="s">
        <v>59</v>
      </c>
      <c r="I3">
        <v>1.88</v>
      </c>
      <c r="J3" s="6">
        <f>I3/$I$4</f>
        <v>0.93532338308457719</v>
      </c>
    </row>
    <row r="4" spans="3:10">
      <c r="D4" t="s">
        <v>67</v>
      </c>
      <c r="E4">
        <f>1-E3</f>
        <v>0.881467</v>
      </c>
      <c r="H4" t="s">
        <v>82</v>
      </c>
      <c r="I4">
        <f>SUM(I2:I3)</f>
        <v>2.0099999999999998</v>
      </c>
      <c r="J4" s="6">
        <f>I4/$I$4</f>
        <v>1</v>
      </c>
    </row>
    <row r="5" spans="3:10">
      <c r="C5" t="s">
        <v>79</v>
      </c>
    </row>
    <row r="6" spans="3:10">
      <c r="D6" t="s">
        <v>70</v>
      </c>
      <c r="E6" s="10">
        <v>1.4999999999999999E-4</v>
      </c>
    </row>
    <row r="7" spans="3:10">
      <c r="D7" t="s">
        <v>71</v>
      </c>
      <c r="E7" s="10">
        <v>5.0000000000000001E-3</v>
      </c>
    </row>
    <row r="8" spans="3:10">
      <c r="D8" t="s">
        <v>72</v>
      </c>
      <c r="E8" s="10">
        <v>2.3000000000000001E-4</v>
      </c>
    </row>
    <row r="9" spans="3:10">
      <c r="D9" t="s">
        <v>78</v>
      </c>
      <c r="E9" s="10">
        <v>1.4999999999999999E-4</v>
      </c>
    </row>
    <row r="10" spans="3:10">
      <c r="D10" t="s">
        <v>73</v>
      </c>
      <c r="E10" s="10">
        <v>0.19</v>
      </c>
    </row>
    <row r="11" spans="3:10">
      <c r="D11" t="s">
        <v>74</v>
      </c>
      <c r="E11" s="10">
        <v>0.01</v>
      </c>
    </row>
    <row r="12" spans="3:10">
      <c r="D12" t="s">
        <v>75</v>
      </c>
      <c r="E12" s="10">
        <v>0.69447999999999999</v>
      </c>
    </row>
    <row r="13" spans="3:10">
      <c r="D13" t="s">
        <v>76</v>
      </c>
      <c r="E13" s="10">
        <v>0.1</v>
      </c>
    </row>
    <row r="14" spans="3:10">
      <c r="D14" t="s">
        <v>77</v>
      </c>
      <c r="E14" s="10">
        <v>0</v>
      </c>
    </row>
    <row r="18" spans="1:43">
      <c r="A18" t="s">
        <v>0</v>
      </c>
      <c r="C18" s="5" t="s">
        <v>19</v>
      </c>
    </row>
    <row r="19" spans="1:43">
      <c r="B19" t="s">
        <v>1</v>
      </c>
      <c r="C19" t="s">
        <v>42</v>
      </c>
      <c r="D19" t="s">
        <v>43</v>
      </c>
      <c r="E19" t="s">
        <v>44</v>
      </c>
      <c r="F19" t="s">
        <v>45</v>
      </c>
      <c r="G19" t="s">
        <v>46</v>
      </c>
      <c r="H19" t="s">
        <v>47</v>
      </c>
      <c r="I19" t="s">
        <v>48</v>
      </c>
      <c r="J19" t="s">
        <v>35</v>
      </c>
      <c r="K19" t="s">
        <v>36</v>
      </c>
      <c r="L19" t="s">
        <v>40</v>
      </c>
      <c r="M19" t="s">
        <v>37</v>
      </c>
      <c r="N19" t="s">
        <v>38</v>
      </c>
      <c r="O19" t="s">
        <v>41</v>
      </c>
      <c r="P19" t="s">
        <v>39</v>
      </c>
      <c r="Q19" t="s">
        <v>2</v>
      </c>
      <c r="R19" t="s">
        <v>3</v>
      </c>
      <c r="S19" t="s">
        <v>4</v>
      </c>
      <c r="T19" t="s">
        <v>5</v>
      </c>
      <c r="U19" t="s">
        <v>6</v>
      </c>
      <c r="V19" t="s">
        <v>7</v>
      </c>
      <c r="W19" t="s">
        <v>8</v>
      </c>
      <c r="X19" t="s">
        <v>9</v>
      </c>
      <c r="Y19" t="s">
        <v>30</v>
      </c>
      <c r="Z19" s="1" t="s">
        <v>31</v>
      </c>
      <c r="AA19" s="1" t="s">
        <v>10</v>
      </c>
      <c r="AB19" s="1" t="s">
        <v>34</v>
      </c>
      <c r="AC19" t="s">
        <v>32</v>
      </c>
      <c r="AD19" s="1" t="s">
        <v>33</v>
      </c>
      <c r="AE19" t="s">
        <v>23</v>
      </c>
      <c r="AF19" t="s">
        <v>24</v>
      </c>
      <c r="AG19" t="s">
        <v>27</v>
      </c>
      <c r="AH19" t="s">
        <v>25</v>
      </c>
      <c r="AI19" t="s">
        <v>28</v>
      </c>
      <c r="AJ19" t="s">
        <v>26</v>
      </c>
      <c r="AK19" t="s">
        <v>29</v>
      </c>
      <c r="AL19" t="s">
        <v>20</v>
      </c>
      <c r="AM19" t="s">
        <v>21</v>
      </c>
      <c r="AN19" t="s">
        <v>22</v>
      </c>
      <c r="AO19" t="s">
        <v>65</v>
      </c>
      <c r="AP19" t="s">
        <v>79</v>
      </c>
      <c r="AQ19" t="s">
        <v>83</v>
      </c>
    </row>
    <row r="20" spans="1:43">
      <c r="B20" s="4">
        <v>0.01</v>
      </c>
      <c r="C20" s="3">
        <v>0.38540000000000002</v>
      </c>
      <c r="D20" s="3">
        <v>0.30270000000000002</v>
      </c>
      <c r="E20" s="3">
        <v>0.59409999999999996</v>
      </c>
      <c r="F20" s="3">
        <v>1.1819999999999999</v>
      </c>
      <c r="G20" s="3">
        <v>2.2679999999999998</v>
      </c>
      <c r="H20" s="3">
        <v>3.7360000000000002</v>
      </c>
      <c r="I20" s="3">
        <v>5.758</v>
      </c>
      <c r="J20" s="3">
        <v>15.2</v>
      </c>
      <c r="K20" s="3">
        <v>20.63</v>
      </c>
      <c r="L20" s="3">
        <v>25.75</v>
      </c>
      <c r="M20" s="3">
        <v>33.340000000000003</v>
      </c>
      <c r="N20" s="3">
        <v>39.78</v>
      </c>
      <c r="O20" s="3">
        <v>49.5</v>
      </c>
      <c r="P20" s="3">
        <v>56.59</v>
      </c>
      <c r="Q20" s="3">
        <v>62.49</v>
      </c>
      <c r="R20" s="3">
        <v>78.319999999999993</v>
      </c>
      <c r="S20" s="3">
        <v>92.59</v>
      </c>
      <c r="T20" s="3">
        <v>137.69999999999999</v>
      </c>
      <c r="U20" s="3">
        <v>150.4</v>
      </c>
      <c r="V20" s="3">
        <v>169.6</v>
      </c>
      <c r="W20" s="3">
        <v>207.7</v>
      </c>
      <c r="X20" s="3">
        <v>214.6</v>
      </c>
      <c r="Y20" s="3">
        <v>72.12</v>
      </c>
      <c r="Z20" s="3">
        <v>78.260000000000005</v>
      </c>
      <c r="AA20" s="3">
        <v>83.58</v>
      </c>
      <c r="AB20" s="3">
        <v>121.9</v>
      </c>
      <c r="AC20" s="3">
        <v>135.9</v>
      </c>
      <c r="AD20" s="3">
        <v>183.2</v>
      </c>
      <c r="AE20" s="3">
        <v>193.8</v>
      </c>
      <c r="AF20" s="3">
        <v>265.89999999999998</v>
      </c>
      <c r="AG20" s="3">
        <v>225.9</v>
      </c>
      <c r="AH20" s="3">
        <v>92.56</v>
      </c>
      <c r="AI20" s="3">
        <v>125.7</v>
      </c>
      <c r="AJ20" s="3">
        <v>163.6</v>
      </c>
      <c r="AK20" s="3">
        <v>173.7</v>
      </c>
      <c r="AL20" s="3">
        <v>4.9610000000000003</v>
      </c>
      <c r="AM20" s="3">
        <v>5.157</v>
      </c>
      <c r="AN20" s="3">
        <v>26.16</v>
      </c>
      <c r="AO20" s="3">
        <f>$E$3*I20+$E$4*AK20</f>
        <v>153.79333091399999</v>
      </c>
      <c r="AP20" s="3">
        <f>$E$6*G20+$E$7*M20+$E$8*N20+$E$9*O20+$E$10*T20+$E$11*U20+$E$12*V20+$E$13*W20+$E$14*AA20</f>
        <v>166.4044226</v>
      </c>
      <c r="AQ20" s="3">
        <f>$J$2*AM20+$J$3*AN20</f>
        <v>24.801597014925374</v>
      </c>
    </row>
    <row r="21" spans="1:43">
      <c r="B21" s="4">
        <v>1.4999999999999999E-2</v>
      </c>
      <c r="C21" s="3">
        <v>0.37640000000000001</v>
      </c>
      <c r="D21" s="3">
        <v>0.19850000000000001</v>
      </c>
      <c r="E21" s="3">
        <v>0.2782</v>
      </c>
      <c r="F21" s="3">
        <v>0.44069999999999998</v>
      </c>
      <c r="G21" s="3">
        <v>0.74760000000000004</v>
      </c>
      <c r="H21" s="3">
        <v>1.1559999999999999</v>
      </c>
      <c r="I21" s="3">
        <v>1.7310000000000001</v>
      </c>
      <c r="J21" s="3">
        <v>4.4980000000000002</v>
      </c>
      <c r="K21" s="3">
        <v>6.1239999999999997</v>
      </c>
      <c r="L21" s="3">
        <v>7.6970000000000001</v>
      </c>
      <c r="M21" s="3">
        <v>10.039999999999999</v>
      </c>
      <c r="N21" s="3">
        <v>12.07</v>
      </c>
      <c r="O21" s="3">
        <v>15.13</v>
      </c>
      <c r="P21" s="3">
        <v>17.45</v>
      </c>
      <c r="Q21" s="3">
        <v>19.43</v>
      </c>
      <c r="R21" s="3">
        <v>24.57</v>
      </c>
      <c r="S21" s="3">
        <v>29.29</v>
      </c>
      <c r="T21" s="3">
        <v>45.12</v>
      </c>
      <c r="U21" s="3">
        <v>49.65</v>
      </c>
      <c r="V21" s="3">
        <v>56.41</v>
      </c>
      <c r="W21" s="3">
        <v>70.03</v>
      </c>
      <c r="X21" s="3">
        <v>73.25</v>
      </c>
      <c r="Y21" s="3">
        <v>23.35</v>
      </c>
      <c r="Z21" s="3">
        <v>25.39</v>
      </c>
      <c r="AA21" s="3">
        <v>27.16</v>
      </c>
      <c r="AB21" s="3">
        <v>40.18</v>
      </c>
      <c r="AC21" s="3">
        <v>44.99</v>
      </c>
      <c r="AD21" s="3">
        <v>61.64</v>
      </c>
      <c r="AE21" s="3">
        <v>65.45</v>
      </c>
      <c r="AF21" s="3">
        <v>91.15</v>
      </c>
      <c r="AG21" s="3">
        <v>126.3</v>
      </c>
      <c r="AH21" s="3">
        <v>136.1</v>
      </c>
      <c r="AI21" s="3">
        <v>108.4</v>
      </c>
      <c r="AJ21" s="3">
        <v>57.87</v>
      </c>
      <c r="AK21" s="3">
        <v>61.62</v>
      </c>
      <c r="AL21" s="3">
        <v>1.5249999999999999</v>
      </c>
      <c r="AM21" s="3">
        <v>1.579</v>
      </c>
      <c r="AN21" s="3">
        <v>8.0749999999999993</v>
      </c>
      <c r="AO21" s="3">
        <f t="shared" ref="AO21:AO47" si="0">$E$3*I21+$E$4*AK21</f>
        <v>54.521177162999997</v>
      </c>
      <c r="AP21" s="3">
        <f t="shared" ref="AP21:AP47" si="1">$E$6*G21+$E$7*M21+$E$8*N21+$E$9*O21+$E$10*T21+$E$11*U21+$E$12*V21+$E$13*W21+$E$14*AA21</f>
        <v>55.303274539999997</v>
      </c>
      <c r="AQ21" s="3">
        <f t="shared" ref="AQ21:AQ47" si="2">$J$2*AM21+$J$3*AN21</f>
        <v>7.6548606965174129</v>
      </c>
    </row>
    <row r="22" spans="1:43">
      <c r="B22" s="4">
        <v>0.02</v>
      </c>
      <c r="C22" s="3">
        <v>0.3695</v>
      </c>
      <c r="D22" s="3">
        <v>0.1741</v>
      </c>
      <c r="E22" s="3">
        <v>0.2072</v>
      </c>
      <c r="F22" s="3">
        <v>0.27460000000000001</v>
      </c>
      <c r="G22" s="3">
        <v>0.40350000000000003</v>
      </c>
      <c r="H22" s="3">
        <v>0.56669999999999998</v>
      </c>
      <c r="I22" s="3">
        <v>0.79849999999999999</v>
      </c>
      <c r="J22" s="3">
        <v>1.9339999999999999</v>
      </c>
      <c r="K22" s="3">
        <v>2.6160000000000001</v>
      </c>
      <c r="L22" s="3">
        <v>3.2789999999999999</v>
      </c>
      <c r="M22" s="3">
        <v>4.2750000000000004</v>
      </c>
      <c r="N22" s="3">
        <v>5.1479999999999997</v>
      </c>
      <c r="O22" s="3">
        <v>6.4749999999999996</v>
      </c>
      <c r="P22" s="3">
        <v>7.492</v>
      </c>
      <c r="Q22" s="3">
        <v>8.375</v>
      </c>
      <c r="R22" s="3">
        <v>10.63</v>
      </c>
      <c r="S22" s="3">
        <v>12.73</v>
      </c>
      <c r="T22" s="3">
        <v>19.98</v>
      </c>
      <c r="U22" s="3">
        <v>22.11</v>
      </c>
      <c r="V22" s="3">
        <v>25.22</v>
      </c>
      <c r="W22" s="3">
        <v>31.67</v>
      </c>
      <c r="X22" s="3">
        <v>33.25</v>
      </c>
      <c r="Y22" s="3">
        <v>71.510000000000005</v>
      </c>
      <c r="Z22" s="3">
        <v>76.23</v>
      </c>
      <c r="AA22" s="3">
        <v>78.62</v>
      </c>
      <c r="AB22" s="3">
        <v>18.09</v>
      </c>
      <c r="AC22" s="3">
        <v>20.3</v>
      </c>
      <c r="AD22" s="3">
        <v>28.08</v>
      </c>
      <c r="AE22" s="3">
        <v>29.85</v>
      </c>
      <c r="AF22" s="3">
        <v>42.04</v>
      </c>
      <c r="AG22" s="3">
        <v>58.99</v>
      </c>
      <c r="AH22" s="3">
        <v>63.76</v>
      </c>
      <c r="AI22" s="3">
        <v>84.11</v>
      </c>
      <c r="AJ22" s="3">
        <v>91.13</v>
      </c>
      <c r="AK22" s="3">
        <v>68.45</v>
      </c>
      <c r="AL22" s="3">
        <v>0.72099999999999997</v>
      </c>
      <c r="AM22" s="3">
        <v>0.75049999999999994</v>
      </c>
      <c r="AN22" s="3">
        <v>3.51</v>
      </c>
      <c r="AO22" s="3">
        <f t="shared" si="0"/>
        <v>60.431064750500006</v>
      </c>
      <c r="AP22" s="3">
        <f t="shared" si="1"/>
        <v>24.722676415000002</v>
      </c>
      <c r="AQ22" s="3">
        <f t="shared" si="2"/>
        <v>3.3315248756218905</v>
      </c>
    </row>
    <row r="23" spans="1:43">
      <c r="B23" s="4">
        <v>0.03</v>
      </c>
      <c r="C23" s="3">
        <v>0.35699999999999998</v>
      </c>
      <c r="D23" s="3">
        <v>0.1588</v>
      </c>
      <c r="E23" s="3">
        <v>0.17050000000000001</v>
      </c>
      <c r="F23" s="3">
        <v>0.193</v>
      </c>
      <c r="G23" s="3">
        <v>0.23680000000000001</v>
      </c>
      <c r="H23" s="3">
        <v>0.28070000000000001</v>
      </c>
      <c r="I23" s="3">
        <v>0.34399999999999997</v>
      </c>
      <c r="J23" s="3">
        <v>0.65759999999999996</v>
      </c>
      <c r="K23" s="3">
        <v>0.85619999999999996</v>
      </c>
      <c r="L23" s="3">
        <v>1.0449999999999999</v>
      </c>
      <c r="M23" s="3">
        <v>1.34</v>
      </c>
      <c r="N23" s="3">
        <v>1.5960000000000001</v>
      </c>
      <c r="O23" s="3">
        <v>1.9930000000000001</v>
      </c>
      <c r="P23" s="3">
        <v>2.2989999999999999</v>
      </c>
      <c r="Q23" s="3">
        <v>2.5659999999999998</v>
      </c>
      <c r="R23" s="3">
        <v>3.26</v>
      </c>
      <c r="S23" s="3">
        <v>3.9089999999999998</v>
      </c>
      <c r="T23" s="3">
        <v>6.2210000000000001</v>
      </c>
      <c r="U23" s="3">
        <v>6.9169999999999998</v>
      </c>
      <c r="V23" s="3">
        <v>7.93</v>
      </c>
      <c r="W23" s="3">
        <v>10.050000000000001</v>
      </c>
      <c r="X23" s="3">
        <v>10.62</v>
      </c>
      <c r="Y23" s="3">
        <v>24.38</v>
      </c>
      <c r="Z23" s="3">
        <v>26.16</v>
      </c>
      <c r="AA23" s="3">
        <v>27.59</v>
      </c>
      <c r="AB23" s="3">
        <v>37.04</v>
      </c>
      <c r="AC23" s="3">
        <v>40.58</v>
      </c>
      <c r="AD23" s="3">
        <v>9.1669999999999998</v>
      </c>
      <c r="AE23" s="3">
        <v>9.76</v>
      </c>
      <c r="AF23" s="3">
        <v>13.93</v>
      </c>
      <c r="AG23" s="3">
        <v>19.88</v>
      </c>
      <c r="AH23" s="3">
        <v>21.58</v>
      </c>
      <c r="AI23" s="3">
        <v>29</v>
      </c>
      <c r="AJ23" s="3">
        <v>37.43</v>
      </c>
      <c r="AK23" s="3">
        <v>39.76</v>
      </c>
      <c r="AL23" s="3">
        <v>0.32479999999999998</v>
      </c>
      <c r="AM23" s="3">
        <v>0.34549999999999997</v>
      </c>
      <c r="AN23" s="3">
        <v>1.1419999999999999</v>
      </c>
      <c r="AO23" s="3">
        <f t="shared" si="0"/>
        <v>35.087903271999998</v>
      </c>
      <c r="AP23" s="3">
        <f t="shared" si="1"/>
        <v>7.7707879499999999</v>
      </c>
      <c r="AQ23" s="3">
        <f t="shared" si="2"/>
        <v>1.0904850746268657</v>
      </c>
    </row>
    <row r="24" spans="1:43">
      <c r="B24" s="4">
        <v>0.04</v>
      </c>
      <c r="C24" s="3">
        <v>0.3458</v>
      </c>
      <c r="D24" s="3">
        <v>0.15190000000000001</v>
      </c>
      <c r="E24" s="3">
        <v>0.1588</v>
      </c>
      <c r="F24" s="3">
        <v>0.1714</v>
      </c>
      <c r="G24" s="3">
        <v>0.19600000000000001</v>
      </c>
      <c r="H24" s="3">
        <v>0.21329999999999999</v>
      </c>
      <c r="I24" s="3">
        <v>0.2382</v>
      </c>
      <c r="J24" s="3">
        <v>0.35949999999999999</v>
      </c>
      <c r="K24" s="3">
        <v>0.44309999999999999</v>
      </c>
      <c r="L24" s="3">
        <v>0.51839999999999997</v>
      </c>
      <c r="M24" s="3">
        <v>0.64249999999999996</v>
      </c>
      <c r="N24" s="3">
        <v>0.74590000000000001</v>
      </c>
      <c r="O24" s="3">
        <v>0.91439999999999999</v>
      </c>
      <c r="P24" s="3">
        <v>1.0389999999999999</v>
      </c>
      <c r="Q24" s="3">
        <v>1.1479999999999999</v>
      </c>
      <c r="R24" s="3">
        <v>1.4470000000000001</v>
      </c>
      <c r="S24" s="3">
        <v>1.726</v>
      </c>
      <c r="T24" s="3">
        <v>2.7250000000000001</v>
      </c>
      <c r="U24" s="3">
        <v>3.0310000000000001</v>
      </c>
      <c r="V24" s="3">
        <v>3.4780000000000002</v>
      </c>
      <c r="W24" s="3">
        <v>4.4219999999999997</v>
      </c>
      <c r="X24" s="3">
        <v>4.68</v>
      </c>
      <c r="Y24" s="3">
        <v>11.09</v>
      </c>
      <c r="Z24" s="3">
        <v>11.91</v>
      </c>
      <c r="AA24" s="3">
        <v>12.61</v>
      </c>
      <c r="AB24" s="3">
        <v>17.39</v>
      </c>
      <c r="AC24" s="3">
        <v>19.02</v>
      </c>
      <c r="AD24" s="3">
        <v>24.1</v>
      </c>
      <c r="AE24" s="3">
        <v>25.29</v>
      </c>
      <c r="AF24" s="3">
        <v>6.335</v>
      </c>
      <c r="AG24" s="3">
        <v>9.1120000000000001</v>
      </c>
      <c r="AH24" s="3">
        <v>9.9220000000000006</v>
      </c>
      <c r="AI24" s="3">
        <v>13.49</v>
      </c>
      <c r="AJ24" s="3">
        <v>17.66</v>
      </c>
      <c r="AK24" s="3">
        <v>18.809999999999999</v>
      </c>
      <c r="AL24" s="3">
        <v>0.2311</v>
      </c>
      <c r="AM24" s="3">
        <v>0.25019999999999998</v>
      </c>
      <c r="AN24" s="3">
        <v>0.56830000000000003</v>
      </c>
      <c r="AO24" s="3">
        <f t="shared" si="0"/>
        <v>16.608628830600001</v>
      </c>
      <c r="AP24" s="3">
        <f t="shared" si="1"/>
        <v>3.4092120570000004</v>
      </c>
      <c r="AQ24" s="3">
        <f t="shared" si="2"/>
        <v>0.54772636815920406</v>
      </c>
    </row>
    <row r="25" spans="1:43">
      <c r="B25" s="4">
        <v>0.05</v>
      </c>
      <c r="C25" s="3">
        <v>0.33550000000000002</v>
      </c>
      <c r="D25" s="3">
        <v>0.1467</v>
      </c>
      <c r="E25" s="3">
        <v>0.152</v>
      </c>
      <c r="F25" s="3">
        <v>0.16120000000000001</v>
      </c>
      <c r="G25" s="3">
        <v>0.1794</v>
      </c>
      <c r="H25" s="3">
        <v>0.18770000000000001</v>
      </c>
      <c r="I25" s="3">
        <v>0.19969999999999999</v>
      </c>
      <c r="J25" s="3">
        <v>0.2555</v>
      </c>
      <c r="K25" s="3">
        <v>0.29930000000000001</v>
      </c>
      <c r="L25" s="3">
        <v>0.3347</v>
      </c>
      <c r="M25" s="3">
        <v>0.39929999999999999</v>
      </c>
      <c r="N25" s="3">
        <v>0.44890000000000002</v>
      </c>
      <c r="O25" s="3">
        <v>0.53580000000000005</v>
      </c>
      <c r="P25" s="3">
        <v>0.59589999999999999</v>
      </c>
      <c r="Q25" s="3">
        <v>0.64700000000000002</v>
      </c>
      <c r="R25" s="3">
        <v>0.80420000000000003</v>
      </c>
      <c r="S25" s="3">
        <v>0.94830000000000003</v>
      </c>
      <c r="T25" s="3">
        <v>1.462</v>
      </c>
      <c r="U25" s="3">
        <v>1.621</v>
      </c>
      <c r="V25" s="3">
        <v>1.8540000000000001</v>
      </c>
      <c r="W25" s="3">
        <v>2.3540000000000001</v>
      </c>
      <c r="X25" s="3">
        <v>2.4900000000000002</v>
      </c>
      <c r="Y25" s="3">
        <v>5.9660000000000002</v>
      </c>
      <c r="Z25" s="3">
        <v>6.4260000000000002</v>
      </c>
      <c r="AA25" s="3">
        <v>6.8120000000000003</v>
      </c>
      <c r="AB25" s="3">
        <v>9.5039999999999996</v>
      </c>
      <c r="AC25" s="3">
        <v>10.41</v>
      </c>
      <c r="AD25" s="3">
        <v>13.46</v>
      </c>
      <c r="AE25" s="3">
        <v>14.13</v>
      </c>
      <c r="AF25" s="3">
        <v>3.45</v>
      </c>
      <c r="AG25" s="3">
        <v>4.9779999999999998</v>
      </c>
      <c r="AH25" s="3">
        <v>5.4260000000000002</v>
      </c>
      <c r="AI25" s="3">
        <v>7.4260000000000002</v>
      </c>
      <c r="AJ25" s="3">
        <v>9.8160000000000007</v>
      </c>
      <c r="AK25" s="3">
        <v>10.48</v>
      </c>
      <c r="AL25" s="3">
        <v>0.19639999999999999</v>
      </c>
      <c r="AM25" s="3">
        <v>0.21490000000000001</v>
      </c>
      <c r="AN25" s="3">
        <v>0.3649</v>
      </c>
      <c r="AO25" s="3">
        <f t="shared" si="0"/>
        <v>9.2614452001000007</v>
      </c>
      <c r="AP25" s="3">
        <f t="shared" si="1"/>
        <v>1.8191629469999999</v>
      </c>
      <c r="AQ25" s="3">
        <f t="shared" si="2"/>
        <v>0.35519850746268661</v>
      </c>
    </row>
    <row r="26" spans="1:43">
      <c r="B26" s="4">
        <v>0.06</v>
      </c>
      <c r="C26" s="3">
        <v>0.32600000000000001</v>
      </c>
      <c r="D26" s="3">
        <v>0.14230000000000001</v>
      </c>
      <c r="E26" s="3">
        <v>0.1469</v>
      </c>
      <c r="F26" s="3">
        <v>0.15459999999999999</v>
      </c>
      <c r="G26" s="3">
        <v>0.16980000000000001</v>
      </c>
      <c r="H26" s="3">
        <v>0.17430000000000001</v>
      </c>
      <c r="I26" s="3">
        <v>0.18110000000000001</v>
      </c>
      <c r="J26" s="3">
        <v>0.20910000000000001</v>
      </c>
      <c r="K26" s="3">
        <v>0.23569999999999999</v>
      </c>
      <c r="L26" s="3">
        <v>0.25390000000000001</v>
      </c>
      <c r="M26" s="3">
        <v>0.29270000000000002</v>
      </c>
      <c r="N26" s="3">
        <v>0.3155</v>
      </c>
      <c r="O26" s="3">
        <v>0.37009999999999998</v>
      </c>
      <c r="P26" s="3">
        <v>0.40189999999999998</v>
      </c>
      <c r="Q26" s="3">
        <v>0.42730000000000001</v>
      </c>
      <c r="R26" s="3">
        <v>0.52200000000000002</v>
      </c>
      <c r="S26" s="3">
        <v>0.60670000000000002</v>
      </c>
      <c r="T26" s="3">
        <v>0.89980000000000004</v>
      </c>
      <c r="U26" s="3">
        <v>0.99219999999999997</v>
      </c>
      <c r="V26" s="3">
        <v>1.131</v>
      </c>
      <c r="W26" s="3">
        <v>1.425</v>
      </c>
      <c r="X26" s="3">
        <v>1.504</v>
      </c>
      <c r="Y26" s="3">
        <v>3.5920000000000001</v>
      </c>
      <c r="Z26" s="3">
        <v>3.8740000000000001</v>
      </c>
      <c r="AA26" s="3">
        <v>4.1100000000000003</v>
      </c>
      <c r="AB26" s="3">
        <v>5.774</v>
      </c>
      <c r="AC26" s="3">
        <v>6.3550000000000004</v>
      </c>
      <c r="AD26" s="3">
        <v>8.2639999999999993</v>
      </c>
      <c r="AE26" s="3">
        <v>8.7059999999999995</v>
      </c>
      <c r="AF26" s="3">
        <v>11.44</v>
      </c>
      <c r="AG26" s="3">
        <v>3.048</v>
      </c>
      <c r="AH26" s="3">
        <v>3.3239999999999998</v>
      </c>
      <c r="AI26" s="3">
        <v>4.5629999999999997</v>
      </c>
      <c r="AJ26" s="3">
        <v>6.0659999999999998</v>
      </c>
      <c r="AK26" s="3">
        <v>6.4889999999999999</v>
      </c>
      <c r="AL26" s="3">
        <v>0.17910000000000001</v>
      </c>
      <c r="AM26" s="3">
        <v>0.1973</v>
      </c>
      <c r="AN26" s="3">
        <v>0.27460000000000001</v>
      </c>
      <c r="AO26" s="3">
        <f t="shared" si="0"/>
        <v>5.7413056892999998</v>
      </c>
      <c r="AP26" s="3">
        <f t="shared" si="1"/>
        <v>1.1104579300000001</v>
      </c>
      <c r="AQ26" s="3">
        <f t="shared" si="2"/>
        <v>0.26960049751243786</v>
      </c>
    </row>
    <row r="27" spans="1:43">
      <c r="B27" s="4">
        <v>0.08</v>
      </c>
      <c r="C27" s="3">
        <v>0.30909999999999999</v>
      </c>
      <c r="D27" s="3">
        <v>0.1348</v>
      </c>
      <c r="E27" s="3">
        <v>0.13869999999999999</v>
      </c>
      <c r="F27" s="3">
        <v>0.14499999999999999</v>
      </c>
      <c r="G27" s="3">
        <v>0.1578</v>
      </c>
      <c r="H27" s="3">
        <v>0.15959999999999999</v>
      </c>
      <c r="I27" s="3">
        <v>0.16220000000000001</v>
      </c>
      <c r="J27" s="3">
        <v>0.16930000000000001</v>
      </c>
      <c r="K27" s="3">
        <v>0.1827</v>
      </c>
      <c r="L27" s="3">
        <v>0.188</v>
      </c>
      <c r="M27" s="3">
        <v>0.20649999999999999</v>
      </c>
      <c r="N27" s="3">
        <v>0.21460000000000001</v>
      </c>
      <c r="O27" s="3">
        <v>0.23810000000000001</v>
      </c>
      <c r="P27" s="3">
        <v>0.24759999999999999</v>
      </c>
      <c r="Q27" s="3">
        <v>0.25309999999999999</v>
      </c>
      <c r="R27" s="3">
        <v>0.29809999999999998</v>
      </c>
      <c r="S27" s="3">
        <v>0.33550000000000002</v>
      </c>
      <c r="T27" s="3">
        <v>0.45229999999999998</v>
      </c>
      <c r="U27" s="3">
        <v>0.49030000000000001</v>
      </c>
      <c r="V27" s="3">
        <v>0.55100000000000005</v>
      </c>
      <c r="W27" s="3">
        <v>0.67859999999999998</v>
      </c>
      <c r="X27" s="3">
        <v>0.7097</v>
      </c>
      <c r="Y27" s="3">
        <v>1.631</v>
      </c>
      <c r="Z27" s="3">
        <v>1.7589999999999999</v>
      </c>
      <c r="AA27" s="3">
        <v>1.8640000000000001</v>
      </c>
      <c r="AB27" s="3">
        <v>2.63</v>
      </c>
      <c r="AC27" s="3">
        <v>2.9009999999999998</v>
      </c>
      <c r="AD27" s="3">
        <v>3.8130000000000002</v>
      </c>
      <c r="AE27" s="3">
        <v>4.0220000000000002</v>
      </c>
      <c r="AF27" s="3">
        <v>5.3849999999999998</v>
      </c>
      <c r="AG27" s="3">
        <v>7.1189999999999998</v>
      </c>
      <c r="AH27" s="3">
        <v>7.5679999999999996</v>
      </c>
      <c r="AI27" s="3">
        <v>2.1349999999999998</v>
      </c>
      <c r="AJ27" s="3">
        <v>2.851</v>
      </c>
      <c r="AK27" s="3">
        <v>3.0569999999999999</v>
      </c>
      <c r="AL27" s="3">
        <v>0.16139999999999999</v>
      </c>
      <c r="AM27" s="3">
        <v>0.17860000000000001</v>
      </c>
      <c r="AN27" s="3">
        <v>0.2001</v>
      </c>
      <c r="AO27" s="3">
        <f t="shared" si="0"/>
        <v>2.7138706716000001</v>
      </c>
      <c r="AP27" s="3">
        <f t="shared" si="1"/>
        <v>0.54249972300000004</v>
      </c>
      <c r="AQ27" s="3">
        <f t="shared" si="2"/>
        <v>0.19870945273631843</v>
      </c>
    </row>
    <row r="28" spans="1:43">
      <c r="B28" s="4">
        <v>0.1</v>
      </c>
      <c r="C28" s="3">
        <v>0.2944</v>
      </c>
      <c r="D28" s="3">
        <v>0.1283</v>
      </c>
      <c r="E28" s="3">
        <v>0.13189999999999999</v>
      </c>
      <c r="F28" s="3">
        <v>0.13769999999999999</v>
      </c>
      <c r="G28" s="3">
        <v>0.14929999999999999</v>
      </c>
      <c r="H28" s="3">
        <v>0.15010000000000001</v>
      </c>
      <c r="I28" s="3">
        <v>0.15140000000000001</v>
      </c>
      <c r="J28" s="3">
        <v>0.15179999999999999</v>
      </c>
      <c r="K28" s="3">
        <v>0.1605</v>
      </c>
      <c r="L28" s="3">
        <v>0.16139999999999999</v>
      </c>
      <c r="M28" s="3">
        <v>0.1729</v>
      </c>
      <c r="N28" s="3">
        <v>0.1749</v>
      </c>
      <c r="O28" s="3">
        <v>0.18859999999999999</v>
      </c>
      <c r="P28" s="3">
        <v>0.19059999999999999</v>
      </c>
      <c r="Q28" s="3">
        <v>0.1893</v>
      </c>
      <c r="R28" s="3">
        <v>0.21679999999999999</v>
      </c>
      <c r="S28" s="3">
        <v>0.2374</v>
      </c>
      <c r="T28" s="3">
        <v>0.29170000000000001</v>
      </c>
      <c r="U28" s="3">
        <v>0.31019999999999998</v>
      </c>
      <c r="V28" s="3">
        <v>0.34250000000000003</v>
      </c>
      <c r="W28" s="3">
        <v>0.40970000000000001</v>
      </c>
      <c r="X28" s="3">
        <v>0.42320000000000002</v>
      </c>
      <c r="Y28" s="3">
        <v>0.90610000000000002</v>
      </c>
      <c r="Z28" s="3">
        <v>0.97309999999999997</v>
      </c>
      <c r="AA28" s="3">
        <v>1.0309999999999999</v>
      </c>
      <c r="AB28" s="3">
        <v>1.444</v>
      </c>
      <c r="AC28" s="3">
        <v>1.5920000000000001</v>
      </c>
      <c r="AD28" s="3">
        <v>2.0950000000000002</v>
      </c>
      <c r="AE28" s="3">
        <v>2.2109999999999999</v>
      </c>
      <c r="AF28" s="3">
        <v>2.9820000000000002</v>
      </c>
      <c r="AG28" s="3">
        <v>3.9969999999999999</v>
      </c>
      <c r="AH28" s="3">
        <v>4.2729999999999997</v>
      </c>
      <c r="AI28" s="3">
        <v>5.3550000000000004</v>
      </c>
      <c r="AJ28" s="3">
        <v>1.6060000000000001</v>
      </c>
      <c r="AK28" s="3">
        <v>1.722</v>
      </c>
      <c r="AL28" s="3">
        <v>0.15090000000000001</v>
      </c>
      <c r="AM28" s="3">
        <v>0.16739999999999999</v>
      </c>
      <c r="AN28" s="3">
        <v>0.17019999999999999</v>
      </c>
      <c r="AO28" s="3">
        <f t="shared" si="0"/>
        <v>1.5358320702000001</v>
      </c>
      <c r="AP28" s="3">
        <f t="shared" si="1"/>
        <v>0.33830981200000004</v>
      </c>
      <c r="AQ28" s="3">
        <f t="shared" si="2"/>
        <v>0.17001890547263682</v>
      </c>
    </row>
    <row r="29" spans="1:43">
      <c r="B29" s="4">
        <v>0.15</v>
      </c>
      <c r="C29" s="3">
        <v>0.26500000000000001</v>
      </c>
      <c r="D29" s="3">
        <v>0.11550000000000001</v>
      </c>
      <c r="E29" s="3">
        <v>0.1186</v>
      </c>
      <c r="F29" s="3">
        <v>0.1237</v>
      </c>
      <c r="G29" s="3">
        <v>0.1338</v>
      </c>
      <c r="H29" s="3">
        <v>0.13400000000000001</v>
      </c>
      <c r="I29" s="3">
        <v>0.13439999999999999</v>
      </c>
      <c r="J29" s="3">
        <v>0.1305</v>
      </c>
      <c r="K29" s="3">
        <v>0.13569999999999999</v>
      </c>
      <c r="L29" s="3">
        <v>0.13370000000000001</v>
      </c>
      <c r="M29" s="3">
        <v>0.1399</v>
      </c>
      <c r="N29" s="3">
        <v>0.13789999999999999</v>
      </c>
      <c r="O29" s="3">
        <v>0.1444</v>
      </c>
      <c r="P29" s="3">
        <v>0.1414</v>
      </c>
      <c r="Q29" s="3">
        <v>0.13589999999999999</v>
      </c>
      <c r="R29" s="3">
        <v>0.15010000000000001</v>
      </c>
      <c r="S29" s="3">
        <v>0.1583</v>
      </c>
      <c r="T29" s="3">
        <v>0.16739999999999999</v>
      </c>
      <c r="U29" s="3">
        <v>0.17150000000000001</v>
      </c>
      <c r="V29" s="3">
        <v>0.18290000000000001</v>
      </c>
      <c r="W29" s="3">
        <v>0.2049</v>
      </c>
      <c r="X29" s="3">
        <v>0.20530000000000001</v>
      </c>
      <c r="Y29" s="3">
        <v>0.35089999999999999</v>
      </c>
      <c r="Z29" s="3">
        <v>0.37280000000000002</v>
      </c>
      <c r="AA29" s="3">
        <v>0.39019999999999999</v>
      </c>
      <c r="AB29" s="3">
        <v>0.52129999999999999</v>
      </c>
      <c r="AC29" s="3">
        <v>0.56899999999999995</v>
      </c>
      <c r="AD29" s="3">
        <v>0.73519999999999996</v>
      </c>
      <c r="AE29" s="3">
        <v>0.77470000000000006</v>
      </c>
      <c r="AF29" s="3">
        <v>1.04</v>
      </c>
      <c r="AG29" s="3">
        <v>1.4019999999999999</v>
      </c>
      <c r="AH29" s="3">
        <v>1.502</v>
      </c>
      <c r="AI29" s="3">
        <v>1.921</v>
      </c>
      <c r="AJ29" s="3">
        <v>2.3620000000000001</v>
      </c>
      <c r="AK29" s="3">
        <v>2.4769999999999999</v>
      </c>
      <c r="AL29" s="3">
        <v>0.1341</v>
      </c>
      <c r="AM29" s="3">
        <v>0.14899999999999999</v>
      </c>
      <c r="AN29" s="3">
        <v>0.13969999999999999</v>
      </c>
      <c r="AO29" s="3">
        <f t="shared" si="0"/>
        <v>2.1993245941999997</v>
      </c>
      <c r="AP29" s="3">
        <f t="shared" si="1"/>
        <v>0.18180433900000004</v>
      </c>
      <c r="AQ29" s="3">
        <f t="shared" si="2"/>
        <v>0.14030149253731342</v>
      </c>
    </row>
    <row r="30" spans="1:43">
      <c r="B30" s="4">
        <v>0.2</v>
      </c>
      <c r="C30" s="3">
        <v>0.2429</v>
      </c>
      <c r="D30" s="3">
        <v>0.10580000000000001</v>
      </c>
      <c r="E30" s="3">
        <v>0.1086</v>
      </c>
      <c r="F30" s="3">
        <v>0.1132</v>
      </c>
      <c r="G30" s="3">
        <v>0.12230000000000001</v>
      </c>
      <c r="H30" s="3">
        <v>0.1225</v>
      </c>
      <c r="I30" s="3">
        <v>0.1227</v>
      </c>
      <c r="J30" s="3">
        <v>0.1181</v>
      </c>
      <c r="K30" s="3">
        <v>0.12239999999999999</v>
      </c>
      <c r="L30" s="3">
        <v>0.11990000000000001</v>
      </c>
      <c r="M30" s="3">
        <v>0.12470000000000001</v>
      </c>
      <c r="N30" s="3">
        <v>0.12189999999999999</v>
      </c>
      <c r="O30" s="3">
        <v>0.12670000000000001</v>
      </c>
      <c r="P30" s="3">
        <v>0.12280000000000001</v>
      </c>
      <c r="Q30" s="3">
        <v>0.1166</v>
      </c>
      <c r="R30" s="3">
        <v>0.1273</v>
      </c>
      <c r="S30" s="3">
        <v>0.13239999999999999</v>
      </c>
      <c r="T30" s="3">
        <v>0.13120000000000001</v>
      </c>
      <c r="U30" s="3">
        <v>0.1321</v>
      </c>
      <c r="V30" s="3">
        <v>0.13830000000000001</v>
      </c>
      <c r="W30" s="3">
        <v>0.14899999999999999</v>
      </c>
      <c r="X30" s="3">
        <v>0.14660000000000001</v>
      </c>
      <c r="Y30" s="3">
        <v>0.20749999999999999</v>
      </c>
      <c r="Z30" s="3">
        <v>0.21740000000000001</v>
      </c>
      <c r="AA30" s="3">
        <v>0.22459999999999999</v>
      </c>
      <c r="AB30" s="3">
        <v>0.28179999999999999</v>
      </c>
      <c r="AC30" s="3">
        <v>0.30259999999999998</v>
      </c>
      <c r="AD30" s="3">
        <v>0.37680000000000002</v>
      </c>
      <c r="AE30" s="3">
        <v>0.3952</v>
      </c>
      <c r="AF30" s="3">
        <v>0.5181</v>
      </c>
      <c r="AG30" s="3">
        <v>0.68989999999999996</v>
      </c>
      <c r="AH30" s="3">
        <v>0.73829999999999996</v>
      </c>
      <c r="AI30" s="3">
        <v>0.94320000000000004</v>
      </c>
      <c r="AJ30" s="3">
        <v>1.169</v>
      </c>
      <c r="AK30" s="3">
        <v>1.23</v>
      </c>
      <c r="AL30" s="3">
        <v>0.1225</v>
      </c>
      <c r="AM30" s="3">
        <v>0.1361</v>
      </c>
      <c r="AN30" s="3">
        <v>0.1249</v>
      </c>
      <c r="AO30" s="3">
        <f t="shared" si="0"/>
        <v>1.0987484090999999</v>
      </c>
      <c r="AP30" s="3">
        <f t="shared" si="1"/>
        <v>0.13788447100000001</v>
      </c>
      <c r="AQ30" s="3">
        <f t="shared" si="2"/>
        <v>0.12562437810945276</v>
      </c>
    </row>
    <row r="31" spans="1:43">
      <c r="B31" s="4">
        <v>0.3</v>
      </c>
      <c r="C31" s="3">
        <v>0.2112</v>
      </c>
      <c r="D31" s="3">
        <v>9.1969999999999996E-2</v>
      </c>
      <c r="E31" s="3">
        <v>9.4490000000000005E-2</v>
      </c>
      <c r="F31" s="3">
        <v>9.8449999999999996E-2</v>
      </c>
      <c r="G31" s="3">
        <v>0.10630000000000001</v>
      </c>
      <c r="H31" s="3">
        <v>0.10639999999999999</v>
      </c>
      <c r="I31" s="3">
        <v>0.1066</v>
      </c>
      <c r="J31" s="3">
        <v>0.1021</v>
      </c>
      <c r="K31" s="3">
        <v>0.1055</v>
      </c>
      <c r="L31" s="3">
        <v>0.1031</v>
      </c>
      <c r="M31" s="3">
        <v>0.1069</v>
      </c>
      <c r="N31" s="3">
        <v>0.1041</v>
      </c>
      <c r="O31" s="3">
        <v>0.1075</v>
      </c>
      <c r="P31" s="3">
        <v>0.1037</v>
      </c>
      <c r="Q31" s="3">
        <v>9.7729999999999997E-2</v>
      </c>
      <c r="R31" s="3">
        <v>0.10589999999999999</v>
      </c>
      <c r="S31" s="3">
        <v>0.10920000000000001</v>
      </c>
      <c r="T31" s="3">
        <v>0.1037</v>
      </c>
      <c r="U31" s="3">
        <v>0.10299999999999999</v>
      </c>
      <c r="V31" s="3">
        <v>0.10639999999999999</v>
      </c>
      <c r="W31" s="3">
        <v>0.1113</v>
      </c>
      <c r="X31" s="3">
        <v>0.1076</v>
      </c>
      <c r="Y31" s="3">
        <v>0.1244</v>
      </c>
      <c r="Z31" s="3">
        <v>0.12790000000000001</v>
      </c>
      <c r="AA31" s="3">
        <v>0.1298</v>
      </c>
      <c r="AB31" s="3">
        <v>0.14710000000000001</v>
      </c>
      <c r="AC31" s="3">
        <v>0.1532</v>
      </c>
      <c r="AD31" s="3">
        <v>0.17630000000000001</v>
      </c>
      <c r="AE31" s="3">
        <v>0.18290000000000001</v>
      </c>
      <c r="AF31" s="3">
        <v>0.22470000000000001</v>
      </c>
      <c r="AG31" s="3">
        <v>0.28499999999999998</v>
      </c>
      <c r="AH31" s="3">
        <v>0.30230000000000001</v>
      </c>
      <c r="AI31" s="3">
        <v>0.37719999999999998</v>
      </c>
      <c r="AJ31" s="3">
        <v>0.46329999999999999</v>
      </c>
      <c r="AK31" s="3">
        <v>0.48730000000000001</v>
      </c>
      <c r="AL31" s="3">
        <v>0.10630000000000001</v>
      </c>
      <c r="AM31" s="3">
        <v>0.1183</v>
      </c>
      <c r="AN31" s="3">
        <v>0.1072</v>
      </c>
      <c r="AO31" s="3">
        <f t="shared" si="0"/>
        <v>0.4421744869</v>
      </c>
      <c r="AP31" s="3">
        <f t="shared" si="1"/>
        <v>0.106346185</v>
      </c>
      <c r="AQ31" s="3">
        <f t="shared" si="2"/>
        <v>0.10791791044776121</v>
      </c>
    </row>
    <row r="32" spans="1:43">
      <c r="B32" s="4">
        <v>0.4</v>
      </c>
      <c r="C32" s="3">
        <v>0.18920000000000001</v>
      </c>
      <c r="D32" s="3">
        <v>8.2419999999999993E-2</v>
      </c>
      <c r="E32" s="3">
        <v>8.4659999999999999E-2</v>
      </c>
      <c r="F32" s="3">
        <v>8.8190000000000004E-2</v>
      </c>
      <c r="G32" s="3">
        <v>9.5269999999999994E-2</v>
      </c>
      <c r="H32" s="3">
        <v>9.5350000000000004E-2</v>
      </c>
      <c r="I32" s="3">
        <v>9.5380000000000006E-2</v>
      </c>
      <c r="J32" s="3">
        <v>9.1359999999999997E-2</v>
      </c>
      <c r="K32" s="3">
        <v>9.4339999999999993E-2</v>
      </c>
      <c r="L32" s="3">
        <v>9.2130000000000004E-2</v>
      </c>
      <c r="M32" s="3">
        <v>9.5420000000000005E-2</v>
      </c>
      <c r="N32" s="3">
        <v>9.2789999999999997E-2</v>
      </c>
      <c r="O32" s="3">
        <v>9.5740000000000006E-2</v>
      </c>
      <c r="P32" s="3">
        <v>9.214E-2</v>
      </c>
      <c r="Q32" s="3">
        <v>8.6720000000000005E-2</v>
      </c>
      <c r="R32" s="3">
        <v>9.3729999999999994E-2</v>
      </c>
      <c r="S32" s="3">
        <v>9.6479999999999996E-2</v>
      </c>
      <c r="T32" s="3">
        <v>9.0399999999999994E-2</v>
      </c>
      <c r="U32" s="3">
        <v>8.9499999999999996E-2</v>
      </c>
      <c r="V32" s="3">
        <v>9.1999999999999998E-2</v>
      </c>
      <c r="W32" s="3">
        <v>9.529E-2</v>
      </c>
      <c r="X32" s="3">
        <v>9.1700000000000004E-2</v>
      </c>
      <c r="Y32" s="3">
        <v>9.7640000000000005E-2</v>
      </c>
      <c r="Z32" s="3">
        <v>9.9540000000000003E-2</v>
      </c>
      <c r="AA32" s="3">
        <v>0.10009999999999999</v>
      </c>
      <c r="AB32" s="3">
        <v>0.1071</v>
      </c>
      <c r="AC32" s="3">
        <v>0.1095</v>
      </c>
      <c r="AD32" s="3">
        <v>0.1192</v>
      </c>
      <c r="AE32" s="3">
        <v>0.1225</v>
      </c>
      <c r="AF32" s="3">
        <v>0.1424</v>
      </c>
      <c r="AG32" s="3">
        <v>0.1716</v>
      </c>
      <c r="AH32" s="3">
        <v>0.18010000000000001</v>
      </c>
      <c r="AI32" s="3">
        <v>0.2172</v>
      </c>
      <c r="AJ32" s="3">
        <v>0.26100000000000001</v>
      </c>
      <c r="AK32" s="3">
        <v>0.27350000000000002</v>
      </c>
      <c r="AL32" s="3">
        <v>9.5250000000000001E-2</v>
      </c>
      <c r="AM32" s="3">
        <v>0.10589999999999999</v>
      </c>
      <c r="AN32" s="3">
        <v>9.572E-2</v>
      </c>
      <c r="AO32" s="3">
        <f t="shared" si="0"/>
        <v>0.25238690204000003</v>
      </c>
      <c r="AP32" s="3">
        <f t="shared" si="1"/>
        <v>9.2019253199999998E-2</v>
      </c>
      <c r="AQ32" s="3">
        <f t="shared" si="2"/>
        <v>9.6378407960199003E-2</v>
      </c>
    </row>
    <row r="33" spans="2:43">
      <c r="B33" s="4">
        <v>0.5</v>
      </c>
      <c r="C33" s="3">
        <v>0.17280000000000001</v>
      </c>
      <c r="D33" s="3">
        <v>7.5259999999999994E-2</v>
      </c>
      <c r="E33" s="3">
        <v>7.732E-2</v>
      </c>
      <c r="F33" s="3">
        <v>8.0549999999999997E-2</v>
      </c>
      <c r="G33" s="3">
        <v>8.6999999999999994E-2</v>
      </c>
      <c r="H33" s="3">
        <v>8.7029999999999996E-2</v>
      </c>
      <c r="I33" s="3">
        <v>8.7080000000000005E-2</v>
      </c>
      <c r="J33" s="3">
        <v>8.3390000000000006E-2</v>
      </c>
      <c r="K33" s="3">
        <v>8.6080000000000004E-2</v>
      </c>
      <c r="L33" s="3">
        <v>8.4029999999999994E-2</v>
      </c>
      <c r="M33" s="3">
        <v>8.6980000000000002E-2</v>
      </c>
      <c r="N33" s="3">
        <v>8.4580000000000002E-2</v>
      </c>
      <c r="O33" s="3">
        <v>8.7220000000000006E-2</v>
      </c>
      <c r="P33" s="3">
        <v>8.3879999999999996E-2</v>
      </c>
      <c r="Q33" s="3">
        <v>7.8899999999999998E-2</v>
      </c>
      <c r="R33" s="3">
        <v>8.5199999999999998E-2</v>
      </c>
      <c r="S33" s="3">
        <v>8.7609999999999993E-2</v>
      </c>
      <c r="T33" s="3">
        <v>8.1680000000000003E-2</v>
      </c>
      <c r="U33" s="3">
        <v>8.0729999999999996E-2</v>
      </c>
      <c r="V33" s="3">
        <v>8.2820000000000005E-2</v>
      </c>
      <c r="W33" s="3">
        <v>8.5449999999999998E-2</v>
      </c>
      <c r="X33" s="3">
        <v>8.2040000000000002E-2</v>
      </c>
      <c r="Y33" s="3">
        <v>8.4199999999999997E-2</v>
      </c>
      <c r="Z33" s="3">
        <v>8.5459999999999994E-2</v>
      </c>
      <c r="AA33" s="3">
        <v>8.5529999999999995E-2</v>
      </c>
      <c r="AB33" s="3">
        <v>8.8779999999999998E-2</v>
      </c>
      <c r="AC33" s="3">
        <v>8.9760000000000006E-2</v>
      </c>
      <c r="AD33" s="3">
        <v>9.4460000000000002E-2</v>
      </c>
      <c r="AE33" s="3">
        <v>9.6540000000000001E-2</v>
      </c>
      <c r="AF33" s="3">
        <v>0.10780000000000001</v>
      </c>
      <c r="AG33" s="3">
        <v>0.12470000000000001</v>
      </c>
      <c r="AH33" s="3">
        <v>0.12970000000000001</v>
      </c>
      <c r="AI33" s="3">
        <v>0.15140000000000001</v>
      </c>
      <c r="AJ33" s="3">
        <v>0.17780000000000001</v>
      </c>
      <c r="AK33" s="3">
        <v>0.18540000000000001</v>
      </c>
      <c r="AL33" s="3">
        <v>8.6940000000000003E-2</v>
      </c>
      <c r="AM33" s="3">
        <v>9.6670000000000006E-2</v>
      </c>
      <c r="AN33" s="3">
        <v>8.7279999999999996E-2</v>
      </c>
      <c r="AO33" s="3">
        <f t="shared" si="0"/>
        <v>0.17374583544</v>
      </c>
      <c r="AP33" s="3">
        <f t="shared" si="1"/>
        <v>8.286882000000001E-2</v>
      </c>
      <c r="AQ33" s="3">
        <f t="shared" si="2"/>
        <v>8.7887313432835831E-2</v>
      </c>
    </row>
    <row r="34" spans="2:43">
      <c r="B34" s="4">
        <v>0.6</v>
      </c>
      <c r="C34" s="3">
        <v>0.1598</v>
      </c>
      <c r="D34" s="3">
        <v>6.9629999999999997E-2</v>
      </c>
      <c r="E34" s="3">
        <v>7.1499999999999994E-2</v>
      </c>
      <c r="F34" s="3">
        <v>7.4480000000000005E-2</v>
      </c>
      <c r="G34" s="3">
        <v>8.047E-2</v>
      </c>
      <c r="H34" s="3">
        <v>8.0490000000000006E-2</v>
      </c>
      <c r="I34" s="3">
        <v>8.0560000000000007E-2</v>
      </c>
      <c r="J34" s="3">
        <v>7.7109999999999998E-2</v>
      </c>
      <c r="K34" s="3">
        <v>7.9600000000000004E-2</v>
      </c>
      <c r="L34" s="3">
        <v>7.7689999999999995E-2</v>
      </c>
      <c r="M34" s="3">
        <v>8.0409999999999995E-2</v>
      </c>
      <c r="N34" s="3">
        <v>7.8149999999999997E-2</v>
      </c>
      <c r="O34" s="3">
        <v>8.0589999999999995E-2</v>
      </c>
      <c r="P34" s="3">
        <v>7.7469999999999997E-2</v>
      </c>
      <c r="Q34" s="3">
        <v>7.2859999999999994E-2</v>
      </c>
      <c r="R34" s="3">
        <v>7.8640000000000002E-2</v>
      </c>
      <c r="S34" s="3">
        <v>8.0829999999999999E-2</v>
      </c>
      <c r="T34" s="3">
        <v>7.5179999999999997E-2</v>
      </c>
      <c r="U34" s="3">
        <v>7.424E-2</v>
      </c>
      <c r="V34" s="3">
        <v>7.6109999999999997E-2</v>
      </c>
      <c r="W34" s="3">
        <v>7.8350000000000003E-2</v>
      </c>
      <c r="X34" s="3">
        <v>7.5130000000000002E-2</v>
      </c>
      <c r="Y34" s="3">
        <v>7.5600000000000001E-2</v>
      </c>
      <c r="Z34" s="3">
        <v>7.6550000000000007E-2</v>
      </c>
      <c r="AA34" s="3">
        <v>7.6380000000000003E-2</v>
      </c>
      <c r="AB34" s="3">
        <v>7.7990000000000004E-2</v>
      </c>
      <c r="AC34" s="3">
        <v>7.8310000000000005E-2</v>
      </c>
      <c r="AD34" s="3">
        <v>8.0750000000000002E-2</v>
      </c>
      <c r="AE34" s="3">
        <v>8.2229999999999998E-2</v>
      </c>
      <c r="AF34" s="3">
        <v>8.9410000000000003E-2</v>
      </c>
      <c r="AG34" s="3">
        <v>0.1004</v>
      </c>
      <c r="AH34" s="3">
        <v>0.1036</v>
      </c>
      <c r="AI34" s="3">
        <v>0.1178</v>
      </c>
      <c r="AJ34" s="3">
        <v>0.13519999999999999</v>
      </c>
      <c r="AK34" s="3">
        <v>0.14030000000000001</v>
      </c>
      <c r="AL34" s="3">
        <v>8.0409999999999995E-2</v>
      </c>
      <c r="AM34" s="3">
        <v>8.9429999999999996E-2</v>
      </c>
      <c r="AN34" s="3">
        <v>8.0699999999999994E-2</v>
      </c>
      <c r="AO34" s="3">
        <f t="shared" si="0"/>
        <v>0.13321883858</v>
      </c>
      <c r="AP34" s="3">
        <f t="shared" si="1"/>
        <v>7.6162656299999992E-2</v>
      </c>
      <c r="AQ34" s="3">
        <f t="shared" si="2"/>
        <v>8.1264626865671652E-2</v>
      </c>
    </row>
    <row r="35" spans="2:43">
      <c r="B35" s="4">
        <v>0.8</v>
      </c>
      <c r="C35" s="3">
        <v>0.1404</v>
      </c>
      <c r="D35" s="3">
        <v>6.1159999999999999E-2</v>
      </c>
      <c r="E35" s="3">
        <v>6.2799999999999995E-2</v>
      </c>
      <c r="F35" s="3">
        <v>6.5460000000000004E-2</v>
      </c>
      <c r="G35" s="3">
        <v>7.0699999999999999E-2</v>
      </c>
      <c r="H35" s="3">
        <v>7.0730000000000001E-2</v>
      </c>
      <c r="I35" s="3">
        <v>7.077E-2</v>
      </c>
      <c r="J35" s="3">
        <v>6.7739999999999995E-2</v>
      </c>
      <c r="K35" s="3">
        <v>6.9900000000000004E-2</v>
      </c>
      <c r="L35" s="3">
        <v>6.8210000000000007E-2</v>
      </c>
      <c r="M35" s="3">
        <v>7.0580000000000004E-2</v>
      </c>
      <c r="N35" s="3">
        <v>6.8589999999999998E-2</v>
      </c>
      <c r="O35" s="3">
        <v>7.0709999999999995E-2</v>
      </c>
      <c r="P35" s="3">
        <v>6.7960000000000007E-2</v>
      </c>
      <c r="Q35" s="3">
        <v>6.3890000000000002E-2</v>
      </c>
      <c r="R35" s="3">
        <v>6.8940000000000001E-2</v>
      </c>
      <c r="S35" s="3">
        <v>7.0830000000000004E-2</v>
      </c>
      <c r="T35" s="3">
        <v>6.5720000000000001E-2</v>
      </c>
      <c r="U35" s="3">
        <v>6.4869999999999997E-2</v>
      </c>
      <c r="V35" s="3">
        <v>6.6439999999999999E-2</v>
      </c>
      <c r="W35" s="3">
        <v>6.8269999999999997E-2</v>
      </c>
      <c r="X35" s="3">
        <v>6.54E-2</v>
      </c>
      <c r="Y35" s="3">
        <v>6.4589999999999995E-2</v>
      </c>
      <c r="Z35" s="3">
        <v>6.5240000000000006E-2</v>
      </c>
      <c r="AA35" s="3">
        <v>6.497E-2</v>
      </c>
      <c r="AB35" s="3">
        <v>6.5180000000000002E-2</v>
      </c>
      <c r="AC35" s="3">
        <v>6.5030000000000004E-2</v>
      </c>
      <c r="AD35" s="3">
        <v>6.5530000000000005E-2</v>
      </c>
      <c r="AE35" s="3">
        <v>6.6430000000000003E-2</v>
      </c>
      <c r="AF35" s="3">
        <v>7.0050000000000001E-2</v>
      </c>
      <c r="AG35" s="3">
        <v>7.5689999999999993E-2</v>
      </c>
      <c r="AH35" s="3">
        <v>7.7380000000000004E-2</v>
      </c>
      <c r="AI35" s="3">
        <v>8.4720000000000004E-2</v>
      </c>
      <c r="AJ35" s="3">
        <v>9.3850000000000003E-2</v>
      </c>
      <c r="AK35" s="3">
        <v>9.6619999999999998E-2</v>
      </c>
      <c r="AL35" s="3">
        <v>7.0650000000000004E-2</v>
      </c>
      <c r="AM35" s="3">
        <v>7.8560000000000005E-2</v>
      </c>
      <c r="AN35" s="3">
        <v>7.0849999999999996E-2</v>
      </c>
      <c r="AO35" s="3">
        <f t="shared" si="0"/>
        <v>9.3555921949999996E-2</v>
      </c>
      <c r="AP35" s="3">
        <f t="shared" si="1"/>
        <v>6.6493638399999999E-2</v>
      </c>
      <c r="AQ35" s="3">
        <f t="shared" si="2"/>
        <v>7.1348656716417908E-2</v>
      </c>
    </row>
    <row r="36" spans="2:43">
      <c r="B36" s="4">
        <v>1</v>
      </c>
      <c r="C36" s="3">
        <v>0.12620000000000001</v>
      </c>
      <c r="D36" s="3">
        <v>5.4969999999999998E-2</v>
      </c>
      <c r="E36" s="3">
        <v>5.645E-2</v>
      </c>
      <c r="F36" s="3">
        <v>5.883E-2</v>
      </c>
      <c r="G36" s="3">
        <v>6.3519999999999993E-2</v>
      </c>
      <c r="H36" s="3">
        <v>6.3549999999999995E-2</v>
      </c>
      <c r="I36" s="3">
        <v>6.3619999999999996E-2</v>
      </c>
      <c r="J36" s="3">
        <v>6.087E-2</v>
      </c>
      <c r="K36" s="3">
        <v>6.2829999999999997E-2</v>
      </c>
      <c r="L36" s="3">
        <v>6.132E-2</v>
      </c>
      <c r="M36" s="3">
        <v>6.3439999999999996E-2</v>
      </c>
      <c r="N36" s="3">
        <v>6.164E-2</v>
      </c>
      <c r="O36" s="3">
        <v>6.3530000000000003E-2</v>
      </c>
      <c r="P36" s="3">
        <v>6.1069999999999999E-2</v>
      </c>
      <c r="Q36" s="3">
        <v>5.74E-2</v>
      </c>
      <c r="R36" s="3">
        <v>6.1920000000000003E-2</v>
      </c>
      <c r="S36" s="3">
        <v>6.361E-2</v>
      </c>
      <c r="T36" s="3">
        <v>5.8970000000000002E-2</v>
      </c>
      <c r="U36" s="3">
        <v>5.8169999999999999E-2</v>
      </c>
      <c r="V36" s="3">
        <v>5.9569999999999998E-2</v>
      </c>
      <c r="W36" s="3">
        <v>6.1159999999999999E-2</v>
      </c>
      <c r="X36" s="3">
        <v>5.8560000000000001E-2</v>
      </c>
      <c r="Y36" s="3">
        <v>5.7360000000000001E-2</v>
      </c>
      <c r="Z36" s="3">
        <v>5.7880000000000001E-2</v>
      </c>
      <c r="AA36" s="3">
        <v>5.7570000000000003E-2</v>
      </c>
      <c r="AB36" s="3">
        <v>5.7290000000000001E-2</v>
      </c>
      <c r="AC36" s="3">
        <v>5.6959999999999997E-2</v>
      </c>
      <c r="AD36" s="3">
        <v>5.6759999999999998E-2</v>
      </c>
      <c r="AE36" s="3">
        <v>5.7439999999999998E-2</v>
      </c>
      <c r="AF36" s="3">
        <v>5.9580000000000001E-2</v>
      </c>
      <c r="AG36" s="3">
        <v>6.3E-2</v>
      </c>
      <c r="AH36" s="3">
        <v>6.4030000000000004E-2</v>
      </c>
      <c r="AI36" s="3">
        <v>6.8440000000000001E-2</v>
      </c>
      <c r="AJ36" s="3">
        <v>7.3980000000000004E-2</v>
      </c>
      <c r="AK36" s="3">
        <v>7.5689999999999993E-2</v>
      </c>
      <c r="AL36" s="3">
        <v>6.3490000000000005E-2</v>
      </c>
      <c r="AM36" s="3">
        <v>7.0620000000000002E-2</v>
      </c>
      <c r="AN36" s="3">
        <v>6.368E-2</v>
      </c>
      <c r="AO36" s="3">
        <f t="shared" si="0"/>
        <v>7.4259306689999985E-2</v>
      </c>
      <c r="AP36" s="3">
        <f t="shared" si="1"/>
        <v>5.9622608299999991E-2</v>
      </c>
      <c r="AQ36" s="3">
        <f t="shared" si="2"/>
        <v>6.4128855721393041E-2</v>
      </c>
    </row>
    <row r="37" spans="2:43">
      <c r="B37" s="4">
        <v>1.5</v>
      </c>
      <c r="C37" s="3">
        <v>0.1026</v>
      </c>
      <c r="D37" s="3">
        <v>4.4690000000000001E-2</v>
      </c>
      <c r="E37" s="3">
        <v>4.5900000000000003E-2</v>
      </c>
      <c r="F37" s="3">
        <v>4.7849999999999997E-2</v>
      </c>
      <c r="G37" s="3">
        <v>5.1670000000000001E-2</v>
      </c>
      <c r="H37" s="3">
        <v>5.1729999999999998E-2</v>
      </c>
      <c r="I37" s="3">
        <v>5.178E-2</v>
      </c>
      <c r="J37" s="3">
        <v>4.9579999999999999E-2</v>
      </c>
      <c r="K37" s="3">
        <v>5.1180000000000003</v>
      </c>
      <c r="L37" s="3">
        <v>4.9950000000000001E-2</v>
      </c>
      <c r="M37" s="3">
        <v>5.1709999999999999E-2</v>
      </c>
      <c r="N37" s="3">
        <v>5.0270000000000002E-2</v>
      </c>
      <c r="O37" s="3">
        <v>5.1810000000000002E-2</v>
      </c>
      <c r="P37" s="3">
        <v>4.981E-2</v>
      </c>
      <c r="Q37" s="3">
        <v>4.6820000000000001E-2</v>
      </c>
      <c r="R37" s="3">
        <v>5.0529999999999999E-2</v>
      </c>
      <c r="S37" s="3">
        <v>5.1909999999999998E-2</v>
      </c>
      <c r="T37" s="3">
        <v>4.8140000000000002E-2</v>
      </c>
      <c r="U37" s="3">
        <v>4.7489999999999997E-2</v>
      </c>
      <c r="V37" s="3">
        <v>4.8619999999999997E-2</v>
      </c>
      <c r="W37" s="3">
        <v>4.9910000000000003E-2</v>
      </c>
      <c r="X37" s="3">
        <v>4.7800000000000002E-2</v>
      </c>
      <c r="Y37" s="3">
        <v>4.6629999999999998E-2</v>
      </c>
      <c r="Z37" s="3">
        <v>4.7030000000000002E-2</v>
      </c>
      <c r="AA37" s="3">
        <v>4.6730000000000001E-2</v>
      </c>
      <c r="AB37" s="3">
        <v>4.6249999999999999E-2</v>
      </c>
      <c r="AC37" s="3">
        <v>4.5879999999999997E-2</v>
      </c>
      <c r="AD37" s="3">
        <v>4.5319999999999999E-2</v>
      </c>
      <c r="AE37" s="3">
        <v>4.5780000000000001E-2</v>
      </c>
      <c r="AF37" s="3">
        <v>4.6820000000000001E-2</v>
      </c>
      <c r="AG37" s="3">
        <v>4.8480000000000002E-2</v>
      </c>
      <c r="AH37" s="3">
        <v>4.9020000000000001E-2</v>
      </c>
      <c r="AI37" s="3">
        <v>5.1020000000000003E-2</v>
      </c>
      <c r="AJ37" s="3">
        <v>5.3530000000000001E-2</v>
      </c>
      <c r="AK37" s="3">
        <v>5.4359999999999999E-2</v>
      </c>
      <c r="AL37" s="3">
        <v>5.1679999999999997E-2</v>
      </c>
      <c r="AM37" s="3">
        <v>5.747E-2</v>
      </c>
      <c r="AN37" s="3">
        <v>5.1869999999999999E-2</v>
      </c>
      <c r="AO37" s="3">
        <f t="shared" si="0"/>
        <v>5.405418486E-2</v>
      </c>
      <c r="AP37" s="3">
        <f t="shared" si="1"/>
        <v>4.8663751700000001E-2</v>
      </c>
      <c r="AQ37" s="3">
        <f t="shared" si="2"/>
        <v>5.2232189054726368E-2</v>
      </c>
    </row>
    <row r="38" spans="2:43">
      <c r="B38" s="4">
        <v>2</v>
      </c>
      <c r="C38" s="3">
        <v>8.7580000000000005E-2</v>
      </c>
      <c r="D38" s="3">
        <v>3.8240000000000003E-2</v>
      </c>
      <c r="E38" s="3">
        <v>3.9309999999999998E-2</v>
      </c>
      <c r="F38" s="3">
        <v>4.1020000000000001E-2</v>
      </c>
      <c r="G38" s="3">
        <v>4.4350000000000001E-2</v>
      </c>
      <c r="H38" s="3">
        <v>4.444E-2</v>
      </c>
      <c r="I38" s="3">
        <v>4.4499999999999998E-2</v>
      </c>
      <c r="J38" s="3">
        <v>4.274E-2</v>
      </c>
      <c r="K38" s="3">
        <v>4.4150000000000002E-2</v>
      </c>
      <c r="L38" s="3">
        <v>4.3159999999999997E-2</v>
      </c>
      <c r="M38" s="3">
        <v>4.4690000000000001E-2</v>
      </c>
      <c r="N38" s="3">
        <v>4.3479999999999998E-2</v>
      </c>
      <c r="O38" s="3">
        <v>4.487E-2</v>
      </c>
      <c r="P38" s="3">
        <v>4.317E-2</v>
      </c>
      <c r="Q38" s="3">
        <v>40.619999999999997</v>
      </c>
      <c r="R38" s="3">
        <v>4.3880000000000002E-2</v>
      </c>
      <c r="S38" s="3">
        <v>4.512E-2</v>
      </c>
      <c r="T38" s="3">
        <v>4.2000000000000003E-2</v>
      </c>
      <c r="U38" s="3">
        <v>4.1480000000000003E-2</v>
      </c>
      <c r="V38" s="3">
        <v>4.2500000000000003E-2</v>
      </c>
      <c r="W38" s="3">
        <v>4.3700000000000003E-2</v>
      </c>
      <c r="X38" s="3">
        <v>4.1880000000000001E-2</v>
      </c>
      <c r="Y38" s="3">
        <v>4.1230000000000003E-2</v>
      </c>
      <c r="Z38" s="3">
        <v>4.1599999999999998E-2</v>
      </c>
      <c r="AA38" s="3">
        <v>4.138E-2</v>
      </c>
      <c r="AB38" s="3">
        <v>4.1090000000000002E-2</v>
      </c>
      <c r="AC38" s="3">
        <v>4.0809999999999999E-2</v>
      </c>
      <c r="AD38" s="3">
        <v>4.0410000000000001E-2</v>
      </c>
      <c r="AE38" s="3">
        <v>4.0840000000000001E-2</v>
      </c>
      <c r="AF38" s="3">
        <v>4.1829999999999999E-2</v>
      </c>
      <c r="AG38" s="3">
        <v>4.3310000000000001E-2</v>
      </c>
      <c r="AH38" s="3">
        <v>4.3729999999999998E-2</v>
      </c>
      <c r="AI38" s="3">
        <v>4.5359999999999998E-2</v>
      </c>
      <c r="AJ38" s="3">
        <v>4.7260000000000003E-2</v>
      </c>
      <c r="AK38" s="3">
        <v>4.7890000000000002E-2</v>
      </c>
      <c r="AL38" s="3">
        <v>4.4400000000000002E-2</v>
      </c>
      <c r="AM38" s="3">
        <v>4.9320000000000003E-2</v>
      </c>
      <c r="AN38" s="3">
        <v>4.4720000000000003E-2</v>
      </c>
      <c r="AO38" s="3">
        <f t="shared" si="0"/>
        <v>4.7488173129999998E-2</v>
      </c>
      <c r="AP38" s="3">
        <f t="shared" si="1"/>
        <v>4.2527033399999997E-2</v>
      </c>
      <c r="AQ38" s="3">
        <f t="shared" si="2"/>
        <v>4.5017512437810957E-2</v>
      </c>
    </row>
    <row r="39" spans="2:43">
      <c r="B39" s="4">
        <v>3</v>
      </c>
      <c r="C39" s="3">
        <v>6.9099999999999995E-2</v>
      </c>
      <c r="D39" s="3">
        <v>3.0370000000000001E-2</v>
      </c>
      <c r="E39" s="3">
        <v>3.1320000000000001E-2</v>
      </c>
      <c r="F39" s="3">
        <v>3.2770000000000001E-2</v>
      </c>
      <c r="G39" s="3">
        <v>3.5549999999999998E-2</v>
      </c>
      <c r="H39" s="3">
        <v>3.5709999999999999E-2</v>
      </c>
      <c r="I39" s="3">
        <v>3.5889999999999998E-2</v>
      </c>
      <c r="J39" s="3">
        <v>3.4779999999999998E-2</v>
      </c>
      <c r="K39" s="3">
        <v>3.6040000000000003E-2</v>
      </c>
      <c r="L39" s="3">
        <v>3.533E-2</v>
      </c>
      <c r="M39" s="3">
        <v>3.6700000000000003E-2</v>
      </c>
      <c r="N39" s="3">
        <v>3.5799999999999998E-2</v>
      </c>
      <c r="O39" s="3">
        <v>3.7060000000000003E-2</v>
      </c>
      <c r="P39" s="3">
        <v>3.5770000000000003E-2</v>
      </c>
      <c r="Q39" s="3">
        <v>3.3750000000000002E-2</v>
      </c>
      <c r="R39" s="3">
        <v>3.6569999999999998E-2</v>
      </c>
      <c r="S39" s="3">
        <v>3.771E-2</v>
      </c>
      <c r="T39" s="3">
        <v>3.5490000000000001E-2</v>
      </c>
      <c r="U39" s="3">
        <v>3.5139999999999998E-2</v>
      </c>
      <c r="V39" s="3">
        <v>3.6110000000000003E-2</v>
      </c>
      <c r="W39" s="3">
        <v>3.7339999999999998E-2</v>
      </c>
      <c r="X39" s="3">
        <v>3.5880000000000002E-2</v>
      </c>
      <c r="Y39" s="3">
        <v>3.6299999999999999E-2</v>
      </c>
      <c r="Z39" s="3">
        <v>3.6720000000000003E-2</v>
      </c>
      <c r="AA39" s="3">
        <v>3.6609999999999997E-2</v>
      </c>
      <c r="AB39" s="3">
        <v>3.6810000000000002E-2</v>
      </c>
      <c r="AC39" s="3">
        <v>3.6700000000000003E-2</v>
      </c>
      <c r="AD39" s="3">
        <v>3.6720000000000003E-2</v>
      </c>
      <c r="AE39" s="3">
        <v>3.7170000000000002E-2</v>
      </c>
      <c r="AF39" s="3">
        <v>3.841E-2</v>
      </c>
      <c r="AG39" s="3">
        <v>4.002E-2</v>
      </c>
      <c r="AH39" s="3">
        <v>4.0460000000000003E-2</v>
      </c>
      <c r="AI39" s="3">
        <v>4.199E-2</v>
      </c>
      <c r="AJ39" s="3">
        <v>4.3549999999999998E-2</v>
      </c>
      <c r="AK39" s="3">
        <v>4.403E-2</v>
      </c>
      <c r="AL39" s="3">
        <v>3.5729999999999998E-2</v>
      </c>
      <c r="AM39" s="3">
        <v>3.9609999999999999E-2</v>
      </c>
      <c r="AN39" s="3">
        <v>3.6459999999999999E-2</v>
      </c>
      <c r="AO39" s="3">
        <f t="shared" si="0"/>
        <v>4.3065141379999998E-2</v>
      </c>
      <c r="AP39" s="3">
        <f t="shared" si="1"/>
        <v>3.6108798300000002E-2</v>
      </c>
      <c r="AQ39" s="3">
        <f t="shared" si="2"/>
        <v>3.666373134328358E-2</v>
      </c>
    </row>
    <row r="40" spans="2:43">
      <c r="B40" s="4">
        <v>4</v>
      </c>
      <c r="C40" s="3">
        <v>5.7930000000000002E-2</v>
      </c>
      <c r="D40" s="3">
        <v>2.5659999999999999E-2</v>
      </c>
      <c r="E40" s="3">
        <v>2.6579999999999999E-2</v>
      </c>
      <c r="F40" s="3">
        <v>2.793E-2</v>
      </c>
      <c r="G40" s="3">
        <v>3.04E-2</v>
      </c>
      <c r="H40" s="3">
        <v>3.066E-2</v>
      </c>
      <c r="I40" s="3">
        <v>3.0929999999999999E-2</v>
      </c>
      <c r="J40" s="3">
        <v>3.031E-2</v>
      </c>
      <c r="K40" s="3">
        <v>3.1530000000000002E-2</v>
      </c>
      <c r="L40" s="3">
        <v>3.1009999999999999E-2</v>
      </c>
      <c r="M40" s="3">
        <v>3.2329999999999998E-2</v>
      </c>
      <c r="N40" s="3">
        <v>3.1649999999999998E-2</v>
      </c>
      <c r="O40" s="3">
        <v>3.2870000000000003E-2</v>
      </c>
      <c r="P40" s="3">
        <v>3.1820000000000001E-2</v>
      </c>
      <c r="Q40" s="3">
        <v>3.0130000000000001E-2</v>
      </c>
      <c r="R40" s="3">
        <v>3.2739999999999998E-2</v>
      </c>
      <c r="S40" s="3">
        <v>3.3860000000000001E-2</v>
      </c>
      <c r="T40" s="3">
        <v>3.227E-2</v>
      </c>
      <c r="U40" s="3">
        <v>3.2039999999999999E-2</v>
      </c>
      <c r="V40" s="3">
        <v>3.3029999999999997E-2</v>
      </c>
      <c r="W40" s="3">
        <v>3.4349999999999999E-2</v>
      </c>
      <c r="X40" s="3">
        <v>3.3090000000000001E-2</v>
      </c>
      <c r="Y40" s="3">
        <v>3.4410000000000003E-2</v>
      </c>
      <c r="Z40" s="3">
        <v>3.4880000000000001E-2</v>
      </c>
      <c r="AA40" s="3">
        <v>3.4849999999999999E-2</v>
      </c>
      <c r="AB40" s="3">
        <v>3.5470000000000002E-2</v>
      </c>
      <c r="AC40" s="3">
        <v>3.5499999999999997E-2</v>
      </c>
      <c r="AD40" s="3">
        <v>3.585E-2</v>
      </c>
      <c r="AE40" s="3">
        <v>3.6330000000000001E-2</v>
      </c>
      <c r="AF40" s="3">
        <v>3.7859999999999998E-2</v>
      </c>
      <c r="AG40" s="3">
        <v>3.9710000000000002E-2</v>
      </c>
      <c r="AH40" s="3">
        <v>4.0189999999999997E-2</v>
      </c>
      <c r="AI40" s="3">
        <v>4.1750000000000002E-2</v>
      </c>
      <c r="AJ40" s="3">
        <v>4.3220000000000001E-2</v>
      </c>
      <c r="AK40" s="3">
        <v>4.3650000000000001E-2</v>
      </c>
      <c r="AL40" s="3">
        <v>3.0720000000000001E-2</v>
      </c>
      <c r="AM40" s="3">
        <v>3.3950000000000001E-2</v>
      </c>
      <c r="AN40" s="3">
        <v>3.1820000000000001E-2</v>
      </c>
      <c r="AO40" s="3">
        <f t="shared" si="0"/>
        <v>4.214226024E-2</v>
      </c>
      <c r="AP40" s="3">
        <f t="shared" si="1"/>
        <v>3.3003794399999994E-2</v>
      </c>
      <c r="AQ40" s="3">
        <f t="shared" si="2"/>
        <v>3.1957761194029856E-2</v>
      </c>
    </row>
    <row r="41" spans="2:43">
      <c r="B41" s="4">
        <v>5</v>
      </c>
      <c r="C41" s="3">
        <v>5.0360000000000002E-2</v>
      </c>
      <c r="D41" s="3">
        <v>2.2519999999999998E-2</v>
      </c>
      <c r="E41" s="3">
        <v>2.342E-2</v>
      </c>
      <c r="F41" s="3">
        <v>2.4709999999999999E-2</v>
      </c>
      <c r="G41" s="3">
        <v>2.7009999999999999E-2</v>
      </c>
      <c r="H41" s="3">
        <v>2.7359999999999999E-2</v>
      </c>
      <c r="I41" s="3">
        <v>2.7699999999999999E-2</v>
      </c>
      <c r="J41" s="3">
        <v>2.7470000000000001E-2</v>
      </c>
      <c r="K41" s="3">
        <v>2.8660000000000001E-2</v>
      </c>
      <c r="L41" s="3">
        <v>2.8289999999999999E-2</v>
      </c>
      <c r="M41" s="3">
        <v>2.9600000000000001E-2</v>
      </c>
      <c r="N41" s="3">
        <v>2.9080000000000002E-2</v>
      </c>
      <c r="O41" s="3">
        <v>3.031E-2</v>
      </c>
      <c r="P41" s="3">
        <v>2.9440000000000001E-2</v>
      </c>
      <c r="Q41" s="3">
        <v>2.7969999999999998E-2</v>
      </c>
      <c r="R41" s="3">
        <v>3.0470000000000001E-2</v>
      </c>
      <c r="S41" s="3">
        <v>3.1629999999999998E-2</v>
      </c>
      <c r="T41" s="3">
        <v>3.0499999999999999E-2</v>
      </c>
      <c r="U41" s="3">
        <v>3.0380000000000001E-2</v>
      </c>
      <c r="V41" s="3">
        <v>3.1390000000000001E-2</v>
      </c>
      <c r="W41" s="3">
        <v>3.2809999999999999E-2</v>
      </c>
      <c r="X41" s="3">
        <v>3.1690000000000003E-2</v>
      </c>
      <c r="Y41" s="3">
        <v>3.3759999999999998E-2</v>
      </c>
      <c r="Z41" s="3">
        <v>3.4270000000000002E-2</v>
      </c>
      <c r="AA41" s="3">
        <v>3.4299999999999997E-2</v>
      </c>
      <c r="AB41" s="3">
        <v>3.5270000000000003E-2</v>
      </c>
      <c r="AC41" s="3">
        <v>3.5389999999999998E-2</v>
      </c>
      <c r="AD41" s="3">
        <v>3.6020000000000003E-2</v>
      </c>
      <c r="AE41" s="3">
        <v>3.653E-2</v>
      </c>
      <c r="AF41" s="3">
        <v>3.832E-2</v>
      </c>
      <c r="AG41" s="3">
        <v>4.0390000000000002E-2</v>
      </c>
      <c r="AH41" s="3">
        <v>4.0890000000000003E-2</v>
      </c>
      <c r="AI41" s="3">
        <v>4.2569999999999997E-2</v>
      </c>
      <c r="AJ41" s="3">
        <v>4.403E-2</v>
      </c>
      <c r="AK41" s="3">
        <v>4.4450000000000003E-2</v>
      </c>
      <c r="AL41" s="3">
        <v>2.7449999999999999E-2</v>
      </c>
      <c r="AM41" s="3">
        <v>3.024E-2</v>
      </c>
      <c r="AN41" s="3">
        <v>2.8879999999999999E-2</v>
      </c>
      <c r="AO41" s="3">
        <f t="shared" si="0"/>
        <v>4.2464572249999999E-2</v>
      </c>
      <c r="AP41" s="3">
        <f t="shared" si="1"/>
        <v>3.1342813599999998E-2</v>
      </c>
      <c r="AQ41" s="3">
        <f t="shared" si="2"/>
        <v>2.8967960199004977E-2</v>
      </c>
    </row>
    <row r="42" spans="2:43">
      <c r="B42" s="4">
        <v>6</v>
      </c>
      <c r="C42" s="3">
        <v>4.4859999999999997E-2</v>
      </c>
      <c r="D42" s="3">
        <v>2.0250000000000001E-2</v>
      </c>
      <c r="E42" s="3">
        <v>2.1160000000000002E-2</v>
      </c>
      <c r="F42" s="3">
        <v>2.2419999999999999E-2</v>
      </c>
      <c r="G42" s="3">
        <v>2.4629999999999999E-2</v>
      </c>
      <c r="H42" s="3">
        <v>2.5049999999999999E-2</v>
      </c>
      <c r="I42" s="3">
        <v>2.546E-2</v>
      </c>
      <c r="J42" s="3">
        <v>2.5530000000000001E-2</v>
      </c>
      <c r="K42" s="3">
        <v>2.6749999999999999E-2</v>
      </c>
      <c r="L42" s="3">
        <v>2.649E-2</v>
      </c>
      <c r="M42" s="3">
        <v>2.7810000000000001E-2</v>
      </c>
      <c r="N42" s="3">
        <v>2.741E-2</v>
      </c>
      <c r="O42" s="3">
        <v>2.8660000000000001E-2</v>
      </c>
      <c r="P42" s="3">
        <v>2.792E-2</v>
      </c>
      <c r="Q42" s="3">
        <v>2.6599999999999999E-2</v>
      </c>
      <c r="R42" s="3">
        <v>2.9080000000000002E-2</v>
      </c>
      <c r="S42" s="3">
        <v>3.0269999999999998E-2</v>
      </c>
      <c r="T42" s="3">
        <v>2.9499999999999998E-2</v>
      </c>
      <c r="U42" s="3">
        <v>2.945E-2</v>
      </c>
      <c r="V42" s="3">
        <v>3.0499999999999999E-2</v>
      </c>
      <c r="W42" s="3">
        <v>3.202E-2</v>
      </c>
      <c r="X42" s="3">
        <v>3.1019999999999999E-2</v>
      </c>
      <c r="Y42" s="3">
        <v>3.3669999999999999E-2</v>
      </c>
      <c r="Z42" s="3">
        <v>3.424E-2</v>
      </c>
      <c r="AA42" s="3">
        <v>3.4329999999999999E-2</v>
      </c>
      <c r="AB42" s="3">
        <v>3.5549999999999998E-2</v>
      </c>
      <c r="AC42" s="3">
        <v>3.576E-2</v>
      </c>
      <c r="AD42" s="3">
        <v>3.6609999999999997E-2</v>
      </c>
      <c r="AE42" s="3">
        <v>3.7170000000000002E-2</v>
      </c>
      <c r="AF42" s="3">
        <v>3.9190000000000003E-2</v>
      </c>
      <c r="AG42" s="3">
        <v>4.1450000000000001E-2</v>
      </c>
      <c r="AH42" s="3">
        <v>4.199E-2</v>
      </c>
      <c r="AI42" s="3">
        <v>4.3790000000000003E-2</v>
      </c>
      <c r="AJ42" s="3">
        <v>4.5280000000000001E-2</v>
      </c>
      <c r="AK42" s="3">
        <v>4.5690000000000001E-2</v>
      </c>
      <c r="AL42" s="3">
        <v>2.5159999999999998E-2</v>
      </c>
      <c r="AM42" s="3">
        <v>2.7629999999999998E-2</v>
      </c>
      <c r="AN42" s="3">
        <v>2.6890000000000001E-2</v>
      </c>
      <c r="AO42" s="3">
        <f t="shared" si="0"/>
        <v>4.3292077410000004E-2</v>
      </c>
      <c r="AP42" s="3">
        <f t="shared" si="1"/>
        <v>3.0436487799999998E-2</v>
      </c>
      <c r="AQ42" s="3">
        <f t="shared" si="2"/>
        <v>2.6937860696517418E-2</v>
      </c>
    </row>
    <row r="43" spans="2:43">
      <c r="B43" s="4">
        <v>8</v>
      </c>
      <c r="C43" s="3">
        <v>3.7350000000000001E-2</v>
      </c>
      <c r="D43" s="3">
        <v>1.721E-2</v>
      </c>
      <c r="E43" s="3">
        <v>1.814E-2</v>
      </c>
      <c r="F43" s="3">
        <v>1.9400000000000001E-2</v>
      </c>
      <c r="G43" s="3">
        <v>2.1479999999999999E-2</v>
      </c>
      <c r="H43" s="3">
        <v>2.2030000000000001E-2</v>
      </c>
      <c r="I43" s="3">
        <v>2.2579999999999999E-2</v>
      </c>
      <c r="J43" s="3">
        <v>2.3140000000000001E-2</v>
      </c>
      <c r="K43" s="3">
        <v>2.4389999999999998E-2</v>
      </c>
      <c r="L43" s="3">
        <v>2.4320000000000001E-2</v>
      </c>
      <c r="M43" s="3">
        <v>2.5680000000000001E-2</v>
      </c>
      <c r="N43" s="3">
        <v>2.547E-2</v>
      </c>
      <c r="O43" s="3">
        <v>2.6769999999999999E-2</v>
      </c>
      <c r="P43" s="3">
        <v>2.623E-2</v>
      </c>
      <c r="Q43" s="3">
        <v>2.512E-2</v>
      </c>
      <c r="R43" s="3">
        <v>2.7609999999999999E-2</v>
      </c>
      <c r="S43" s="3">
        <v>2.887E-2</v>
      </c>
      <c r="T43" s="3">
        <v>2.8639999999999999E-2</v>
      </c>
      <c r="U43" s="3">
        <v>2.87E-2</v>
      </c>
      <c r="V43" s="3">
        <v>2.9850000000000002E-2</v>
      </c>
      <c r="W43" s="3">
        <v>3.1579999999999997E-2</v>
      </c>
      <c r="X43" s="3">
        <v>3.0679999999999999E-2</v>
      </c>
      <c r="Y43" s="3">
        <v>3.4349999999999999E-2</v>
      </c>
      <c r="Z43" s="3">
        <v>3.5020000000000003E-2</v>
      </c>
      <c r="AA43" s="3">
        <v>3.517E-2</v>
      </c>
      <c r="AB43" s="3">
        <v>3.6850000000000001E-2</v>
      </c>
      <c r="AC43" s="3">
        <v>3.7170000000000002E-2</v>
      </c>
      <c r="AD43" s="3">
        <v>3.8379999999999997E-2</v>
      </c>
      <c r="AE43" s="3">
        <v>3.9E-2</v>
      </c>
      <c r="AF43" s="3">
        <v>4.1399999999999999E-2</v>
      </c>
      <c r="AG43" s="3">
        <v>4.4019999999999997E-2</v>
      </c>
      <c r="AH43" s="3">
        <v>4.4639999999999999E-2</v>
      </c>
      <c r="AI43" s="3">
        <v>4.6670000000000003E-2</v>
      </c>
      <c r="AJ43" s="3">
        <v>4.827E-2</v>
      </c>
      <c r="AK43" s="3">
        <v>4.8689999999999997E-2</v>
      </c>
      <c r="AL43" s="3">
        <v>2.2200000000000001E-2</v>
      </c>
      <c r="AM43" s="3">
        <v>2.4230000000000002E-2</v>
      </c>
      <c r="AN43" s="3">
        <v>2.444E-2</v>
      </c>
      <c r="AO43" s="3">
        <f t="shared" si="0"/>
        <v>4.5595103370000001E-2</v>
      </c>
      <c r="AP43" s="3">
        <f t="shared" si="1"/>
        <v>2.9758323600000001E-2</v>
      </c>
      <c r="AQ43" s="3">
        <f t="shared" si="2"/>
        <v>2.4426417910447761E-2</v>
      </c>
    </row>
    <row r="44" spans="2:43">
      <c r="B44" s="4">
        <v>10</v>
      </c>
      <c r="C44" s="3">
        <v>3.2439999999999997E-2</v>
      </c>
      <c r="D44" s="3">
        <v>1.525E-2</v>
      </c>
      <c r="E44" s="3">
        <v>1.6230000000000001E-2</v>
      </c>
      <c r="F44" s="3">
        <v>1.7500000000000002E-2</v>
      </c>
      <c r="G44" s="3">
        <v>1.9539999999999998E-2</v>
      </c>
      <c r="H44" s="3">
        <v>2.019E-2</v>
      </c>
      <c r="I44" s="3">
        <v>2.0840000000000001E-2</v>
      </c>
      <c r="J44" s="3">
        <v>2.1760000000000002E-2</v>
      </c>
      <c r="K44" s="3">
        <v>2.308E-2</v>
      </c>
      <c r="L44" s="3">
        <v>2.3130000000000001E-2</v>
      </c>
      <c r="M44" s="3">
        <v>2.4570000000000002E-2</v>
      </c>
      <c r="N44" s="3">
        <v>2.4469999999999999E-2</v>
      </c>
      <c r="O44" s="3">
        <v>2.5850000000000001E-2</v>
      </c>
      <c r="P44" s="3">
        <v>2.5430000000000001E-2</v>
      </c>
      <c r="Q44" s="3">
        <v>2.4459999999999999E-2</v>
      </c>
      <c r="R44" s="3">
        <v>2.699E-2</v>
      </c>
      <c r="S44" s="3">
        <v>2.8340000000000001E-2</v>
      </c>
      <c r="T44" s="3">
        <v>2.8500000000000001E-2</v>
      </c>
      <c r="U44" s="3">
        <v>2.8660000000000001E-2</v>
      </c>
      <c r="V44" s="3">
        <v>2.989E-2</v>
      </c>
      <c r="W44" s="3">
        <v>3.1800000000000002E-2</v>
      </c>
      <c r="X44" s="3">
        <v>3.099E-2</v>
      </c>
      <c r="Y44" s="3">
        <v>3.5490000000000001E-2</v>
      </c>
      <c r="Z44" s="3">
        <v>3.6229999999999998E-2</v>
      </c>
      <c r="AA44" s="3">
        <v>3.6450000000000003E-2</v>
      </c>
      <c r="AB44" s="3">
        <v>3.848E-2</v>
      </c>
      <c r="AC44" s="3">
        <v>3.891E-2</v>
      </c>
      <c r="AD44" s="3">
        <v>4.0370000000000003E-2</v>
      </c>
      <c r="AE44" s="3">
        <v>4.1079999999999998E-2</v>
      </c>
      <c r="AF44" s="3">
        <v>4.3779999999999999E-2</v>
      </c>
      <c r="AG44" s="3">
        <v>4.6710000000000002E-2</v>
      </c>
      <c r="AH44" s="3">
        <v>4.7410000000000001E-2</v>
      </c>
      <c r="AI44" s="3">
        <v>4.965E-2</v>
      </c>
      <c r="AJ44" s="3">
        <v>5.142E-2</v>
      </c>
      <c r="AK44" s="3">
        <v>5.1869999999999999E-2</v>
      </c>
      <c r="AL44" s="3">
        <v>2.0400000000000001E-2</v>
      </c>
      <c r="AM44" s="3">
        <v>2.214E-2</v>
      </c>
      <c r="AN44" s="3">
        <v>2.3060000000000001E-2</v>
      </c>
      <c r="AO44" s="3">
        <f t="shared" si="0"/>
        <v>4.819192101E-2</v>
      </c>
      <c r="AP44" s="3">
        <f t="shared" si="1"/>
        <v>2.97748938E-2</v>
      </c>
      <c r="AQ44" s="3">
        <f t="shared" si="2"/>
        <v>2.3000497512437813E-2</v>
      </c>
    </row>
    <row r="45" spans="2:43">
      <c r="B45" s="4">
        <v>15</v>
      </c>
      <c r="C45" s="3">
        <v>2.53E-2</v>
      </c>
      <c r="D45" s="3">
        <v>1.248E-2</v>
      </c>
      <c r="E45" s="3">
        <v>1.3559999999999999E-2</v>
      </c>
      <c r="F45" s="3">
        <v>1.491E-2</v>
      </c>
      <c r="G45" s="3">
        <v>1.6930000000000001E-2</v>
      </c>
      <c r="H45" s="3">
        <v>1.7780000000000001E-2</v>
      </c>
      <c r="I45" s="3">
        <v>1.8610000000000002E-2</v>
      </c>
      <c r="J45" s="3">
        <v>2.018E-2</v>
      </c>
      <c r="K45" s="3">
        <v>2.163E-2</v>
      </c>
      <c r="L45" s="3">
        <v>2.1909999999999999E-2</v>
      </c>
      <c r="M45" s="3">
        <v>2.3470000000000001E-2</v>
      </c>
      <c r="N45" s="3">
        <v>2.3599999999999999E-2</v>
      </c>
      <c r="O45" s="3">
        <v>2.512E-2</v>
      </c>
      <c r="P45" s="3">
        <v>2.4910000000000002E-2</v>
      </c>
      <c r="Q45" s="3">
        <v>2.4140000000000002E-2</v>
      </c>
      <c r="R45" s="3">
        <v>2.682E-2</v>
      </c>
      <c r="S45" s="3">
        <v>2.8330000000000001E-2</v>
      </c>
      <c r="T45" s="3">
        <v>2.9159999999999998E-2</v>
      </c>
      <c r="U45" s="3">
        <v>2.947E-2</v>
      </c>
      <c r="V45" s="3">
        <v>3.0880000000000001E-2</v>
      </c>
      <c r="W45" s="3">
        <v>3.3160000000000002E-2</v>
      </c>
      <c r="X45" s="3">
        <v>3.243E-2</v>
      </c>
      <c r="Y45" s="3">
        <v>3.8510000000000003E-2</v>
      </c>
      <c r="Z45" s="3">
        <v>3.9399999999999998E-2</v>
      </c>
      <c r="AA45" s="3">
        <v>3.9739999999999998E-2</v>
      </c>
      <c r="AB45" s="3">
        <v>4.249E-2</v>
      </c>
      <c r="AC45" s="3">
        <v>4.3119999999999999E-2</v>
      </c>
      <c r="AD45" s="3">
        <v>4.514E-2</v>
      </c>
      <c r="AE45" s="3">
        <v>4.5990000000000003E-2</v>
      </c>
      <c r="AF45" s="3">
        <v>4.9390000000000003E-2</v>
      </c>
      <c r="AG45" s="3">
        <v>5.296E-2</v>
      </c>
      <c r="AH45" s="3">
        <v>5.3800000000000001E-2</v>
      </c>
      <c r="AI45" s="3">
        <v>5.6529999999999997E-2</v>
      </c>
      <c r="AJ45" s="3">
        <v>5.8659999999999997E-2</v>
      </c>
      <c r="AK45" s="3">
        <v>5.9209999999999999E-2</v>
      </c>
      <c r="AL45" s="3">
        <v>1.805E-2</v>
      </c>
      <c r="AM45" s="3">
        <v>1.9359999999999999E-2</v>
      </c>
      <c r="AN45" s="3">
        <v>2.1479999999999999E-2</v>
      </c>
      <c r="AO45" s="3">
        <f t="shared" si="0"/>
        <v>5.43975602E-2</v>
      </c>
      <c r="AP45" s="3">
        <f t="shared" si="1"/>
        <v>3.0725727899999999E-2</v>
      </c>
      <c r="AQ45" s="3">
        <f t="shared" si="2"/>
        <v>2.1342885572139304E-2</v>
      </c>
    </row>
    <row r="46" spans="2:43">
      <c r="B46" s="4">
        <v>20</v>
      </c>
      <c r="C46" s="3">
        <v>2.145E-2</v>
      </c>
      <c r="D46" s="3">
        <v>1.1050000000000001E-2</v>
      </c>
      <c r="E46" s="3">
        <v>1.223E-2</v>
      </c>
      <c r="F46" s="3">
        <v>1.3650000000000001E-2</v>
      </c>
      <c r="G46" s="3">
        <v>1.5709999999999998E-2</v>
      </c>
      <c r="H46" s="3">
        <v>1.669E-2</v>
      </c>
      <c r="I46" s="3">
        <v>1.7659999999999999E-2</v>
      </c>
      <c r="J46" s="3">
        <v>1.966E-2</v>
      </c>
      <c r="K46" s="3">
        <v>2.1229999999999999E-2</v>
      </c>
      <c r="L46" s="3">
        <v>2.164E-2</v>
      </c>
      <c r="M46" s="3">
        <v>2.334E-2</v>
      </c>
      <c r="N46" s="3">
        <v>2.359E-2</v>
      </c>
      <c r="O46" s="3">
        <v>2.5250000000000002E-2</v>
      </c>
      <c r="P46" s="3">
        <v>2.5159999999999998E-2</v>
      </c>
      <c r="Q46" s="3">
        <v>2.4490000000000001E-2</v>
      </c>
      <c r="R46" s="3">
        <v>2.733E-2</v>
      </c>
      <c r="S46" s="3">
        <v>2.8989999999999998E-2</v>
      </c>
      <c r="T46" s="3">
        <v>3.022E-2</v>
      </c>
      <c r="U46" s="3">
        <v>3.0640000000000001E-2</v>
      </c>
      <c r="V46" s="3">
        <v>3.2199999999999999E-2</v>
      </c>
      <c r="W46" s="3">
        <v>3.4720000000000001E-2</v>
      </c>
      <c r="X46" s="3">
        <v>3.4040000000000001E-2</v>
      </c>
      <c r="Y46" s="3">
        <v>4.1180000000000001E-2</v>
      </c>
      <c r="Z46" s="3">
        <v>4.2200000000000001E-2</v>
      </c>
      <c r="AA46" s="3">
        <v>4.2610000000000002E-2</v>
      </c>
      <c r="AB46" s="3">
        <v>4.5839999999999999E-2</v>
      </c>
      <c r="AC46" s="3">
        <v>4.6589999999999999E-2</v>
      </c>
      <c r="AD46" s="3">
        <v>4.8980000000000003E-2</v>
      </c>
      <c r="AE46" s="3">
        <v>4.9919999999999999E-2</v>
      </c>
      <c r="AF46" s="3">
        <v>5.3809999999999997E-2</v>
      </c>
      <c r="AG46" s="3">
        <v>5.7919999999999999E-2</v>
      </c>
      <c r="AH46" s="3">
        <v>5.8889999999999998E-2</v>
      </c>
      <c r="AI46" s="3">
        <v>6.2019999999999999E-2</v>
      </c>
      <c r="AJ46" s="3">
        <v>6.4430000000000001E-2</v>
      </c>
      <c r="AK46" s="3">
        <v>6.5070000000000003E-2</v>
      </c>
      <c r="AL46" s="3">
        <v>1.702E-2</v>
      </c>
      <c r="AM46" s="3">
        <v>1.8079999999999999E-2</v>
      </c>
      <c r="AN46" s="3">
        <v>2.1010000000000001E-2</v>
      </c>
      <c r="AO46" s="3">
        <f t="shared" si="0"/>
        <v>5.9450350470000003E-2</v>
      </c>
      <c r="AP46" s="3">
        <f t="shared" si="1"/>
        <v>3.2010725699999999E-2</v>
      </c>
      <c r="AQ46" s="3">
        <f t="shared" si="2"/>
        <v>2.0820497512437811E-2</v>
      </c>
    </row>
    <row r="47" spans="2:43">
      <c r="B47" s="4">
        <v>30</v>
      </c>
      <c r="C47" s="3">
        <v>1.7409999999999998E-2</v>
      </c>
      <c r="D47" s="3">
        <v>9.6539999999999994E-3</v>
      </c>
      <c r="E47" s="3">
        <v>1.0970000000000001E-2</v>
      </c>
      <c r="F47" s="3">
        <v>1.252E-2</v>
      </c>
      <c r="G47" s="3">
        <v>1.468E-2</v>
      </c>
      <c r="H47" s="3">
        <v>1.584E-2</v>
      </c>
      <c r="I47" s="3">
        <v>1.702E-2</v>
      </c>
      <c r="J47" s="3">
        <v>1.958E-2</v>
      </c>
      <c r="K47" s="3">
        <v>2.1340000000000001E-2</v>
      </c>
      <c r="L47" s="3">
        <v>2.1919999999999999E-2</v>
      </c>
      <c r="M47" s="3">
        <v>2.3810000000000001E-2</v>
      </c>
      <c r="N47" s="3">
        <v>2.4219999999999998E-2</v>
      </c>
      <c r="O47" s="3">
        <v>2.6089999999999999E-2</v>
      </c>
      <c r="P47" s="3">
        <v>2.614E-2</v>
      </c>
      <c r="Q47" s="3">
        <v>2.5579999999999999E-2</v>
      </c>
      <c r="R47" s="3">
        <v>2.8660000000000001E-2</v>
      </c>
      <c r="S47" s="3">
        <v>3.0550000000000001E-2</v>
      </c>
      <c r="T47" s="3">
        <v>3.2320000000000002E-2</v>
      </c>
      <c r="U47" s="3">
        <v>3.2870000000000003E-2</v>
      </c>
      <c r="V47" s="3">
        <v>3.465E-2</v>
      </c>
      <c r="W47" s="3">
        <v>3.755E-2</v>
      </c>
      <c r="X47" s="3">
        <v>3.6900000000000002E-2</v>
      </c>
      <c r="Y47" s="3">
        <v>4.5530000000000001E-2</v>
      </c>
      <c r="Z47" s="3">
        <v>4.6719999999999998E-2</v>
      </c>
      <c r="AA47" s="3">
        <v>4.7210000000000002E-2</v>
      </c>
      <c r="AB47" s="3">
        <v>5.1049999999999998E-2</v>
      </c>
      <c r="AC47" s="3">
        <v>5.1999999999999998E-2</v>
      </c>
      <c r="AD47" s="3">
        <v>5.4859999999999999E-2</v>
      </c>
      <c r="AE47" s="3">
        <v>5.5960000000000003E-2</v>
      </c>
      <c r="AF47" s="3">
        <v>6.0539999999999997E-2</v>
      </c>
      <c r="AG47" s="3">
        <v>6.5379999999999994E-2</v>
      </c>
      <c r="AH47" s="3">
        <v>6.6500000000000004E-2</v>
      </c>
      <c r="AI47" s="3">
        <v>7.0190000000000002E-2</v>
      </c>
      <c r="AJ47" s="3">
        <v>7.3120000000000004E-2</v>
      </c>
      <c r="AK47" s="3">
        <v>7.3870000000000005E-2</v>
      </c>
      <c r="AL47" s="3">
        <v>1.6240000000000001E-2</v>
      </c>
      <c r="AM47" s="3">
        <v>1.7059999999999999E-2</v>
      </c>
      <c r="AN47" s="3">
        <v>2.1010000000000001E-2</v>
      </c>
      <c r="AO47" s="3">
        <f t="shared" si="0"/>
        <v>6.7131398950000004E-2</v>
      </c>
      <c r="AP47" s="3">
        <f t="shared" si="1"/>
        <v>3.4418968100000003E-2</v>
      </c>
      <c r="AQ47" s="3">
        <f t="shared" si="2"/>
        <v>2.0754527363184082E-2</v>
      </c>
    </row>
    <row r="49" spans="2:43">
      <c r="B49" t="str">
        <f>B19</f>
        <v>E(MeV)</v>
      </c>
      <c r="C49" t="str">
        <f t="shared" ref="C49:AP49" si="3">C19</f>
        <v>1H</v>
      </c>
      <c r="D49" t="str">
        <f t="shared" si="3"/>
        <v>3Li</v>
      </c>
      <c r="E49" t="str">
        <f t="shared" si="3"/>
        <v>4Be</v>
      </c>
      <c r="F49" t="str">
        <f t="shared" si="3"/>
        <v>5B</v>
      </c>
      <c r="G49" t="str">
        <f t="shared" si="3"/>
        <v>6C</v>
      </c>
      <c r="H49" t="str">
        <f t="shared" si="3"/>
        <v>7N</v>
      </c>
      <c r="I49" t="str">
        <f t="shared" si="3"/>
        <v>8O</v>
      </c>
      <c r="J49" t="str">
        <f t="shared" si="3"/>
        <v>11Na</v>
      </c>
      <c r="K49" t="str">
        <f t="shared" si="3"/>
        <v>12Mg</v>
      </c>
      <c r="L49" t="str">
        <f t="shared" si="3"/>
        <v>13Al</v>
      </c>
      <c r="M49" t="str">
        <f t="shared" si="3"/>
        <v>14Si</v>
      </c>
      <c r="N49" t="str">
        <f t="shared" si="3"/>
        <v>15p</v>
      </c>
      <c r="O49" t="str">
        <f t="shared" si="3"/>
        <v>16s</v>
      </c>
      <c r="P49" t="str">
        <f t="shared" si="3"/>
        <v>17cl</v>
      </c>
      <c r="Q49" t="str">
        <f t="shared" si="3"/>
        <v>18Ar</v>
      </c>
      <c r="R49" t="str">
        <f t="shared" si="3"/>
        <v>19K</v>
      </c>
      <c r="S49" t="str">
        <f t="shared" si="3"/>
        <v>20Ca</v>
      </c>
      <c r="T49" t="str">
        <f t="shared" si="3"/>
        <v>24Cr</v>
      </c>
      <c r="U49" t="str">
        <f t="shared" si="3"/>
        <v>25Mn</v>
      </c>
      <c r="V49" t="str">
        <f t="shared" si="3"/>
        <v>26Fe</v>
      </c>
      <c r="W49" t="str">
        <f t="shared" si="3"/>
        <v>28Ni</v>
      </c>
      <c r="X49" t="str">
        <f t="shared" si="3"/>
        <v>29Cu</v>
      </c>
      <c r="Y49" t="str">
        <f t="shared" si="3"/>
        <v>40zr</v>
      </c>
      <c r="Z49" t="str">
        <f t="shared" si="3"/>
        <v>41Nb</v>
      </c>
      <c r="AA49" t="str">
        <f t="shared" si="3"/>
        <v>42Mo</v>
      </c>
      <c r="AB49" t="str">
        <f t="shared" si="3"/>
        <v>48Cd</v>
      </c>
      <c r="AC49" t="str">
        <f t="shared" si="3"/>
        <v>50Sn</v>
      </c>
      <c r="AD49" t="str">
        <f t="shared" si="3"/>
        <v>56Ba</v>
      </c>
      <c r="AE49" t="str">
        <f t="shared" si="3"/>
        <v>57La</v>
      </c>
      <c r="AF49" t="str">
        <f t="shared" si="3"/>
        <v>64Gd</v>
      </c>
      <c r="AG49" t="str">
        <f t="shared" si="3"/>
        <v>72Hf</v>
      </c>
      <c r="AH49" t="str">
        <f t="shared" si="3"/>
        <v>74w</v>
      </c>
      <c r="AI49" t="str">
        <f t="shared" si="3"/>
        <v>82Pb</v>
      </c>
      <c r="AJ49" t="str">
        <f t="shared" si="3"/>
        <v>90Th</v>
      </c>
      <c r="AK49" t="str">
        <f t="shared" si="3"/>
        <v>92U</v>
      </c>
      <c r="AL49" t="str">
        <f t="shared" si="3"/>
        <v>Air</v>
      </c>
      <c r="AM49" t="str">
        <f t="shared" si="3"/>
        <v>Water</v>
      </c>
      <c r="AN49" t="str">
        <f t="shared" si="3"/>
        <v>Concrete</v>
      </c>
      <c r="AO49" t="str">
        <f t="shared" si="3"/>
        <v>UO2</v>
      </c>
      <c r="AP49" t="str">
        <f t="shared" si="3"/>
        <v>SS304L</v>
      </c>
      <c r="AQ49" t="str">
        <f t="shared" ref="AQ49" si="4">AQ19</f>
        <v>resin</v>
      </c>
    </row>
    <row r="50" spans="2:43">
      <c r="B50" s="4" t="str">
        <f>CONCATENATE("    - ", TEXT(B20,"0.000"))</f>
        <v xml:space="preserve">    - 0.010</v>
      </c>
      <c r="C50" s="4" t="str">
        <f>CONCATENATE("    - ", TEXT(C20,"0.000E+00"))</f>
        <v xml:space="preserve">    - 3.854E-01</v>
      </c>
      <c r="D50" s="4" t="str">
        <f t="shared" ref="D50:AN57" si="5">CONCATENATE("    - ", TEXT(D20,"0.000E+00"))</f>
        <v xml:space="preserve">    - 3.027E-01</v>
      </c>
      <c r="E50" s="4" t="str">
        <f t="shared" si="5"/>
        <v xml:space="preserve">    - 5.941E-01</v>
      </c>
      <c r="F50" s="4" t="str">
        <f t="shared" si="5"/>
        <v xml:space="preserve">    - 1.182E+00</v>
      </c>
      <c r="G50" s="4" t="str">
        <f t="shared" si="5"/>
        <v xml:space="preserve">    - 2.268E+00</v>
      </c>
      <c r="H50" s="4" t="str">
        <f t="shared" si="5"/>
        <v xml:space="preserve">    - 3.736E+00</v>
      </c>
      <c r="I50" s="4" t="str">
        <f t="shared" si="5"/>
        <v xml:space="preserve">    - 5.758E+00</v>
      </c>
      <c r="J50" s="4" t="str">
        <f t="shared" si="5"/>
        <v xml:space="preserve">    - 1.520E+01</v>
      </c>
      <c r="K50" s="4" t="str">
        <f t="shared" si="5"/>
        <v xml:space="preserve">    - 2.063E+01</v>
      </c>
      <c r="L50" s="4" t="str">
        <f t="shared" si="5"/>
        <v xml:space="preserve">    - 2.575E+01</v>
      </c>
      <c r="M50" s="4" t="str">
        <f t="shared" si="5"/>
        <v xml:space="preserve">    - 3.334E+01</v>
      </c>
      <c r="N50" s="4" t="str">
        <f t="shared" si="5"/>
        <v xml:space="preserve">    - 3.978E+01</v>
      </c>
      <c r="O50" s="4" t="str">
        <f t="shared" si="5"/>
        <v xml:space="preserve">    - 4.950E+01</v>
      </c>
      <c r="P50" s="4" t="str">
        <f t="shared" si="5"/>
        <v xml:space="preserve">    - 5.659E+01</v>
      </c>
      <c r="Q50" s="4" t="str">
        <f t="shared" si="5"/>
        <v xml:space="preserve">    - 6.249E+01</v>
      </c>
      <c r="R50" s="4" t="str">
        <f t="shared" si="5"/>
        <v xml:space="preserve">    - 7.832E+01</v>
      </c>
      <c r="S50" s="4" t="str">
        <f t="shared" si="5"/>
        <v xml:space="preserve">    - 9.259E+01</v>
      </c>
      <c r="T50" s="4" t="str">
        <f t="shared" si="5"/>
        <v xml:space="preserve">    - 1.377E+02</v>
      </c>
      <c r="U50" s="4" t="str">
        <f t="shared" si="5"/>
        <v xml:space="preserve">    - 1.504E+02</v>
      </c>
      <c r="V50" s="4" t="str">
        <f t="shared" si="5"/>
        <v xml:space="preserve">    - 1.696E+02</v>
      </c>
      <c r="W50" s="4" t="str">
        <f t="shared" si="5"/>
        <v xml:space="preserve">    - 2.077E+02</v>
      </c>
      <c r="X50" s="4" t="str">
        <f t="shared" si="5"/>
        <v xml:space="preserve">    - 2.146E+02</v>
      </c>
      <c r="Y50" s="4" t="str">
        <f t="shared" si="5"/>
        <v xml:space="preserve">    - 7.212E+01</v>
      </c>
      <c r="Z50" s="4" t="str">
        <f t="shared" si="5"/>
        <v xml:space="preserve">    - 7.826E+01</v>
      </c>
      <c r="AA50" s="4" t="str">
        <f t="shared" si="5"/>
        <v xml:space="preserve">    - 8.358E+01</v>
      </c>
      <c r="AB50" s="4" t="str">
        <f t="shared" si="5"/>
        <v xml:space="preserve">    - 1.219E+02</v>
      </c>
      <c r="AC50" s="4" t="str">
        <f t="shared" si="5"/>
        <v xml:space="preserve">    - 1.359E+02</v>
      </c>
      <c r="AD50" s="4" t="str">
        <f t="shared" si="5"/>
        <v xml:space="preserve">    - 1.832E+02</v>
      </c>
      <c r="AE50" s="4" t="str">
        <f t="shared" si="5"/>
        <v xml:space="preserve">    - 1.938E+02</v>
      </c>
      <c r="AF50" s="4" t="str">
        <f t="shared" si="5"/>
        <v xml:space="preserve">    - 2.659E+02</v>
      </c>
      <c r="AG50" s="4" t="str">
        <f t="shared" si="5"/>
        <v xml:space="preserve">    - 2.259E+02</v>
      </c>
      <c r="AH50" s="4" t="str">
        <f t="shared" si="5"/>
        <v xml:space="preserve">    - 9.256E+01</v>
      </c>
      <c r="AI50" s="4" t="str">
        <f t="shared" si="5"/>
        <v xml:space="preserve">    - 1.257E+02</v>
      </c>
      <c r="AJ50" s="4" t="str">
        <f t="shared" si="5"/>
        <v xml:space="preserve">    - 1.636E+02</v>
      </c>
      <c r="AK50" s="4" t="str">
        <f t="shared" si="5"/>
        <v xml:space="preserve">    - 1.737E+02</v>
      </c>
      <c r="AL50" s="4" t="str">
        <f t="shared" si="5"/>
        <v xml:space="preserve">    - 4.961E+00</v>
      </c>
      <c r="AM50" s="4" t="str">
        <f t="shared" si="5"/>
        <v xml:space="preserve">    - 5.157E+00</v>
      </c>
      <c r="AN50" s="4" t="str">
        <f t="shared" si="5"/>
        <v xml:space="preserve">    - 2.616E+01</v>
      </c>
      <c r="AO50" s="4" t="str">
        <f t="shared" ref="AO50" si="6">CONCATENATE("    - ", TEXT(AO20,"0.000E+00"))</f>
        <v xml:space="preserve">    - 1.538E+02</v>
      </c>
      <c r="AP50" s="4" t="str">
        <f t="shared" ref="AP50:AQ50" si="7">CONCATENATE("    - ", TEXT(AP20,"0.000E+00"))</f>
        <v xml:space="preserve">    - 1.664E+02</v>
      </c>
      <c r="AQ50" s="4" t="str">
        <f t="shared" si="7"/>
        <v xml:space="preserve">    - 2.480E+01</v>
      </c>
    </row>
    <row r="51" spans="2:43">
      <c r="B51" s="4" t="str">
        <f t="shared" ref="B51:B77" si="8">CONCATENATE("    - ", TEXT(B21,"0.000"))</f>
        <v xml:space="preserve">    - 0.015</v>
      </c>
      <c r="C51" s="4" t="str">
        <f t="shared" ref="C51:R77" si="9">CONCATENATE("    - ", TEXT(C21,"0.000E+00"))</f>
        <v xml:space="preserve">    - 3.764E-01</v>
      </c>
      <c r="D51" s="4" t="str">
        <f t="shared" si="9"/>
        <v xml:space="preserve">    - 1.985E-01</v>
      </c>
      <c r="E51" s="4" t="str">
        <f t="shared" si="9"/>
        <v xml:space="preserve">    - 2.782E-01</v>
      </c>
      <c r="F51" s="4" t="str">
        <f t="shared" si="9"/>
        <v xml:space="preserve">    - 4.407E-01</v>
      </c>
      <c r="G51" s="4" t="str">
        <f t="shared" si="9"/>
        <v xml:space="preserve">    - 7.476E-01</v>
      </c>
      <c r="H51" s="4" t="str">
        <f t="shared" si="9"/>
        <v xml:space="preserve">    - 1.156E+00</v>
      </c>
      <c r="I51" s="4" t="str">
        <f t="shared" si="9"/>
        <v xml:space="preserve">    - 1.731E+00</v>
      </c>
      <c r="J51" s="4" t="str">
        <f t="shared" si="9"/>
        <v xml:space="preserve">    - 4.498E+00</v>
      </c>
      <c r="K51" s="4" t="str">
        <f t="shared" si="9"/>
        <v xml:space="preserve">    - 6.124E+00</v>
      </c>
      <c r="L51" s="4" t="str">
        <f t="shared" si="9"/>
        <v xml:space="preserve">    - 7.697E+00</v>
      </c>
      <c r="M51" s="4" t="str">
        <f t="shared" si="9"/>
        <v xml:space="preserve">    - 1.004E+01</v>
      </c>
      <c r="N51" s="4" t="str">
        <f t="shared" si="9"/>
        <v xml:space="preserve">    - 1.207E+01</v>
      </c>
      <c r="O51" s="4" t="str">
        <f t="shared" si="9"/>
        <v xml:space="preserve">    - 1.513E+01</v>
      </c>
      <c r="P51" s="4" t="str">
        <f t="shared" si="9"/>
        <v xml:space="preserve">    - 1.745E+01</v>
      </c>
      <c r="Q51" s="4" t="str">
        <f t="shared" si="9"/>
        <v xml:space="preserve">    - 1.943E+01</v>
      </c>
      <c r="R51" s="4" t="str">
        <f t="shared" si="9"/>
        <v xml:space="preserve">    - 2.457E+01</v>
      </c>
      <c r="S51" s="4" t="str">
        <f t="shared" si="5"/>
        <v xml:space="preserve">    - 2.929E+01</v>
      </c>
      <c r="T51" s="4" t="str">
        <f t="shared" si="5"/>
        <v xml:space="preserve">    - 4.512E+01</v>
      </c>
      <c r="U51" s="4" t="str">
        <f t="shared" si="5"/>
        <v xml:space="preserve">    - 4.965E+01</v>
      </c>
      <c r="V51" s="4" t="str">
        <f t="shared" si="5"/>
        <v xml:space="preserve">    - 5.641E+01</v>
      </c>
      <c r="W51" s="4" t="str">
        <f t="shared" si="5"/>
        <v xml:space="preserve">    - 7.003E+01</v>
      </c>
      <c r="X51" s="4" t="str">
        <f t="shared" si="5"/>
        <v xml:space="preserve">    - 7.325E+01</v>
      </c>
      <c r="Y51" s="4" t="str">
        <f t="shared" si="5"/>
        <v xml:space="preserve">    - 2.335E+01</v>
      </c>
      <c r="Z51" s="4" t="str">
        <f t="shared" si="5"/>
        <v xml:space="preserve">    - 2.539E+01</v>
      </c>
      <c r="AA51" s="4" t="str">
        <f t="shared" si="5"/>
        <v xml:space="preserve">    - 2.716E+01</v>
      </c>
      <c r="AB51" s="4" t="str">
        <f t="shared" si="5"/>
        <v xml:space="preserve">    - 4.018E+01</v>
      </c>
      <c r="AC51" s="4" t="str">
        <f t="shared" si="5"/>
        <v xml:space="preserve">    - 4.499E+01</v>
      </c>
      <c r="AD51" s="4" t="str">
        <f t="shared" si="5"/>
        <v xml:space="preserve">    - 6.164E+01</v>
      </c>
      <c r="AE51" s="4" t="str">
        <f t="shared" si="5"/>
        <v xml:space="preserve">    - 6.545E+01</v>
      </c>
      <c r="AF51" s="4" t="str">
        <f t="shared" si="5"/>
        <v xml:space="preserve">    - 9.115E+01</v>
      </c>
      <c r="AG51" s="4" t="str">
        <f t="shared" si="5"/>
        <v xml:space="preserve">    - 1.263E+02</v>
      </c>
      <c r="AH51" s="4" t="str">
        <f t="shared" si="5"/>
        <v xml:space="preserve">    - 1.361E+02</v>
      </c>
      <c r="AI51" s="4" t="str">
        <f t="shared" si="5"/>
        <v xml:space="preserve">    - 1.084E+02</v>
      </c>
      <c r="AJ51" s="4" t="str">
        <f t="shared" si="5"/>
        <v xml:space="preserve">    - 5.787E+01</v>
      </c>
      <c r="AK51" s="4" t="str">
        <f t="shared" si="5"/>
        <v xml:space="preserve">    - 6.162E+01</v>
      </c>
      <c r="AL51" s="4" t="str">
        <f t="shared" si="5"/>
        <v xml:space="preserve">    - 1.525E+00</v>
      </c>
      <c r="AM51" s="4" t="str">
        <f t="shared" si="5"/>
        <v xml:space="preserve">    - 1.579E+00</v>
      </c>
      <c r="AN51" s="4" t="str">
        <f t="shared" si="5"/>
        <v xml:space="preserve">    - 8.075E+00</v>
      </c>
      <c r="AO51" s="4" t="str">
        <f t="shared" ref="AO51:AQ51" si="10">CONCATENATE("    - ", TEXT(AO21,"0.000E+00"))</f>
        <v xml:space="preserve">    - 5.452E+01</v>
      </c>
      <c r="AP51" s="4" t="str">
        <f t="shared" si="10"/>
        <v xml:space="preserve">    - 5.530E+01</v>
      </c>
      <c r="AQ51" s="4" t="str">
        <f t="shared" si="10"/>
        <v xml:space="preserve">    - 7.655E+00</v>
      </c>
    </row>
    <row r="52" spans="2:43">
      <c r="B52" s="4" t="str">
        <f t="shared" si="8"/>
        <v xml:space="preserve">    - 0.020</v>
      </c>
      <c r="C52" s="4" t="str">
        <f t="shared" si="9"/>
        <v xml:space="preserve">    - 3.695E-01</v>
      </c>
      <c r="D52" s="4" t="str">
        <f t="shared" si="5"/>
        <v xml:space="preserve">    - 1.741E-01</v>
      </c>
      <c r="E52" s="4" t="str">
        <f t="shared" si="5"/>
        <v xml:space="preserve">    - 2.072E-01</v>
      </c>
      <c r="F52" s="4" t="str">
        <f t="shared" si="5"/>
        <v xml:space="preserve">    - 2.746E-01</v>
      </c>
      <c r="G52" s="4" t="str">
        <f t="shared" si="5"/>
        <v xml:space="preserve">    - 4.035E-01</v>
      </c>
      <c r="H52" s="4" t="str">
        <f t="shared" si="5"/>
        <v xml:space="preserve">    - 5.667E-01</v>
      </c>
      <c r="I52" s="4" t="str">
        <f t="shared" si="5"/>
        <v xml:space="preserve">    - 7.985E-01</v>
      </c>
      <c r="J52" s="4" t="str">
        <f t="shared" si="5"/>
        <v xml:space="preserve">    - 1.934E+00</v>
      </c>
      <c r="K52" s="4" t="str">
        <f t="shared" si="5"/>
        <v xml:space="preserve">    - 2.616E+00</v>
      </c>
      <c r="L52" s="4" t="str">
        <f t="shared" si="5"/>
        <v xml:space="preserve">    - 3.279E+00</v>
      </c>
      <c r="M52" s="4" t="str">
        <f t="shared" si="5"/>
        <v xml:space="preserve">    - 4.275E+00</v>
      </c>
      <c r="N52" s="4" t="str">
        <f t="shared" si="5"/>
        <v xml:space="preserve">    - 5.148E+00</v>
      </c>
      <c r="O52" s="4" t="str">
        <f t="shared" si="5"/>
        <v xml:space="preserve">    - 6.475E+00</v>
      </c>
      <c r="P52" s="4" t="str">
        <f t="shared" si="5"/>
        <v xml:space="preserve">    - 7.492E+00</v>
      </c>
      <c r="Q52" s="4" t="str">
        <f t="shared" si="5"/>
        <v xml:space="preserve">    - 8.375E+00</v>
      </c>
      <c r="R52" s="4" t="str">
        <f t="shared" si="5"/>
        <v xml:space="preserve">    - 1.063E+01</v>
      </c>
      <c r="S52" s="4" t="str">
        <f t="shared" si="5"/>
        <v xml:space="preserve">    - 1.273E+01</v>
      </c>
      <c r="T52" s="4" t="str">
        <f t="shared" si="5"/>
        <v xml:space="preserve">    - 1.998E+01</v>
      </c>
      <c r="U52" s="4" t="str">
        <f t="shared" si="5"/>
        <v xml:space="preserve">    - 2.211E+01</v>
      </c>
      <c r="V52" s="4" t="str">
        <f t="shared" si="5"/>
        <v xml:space="preserve">    - 2.522E+01</v>
      </c>
      <c r="W52" s="4" t="str">
        <f t="shared" si="5"/>
        <v xml:space="preserve">    - 3.167E+01</v>
      </c>
      <c r="X52" s="4" t="str">
        <f t="shared" si="5"/>
        <v xml:space="preserve">    - 3.325E+01</v>
      </c>
      <c r="Y52" s="4" t="str">
        <f t="shared" si="5"/>
        <v xml:space="preserve">    - 7.151E+01</v>
      </c>
      <c r="Z52" s="4" t="str">
        <f t="shared" si="5"/>
        <v xml:space="preserve">    - 7.623E+01</v>
      </c>
      <c r="AA52" s="4" t="str">
        <f t="shared" si="5"/>
        <v xml:space="preserve">    - 7.862E+01</v>
      </c>
      <c r="AB52" s="4" t="str">
        <f t="shared" si="5"/>
        <v xml:space="preserve">    - 1.809E+01</v>
      </c>
      <c r="AC52" s="4" t="str">
        <f t="shared" si="5"/>
        <v xml:space="preserve">    - 2.030E+01</v>
      </c>
      <c r="AD52" s="4" t="str">
        <f t="shared" si="5"/>
        <v xml:space="preserve">    - 2.808E+01</v>
      </c>
      <c r="AE52" s="4" t="str">
        <f t="shared" si="5"/>
        <v xml:space="preserve">    - 2.985E+01</v>
      </c>
      <c r="AF52" s="4" t="str">
        <f t="shared" si="5"/>
        <v xml:space="preserve">    - 4.204E+01</v>
      </c>
      <c r="AG52" s="4" t="str">
        <f t="shared" si="5"/>
        <v xml:space="preserve">    - 5.899E+01</v>
      </c>
      <c r="AH52" s="4" t="str">
        <f t="shared" si="5"/>
        <v xml:space="preserve">    - 6.376E+01</v>
      </c>
      <c r="AI52" s="4" t="str">
        <f t="shared" si="5"/>
        <v xml:space="preserve">    - 8.411E+01</v>
      </c>
      <c r="AJ52" s="4" t="str">
        <f t="shared" si="5"/>
        <v xml:space="preserve">    - 9.113E+01</v>
      </c>
      <c r="AK52" s="4" t="str">
        <f t="shared" si="5"/>
        <v xml:space="preserve">    - 6.845E+01</v>
      </c>
      <c r="AL52" s="4" t="str">
        <f t="shared" si="5"/>
        <v xml:space="preserve">    - 7.210E-01</v>
      </c>
      <c r="AM52" s="4" t="str">
        <f t="shared" si="5"/>
        <v xml:space="preserve">    - 7.505E-01</v>
      </c>
      <c r="AN52" s="4" t="str">
        <f t="shared" si="5"/>
        <v xml:space="preserve">    - 3.510E+00</v>
      </c>
      <c r="AO52" s="4" t="str">
        <f t="shared" ref="AO52:AQ52" si="11">CONCATENATE("    - ", TEXT(AO22,"0.000E+00"))</f>
        <v xml:space="preserve">    - 6.043E+01</v>
      </c>
      <c r="AP52" s="4" t="str">
        <f t="shared" si="11"/>
        <v xml:space="preserve">    - 2.472E+01</v>
      </c>
      <c r="AQ52" s="4" t="str">
        <f t="shared" si="11"/>
        <v xml:space="preserve">    - 3.332E+00</v>
      </c>
    </row>
    <row r="53" spans="2:43">
      <c r="B53" s="4" t="str">
        <f t="shared" si="8"/>
        <v xml:space="preserve">    - 0.030</v>
      </c>
      <c r="C53" s="4" t="str">
        <f t="shared" si="9"/>
        <v xml:space="preserve">    - 3.570E-01</v>
      </c>
      <c r="D53" s="4" t="str">
        <f t="shared" si="5"/>
        <v xml:space="preserve">    - 1.588E-01</v>
      </c>
      <c r="E53" s="4" t="str">
        <f t="shared" si="5"/>
        <v xml:space="preserve">    - 1.705E-01</v>
      </c>
      <c r="F53" s="4" t="str">
        <f t="shared" si="5"/>
        <v xml:space="preserve">    - 1.930E-01</v>
      </c>
      <c r="G53" s="4" t="str">
        <f t="shared" si="5"/>
        <v xml:space="preserve">    - 2.368E-01</v>
      </c>
      <c r="H53" s="4" t="str">
        <f t="shared" si="5"/>
        <v xml:space="preserve">    - 2.807E-01</v>
      </c>
      <c r="I53" s="4" t="str">
        <f t="shared" si="5"/>
        <v xml:space="preserve">    - 3.440E-01</v>
      </c>
      <c r="J53" s="4" t="str">
        <f t="shared" si="5"/>
        <v xml:space="preserve">    - 6.576E-01</v>
      </c>
      <c r="K53" s="4" t="str">
        <f t="shared" si="5"/>
        <v xml:space="preserve">    - 8.562E-01</v>
      </c>
      <c r="L53" s="4" t="str">
        <f t="shared" si="5"/>
        <v xml:space="preserve">    - 1.045E+00</v>
      </c>
      <c r="M53" s="4" t="str">
        <f t="shared" si="5"/>
        <v xml:space="preserve">    - 1.340E+00</v>
      </c>
      <c r="N53" s="4" t="str">
        <f t="shared" si="5"/>
        <v xml:space="preserve">    - 1.596E+00</v>
      </c>
      <c r="O53" s="4" t="str">
        <f t="shared" si="5"/>
        <v xml:space="preserve">    - 1.993E+00</v>
      </c>
      <c r="P53" s="4" t="str">
        <f t="shared" si="5"/>
        <v xml:space="preserve">    - 2.299E+00</v>
      </c>
      <c r="Q53" s="4" t="str">
        <f t="shared" si="5"/>
        <v xml:space="preserve">    - 2.566E+00</v>
      </c>
      <c r="R53" s="4" t="str">
        <f t="shared" si="5"/>
        <v xml:space="preserve">    - 3.260E+00</v>
      </c>
      <c r="S53" s="4" t="str">
        <f t="shared" si="5"/>
        <v xml:space="preserve">    - 3.909E+00</v>
      </c>
      <c r="T53" s="4" t="str">
        <f t="shared" si="5"/>
        <v xml:space="preserve">    - 6.221E+00</v>
      </c>
      <c r="U53" s="4" t="str">
        <f t="shared" si="5"/>
        <v xml:space="preserve">    - 6.917E+00</v>
      </c>
      <c r="V53" s="4" t="str">
        <f t="shared" si="5"/>
        <v xml:space="preserve">    - 7.930E+00</v>
      </c>
      <c r="W53" s="4" t="str">
        <f t="shared" si="5"/>
        <v xml:space="preserve">    - 1.005E+01</v>
      </c>
      <c r="X53" s="4" t="str">
        <f t="shared" si="5"/>
        <v xml:space="preserve">    - 1.062E+01</v>
      </c>
      <c r="Y53" s="4" t="str">
        <f t="shared" si="5"/>
        <v xml:space="preserve">    - 2.438E+01</v>
      </c>
      <c r="Z53" s="4" t="str">
        <f t="shared" si="5"/>
        <v xml:space="preserve">    - 2.616E+01</v>
      </c>
      <c r="AA53" s="4" t="str">
        <f t="shared" si="5"/>
        <v xml:space="preserve">    - 2.759E+01</v>
      </c>
      <c r="AB53" s="4" t="str">
        <f t="shared" si="5"/>
        <v xml:space="preserve">    - 3.704E+01</v>
      </c>
      <c r="AC53" s="4" t="str">
        <f t="shared" si="5"/>
        <v xml:space="preserve">    - 4.058E+01</v>
      </c>
      <c r="AD53" s="4" t="str">
        <f t="shared" si="5"/>
        <v xml:space="preserve">    - 9.167E+00</v>
      </c>
      <c r="AE53" s="4" t="str">
        <f t="shared" si="5"/>
        <v xml:space="preserve">    - 9.760E+00</v>
      </c>
      <c r="AF53" s="4" t="str">
        <f t="shared" si="5"/>
        <v xml:space="preserve">    - 1.393E+01</v>
      </c>
      <c r="AG53" s="4" t="str">
        <f t="shared" si="5"/>
        <v xml:space="preserve">    - 1.988E+01</v>
      </c>
      <c r="AH53" s="4" t="str">
        <f t="shared" si="5"/>
        <v xml:space="preserve">    - 2.158E+01</v>
      </c>
      <c r="AI53" s="4" t="str">
        <f t="shared" si="5"/>
        <v xml:space="preserve">    - 2.900E+01</v>
      </c>
      <c r="AJ53" s="4" t="str">
        <f t="shared" si="5"/>
        <v xml:space="preserve">    - 3.743E+01</v>
      </c>
      <c r="AK53" s="4" t="str">
        <f t="shared" si="5"/>
        <v xml:space="preserve">    - 3.976E+01</v>
      </c>
      <c r="AL53" s="4" t="str">
        <f t="shared" si="5"/>
        <v xml:space="preserve">    - 3.248E-01</v>
      </c>
      <c r="AM53" s="4" t="str">
        <f t="shared" si="5"/>
        <v xml:space="preserve">    - 3.455E-01</v>
      </c>
      <c r="AN53" s="4" t="str">
        <f t="shared" si="5"/>
        <v xml:space="preserve">    - 1.142E+00</v>
      </c>
      <c r="AO53" s="4" t="str">
        <f t="shared" ref="AO53:AQ53" si="12">CONCATENATE("    - ", TEXT(AO23,"0.000E+00"))</f>
        <v xml:space="preserve">    - 3.509E+01</v>
      </c>
      <c r="AP53" s="4" t="str">
        <f t="shared" si="12"/>
        <v xml:space="preserve">    - 7.771E+00</v>
      </c>
      <c r="AQ53" s="4" t="str">
        <f t="shared" si="12"/>
        <v xml:space="preserve">    - 1.090E+00</v>
      </c>
    </row>
    <row r="54" spans="2:43">
      <c r="B54" s="4" t="str">
        <f t="shared" si="8"/>
        <v xml:space="preserve">    - 0.040</v>
      </c>
      <c r="C54" s="4" t="str">
        <f t="shared" si="9"/>
        <v xml:space="preserve">    - 3.458E-01</v>
      </c>
      <c r="D54" s="4" t="str">
        <f t="shared" si="5"/>
        <v xml:space="preserve">    - 1.519E-01</v>
      </c>
      <c r="E54" s="4" t="str">
        <f t="shared" si="5"/>
        <v xml:space="preserve">    - 1.588E-01</v>
      </c>
      <c r="F54" s="4" t="str">
        <f t="shared" si="5"/>
        <v xml:space="preserve">    - 1.714E-01</v>
      </c>
      <c r="G54" s="4" t="str">
        <f t="shared" si="5"/>
        <v xml:space="preserve">    - 1.960E-01</v>
      </c>
      <c r="H54" s="4" t="str">
        <f t="shared" si="5"/>
        <v xml:space="preserve">    - 2.133E-01</v>
      </c>
      <c r="I54" s="4" t="str">
        <f t="shared" si="5"/>
        <v xml:space="preserve">    - 2.382E-01</v>
      </c>
      <c r="J54" s="4" t="str">
        <f t="shared" si="5"/>
        <v xml:space="preserve">    - 3.595E-01</v>
      </c>
      <c r="K54" s="4" t="str">
        <f t="shared" si="5"/>
        <v xml:space="preserve">    - 4.431E-01</v>
      </c>
      <c r="L54" s="4" t="str">
        <f t="shared" si="5"/>
        <v xml:space="preserve">    - 5.184E-01</v>
      </c>
      <c r="M54" s="4" t="str">
        <f t="shared" si="5"/>
        <v xml:space="preserve">    - 6.425E-01</v>
      </c>
      <c r="N54" s="4" t="str">
        <f t="shared" si="5"/>
        <v xml:space="preserve">    - 7.459E-01</v>
      </c>
      <c r="O54" s="4" t="str">
        <f t="shared" si="5"/>
        <v xml:space="preserve">    - 9.144E-01</v>
      </c>
      <c r="P54" s="4" t="str">
        <f t="shared" si="5"/>
        <v xml:space="preserve">    - 1.039E+00</v>
      </c>
      <c r="Q54" s="4" t="str">
        <f t="shared" si="5"/>
        <v xml:space="preserve">    - 1.148E+00</v>
      </c>
      <c r="R54" s="4" t="str">
        <f t="shared" si="5"/>
        <v xml:space="preserve">    - 1.447E+00</v>
      </c>
      <c r="S54" s="4" t="str">
        <f t="shared" si="5"/>
        <v xml:space="preserve">    - 1.726E+00</v>
      </c>
      <c r="T54" s="4" t="str">
        <f t="shared" si="5"/>
        <v xml:space="preserve">    - 2.725E+00</v>
      </c>
      <c r="U54" s="4" t="str">
        <f t="shared" si="5"/>
        <v xml:space="preserve">    - 3.031E+00</v>
      </c>
      <c r="V54" s="4" t="str">
        <f t="shared" si="5"/>
        <v xml:space="preserve">    - 3.478E+00</v>
      </c>
      <c r="W54" s="4" t="str">
        <f t="shared" si="5"/>
        <v xml:space="preserve">    - 4.422E+00</v>
      </c>
      <c r="X54" s="4" t="str">
        <f t="shared" si="5"/>
        <v xml:space="preserve">    - 4.680E+00</v>
      </c>
      <c r="Y54" s="4" t="str">
        <f t="shared" si="5"/>
        <v xml:space="preserve">    - 1.109E+01</v>
      </c>
      <c r="Z54" s="4" t="str">
        <f t="shared" si="5"/>
        <v xml:space="preserve">    - 1.191E+01</v>
      </c>
      <c r="AA54" s="4" t="str">
        <f t="shared" si="5"/>
        <v xml:space="preserve">    - 1.261E+01</v>
      </c>
      <c r="AB54" s="4" t="str">
        <f t="shared" si="5"/>
        <v xml:space="preserve">    - 1.739E+01</v>
      </c>
      <c r="AC54" s="4" t="str">
        <f t="shared" si="5"/>
        <v xml:space="preserve">    - 1.902E+01</v>
      </c>
      <c r="AD54" s="4" t="str">
        <f t="shared" si="5"/>
        <v xml:space="preserve">    - 2.410E+01</v>
      </c>
      <c r="AE54" s="4" t="str">
        <f t="shared" si="5"/>
        <v xml:space="preserve">    - 2.529E+01</v>
      </c>
      <c r="AF54" s="4" t="str">
        <f t="shared" si="5"/>
        <v xml:space="preserve">    - 6.335E+00</v>
      </c>
      <c r="AG54" s="4" t="str">
        <f t="shared" si="5"/>
        <v xml:space="preserve">    - 9.112E+00</v>
      </c>
      <c r="AH54" s="4" t="str">
        <f t="shared" si="5"/>
        <v xml:space="preserve">    - 9.922E+00</v>
      </c>
      <c r="AI54" s="4" t="str">
        <f t="shared" si="5"/>
        <v xml:space="preserve">    - 1.349E+01</v>
      </c>
      <c r="AJ54" s="4" t="str">
        <f t="shared" si="5"/>
        <v xml:space="preserve">    - 1.766E+01</v>
      </c>
      <c r="AK54" s="4" t="str">
        <f t="shared" si="5"/>
        <v xml:space="preserve">    - 1.881E+01</v>
      </c>
      <c r="AL54" s="4" t="str">
        <f t="shared" si="5"/>
        <v xml:space="preserve">    - 2.311E-01</v>
      </c>
      <c r="AM54" s="4" t="str">
        <f t="shared" si="5"/>
        <v xml:space="preserve">    - 2.502E-01</v>
      </c>
      <c r="AN54" s="4" t="str">
        <f t="shared" si="5"/>
        <v xml:space="preserve">    - 5.683E-01</v>
      </c>
      <c r="AO54" s="4" t="str">
        <f t="shared" ref="AO54:AQ54" si="13">CONCATENATE("    - ", TEXT(AO24,"0.000E+00"))</f>
        <v xml:space="preserve">    - 1.661E+01</v>
      </c>
      <c r="AP54" s="4" t="str">
        <f t="shared" si="13"/>
        <v xml:space="preserve">    - 3.409E+00</v>
      </c>
      <c r="AQ54" s="4" t="str">
        <f t="shared" si="13"/>
        <v xml:space="preserve">    - 5.477E-01</v>
      </c>
    </row>
    <row r="55" spans="2:43">
      <c r="B55" s="4" t="str">
        <f t="shared" si="8"/>
        <v xml:space="preserve">    - 0.050</v>
      </c>
      <c r="C55" s="4" t="str">
        <f t="shared" si="9"/>
        <v xml:space="preserve">    - 3.355E-01</v>
      </c>
      <c r="D55" s="4" t="str">
        <f t="shared" si="5"/>
        <v xml:space="preserve">    - 1.467E-01</v>
      </c>
      <c r="E55" s="4" t="str">
        <f t="shared" si="5"/>
        <v xml:space="preserve">    - 1.520E-01</v>
      </c>
      <c r="F55" s="4" t="str">
        <f t="shared" si="5"/>
        <v xml:space="preserve">    - 1.612E-01</v>
      </c>
      <c r="G55" s="4" t="str">
        <f t="shared" si="5"/>
        <v xml:space="preserve">    - 1.794E-01</v>
      </c>
      <c r="H55" s="4" t="str">
        <f t="shared" si="5"/>
        <v xml:space="preserve">    - 1.877E-01</v>
      </c>
      <c r="I55" s="4" t="str">
        <f t="shared" si="5"/>
        <v xml:space="preserve">    - 1.997E-01</v>
      </c>
      <c r="J55" s="4" t="str">
        <f t="shared" si="5"/>
        <v xml:space="preserve">    - 2.555E-01</v>
      </c>
      <c r="K55" s="4" t="str">
        <f t="shared" si="5"/>
        <v xml:space="preserve">    - 2.993E-01</v>
      </c>
      <c r="L55" s="4" t="str">
        <f t="shared" si="5"/>
        <v xml:space="preserve">    - 3.347E-01</v>
      </c>
      <c r="M55" s="4" t="str">
        <f t="shared" si="5"/>
        <v xml:space="preserve">    - 3.993E-01</v>
      </c>
      <c r="N55" s="4" t="str">
        <f t="shared" si="5"/>
        <v xml:space="preserve">    - 4.489E-01</v>
      </c>
      <c r="O55" s="4" t="str">
        <f t="shared" si="5"/>
        <v xml:space="preserve">    - 5.358E-01</v>
      </c>
      <c r="P55" s="4" t="str">
        <f t="shared" si="5"/>
        <v xml:space="preserve">    - 5.959E-01</v>
      </c>
      <c r="Q55" s="4" t="str">
        <f t="shared" si="5"/>
        <v xml:space="preserve">    - 6.470E-01</v>
      </c>
      <c r="R55" s="4" t="str">
        <f t="shared" si="5"/>
        <v xml:space="preserve">    - 8.042E-01</v>
      </c>
      <c r="S55" s="4" t="str">
        <f t="shared" si="5"/>
        <v xml:space="preserve">    - 9.483E-01</v>
      </c>
      <c r="T55" s="4" t="str">
        <f t="shared" si="5"/>
        <v xml:space="preserve">    - 1.462E+00</v>
      </c>
      <c r="U55" s="4" t="str">
        <f t="shared" si="5"/>
        <v xml:space="preserve">    - 1.621E+00</v>
      </c>
      <c r="V55" s="4" t="str">
        <f t="shared" si="5"/>
        <v xml:space="preserve">    - 1.854E+00</v>
      </c>
      <c r="W55" s="4" t="str">
        <f t="shared" si="5"/>
        <v xml:space="preserve">    - 2.354E+00</v>
      </c>
      <c r="X55" s="4" t="str">
        <f t="shared" si="5"/>
        <v xml:space="preserve">    - 2.490E+00</v>
      </c>
      <c r="Y55" s="4" t="str">
        <f t="shared" si="5"/>
        <v xml:space="preserve">    - 5.966E+00</v>
      </c>
      <c r="Z55" s="4" t="str">
        <f t="shared" si="5"/>
        <v xml:space="preserve">    - 6.426E+00</v>
      </c>
      <c r="AA55" s="4" t="str">
        <f t="shared" si="5"/>
        <v xml:space="preserve">    - 6.812E+00</v>
      </c>
      <c r="AB55" s="4" t="str">
        <f t="shared" si="5"/>
        <v xml:space="preserve">    - 9.504E+00</v>
      </c>
      <c r="AC55" s="4" t="str">
        <f t="shared" si="5"/>
        <v xml:space="preserve">    - 1.041E+01</v>
      </c>
      <c r="AD55" s="4" t="str">
        <f t="shared" si="5"/>
        <v xml:space="preserve">    - 1.346E+01</v>
      </c>
      <c r="AE55" s="4" t="str">
        <f t="shared" si="5"/>
        <v xml:space="preserve">    - 1.413E+01</v>
      </c>
      <c r="AF55" s="4" t="str">
        <f t="shared" si="5"/>
        <v xml:space="preserve">    - 3.450E+00</v>
      </c>
      <c r="AG55" s="4" t="str">
        <f t="shared" si="5"/>
        <v xml:space="preserve">    - 4.978E+00</v>
      </c>
      <c r="AH55" s="4" t="str">
        <f t="shared" si="5"/>
        <v xml:space="preserve">    - 5.426E+00</v>
      </c>
      <c r="AI55" s="4" t="str">
        <f t="shared" si="5"/>
        <v xml:space="preserve">    - 7.426E+00</v>
      </c>
      <c r="AJ55" s="4" t="str">
        <f t="shared" si="5"/>
        <v xml:space="preserve">    - 9.816E+00</v>
      </c>
      <c r="AK55" s="4" t="str">
        <f t="shared" si="5"/>
        <v xml:space="preserve">    - 1.048E+01</v>
      </c>
      <c r="AL55" s="4" t="str">
        <f t="shared" si="5"/>
        <v xml:space="preserve">    - 1.964E-01</v>
      </c>
      <c r="AM55" s="4" t="str">
        <f t="shared" si="5"/>
        <v xml:space="preserve">    - 2.149E-01</v>
      </c>
      <c r="AN55" s="4" t="str">
        <f t="shared" si="5"/>
        <v xml:space="preserve">    - 3.649E-01</v>
      </c>
      <c r="AO55" s="4" t="str">
        <f t="shared" ref="AO55:AQ55" si="14">CONCATENATE("    - ", TEXT(AO25,"0.000E+00"))</f>
        <v xml:space="preserve">    - 9.261E+00</v>
      </c>
      <c r="AP55" s="4" t="str">
        <f t="shared" si="14"/>
        <v xml:space="preserve">    - 1.819E+00</v>
      </c>
      <c r="AQ55" s="4" t="str">
        <f t="shared" si="14"/>
        <v xml:space="preserve">    - 3.552E-01</v>
      </c>
    </row>
    <row r="56" spans="2:43">
      <c r="B56" s="4" t="str">
        <f t="shared" si="8"/>
        <v xml:space="preserve">    - 0.060</v>
      </c>
      <c r="C56" s="4" t="str">
        <f t="shared" si="9"/>
        <v xml:space="preserve">    - 3.260E-01</v>
      </c>
      <c r="D56" s="4" t="str">
        <f t="shared" si="5"/>
        <v xml:space="preserve">    - 1.423E-01</v>
      </c>
      <c r="E56" s="4" t="str">
        <f t="shared" si="5"/>
        <v xml:space="preserve">    - 1.469E-01</v>
      </c>
      <c r="F56" s="4" t="str">
        <f t="shared" si="5"/>
        <v xml:space="preserve">    - 1.546E-01</v>
      </c>
      <c r="G56" s="4" t="str">
        <f t="shared" si="5"/>
        <v xml:space="preserve">    - 1.698E-01</v>
      </c>
      <c r="H56" s="4" t="str">
        <f t="shared" si="5"/>
        <v xml:space="preserve">    - 1.743E-01</v>
      </c>
      <c r="I56" s="4" t="str">
        <f t="shared" si="5"/>
        <v xml:space="preserve">    - 1.811E-01</v>
      </c>
      <c r="J56" s="4" t="str">
        <f t="shared" si="5"/>
        <v xml:space="preserve">    - 2.091E-01</v>
      </c>
      <c r="K56" s="4" t="str">
        <f t="shared" si="5"/>
        <v xml:space="preserve">    - 2.357E-01</v>
      </c>
      <c r="L56" s="4" t="str">
        <f t="shared" si="5"/>
        <v xml:space="preserve">    - 2.539E-01</v>
      </c>
      <c r="M56" s="4" t="str">
        <f t="shared" si="5"/>
        <v xml:space="preserve">    - 2.927E-01</v>
      </c>
      <c r="N56" s="4" t="str">
        <f t="shared" si="5"/>
        <v xml:space="preserve">    - 3.155E-01</v>
      </c>
      <c r="O56" s="4" t="str">
        <f t="shared" si="5"/>
        <v xml:space="preserve">    - 3.701E-01</v>
      </c>
      <c r="P56" s="4" t="str">
        <f t="shared" si="5"/>
        <v xml:space="preserve">    - 4.019E-01</v>
      </c>
      <c r="Q56" s="4" t="str">
        <f t="shared" si="5"/>
        <v xml:space="preserve">    - 4.273E-01</v>
      </c>
      <c r="R56" s="4" t="str">
        <f t="shared" si="5"/>
        <v xml:space="preserve">    - 5.220E-01</v>
      </c>
      <c r="S56" s="4" t="str">
        <f t="shared" si="5"/>
        <v xml:space="preserve">    - 6.067E-01</v>
      </c>
      <c r="T56" s="4" t="str">
        <f t="shared" si="5"/>
        <v xml:space="preserve">    - 8.998E-01</v>
      </c>
      <c r="U56" s="4" t="str">
        <f t="shared" si="5"/>
        <v xml:space="preserve">    - 9.922E-01</v>
      </c>
      <c r="V56" s="4" t="str">
        <f t="shared" si="5"/>
        <v xml:space="preserve">    - 1.131E+00</v>
      </c>
      <c r="W56" s="4" t="str">
        <f t="shared" si="5"/>
        <v xml:space="preserve">    - 1.425E+00</v>
      </c>
      <c r="X56" s="4" t="str">
        <f t="shared" si="5"/>
        <v xml:space="preserve">    - 1.504E+00</v>
      </c>
      <c r="Y56" s="4" t="str">
        <f t="shared" si="5"/>
        <v xml:space="preserve">    - 3.592E+00</v>
      </c>
      <c r="Z56" s="4" t="str">
        <f t="shared" si="5"/>
        <v xml:space="preserve">    - 3.874E+00</v>
      </c>
      <c r="AA56" s="4" t="str">
        <f t="shared" si="5"/>
        <v xml:space="preserve">    - 4.110E+00</v>
      </c>
      <c r="AB56" s="4" t="str">
        <f t="shared" si="5"/>
        <v xml:space="preserve">    - 5.774E+00</v>
      </c>
      <c r="AC56" s="4" t="str">
        <f t="shared" si="5"/>
        <v xml:space="preserve">    - 6.355E+00</v>
      </c>
      <c r="AD56" s="4" t="str">
        <f t="shared" si="5"/>
        <v xml:space="preserve">    - 8.264E+00</v>
      </c>
      <c r="AE56" s="4" t="str">
        <f t="shared" si="5"/>
        <v xml:space="preserve">    - 8.706E+00</v>
      </c>
      <c r="AF56" s="4" t="str">
        <f t="shared" si="5"/>
        <v xml:space="preserve">    - 1.144E+01</v>
      </c>
      <c r="AG56" s="4" t="str">
        <f t="shared" si="5"/>
        <v xml:space="preserve">    - 3.048E+00</v>
      </c>
      <c r="AH56" s="4" t="str">
        <f t="shared" si="5"/>
        <v xml:space="preserve">    - 3.324E+00</v>
      </c>
      <c r="AI56" s="4" t="str">
        <f t="shared" si="5"/>
        <v xml:space="preserve">    - 4.563E+00</v>
      </c>
      <c r="AJ56" s="4" t="str">
        <f t="shared" si="5"/>
        <v xml:space="preserve">    - 6.066E+00</v>
      </c>
      <c r="AK56" s="4" t="str">
        <f t="shared" si="5"/>
        <v xml:space="preserve">    - 6.489E+00</v>
      </c>
      <c r="AL56" s="4" t="str">
        <f t="shared" si="5"/>
        <v xml:space="preserve">    - 1.791E-01</v>
      </c>
      <c r="AM56" s="4" t="str">
        <f t="shared" si="5"/>
        <v xml:space="preserve">    - 1.973E-01</v>
      </c>
      <c r="AN56" s="4" t="str">
        <f t="shared" si="5"/>
        <v xml:space="preserve">    - 2.746E-01</v>
      </c>
      <c r="AO56" s="4" t="str">
        <f t="shared" ref="AO56:AQ56" si="15">CONCATENATE("    - ", TEXT(AO26,"0.000E+00"))</f>
        <v xml:space="preserve">    - 5.741E+00</v>
      </c>
      <c r="AP56" s="4" t="str">
        <f t="shared" si="15"/>
        <v xml:space="preserve">    - 1.110E+00</v>
      </c>
      <c r="AQ56" s="4" t="str">
        <f t="shared" si="15"/>
        <v xml:space="preserve">    - 2.696E-01</v>
      </c>
    </row>
    <row r="57" spans="2:43">
      <c r="B57" s="4" t="str">
        <f t="shared" si="8"/>
        <v xml:space="preserve">    - 0.080</v>
      </c>
      <c r="C57" s="4" t="str">
        <f t="shared" si="9"/>
        <v xml:space="preserve">    - 3.091E-01</v>
      </c>
      <c r="D57" s="4" t="str">
        <f t="shared" si="5"/>
        <v xml:space="preserve">    - 1.348E-01</v>
      </c>
      <c r="E57" s="4" t="str">
        <f t="shared" si="5"/>
        <v xml:space="preserve">    - 1.387E-01</v>
      </c>
      <c r="F57" s="4" t="str">
        <f t="shared" si="5"/>
        <v xml:space="preserve">    - 1.450E-01</v>
      </c>
      <c r="G57" s="4" t="str">
        <f t="shared" si="5"/>
        <v xml:space="preserve">    - 1.578E-01</v>
      </c>
      <c r="H57" s="4" t="str">
        <f t="shared" si="5"/>
        <v xml:space="preserve">    - 1.596E-01</v>
      </c>
      <c r="I57" s="4" t="str">
        <f t="shared" si="5"/>
        <v xml:space="preserve">    - 1.622E-01</v>
      </c>
      <c r="J57" s="4" t="str">
        <f t="shared" si="5"/>
        <v xml:space="preserve">    - 1.693E-01</v>
      </c>
      <c r="K57" s="4" t="str">
        <f t="shared" si="5"/>
        <v xml:space="preserve">    - 1.827E-01</v>
      </c>
      <c r="L57" s="4" t="str">
        <f t="shared" si="5"/>
        <v xml:space="preserve">    - 1.880E-01</v>
      </c>
      <c r="M57" s="4" t="str">
        <f t="shared" si="5"/>
        <v xml:space="preserve">    - 2.065E-01</v>
      </c>
      <c r="N57" s="4" t="str">
        <f t="shared" si="5"/>
        <v xml:space="preserve">    - 2.146E-01</v>
      </c>
      <c r="O57" s="4" t="str">
        <f t="shared" ref="D57:AN64" si="16">CONCATENATE("    - ", TEXT(O27,"0.000E+00"))</f>
        <v xml:space="preserve">    - 2.381E-01</v>
      </c>
      <c r="P57" s="4" t="str">
        <f t="shared" si="16"/>
        <v xml:space="preserve">    - 2.476E-01</v>
      </c>
      <c r="Q57" s="4" t="str">
        <f t="shared" si="16"/>
        <v xml:space="preserve">    - 2.531E-01</v>
      </c>
      <c r="R57" s="4" t="str">
        <f t="shared" si="16"/>
        <v xml:space="preserve">    - 2.981E-01</v>
      </c>
      <c r="S57" s="4" t="str">
        <f t="shared" si="16"/>
        <v xml:space="preserve">    - 3.355E-01</v>
      </c>
      <c r="T57" s="4" t="str">
        <f t="shared" si="16"/>
        <v xml:space="preserve">    - 4.523E-01</v>
      </c>
      <c r="U57" s="4" t="str">
        <f t="shared" si="16"/>
        <v xml:space="preserve">    - 4.903E-01</v>
      </c>
      <c r="V57" s="4" t="str">
        <f t="shared" si="16"/>
        <v xml:space="preserve">    - 5.510E-01</v>
      </c>
      <c r="W57" s="4" t="str">
        <f t="shared" si="16"/>
        <v xml:space="preserve">    - 6.786E-01</v>
      </c>
      <c r="X57" s="4" t="str">
        <f t="shared" si="16"/>
        <v xml:space="preserve">    - 7.097E-01</v>
      </c>
      <c r="Y57" s="4" t="str">
        <f t="shared" si="16"/>
        <v xml:space="preserve">    - 1.631E+00</v>
      </c>
      <c r="Z57" s="4" t="str">
        <f t="shared" si="16"/>
        <v xml:space="preserve">    - 1.759E+00</v>
      </c>
      <c r="AA57" s="4" t="str">
        <f t="shared" si="16"/>
        <v xml:space="preserve">    - 1.864E+00</v>
      </c>
      <c r="AB57" s="4" t="str">
        <f t="shared" si="16"/>
        <v xml:space="preserve">    - 2.630E+00</v>
      </c>
      <c r="AC57" s="4" t="str">
        <f t="shared" si="16"/>
        <v xml:space="preserve">    - 2.901E+00</v>
      </c>
      <c r="AD57" s="4" t="str">
        <f t="shared" si="16"/>
        <v xml:space="preserve">    - 3.813E+00</v>
      </c>
      <c r="AE57" s="4" t="str">
        <f t="shared" si="16"/>
        <v xml:space="preserve">    - 4.022E+00</v>
      </c>
      <c r="AF57" s="4" t="str">
        <f t="shared" si="16"/>
        <v xml:space="preserve">    - 5.385E+00</v>
      </c>
      <c r="AG57" s="4" t="str">
        <f t="shared" si="16"/>
        <v xml:space="preserve">    - 7.119E+00</v>
      </c>
      <c r="AH57" s="4" t="str">
        <f t="shared" si="16"/>
        <v xml:space="preserve">    - 7.568E+00</v>
      </c>
      <c r="AI57" s="4" t="str">
        <f t="shared" si="16"/>
        <v xml:space="preserve">    - 2.135E+00</v>
      </c>
      <c r="AJ57" s="4" t="str">
        <f t="shared" si="16"/>
        <v xml:space="preserve">    - 2.851E+00</v>
      </c>
      <c r="AK57" s="4" t="str">
        <f t="shared" si="16"/>
        <v xml:space="preserve">    - 3.057E+00</v>
      </c>
      <c r="AL57" s="4" t="str">
        <f t="shared" si="16"/>
        <v xml:space="preserve">    - 1.614E-01</v>
      </c>
      <c r="AM57" s="4" t="str">
        <f t="shared" si="16"/>
        <v xml:space="preserve">    - 1.786E-01</v>
      </c>
      <c r="AN57" s="4" t="str">
        <f t="shared" si="16"/>
        <v xml:space="preserve">    - 2.001E-01</v>
      </c>
      <c r="AO57" s="4" t="str">
        <f t="shared" ref="AO57:AQ57" si="17">CONCATENATE("    - ", TEXT(AO27,"0.000E+00"))</f>
        <v xml:space="preserve">    - 2.714E+00</v>
      </c>
      <c r="AP57" s="4" t="str">
        <f t="shared" si="17"/>
        <v xml:space="preserve">    - 5.425E-01</v>
      </c>
      <c r="AQ57" s="4" t="str">
        <f t="shared" si="17"/>
        <v xml:space="preserve">    - 1.987E-01</v>
      </c>
    </row>
    <row r="58" spans="2:43">
      <c r="B58" s="4" t="str">
        <f t="shared" si="8"/>
        <v xml:space="preserve">    - 0.100</v>
      </c>
      <c r="C58" s="4" t="str">
        <f t="shared" si="9"/>
        <v xml:space="preserve">    - 2.944E-01</v>
      </c>
      <c r="D58" s="4" t="str">
        <f t="shared" si="16"/>
        <v xml:space="preserve">    - 1.283E-01</v>
      </c>
      <c r="E58" s="4" t="str">
        <f t="shared" si="16"/>
        <v xml:space="preserve">    - 1.319E-01</v>
      </c>
      <c r="F58" s="4" t="str">
        <f t="shared" si="16"/>
        <v xml:space="preserve">    - 1.377E-01</v>
      </c>
      <c r="G58" s="4" t="str">
        <f t="shared" si="16"/>
        <v xml:space="preserve">    - 1.493E-01</v>
      </c>
      <c r="H58" s="4" t="str">
        <f t="shared" si="16"/>
        <v xml:space="preserve">    - 1.501E-01</v>
      </c>
      <c r="I58" s="4" t="str">
        <f t="shared" si="16"/>
        <v xml:space="preserve">    - 1.514E-01</v>
      </c>
      <c r="J58" s="4" t="str">
        <f t="shared" si="16"/>
        <v xml:space="preserve">    - 1.518E-01</v>
      </c>
      <c r="K58" s="4" t="str">
        <f t="shared" si="16"/>
        <v xml:space="preserve">    - 1.605E-01</v>
      </c>
      <c r="L58" s="4" t="str">
        <f t="shared" si="16"/>
        <v xml:space="preserve">    - 1.614E-01</v>
      </c>
      <c r="M58" s="4" t="str">
        <f t="shared" si="16"/>
        <v xml:space="preserve">    - 1.729E-01</v>
      </c>
      <c r="N58" s="4" t="str">
        <f t="shared" si="16"/>
        <v xml:space="preserve">    - 1.749E-01</v>
      </c>
      <c r="O58" s="4" t="str">
        <f t="shared" si="16"/>
        <v xml:space="preserve">    - 1.886E-01</v>
      </c>
      <c r="P58" s="4" t="str">
        <f t="shared" si="16"/>
        <v xml:space="preserve">    - 1.906E-01</v>
      </c>
      <c r="Q58" s="4" t="str">
        <f t="shared" si="16"/>
        <v xml:space="preserve">    - 1.893E-01</v>
      </c>
      <c r="R58" s="4" t="str">
        <f t="shared" si="16"/>
        <v xml:space="preserve">    - 2.168E-01</v>
      </c>
      <c r="S58" s="4" t="str">
        <f t="shared" si="16"/>
        <v xml:space="preserve">    - 2.374E-01</v>
      </c>
      <c r="T58" s="4" t="str">
        <f t="shared" si="16"/>
        <v xml:space="preserve">    - 2.917E-01</v>
      </c>
      <c r="U58" s="4" t="str">
        <f t="shared" si="16"/>
        <v xml:space="preserve">    - 3.102E-01</v>
      </c>
      <c r="V58" s="4" t="str">
        <f t="shared" si="16"/>
        <v xml:space="preserve">    - 3.425E-01</v>
      </c>
      <c r="W58" s="4" t="str">
        <f t="shared" si="16"/>
        <v xml:space="preserve">    - 4.097E-01</v>
      </c>
      <c r="X58" s="4" t="str">
        <f t="shared" si="16"/>
        <v xml:space="preserve">    - 4.232E-01</v>
      </c>
      <c r="Y58" s="4" t="str">
        <f t="shared" si="16"/>
        <v xml:space="preserve">    - 9.061E-01</v>
      </c>
      <c r="Z58" s="4" t="str">
        <f t="shared" si="16"/>
        <v xml:space="preserve">    - 9.731E-01</v>
      </c>
      <c r="AA58" s="4" t="str">
        <f t="shared" si="16"/>
        <v xml:space="preserve">    - 1.031E+00</v>
      </c>
      <c r="AB58" s="4" t="str">
        <f t="shared" si="16"/>
        <v xml:space="preserve">    - 1.444E+00</v>
      </c>
      <c r="AC58" s="4" t="str">
        <f t="shared" si="16"/>
        <v xml:space="preserve">    - 1.592E+00</v>
      </c>
      <c r="AD58" s="4" t="str">
        <f t="shared" si="16"/>
        <v xml:space="preserve">    - 2.095E+00</v>
      </c>
      <c r="AE58" s="4" t="str">
        <f t="shared" si="16"/>
        <v xml:space="preserve">    - 2.211E+00</v>
      </c>
      <c r="AF58" s="4" t="str">
        <f t="shared" si="16"/>
        <v xml:space="preserve">    - 2.982E+00</v>
      </c>
      <c r="AG58" s="4" t="str">
        <f t="shared" si="16"/>
        <v xml:space="preserve">    - 3.997E+00</v>
      </c>
      <c r="AH58" s="4" t="str">
        <f t="shared" si="16"/>
        <v xml:space="preserve">    - 4.273E+00</v>
      </c>
      <c r="AI58" s="4" t="str">
        <f t="shared" si="16"/>
        <v xml:space="preserve">    - 5.355E+00</v>
      </c>
      <c r="AJ58" s="4" t="str">
        <f t="shared" si="16"/>
        <v xml:space="preserve">    - 1.606E+00</v>
      </c>
      <c r="AK58" s="4" t="str">
        <f t="shared" si="16"/>
        <v xml:space="preserve">    - 1.722E+00</v>
      </c>
      <c r="AL58" s="4" t="str">
        <f t="shared" si="16"/>
        <v xml:space="preserve">    - 1.509E-01</v>
      </c>
      <c r="AM58" s="4" t="str">
        <f t="shared" si="16"/>
        <v xml:space="preserve">    - 1.674E-01</v>
      </c>
      <c r="AN58" s="4" t="str">
        <f t="shared" si="16"/>
        <v xml:space="preserve">    - 1.702E-01</v>
      </c>
      <c r="AO58" s="4" t="str">
        <f t="shared" ref="AO58:AQ58" si="18">CONCATENATE("    - ", TEXT(AO28,"0.000E+00"))</f>
        <v xml:space="preserve">    - 1.536E+00</v>
      </c>
      <c r="AP58" s="4" t="str">
        <f t="shared" si="18"/>
        <v xml:space="preserve">    - 3.383E-01</v>
      </c>
      <c r="AQ58" s="4" t="str">
        <f t="shared" si="18"/>
        <v xml:space="preserve">    - 1.700E-01</v>
      </c>
    </row>
    <row r="59" spans="2:43">
      <c r="B59" s="4" t="str">
        <f t="shared" si="8"/>
        <v xml:space="preserve">    - 0.150</v>
      </c>
      <c r="C59" s="4" t="str">
        <f t="shared" si="9"/>
        <v xml:space="preserve">    - 2.650E-01</v>
      </c>
      <c r="D59" s="4" t="str">
        <f t="shared" si="16"/>
        <v xml:space="preserve">    - 1.155E-01</v>
      </c>
      <c r="E59" s="4" t="str">
        <f t="shared" si="16"/>
        <v xml:space="preserve">    - 1.186E-01</v>
      </c>
      <c r="F59" s="4" t="str">
        <f t="shared" si="16"/>
        <v xml:space="preserve">    - 1.237E-01</v>
      </c>
      <c r="G59" s="4" t="str">
        <f t="shared" si="16"/>
        <v xml:space="preserve">    - 1.338E-01</v>
      </c>
      <c r="H59" s="4" t="str">
        <f t="shared" si="16"/>
        <v xml:space="preserve">    - 1.340E-01</v>
      </c>
      <c r="I59" s="4" t="str">
        <f t="shared" si="16"/>
        <v xml:space="preserve">    - 1.344E-01</v>
      </c>
      <c r="J59" s="4" t="str">
        <f t="shared" si="16"/>
        <v xml:space="preserve">    - 1.305E-01</v>
      </c>
      <c r="K59" s="4" t="str">
        <f t="shared" si="16"/>
        <v xml:space="preserve">    - 1.357E-01</v>
      </c>
      <c r="L59" s="4" t="str">
        <f t="shared" si="16"/>
        <v xml:space="preserve">    - 1.337E-01</v>
      </c>
      <c r="M59" s="4" t="str">
        <f t="shared" si="16"/>
        <v xml:space="preserve">    - 1.399E-01</v>
      </c>
      <c r="N59" s="4" t="str">
        <f t="shared" si="16"/>
        <v xml:space="preserve">    - 1.379E-01</v>
      </c>
      <c r="O59" s="4" t="str">
        <f t="shared" si="16"/>
        <v xml:space="preserve">    - 1.444E-01</v>
      </c>
      <c r="P59" s="4" t="str">
        <f t="shared" si="16"/>
        <v xml:space="preserve">    - 1.414E-01</v>
      </c>
      <c r="Q59" s="4" t="str">
        <f t="shared" si="16"/>
        <v xml:space="preserve">    - 1.359E-01</v>
      </c>
      <c r="R59" s="4" t="str">
        <f t="shared" si="16"/>
        <v xml:space="preserve">    - 1.501E-01</v>
      </c>
      <c r="S59" s="4" t="str">
        <f t="shared" si="16"/>
        <v xml:space="preserve">    - 1.583E-01</v>
      </c>
      <c r="T59" s="4" t="str">
        <f t="shared" si="16"/>
        <v xml:space="preserve">    - 1.674E-01</v>
      </c>
      <c r="U59" s="4" t="str">
        <f t="shared" si="16"/>
        <v xml:space="preserve">    - 1.715E-01</v>
      </c>
      <c r="V59" s="4" t="str">
        <f t="shared" si="16"/>
        <v xml:space="preserve">    - 1.829E-01</v>
      </c>
      <c r="W59" s="4" t="str">
        <f t="shared" si="16"/>
        <v xml:space="preserve">    - 2.049E-01</v>
      </c>
      <c r="X59" s="4" t="str">
        <f t="shared" si="16"/>
        <v xml:space="preserve">    - 2.053E-01</v>
      </c>
      <c r="Y59" s="4" t="str">
        <f t="shared" si="16"/>
        <v xml:space="preserve">    - 3.509E-01</v>
      </c>
      <c r="Z59" s="4" t="str">
        <f t="shared" si="16"/>
        <v xml:space="preserve">    - 3.728E-01</v>
      </c>
      <c r="AA59" s="4" t="str">
        <f t="shared" si="16"/>
        <v xml:space="preserve">    - 3.902E-01</v>
      </c>
      <c r="AB59" s="4" t="str">
        <f t="shared" si="16"/>
        <v xml:space="preserve">    - 5.213E-01</v>
      </c>
      <c r="AC59" s="4" t="str">
        <f t="shared" si="16"/>
        <v xml:space="preserve">    - 5.690E-01</v>
      </c>
      <c r="AD59" s="4" t="str">
        <f t="shared" si="16"/>
        <v xml:space="preserve">    - 7.352E-01</v>
      </c>
      <c r="AE59" s="4" t="str">
        <f t="shared" si="16"/>
        <v xml:space="preserve">    - 7.747E-01</v>
      </c>
      <c r="AF59" s="4" t="str">
        <f t="shared" si="16"/>
        <v xml:space="preserve">    - 1.040E+00</v>
      </c>
      <c r="AG59" s="4" t="str">
        <f t="shared" si="16"/>
        <v xml:space="preserve">    - 1.402E+00</v>
      </c>
      <c r="AH59" s="4" t="str">
        <f t="shared" si="16"/>
        <v xml:space="preserve">    - 1.502E+00</v>
      </c>
      <c r="AI59" s="4" t="str">
        <f t="shared" si="16"/>
        <v xml:space="preserve">    - 1.921E+00</v>
      </c>
      <c r="AJ59" s="4" t="str">
        <f t="shared" si="16"/>
        <v xml:space="preserve">    - 2.362E+00</v>
      </c>
      <c r="AK59" s="4" t="str">
        <f t="shared" si="16"/>
        <v xml:space="preserve">    - 2.477E+00</v>
      </c>
      <c r="AL59" s="4" t="str">
        <f t="shared" si="16"/>
        <v xml:space="preserve">    - 1.341E-01</v>
      </c>
      <c r="AM59" s="4" t="str">
        <f t="shared" si="16"/>
        <v xml:space="preserve">    - 1.490E-01</v>
      </c>
      <c r="AN59" s="4" t="str">
        <f t="shared" si="16"/>
        <v xml:space="preserve">    - 1.397E-01</v>
      </c>
      <c r="AO59" s="4" t="str">
        <f t="shared" ref="AO59:AQ59" si="19">CONCATENATE("    - ", TEXT(AO29,"0.000E+00"))</f>
        <v xml:space="preserve">    - 2.199E+00</v>
      </c>
      <c r="AP59" s="4" t="str">
        <f t="shared" si="19"/>
        <v xml:space="preserve">    - 1.818E-01</v>
      </c>
      <c r="AQ59" s="4" t="str">
        <f t="shared" si="19"/>
        <v xml:space="preserve">    - 1.403E-01</v>
      </c>
    </row>
    <row r="60" spans="2:43">
      <c r="B60" s="4" t="str">
        <f t="shared" si="8"/>
        <v xml:space="preserve">    - 0.200</v>
      </c>
      <c r="C60" s="4" t="str">
        <f t="shared" si="9"/>
        <v xml:space="preserve">    - 2.429E-01</v>
      </c>
      <c r="D60" s="4" t="str">
        <f t="shared" si="16"/>
        <v xml:space="preserve">    - 1.058E-01</v>
      </c>
      <c r="E60" s="4" t="str">
        <f t="shared" si="16"/>
        <v xml:space="preserve">    - 1.086E-01</v>
      </c>
      <c r="F60" s="4" t="str">
        <f t="shared" si="16"/>
        <v xml:space="preserve">    - 1.132E-01</v>
      </c>
      <c r="G60" s="4" t="str">
        <f t="shared" si="16"/>
        <v xml:space="preserve">    - 1.223E-01</v>
      </c>
      <c r="H60" s="4" t="str">
        <f t="shared" si="16"/>
        <v xml:space="preserve">    - 1.225E-01</v>
      </c>
      <c r="I60" s="4" t="str">
        <f t="shared" si="16"/>
        <v xml:space="preserve">    - 1.227E-01</v>
      </c>
      <c r="J60" s="4" t="str">
        <f t="shared" si="16"/>
        <v xml:space="preserve">    - 1.181E-01</v>
      </c>
      <c r="K60" s="4" t="str">
        <f t="shared" si="16"/>
        <v xml:space="preserve">    - 1.224E-01</v>
      </c>
      <c r="L60" s="4" t="str">
        <f t="shared" si="16"/>
        <v xml:space="preserve">    - 1.199E-01</v>
      </c>
      <c r="M60" s="4" t="str">
        <f t="shared" si="16"/>
        <v xml:space="preserve">    - 1.247E-01</v>
      </c>
      <c r="N60" s="4" t="str">
        <f t="shared" si="16"/>
        <v xml:space="preserve">    - 1.219E-01</v>
      </c>
      <c r="O60" s="4" t="str">
        <f t="shared" si="16"/>
        <v xml:space="preserve">    - 1.267E-01</v>
      </c>
      <c r="P60" s="4" t="str">
        <f t="shared" si="16"/>
        <v xml:space="preserve">    - 1.228E-01</v>
      </c>
      <c r="Q60" s="4" t="str">
        <f t="shared" si="16"/>
        <v xml:space="preserve">    - 1.166E-01</v>
      </c>
      <c r="R60" s="4" t="str">
        <f t="shared" si="16"/>
        <v xml:space="preserve">    - 1.273E-01</v>
      </c>
      <c r="S60" s="4" t="str">
        <f t="shared" si="16"/>
        <v xml:space="preserve">    - 1.324E-01</v>
      </c>
      <c r="T60" s="4" t="str">
        <f t="shared" si="16"/>
        <v xml:space="preserve">    - 1.312E-01</v>
      </c>
      <c r="U60" s="4" t="str">
        <f t="shared" si="16"/>
        <v xml:space="preserve">    - 1.321E-01</v>
      </c>
      <c r="V60" s="4" t="str">
        <f t="shared" si="16"/>
        <v xml:space="preserve">    - 1.383E-01</v>
      </c>
      <c r="W60" s="4" t="str">
        <f t="shared" si="16"/>
        <v xml:space="preserve">    - 1.490E-01</v>
      </c>
      <c r="X60" s="4" t="str">
        <f t="shared" si="16"/>
        <v xml:space="preserve">    - 1.466E-01</v>
      </c>
      <c r="Y60" s="4" t="str">
        <f t="shared" si="16"/>
        <v xml:space="preserve">    - 2.075E-01</v>
      </c>
      <c r="Z60" s="4" t="str">
        <f t="shared" si="16"/>
        <v xml:space="preserve">    - 2.174E-01</v>
      </c>
      <c r="AA60" s="4" t="str">
        <f t="shared" si="16"/>
        <v xml:space="preserve">    - 2.246E-01</v>
      </c>
      <c r="AB60" s="4" t="str">
        <f t="shared" si="16"/>
        <v xml:space="preserve">    - 2.818E-01</v>
      </c>
      <c r="AC60" s="4" t="str">
        <f t="shared" si="16"/>
        <v xml:space="preserve">    - 3.026E-01</v>
      </c>
      <c r="AD60" s="4" t="str">
        <f t="shared" si="16"/>
        <v xml:space="preserve">    - 3.768E-01</v>
      </c>
      <c r="AE60" s="4" t="str">
        <f t="shared" si="16"/>
        <v xml:space="preserve">    - 3.952E-01</v>
      </c>
      <c r="AF60" s="4" t="str">
        <f t="shared" si="16"/>
        <v xml:space="preserve">    - 5.181E-01</v>
      </c>
      <c r="AG60" s="4" t="str">
        <f t="shared" si="16"/>
        <v xml:space="preserve">    - 6.899E-01</v>
      </c>
      <c r="AH60" s="4" t="str">
        <f t="shared" si="16"/>
        <v xml:space="preserve">    - 7.383E-01</v>
      </c>
      <c r="AI60" s="4" t="str">
        <f t="shared" si="16"/>
        <v xml:space="preserve">    - 9.432E-01</v>
      </c>
      <c r="AJ60" s="4" t="str">
        <f t="shared" si="16"/>
        <v xml:space="preserve">    - 1.169E+00</v>
      </c>
      <c r="AK60" s="4" t="str">
        <f t="shared" si="16"/>
        <v xml:space="preserve">    - 1.230E+00</v>
      </c>
      <c r="AL60" s="4" t="str">
        <f t="shared" si="16"/>
        <v xml:space="preserve">    - 1.225E-01</v>
      </c>
      <c r="AM60" s="4" t="str">
        <f t="shared" si="16"/>
        <v xml:space="preserve">    - 1.361E-01</v>
      </c>
      <c r="AN60" s="4" t="str">
        <f t="shared" si="16"/>
        <v xml:space="preserve">    - 1.249E-01</v>
      </c>
      <c r="AO60" s="4" t="str">
        <f t="shared" ref="AO60:AQ60" si="20">CONCATENATE("    - ", TEXT(AO30,"0.000E+00"))</f>
        <v xml:space="preserve">    - 1.099E+00</v>
      </c>
      <c r="AP60" s="4" t="str">
        <f t="shared" si="20"/>
        <v xml:space="preserve">    - 1.379E-01</v>
      </c>
      <c r="AQ60" s="4" t="str">
        <f t="shared" si="20"/>
        <v xml:space="preserve">    - 1.256E-01</v>
      </c>
    </row>
    <row r="61" spans="2:43">
      <c r="B61" s="4" t="str">
        <f t="shared" si="8"/>
        <v xml:space="preserve">    - 0.300</v>
      </c>
      <c r="C61" s="4" t="str">
        <f t="shared" si="9"/>
        <v xml:space="preserve">    - 2.112E-01</v>
      </c>
      <c r="D61" s="4" t="str">
        <f t="shared" si="16"/>
        <v xml:space="preserve">    - 9.197E-02</v>
      </c>
      <c r="E61" s="4" t="str">
        <f t="shared" si="16"/>
        <v xml:space="preserve">    - 9.449E-02</v>
      </c>
      <c r="F61" s="4" t="str">
        <f t="shared" si="16"/>
        <v xml:space="preserve">    - 9.845E-02</v>
      </c>
      <c r="G61" s="4" t="str">
        <f t="shared" si="16"/>
        <v xml:space="preserve">    - 1.063E-01</v>
      </c>
      <c r="H61" s="4" t="str">
        <f t="shared" si="16"/>
        <v xml:space="preserve">    - 1.064E-01</v>
      </c>
      <c r="I61" s="4" t="str">
        <f t="shared" si="16"/>
        <v xml:space="preserve">    - 1.066E-01</v>
      </c>
      <c r="J61" s="4" t="str">
        <f t="shared" si="16"/>
        <v xml:space="preserve">    - 1.021E-01</v>
      </c>
      <c r="K61" s="4" t="str">
        <f t="shared" si="16"/>
        <v xml:space="preserve">    - 1.055E-01</v>
      </c>
      <c r="L61" s="4" t="str">
        <f t="shared" si="16"/>
        <v xml:space="preserve">    - 1.031E-01</v>
      </c>
      <c r="M61" s="4" t="str">
        <f t="shared" si="16"/>
        <v xml:space="preserve">    - 1.069E-01</v>
      </c>
      <c r="N61" s="4" t="str">
        <f t="shared" si="16"/>
        <v xml:space="preserve">    - 1.041E-01</v>
      </c>
      <c r="O61" s="4" t="str">
        <f t="shared" si="16"/>
        <v xml:space="preserve">    - 1.075E-01</v>
      </c>
      <c r="P61" s="4" t="str">
        <f t="shared" si="16"/>
        <v xml:space="preserve">    - 1.037E-01</v>
      </c>
      <c r="Q61" s="4" t="str">
        <f t="shared" si="16"/>
        <v xml:space="preserve">    - 9.773E-02</v>
      </c>
      <c r="R61" s="4" t="str">
        <f t="shared" si="16"/>
        <v xml:space="preserve">    - 1.059E-01</v>
      </c>
      <c r="S61" s="4" t="str">
        <f t="shared" si="16"/>
        <v xml:space="preserve">    - 1.092E-01</v>
      </c>
      <c r="T61" s="4" t="str">
        <f t="shared" si="16"/>
        <v xml:space="preserve">    - 1.037E-01</v>
      </c>
      <c r="U61" s="4" t="str">
        <f t="shared" si="16"/>
        <v xml:space="preserve">    - 1.030E-01</v>
      </c>
      <c r="V61" s="4" t="str">
        <f t="shared" si="16"/>
        <v xml:space="preserve">    - 1.064E-01</v>
      </c>
      <c r="W61" s="4" t="str">
        <f t="shared" si="16"/>
        <v xml:space="preserve">    - 1.113E-01</v>
      </c>
      <c r="X61" s="4" t="str">
        <f t="shared" si="16"/>
        <v xml:space="preserve">    - 1.076E-01</v>
      </c>
      <c r="Y61" s="4" t="str">
        <f t="shared" si="16"/>
        <v xml:space="preserve">    - 1.244E-01</v>
      </c>
      <c r="Z61" s="4" t="str">
        <f t="shared" si="16"/>
        <v xml:space="preserve">    - 1.279E-01</v>
      </c>
      <c r="AA61" s="4" t="str">
        <f t="shared" si="16"/>
        <v xml:space="preserve">    - 1.298E-01</v>
      </c>
      <c r="AB61" s="4" t="str">
        <f t="shared" si="16"/>
        <v xml:space="preserve">    - 1.471E-01</v>
      </c>
      <c r="AC61" s="4" t="str">
        <f t="shared" si="16"/>
        <v xml:space="preserve">    - 1.532E-01</v>
      </c>
      <c r="AD61" s="4" t="str">
        <f t="shared" si="16"/>
        <v xml:space="preserve">    - 1.763E-01</v>
      </c>
      <c r="AE61" s="4" t="str">
        <f t="shared" si="16"/>
        <v xml:space="preserve">    - 1.829E-01</v>
      </c>
      <c r="AF61" s="4" t="str">
        <f t="shared" si="16"/>
        <v xml:space="preserve">    - 2.247E-01</v>
      </c>
      <c r="AG61" s="4" t="str">
        <f t="shared" si="16"/>
        <v xml:space="preserve">    - 2.850E-01</v>
      </c>
      <c r="AH61" s="4" t="str">
        <f t="shared" si="16"/>
        <v xml:space="preserve">    - 3.023E-01</v>
      </c>
      <c r="AI61" s="4" t="str">
        <f t="shared" si="16"/>
        <v xml:space="preserve">    - 3.772E-01</v>
      </c>
      <c r="AJ61" s="4" t="str">
        <f t="shared" si="16"/>
        <v xml:space="preserve">    - 4.633E-01</v>
      </c>
      <c r="AK61" s="4" t="str">
        <f t="shared" si="16"/>
        <v xml:space="preserve">    - 4.873E-01</v>
      </c>
      <c r="AL61" s="4" t="str">
        <f t="shared" si="16"/>
        <v xml:space="preserve">    - 1.063E-01</v>
      </c>
      <c r="AM61" s="4" t="str">
        <f t="shared" si="16"/>
        <v xml:space="preserve">    - 1.183E-01</v>
      </c>
      <c r="AN61" s="4" t="str">
        <f t="shared" si="16"/>
        <v xml:space="preserve">    - 1.072E-01</v>
      </c>
      <c r="AO61" s="4" t="str">
        <f t="shared" ref="AO61:AQ61" si="21">CONCATENATE("    - ", TEXT(AO31,"0.000E+00"))</f>
        <v xml:space="preserve">    - 4.422E-01</v>
      </c>
      <c r="AP61" s="4" t="str">
        <f t="shared" si="21"/>
        <v xml:space="preserve">    - 1.063E-01</v>
      </c>
      <c r="AQ61" s="4" t="str">
        <f t="shared" si="21"/>
        <v xml:space="preserve">    - 1.079E-01</v>
      </c>
    </row>
    <row r="62" spans="2:43">
      <c r="B62" s="4" t="str">
        <f t="shared" si="8"/>
        <v xml:space="preserve">    - 0.400</v>
      </c>
      <c r="C62" s="4" t="str">
        <f t="shared" si="9"/>
        <v xml:space="preserve">    - 1.892E-01</v>
      </c>
      <c r="D62" s="4" t="str">
        <f t="shared" si="16"/>
        <v xml:space="preserve">    - 8.242E-02</v>
      </c>
      <c r="E62" s="4" t="str">
        <f t="shared" si="16"/>
        <v xml:space="preserve">    - 8.466E-02</v>
      </c>
      <c r="F62" s="4" t="str">
        <f t="shared" si="16"/>
        <v xml:space="preserve">    - 8.819E-02</v>
      </c>
      <c r="G62" s="4" t="str">
        <f t="shared" si="16"/>
        <v xml:space="preserve">    - 9.527E-02</v>
      </c>
      <c r="H62" s="4" t="str">
        <f t="shared" si="16"/>
        <v xml:space="preserve">    - 9.535E-02</v>
      </c>
      <c r="I62" s="4" t="str">
        <f t="shared" si="16"/>
        <v xml:space="preserve">    - 9.538E-02</v>
      </c>
      <c r="J62" s="4" t="str">
        <f t="shared" si="16"/>
        <v xml:space="preserve">    - 9.136E-02</v>
      </c>
      <c r="K62" s="4" t="str">
        <f t="shared" si="16"/>
        <v xml:space="preserve">    - 9.434E-02</v>
      </c>
      <c r="L62" s="4" t="str">
        <f t="shared" si="16"/>
        <v xml:space="preserve">    - 9.213E-02</v>
      </c>
      <c r="M62" s="4" t="str">
        <f t="shared" si="16"/>
        <v xml:space="preserve">    - 9.542E-02</v>
      </c>
      <c r="N62" s="4" t="str">
        <f t="shared" si="16"/>
        <v xml:space="preserve">    - 9.279E-02</v>
      </c>
      <c r="O62" s="4" t="str">
        <f t="shared" si="16"/>
        <v xml:space="preserve">    - 9.574E-02</v>
      </c>
      <c r="P62" s="4" t="str">
        <f t="shared" si="16"/>
        <v xml:space="preserve">    - 9.214E-02</v>
      </c>
      <c r="Q62" s="4" t="str">
        <f t="shared" si="16"/>
        <v xml:space="preserve">    - 8.672E-02</v>
      </c>
      <c r="R62" s="4" t="str">
        <f t="shared" si="16"/>
        <v xml:space="preserve">    - 9.373E-02</v>
      </c>
      <c r="S62" s="4" t="str">
        <f t="shared" si="16"/>
        <v xml:space="preserve">    - 9.648E-02</v>
      </c>
      <c r="T62" s="4" t="str">
        <f t="shared" si="16"/>
        <v xml:space="preserve">    - 9.040E-02</v>
      </c>
      <c r="U62" s="4" t="str">
        <f t="shared" si="16"/>
        <v xml:space="preserve">    - 8.950E-02</v>
      </c>
      <c r="V62" s="4" t="str">
        <f t="shared" si="16"/>
        <v xml:space="preserve">    - 9.200E-02</v>
      </c>
      <c r="W62" s="4" t="str">
        <f t="shared" si="16"/>
        <v xml:space="preserve">    - 9.529E-02</v>
      </c>
      <c r="X62" s="4" t="str">
        <f t="shared" si="16"/>
        <v xml:space="preserve">    - 9.170E-02</v>
      </c>
      <c r="Y62" s="4" t="str">
        <f t="shared" si="16"/>
        <v xml:space="preserve">    - 9.764E-02</v>
      </c>
      <c r="Z62" s="4" t="str">
        <f t="shared" si="16"/>
        <v xml:space="preserve">    - 9.954E-02</v>
      </c>
      <c r="AA62" s="4" t="str">
        <f t="shared" si="16"/>
        <v xml:space="preserve">    - 1.001E-01</v>
      </c>
      <c r="AB62" s="4" t="str">
        <f t="shared" si="16"/>
        <v xml:space="preserve">    - 1.071E-01</v>
      </c>
      <c r="AC62" s="4" t="str">
        <f t="shared" si="16"/>
        <v xml:space="preserve">    - 1.095E-01</v>
      </c>
      <c r="AD62" s="4" t="str">
        <f t="shared" si="16"/>
        <v xml:space="preserve">    - 1.192E-01</v>
      </c>
      <c r="AE62" s="4" t="str">
        <f t="shared" si="16"/>
        <v xml:space="preserve">    - 1.225E-01</v>
      </c>
      <c r="AF62" s="4" t="str">
        <f t="shared" si="16"/>
        <v xml:space="preserve">    - 1.424E-01</v>
      </c>
      <c r="AG62" s="4" t="str">
        <f t="shared" si="16"/>
        <v xml:space="preserve">    - 1.716E-01</v>
      </c>
      <c r="AH62" s="4" t="str">
        <f t="shared" si="16"/>
        <v xml:space="preserve">    - 1.801E-01</v>
      </c>
      <c r="AI62" s="4" t="str">
        <f t="shared" si="16"/>
        <v xml:space="preserve">    - 2.172E-01</v>
      </c>
      <c r="AJ62" s="4" t="str">
        <f t="shared" si="16"/>
        <v xml:space="preserve">    - 2.610E-01</v>
      </c>
      <c r="AK62" s="4" t="str">
        <f t="shared" si="16"/>
        <v xml:space="preserve">    - 2.735E-01</v>
      </c>
      <c r="AL62" s="4" t="str">
        <f t="shared" si="16"/>
        <v xml:space="preserve">    - 9.525E-02</v>
      </c>
      <c r="AM62" s="4" t="str">
        <f t="shared" si="16"/>
        <v xml:space="preserve">    - 1.059E-01</v>
      </c>
      <c r="AN62" s="4" t="str">
        <f t="shared" si="16"/>
        <v xml:space="preserve">    - 9.572E-02</v>
      </c>
      <c r="AO62" s="4" t="str">
        <f t="shared" ref="AO62:AQ62" si="22">CONCATENATE("    - ", TEXT(AO32,"0.000E+00"))</f>
        <v xml:space="preserve">    - 2.524E-01</v>
      </c>
      <c r="AP62" s="4" t="str">
        <f t="shared" si="22"/>
        <v xml:space="preserve">    - 9.202E-02</v>
      </c>
      <c r="AQ62" s="4" t="str">
        <f t="shared" si="22"/>
        <v xml:space="preserve">    - 9.638E-02</v>
      </c>
    </row>
    <row r="63" spans="2:43">
      <c r="B63" s="4" t="str">
        <f t="shared" si="8"/>
        <v xml:space="preserve">    - 0.500</v>
      </c>
      <c r="C63" s="4" t="str">
        <f t="shared" si="9"/>
        <v xml:space="preserve">    - 1.728E-01</v>
      </c>
      <c r="D63" s="4" t="str">
        <f t="shared" si="16"/>
        <v xml:space="preserve">    - 7.526E-02</v>
      </c>
      <c r="E63" s="4" t="str">
        <f t="shared" si="16"/>
        <v xml:space="preserve">    - 7.732E-02</v>
      </c>
      <c r="F63" s="4" t="str">
        <f t="shared" si="16"/>
        <v xml:space="preserve">    - 8.055E-02</v>
      </c>
      <c r="G63" s="4" t="str">
        <f t="shared" si="16"/>
        <v xml:space="preserve">    - 8.700E-02</v>
      </c>
      <c r="H63" s="4" t="str">
        <f t="shared" si="16"/>
        <v xml:space="preserve">    - 8.703E-02</v>
      </c>
      <c r="I63" s="4" t="str">
        <f t="shared" si="16"/>
        <v xml:space="preserve">    - 8.708E-02</v>
      </c>
      <c r="J63" s="4" t="str">
        <f t="shared" si="16"/>
        <v xml:space="preserve">    - 8.339E-02</v>
      </c>
      <c r="K63" s="4" t="str">
        <f t="shared" si="16"/>
        <v xml:space="preserve">    - 8.608E-02</v>
      </c>
      <c r="L63" s="4" t="str">
        <f t="shared" si="16"/>
        <v xml:space="preserve">    - 8.403E-02</v>
      </c>
      <c r="M63" s="4" t="str">
        <f t="shared" si="16"/>
        <v xml:space="preserve">    - 8.698E-02</v>
      </c>
      <c r="N63" s="4" t="str">
        <f t="shared" si="16"/>
        <v xml:space="preserve">    - 8.458E-02</v>
      </c>
      <c r="O63" s="4" t="str">
        <f t="shared" si="16"/>
        <v xml:space="preserve">    - 8.722E-02</v>
      </c>
      <c r="P63" s="4" t="str">
        <f t="shared" si="16"/>
        <v xml:space="preserve">    - 8.388E-02</v>
      </c>
      <c r="Q63" s="4" t="str">
        <f t="shared" si="16"/>
        <v xml:space="preserve">    - 7.890E-02</v>
      </c>
      <c r="R63" s="4" t="str">
        <f t="shared" si="16"/>
        <v xml:space="preserve">    - 8.520E-02</v>
      </c>
      <c r="S63" s="4" t="str">
        <f t="shared" si="16"/>
        <v xml:space="preserve">    - 8.761E-02</v>
      </c>
      <c r="T63" s="4" t="str">
        <f t="shared" si="16"/>
        <v xml:space="preserve">    - 8.168E-02</v>
      </c>
      <c r="U63" s="4" t="str">
        <f t="shared" si="16"/>
        <v xml:space="preserve">    - 8.073E-02</v>
      </c>
      <c r="V63" s="4" t="str">
        <f t="shared" si="16"/>
        <v xml:space="preserve">    - 8.282E-02</v>
      </c>
      <c r="W63" s="4" t="str">
        <f t="shared" si="16"/>
        <v xml:space="preserve">    - 8.545E-02</v>
      </c>
      <c r="X63" s="4" t="str">
        <f t="shared" si="16"/>
        <v xml:space="preserve">    - 8.204E-02</v>
      </c>
      <c r="Y63" s="4" t="str">
        <f t="shared" si="16"/>
        <v xml:space="preserve">    - 8.420E-02</v>
      </c>
      <c r="Z63" s="4" t="str">
        <f t="shared" si="16"/>
        <v xml:space="preserve">    - 8.546E-02</v>
      </c>
      <c r="AA63" s="4" t="str">
        <f t="shared" si="16"/>
        <v xml:space="preserve">    - 8.553E-02</v>
      </c>
      <c r="AB63" s="4" t="str">
        <f t="shared" si="16"/>
        <v xml:space="preserve">    - 8.878E-02</v>
      </c>
      <c r="AC63" s="4" t="str">
        <f t="shared" si="16"/>
        <v xml:space="preserve">    - 8.976E-02</v>
      </c>
      <c r="AD63" s="4" t="str">
        <f t="shared" si="16"/>
        <v xml:space="preserve">    - 9.446E-02</v>
      </c>
      <c r="AE63" s="4" t="str">
        <f t="shared" si="16"/>
        <v xml:space="preserve">    - 9.654E-02</v>
      </c>
      <c r="AF63" s="4" t="str">
        <f t="shared" si="16"/>
        <v xml:space="preserve">    - 1.078E-01</v>
      </c>
      <c r="AG63" s="4" t="str">
        <f t="shared" si="16"/>
        <v xml:space="preserve">    - 1.247E-01</v>
      </c>
      <c r="AH63" s="4" t="str">
        <f t="shared" si="16"/>
        <v xml:space="preserve">    - 1.297E-01</v>
      </c>
      <c r="AI63" s="4" t="str">
        <f t="shared" si="16"/>
        <v xml:space="preserve">    - 1.514E-01</v>
      </c>
      <c r="AJ63" s="4" t="str">
        <f t="shared" si="16"/>
        <v xml:space="preserve">    - 1.778E-01</v>
      </c>
      <c r="AK63" s="4" t="str">
        <f t="shared" si="16"/>
        <v xml:space="preserve">    - 1.854E-01</v>
      </c>
      <c r="AL63" s="4" t="str">
        <f t="shared" si="16"/>
        <v xml:space="preserve">    - 8.694E-02</v>
      </c>
      <c r="AM63" s="4" t="str">
        <f t="shared" si="16"/>
        <v xml:space="preserve">    - 9.667E-02</v>
      </c>
      <c r="AN63" s="4" t="str">
        <f t="shared" si="16"/>
        <v xml:space="preserve">    - 8.728E-02</v>
      </c>
      <c r="AO63" s="4" t="str">
        <f t="shared" ref="AO63:AQ63" si="23">CONCATENATE("    - ", TEXT(AO33,"0.000E+00"))</f>
        <v xml:space="preserve">    - 1.737E-01</v>
      </c>
      <c r="AP63" s="4" t="str">
        <f t="shared" si="23"/>
        <v xml:space="preserve">    - 8.287E-02</v>
      </c>
      <c r="AQ63" s="4" t="str">
        <f t="shared" si="23"/>
        <v xml:space="preserve">    - 8.789E-02</v>
      </c>
    </row>
    <row r="64" spans="2:43">
      <c r="B64" s="4" t="str">
        <f t="shared" si="8"/>
        <v xml:space="preserve">    - 0.600</v>
      </c>
      <c r="C64" s="4" t="str">
        <f t="shared" si="9"/>
        <v xml:space="preserve">    - 1.598E-01</v>
      </c>
      <c r="D64" s="4" t="str">
        <f t="shared" si="16"/>
        <v xml:space="preserve">    - 6.963E-02</v>
      </c>
      <c r="E64" s="4" t="str">
        <f t="shared" si="16"/>
        <v xml:space="preserve">    - 7.150E-02</v>
      </c>
      <c r="F64" s="4" t="str">
        <f t="shared" si="16"/>
        <v xml:space="preserve">    - 7.448E-02</v>
      </c>
      <c r="G64" s="4" t="str">
        <f t="shared" si="16"/>
        <v xml:space="preserve">    - 8.047E-02</v>
      </c>
      <c r="H64" s="4" t="str">
        <f t="shared" si="16"/>
        <v xml:space="preserve">    - 8.049E-02</v>
      </c>
      <c r="I64" s="4" t="str">
        <f t="shared" si="16"/>
        <v xml:space="preserve">    - 8.056E-02</v>
      </c>
      <c r="J64" s="4" t="str">
        <f t="shared" si="16"/>
        <v xml:space="preserve">    - 7.711E-02</v>
      </c>
      <c r="K64" s="4" t="str">
        <f>CONCATENATE("    - ", TEXT(K34,"0.000E+00"))</f>
        <v xml:space="preserve">    - 7.960E-02</v>
      </c>
      <c r="L64" s="4" t="str">
        <f>CONCATENATE("    - ", TEXT(L34,"0.000E+00"))</f>
        <v xml:space="preserve">    - 7.769E-02</v>
      </c>
      <c r="M64" s="4" t="str">
        <f t="shared" ref="D64:AN71" si="24">CONCATENATE("    - ", TEXT(M34,"0.000E+00"))</f>
        <v xml:space="preserve">    - 8.041E-02</v>
      </c>
      <c r="N64" s="4" t="str">
        <f t="shared" si="24"/>
        <v xml:space="preserve">    - 7.815E-02</v>
      </c>
      <c r="O64" s="4" t="str">
        <f t="shared" si="24"/>
        <v xml:space="preserve">    - 8.059E-02</v>
      </c>
      <c r="P64" s="4" t="str">
        <f t="shared" si="24"/>
        <v xml:space="preserve">    - 7.747E-02</v>
      </c>
      <c r="Q64" s="4" t="str">
        <f t="shared" si="24"/>
        <v xml:space="preserve">    - 7.286E-02</v>
      </c>
      <c r="R64" s="4" t="str">
        <f t="shared" si="24"/>
        <v xml:space="preserve">    - 7.864E-02</v>
      </c>
      <c r="S64" s="4" t="str">
        <f t="shared" si="24"/>
        <v xml:space="preserve">    - 8.083E-02</v>
      </c>
      <c r="T64" s="4" t="str">
        <f t="shared" si="24"/>
        <v xml:space="preserve">    - 7.518E-02</v>
      </c>
      <c r="U64" s="4" t="str">
        <f t="shared" si="24"/>
        <v xml:space="preserve">    - 7.424E-02</v>
      </c>
      <c r="V64" s="4" t="str">
        <f t="shared" si="24"/>
        <v xml:space="preserve">    - 7.611E-02</v>
      </c>
      <c r="W64" s="4" t="str">
        <f t="shared" si="24"/>
        <v xml:space="preserve">    - 7.835E-02</v>
      </c>
      <c r="X64" s="4" t="str">
        <f t="shared" si="24"/>
        <v xml:space="preserve">    - 7.513E-02</v>
      </c>
      <c r="Y64" s="4" t="str">
        <f t="shared" si="24"/>
        <v xml:space="preserve">    - 7.560E-02</v>
      </c>
      <c r="Z64" s="4" t="str">
        <f t="shared" si="24"/>
        <v xml:space="preserve">    - 7.655E-02</v>
      </c>
      <c r="AA64" s="4" t="str">
        <f t="shared" si="24"/>
        <v xml:space="preserve">    - 7.638E-02</v>
      </c>
      <c r="AB64" s="4" t="str">
        <f t="shared" si="24"/>
        <v xml:space="preserve">    - 7.799E-02</v>
      </c>
      <c r="AC64" s="4" t="str">
        <f t="shared" si="24"/>
        <v xml:space="preserve">    - 7.831E-02</v>
      </c>
      <c r="AD64" s="4" t="str">
        <f t="shared" si="24"/>
        <v xml:space="preserve">    - 8.075E-02</v>
      </c>
      <c r="AE64" s="4" t="str">
        <f t="shared" si="24"/>
        <v xml:space="preserve">    - 8.223E-02</v>
      </c>
      <c r="AF64" s="4" t="str">
        <f t="shared" si="24"/>
        <v xml:space="preserve">    - 8.941E-02</v>
      </c>
      <c r="AG64" s="4" t="str">
        <f t="shared" si="24"/>
        <v xml:space="preserve">    - 1.004E-01</v>
      </c>
      <c r="AH64" s="4" t="str">
        <f t="shared" si="24"/>
        <v xml:space="preserve">    - 1.036E-01</v>
      </c>
      <c r="AI64" s="4" t="str">
        <f t="shared" si="24"/>
        <v xml:space="preserve">    - 1.178E-01</v>
      </c>
      <c r="AJ64" s="4" t="str">
        <f t="shared" si="24"/>
        <v xml:space="preserve">    - 1.352E-01</v>
      </c>
      <c r="AK64" s="4" t="str">
        <f t="shared" si="24"/>
        <v xml:space="preserve">    - 1.403E-01</v>
      </c>
      <c r="AL64" s="4" t="str">
        <f t="shared" si="24"/>
        <v xml:space="preserve">    - 8.041E-02</v>
      </c>
      <c r="AM64" s="4" t="str">
        <f t="shared" si="24"/>
        <v xml:space="preserve">    - 8.943E-02</v>
      </c>
      <c r="AN64" s="4" t="str">
        <f t="shared" si="24"/>
        <v xml:space="preserve">    - 8.070E-02</v>
      </c>
      <c r="AO64" s="4" t="str">
        <f t="shared" ref="AO64:AQ64" si="25">CONCATENATE("    - ", TEXT(AO34,"0.000E+00"))</f>
        <v xml:space="preserve">    - 1.332E-01</v>
      </c>
      <c r="AP64" s="4" t="str">
        <f t="shared" si="25"/>
        <v xml:space="preserve">    - 7.616E-02</v>
      </c>
      <c r="AQ64" s="4" t="str">
        <f t="shared" si="25"/>
        <v xml:space="preserve">    - 8.126E-02</v>
      </c>
    </row>
    <row r="65" spans="2:43">
      <c r="B65" s="4" t="str">
        <f t="shared" si="8"/>
        <v xml:space="preserve">    - 0.800</v>
      </c>
      <c r="C65" s="4" t="str">
        <f t="shared" si="9"/>
        <v xml:space="preserve">    - 1.404E-01</v>
      </c>
      <c r="D65" s="4" t="str">
        <f t="shared" si="24"/>
        <v xml:space="preserve">    - 6.116E-02</v>
      </c>
      <c r="E65" s="4" t="str">
        <f t="shared" si="24"/>
        <v xml:space="preserve">    - 6.280E-02</v>
      </c>
      <c r="F65" s="4" t="str">
        <f t="shared" si="24"/>
        <v xml:space="preserve">    - 6.546E-02</v>
      </c>
      <c r="G65" s="4" t="str">
        <f t="shared" si="24"/>
        <v xml:space="preserve">    - 7.070E-02</v>
      </c>
      <c r="H65" s="4" t="str">
        <f t="shared" si="24"/>
        <v xml:space="preserve">    - 7.073E-02</v>
      </c>
      <c r="I65" s="4" t="str">
        <f t="shared" si="24"/>
        <v xml:space="preserve">    - 7.077E-02</v>
      </c>
      <c r="J65" s="4" t="str">
        <f t="shared" si="24"/>
        <v xml:space="preserve">    - 6.774E-02</v>
      </c>
      <c r="K65" s="4" t="str">
        <f t="shared" si="24"/>
        <v xml:space="preserve">    - 6.990E-02</v>
      </c>
      <c r="L65" s="4" t="str">
        <f t="shared" si="24"/>
        <v xml:space="preserve">    - 6.821E-02</v>
      </c>
      <c r="M65" s="4" t="str">
        <f t="shared" si="24"/>
        <v xml:space="preserve">    - 7.058E-02</v>
      </c>
      <c r="N65" s="4" t="str">
        <f t="shared" si="24"/>
        <v xml:space="preserve">    - 6.859E-02</v>
      </c>
      <c r="O65" s="4" t="str">
        <f t="shared" si="24"/>
        <v xml:space="preserve">    - 7.071E-02</v>
      </c>
      <c r="P65" s="4" t="str">
        <f t="shared" si="24"/>
        <v xml:space="preserve">    - 6.796E-02</v>
      </c>
      <c r="Q65" s="4" t="str">
        <f t="shared" si="24"/>
        <v xml:space="preserve">    - 6.389E-02</v>
      </c>
      <c r="R65" s="4" t="str">
        <f t="shared" si="24"/>
        <v xml:space="preserve">    - 6.894E-02</v>
      </c>
      <c r="S65" s="4" t="str">
        <f t="shared" si="24"/>
        <v xml:space="preserve">    - 7.083E-02</v>
      </c>
      <c r="T65" s="4" t="str">
        <f t="shared" si="24"/>
        <v xml:space="preserve">    - 6.572E-02</v>
      </c>
      <c r="U65" s="4" t="str">
        <f t="shared" si="24"/>
        <v xml:space="preserve">    - 6.487E-02</v>
      </c>
      <c r="V65" s="4" t="str">
        <f t="shared" si="24"/>
        <v xml:space="preserve">    - 6.644E-02</v>
      </c>
      <c r="W65" s="4" t="str">
        <f t="shared" si="24"/>
        <v xml:space="preserve">    - 6.827E-02</v>
      </c>
      <c r="X65" s="4" t="str">
        <f t="shared" si="24"/>
        <v xml:space="preserve">    - 6.540E-02</v>
      </c>
      <c r="Y65" s="4" t="str">
        <f t="shared" si="24"/>
        <v xml:space="preserve">    - 6.459E-02</v>
      </c>
      <c r="Z65" s="4" t="str">
        <f t="shared" si="24"/>
        <v xml:space="preserve">    - 6.524E-02</v>
      </c>
      <c r="AA65" s="4" t="str">
        <f t="shared" si="24"/>
        <v xml:space="preserve">    - 6.497E-02</v>
      </c>
      <c r="AB65" s="4" t="str">
        <f t="shared" si="24"/>
        <v xml:space="preserve">    - 6.518E-02</v>
      </c>
      <c r="AC65" s="4" t="str">
        <f t="shared" si="24"/>
        <v xml:space="preserve">    - 6.503E-02</v>
      </c>
      <c r="AD65" s="4" t="str">
        <f t="shared" si="24"/>
        <v xml:space="preserve">    - 6.553E-02</v>
      </c>
      <c r="AE65" s="4" t="str">
        <f t="shared" si="24"/>
        <v xml:space="preserve">    - 6.643E-02</v>
      </c>
      <c r="AF65" s="4" t="str">
        <f t="shared" si="24"/>
        <v xml:space="preserve">    - 7.005E-02</v>
      </c>
      <c r="AG65" s="4" t="str">
        <f t="shared" si="24"/>
        <v xml:space="preserve">    - 7.569E-02</v>
      </c>
      <c r="AH65" s="4" t="str">
        <f t="shared" si="24"/>
        <v xml:space="preserve">    - 7.738E-02</v>
      </c>
      <c r="AI65" s="4" t="str">
        <f t="shared" si="24"/>
        <v xml:space="preserve">    - 8.472E-02</v>
      </c>
      <c r="AJ65" s="4" t="str">
        <f t="shared" si="24"/>
        <v xml:space="preserve">    - 9.385E-02</v>
      </c>
      <c r="AK65" s="4" t="str">
        <f t="shared" si="24"/>
        <v xml:space="preserve">    - 9.662E-02</v>
      </c>
      <c r="AL65" s="4" t="str">
        <f t="shared" si="24"/>
        <v xml:space="preserve">    - 7.065E-02</v>
      </c>
      <c r="AM65" s="4" t="str">
        <f t="shared" si="24"/>
        <v xml:space="preserve">    - 7.856E-02</v>
      </c>
      <c r="AN65" s="4" t="str">
        <f t="shared" si="24"/>
        <v xml:space="preserve">    - 7.085E-02</v>
      </c>
      <c r="AO65" s="4" t="str">
        <f t="shared" ref="AO65:AQ65" si="26">CONCATENATE("    - ", TEXT(AO35,"0.000E+00"))</f>
        <v xml:space="preserve">    - 9.356E-02</v>
      </c>
      <c r="AP65" s="4" t="str">
        <f t="shared" si="26"/>
        <v xml:space="preserve">    - 6.649E-02</v>
      </c>
      <c r="AQ65" s="4" t="str">
        <f t="shared" si="26"/>
        <v xml:space="preserve">    - 7.135E-02</v>
      </c>
    </row>
    <row r="66" spans="2:43">
      <c r="B66" s="4" t="str">
        <f t="shared" si="8"/>
        <v xml:space="preserve">    - 1.000</v>
      </c>
      <c r="C66" s="4" t="str">
        <f t="shared" si="9"/>
        <v xml:space="preserve">    - 1.262E-01</v>
      </c>
      <c r="D66" s="4" t="str">
        <f t="shared" si="24"/>
        <v xml:space="preserve">    - 5.497E-02</v>
      </c>
      <c r="E66" s="4" t="str">
        <f t="shared" si="24"/>
        <v xml:space="preserve">    - 5.645E-02</v>
      </c>
      <c r="F66" s="4" t="str">
        <f t="shared" si="24"/>
        <v xml:space="preserve">    - 5.883E-02</v>
      </c>
      <c r="G66" s="4" t="str">
        <f t="shared" si="24"/>
        <v xml:space="preserve">    - 6.352E-02</v>
      </c>
      <c r="H66" s="4" t="str">
        <f t="shared" si="24"/>
        <v xml:space="preserve">    - 6.355E-02</v>
      </c>
      <c r="I66" s="4" t="str">
        <f t="shared" si="24"/>
        <v xml:space="preserve">    - 6.362E-02</v>
      </c>
      <c r="J66" s="4" t="str">
        <f t="shared" si="24"/>
        <v xml:space="preserve">    - 6.087E-02</v>
      </c>
      <c r="K66" s="4" t="str">
        <f t="shared" si="24"/>
        <v xml:space="preserve">    - 6.283E-02</v>
      </c>
      <c r="L66" s="4" t="str">
        <f t="shared" si="24"/>
        <v xml:space="preserve">    - 6.132E-02</v>
      </c>
      <c r="M66" s="4" t="str">
        <f t="shared" si="24"/>
        <v xml:space="preserve">    - 6.344E-02</v>
      </c>
      <c r="N66" s="4" t="str">
        <f t="shared" si="24"/>
        <v xml:space="preserve">    - 6.164E-02</v>
      </c>
      <c r="O66" s="4" t="str">
        <f t="shared" si="24"/>
        <v xml:space="preserve">    - 6.353E-02</v>
      </c>
      <c r="P66" s="4" t="str">
        <f t="shared" si="24"/>
        <v xml:space="preserve">    - 6.107E-02</v>
      </c>
      <c r="Q66" s="4" t="str">
        <f t="shared" si="24"/>
        <v xml:space="preserve">    - 5.740E-02</v>
      </c>
      <c r="R66" s="4" t="str">
        <f t="shared" si="24"/>
        <v xml:space="preserve">    - 6.192E-02</v>
      </c>
      <c r="S66" s="4" t="str">
        <f t="shared" si="24"/>
        <v xml:space="preserve">    - 6.361E-02</v>
      </c>
      <c r="T66" s="4" t="str">
        <f t="shared" si="24"/>
        <v xml:space="preserve">    - 5.897E-02</v>
      </c>
      <c r="U66" s="4" t="str">
        <f t="shared" si="24"/>
        <v xml:space="preserve">    - 5.817E-02</v>
      </c>
      <c r="V66" s="4" t="str">
        <f t="shared" si="24"/>
        <v xml:space="preserve">    - 5.957E-02</v>
      </c>
      <c r="W66" s="4" t="str">
        <f t="shared" si="24"/>
        <v xml:space="preserve">    - 6.116E-02</v>
      </c>
      <c r="X66" s="4" t="str">
        <f t="shared" si="24"/>
        <v xml:space="preserve">    - 5.856E-02</v>
      </c>
      <c r="Y66" s="4" t="str">
        <f t="shared" si="24"/>
        <v xml:space="preserve">    - 5.736E-02</v>
      </c>
      <c r="Z66" s="4" t="str">
        <f t="shared" si="24"/>
        <v xml:space="preserve">    - 5.788E-02</v>
      </c>
      <c r="AA66" s="4" t="str">
        <f t="shared" si="24"/>
        <v xml:space="preserve">    - 5.757E-02</v>
      </c>
      <c r="AB66" s="4" t="str">
        <f t="shared" si="24"/>
        <v xml:space="preserve">    - 5.729E-02</v>
      </c>
      <c r="AC66" s="4" t="str">
        <f t="shared" si="24"/>
        <v xml:space="preserve">    - 5.696E-02</v>
      </c>
      <c r="AD66" s="4" t="str">
        <f t="shared" si="24"/>
        <v xml:space="preserve">    - 5.676E-02</v>
      </c>
      <c r="AE66" s="4" t="str">
        <f t="shared" si="24"/>
        <v xml:space="preserve">    - 5.744E-02</v>
      </c>
      <c r="AF66" s="4" t="str">
        <f t="shared" si="24"/>
        <v xml:space="preserve">    - 5.958E-02</v>
      </c>
      <c r="AG66" s="4" t="str">
        <f t="shared" si="24"/>
        <v xml:space="preserve">    - 6.300E-02</v>
      </c>
      <c r="AH66" s="4" t="str">
        <f t="shared" si="24"/>
        <v xml:space="preserve">    - 6.403E-02</v>
      </c>
      <c r="AI66" s="4" t="str">
        <f t="shared" si="24"/>
        <v xml:space="preserve">    - 6.844E-02</v>
      </c>
      <c r="AJ66" s="4" t="str">
        <f t="shared" si="24"/>
        <v xml:space="preserve">    - 7.398E-02</v>
      </c>
      <c r="AK66" s="4" t="str">
        <f t="shared" si="24"/>
        <v xml:space="preserve">    - 7.569E-02</v>
      </c>
      <c r="AL66" s="4" t="str">
        <f t="shared" si="24"/>
        <v xml:space="preserve">    - 6.349E-02</v>
      </c>
      <c r="AM66" s="4" t="str">
        <f t="shared" si="24"/>
        <v xml:space="preserve">    - 7.062E-02</v>
      </c>
      <c r="AN66" s="4" t="str">
        <f t="shared" si="24"/>
        <v xml:space="preserve">    - 6.368E-02</v>
      </c>
      <c r="AO66" s="4" t="str">
        <f t="shared" ref="AO66:AQ66" si="27">CONCATENATE("    - ", TEXT(AO36,"0.000E+00"))</f>
        <v xml:space="preserve">    - 7.426E-02</v>
      </c>
      <c r="AP66" s="4" t="str">
        <f t="shared" si="27"/>
        <v xml:space="preserve">    - 5.962E-02</v>
      </c>
      <c r="AQ66" s="4" t="str">
        <f t="shared" si="27"/>
        <v xml:space="preserve">    - 6.413E-02</v>
      </c>
    </row>
    <row r="67" spans="2:43">
      <c r="B67" s="4" t="str">
        <f t="shared" si="8"/>
        <v xml:space="preserve">    - 1.500</v>
      </c>
      <c r="C67" s="4" t="str">
        <f t="shared" si="9"/>
        <v xml:space="preserve">    - 1.026E-01</v>
      </c>
      <c r="D67" s="4" t="str">
        <f t="shared" si="24"/>
        <v xml:space="preserve">    - 4.469E-02</v>
      </c>
      <c r="E67" s="4" t="str">
        <f t="shared" si="24"/>
        <v xml:space="preserve">    - 4.590E-02</v>
      </c>
      <c r="F67" s="4" t="str">
        <f t="shared" si="24"/>
        <v xml:space="preserve">    - 4.785E-02</v>
      </c>
      <c r="G67" s="4" t="str">
        <f t="shared" si="24"/>
        <v xml:space="preserve">    - 5.167E-02</v>
      </c>
      <c r="H67" s="4" t="str">
        <f t="shared" si="24"/>
        <v xml:space="preserve">    - 5.173E-02</v>
      </c>
      <c r="I67" s="4" t="str">
        <f t="shared" si="24"/>
        <v xml:space="preserve">    - 5.178E-02</v>
      </c>
      <c r="J67" s="4" t="str">
        <f t="shared" si="24"/>
        <v xml:space="preserve">    - 4.958E-02</v>
      </c>
      <c r="K67" s="4" t="str">
        <f t="shared" si="24"/>
        <v xml:space="preserve">    - 5.118E+00</v>
      </c>
      <c r="L67" s="4" t="str">
        <f t="shared" si="24"/>
        <v xml:space="preserve">    - 4.995E-02</v>
      </c>
      <c r="M67" s="4" t="str">
        <f t="shared" si="24"/>
        <v xml:space="preserve">    - 5.171E-02</v>
      </c>
      <c r="N67" s="4" t="str">
        <f t="shared" si="24"/>
        <v xml:space="preserve">    - 5.027E-02</v>
      </c>
      <c r="O67" s="4" t="str">
        <f t="shared" si="24"/>
        <v xml:space="preserve">    - 5.181E-02</v>
      </c>
      <c r="P67" s="4" t="str">
        <f t="shared" si="24"/>
        <v xml:space="preserve">    - 4.981E-02</v>
      </c>
      <c r="Q67" s="4" t="str">
        <f t="shared" si="24"/>
        <v xml:space="preserve">    - 4.682E-02</v>
      </c>
      <c r="R67" s="4" t="str">
        <f t="shared" si="24"/>
        <v xml:space="preserve">    - 5.053E-02</v>
      </c>
      <c r="S67" s="4" t="str">
        <f t="shared" si="24"/>
        <v xml:space="preserve">    - 5.191E-02</v>
      </c>
      <c r="T67" s="4" t="str">
        <f t="shared" si="24"/>
        <v xml:space="preserve">    - 4.814E-02</v>
      </c>
      <c r="U67" s="4" t="str">
        <f t="shared" si="24"/>
        <v xml:space="preserve">    - 4.749E-02</v>
      </c>
      <c r="V67" s="4" t="str">
        <f t="shared" si="24"/>
        <v xml:space="preserve">    - 4.862E-02</v>
      </c>
      <c r="W67" s="4" t="str">
        <f t="shared" si="24"/>
        <v xml:space="preserve">    - 4.991E-02</v>
      </c>
      <c r="X67" s="4" t="str">
        <f t="shared" si="24"/>
        <v xml:space="preserve">    - 4.780E-02</v>
      </c>
      <c r="Y67" s="4" t="str">
        <f t="shared" si="24"/>
        <v xml:space="preserve">    - 4.663E-02</v>
      </c>
      <c r="Z67" s="4" t="str">
        <f t="shared" si="24"/>
        <v xml:space="preserve">    - 4.703E-02</v>
      </c>
      <c r="AA67" s="4" t="str">
        <f t="shared" si="24"/>
        <v xml:space="preserve">    - 4.673E-02</v>
      </c>
      <c r="AB67" s="4" t="str">
        <f t="shared" si="24"/>
        <v xml:space="preserve">    - 4.625E-02</v>
      </c>
      <c r="AC67" s="4" t="str">
        <f t="shared" si="24"/>
        <v xml:space="preserve">    - 4.588E-02</v>
      </c>
      <c r="AD67" s="4" t="str">
        <f t="shared" si="24"/>
        <v xml:space="preserve">    - 4.532E-02</v>
      </c>
      <c r="AE67" s="4" t="str">
        <f t="shared" si="24"/>
        <v xml:space="preserve">    - 4.578E-02</v>
      </c>
      <c r="AF67" s="4" t="str">
        <f t="shared" si="24"/>
        <v xml:space="preserve">    - 4.682E-02</v>
      </c>
      <c r="AG67" s="4" t="str">
        <f t="shared" si="24"/>
        <v xml:space="preserve">    - 4.848E-02</v>
      </c>
      <c r="AH67" s="4" t="str">
        <f t="shared" si="24"/>
        <v xml:space="preserve">    - 4.902E-02</v>
      </c>
      <c r="AI67" s="4" t="str">
        <f t="shared" si="24"/>
        <v xml:space="preserve">    - 5.102E-02</v>
      </c>
      <c r="AJ67" s="4" t="str">
        <f t="shared" si="24"/>
        <v xml:space="preserve">    - 5.353E-02</v>
      </c>
      <c r="AK67" s="4" t="str">
        <f t="shared" si="24"/>
        <v xml:space="preserve">    - 5.436E-02</v>
      </c>
      <c r="AL67" s="4" t="str">
        <f t="shared" si="24"/>
        <v xml:space="preserve">    - 5.168E-02</v>
      </c>
      <c r="AM67" s="4" t="str">
        <f t="shared" si="24"/>
        <v xml:space="preserve">    - 5.747E-02</v>
      </c>
      <c r="AN67" s="4" t="str">
        <f t="shared" si="24"/>
        <v xml:space="preserve">    - 5.187E-02</v>
      </c>
      <c r="AO67" s="4" t="str">
        <f t="shared" ref="AO67:AQ67" si="28">CONCATENATE("    - ", TEXT(AO37,"0.000E+00"))</f>
        <v xml:space="preserve">    - 5.405E-02</v>
      </c>
      <c r="AP67" s="4" t="str">
        <f t="shared" si="28"/>
        <v xml:space="preserve">    - 4.866E-02</v>
      </c>
      <c r="AQ67" s="4" t="str">
        <f t="shared" si="28"/>
        <v xml:space="preserve">    - 5.223E-02</v>
      </c>
    </row>
    <row r="68" spans="2:43">
      <c r="B68" s="4" t="str">
        <f t="shared" si="8"/>
        <v xml:space="preserve">    - 2.000</v>
      </c>
      <c r="C68" s="4" t="str">
        <f t="shared" si="9"/>
        <v xml:space="preserve">    - 8.758E-02</v>
      </c>
      <c r="D68" s="4" t="str">
        <f t="shared" si="24"/>
        <v xml:space="preserve">    - 3.824E-02</v>
      </c>
      <c r="E68" s="4" t="str">
        <f t="shared" si="24"/>
        <v xml:space="preserve">    - 3.931E-02</v>
      </c>
      <c r="F68" s="4" t="str">
        <f t="shared" si="24"/>
        <v xml:space="preserve">    - 4.102E-02</v>
      </c>
      <c r="G68" s="4" t="str">
        <f t="shared" si="24"/>
        <v xml:space="preserve">    - 4.435E-02</v>
      </c>
      <c r="H68" s="4" t="str">
        <f t="shared" si="24"/>
        <v xml:space="preserve">    - 4.444E-02</v>
      </c>
      <c r="I68" s="4" t="str">
        <f t="shared" si="24"/>
        <v xml:space="preserve">    - 4.450E-02</v>
      </c>
      <c r="J68" s="4" t="str">
        <f t="shared" si="24"/>
        <v xml:space="preserve">    - 4.274E-02</v>
      </c>
      <c r="K68" s="4" t="str">
        <f t="shared" si="24"/>
        <v xml:space="preserve">    - 4.415E-02</v>
      </c>
      <c r="L68" s="4" t="str">
        <f t="shared" si="24"/>
        <v xml:space="preserve">    - 4.316E-02</v>
      </c>
      <c r="M68" s="4" t="str">
        <f t="shared" si="24"/>
        <v xml:space="preserve">    - 4.469E-02</v>
      </c>
      <c r="N68" s="4" t="str">
        <f t="shared" si="24"/>
        <v xml:space="preserve">    - 4.348E-02</v>
      </c>
      <c r="O68" s="4" t="str">
        <f t="shared" si="24"/>
        <v xml:space="preserve">    - 4.487E-02</v>
      </c>
      <c r="P68" s="4" t="str">
        <f t="shared" si="24"/>
        <v xml:space="preserve">    - 4.317E-02</v>
      </c>
      <c r="Q68" s="4" t="str">
        <f t="shared" si="24"/>
        <v xml:space="preserve">    - 4.062E+01</v>
      </c>
      <c r="R68" s="4" t="str">
        <f t="shared" si="24"/>
        <v xml:space="preserve">    - 4.388E-02</v>
      </c>
      <c r="S68" s="4" t="str">
        <f t="shared" si="24"/>
        <v xml:space="preserve">    - 4.512E-02</v>
      </c>
      <c r="T68" s="4" t="str">
        <f t="shared" si="24"/>
        <v xml:space="preserve">    - 4.200E-02</v>
      </c>
      <c r="U68" s="4" t="str">
        <f t="shared" si="24"/>
        <v xml:space="preserve">    - 4.148E-02</v>
      </c>
      <c r="V68" s="4" t="str">
        <f t="shared" si="24"/>
        <v xml:space="preserve">    - 4.250E-02</v>
      </c>
      <c r="W68" s="4" t="str">
        <f t="shared" si="24"/>
        <v xml:space="preserve">    - 4.370E-02</v>
      </c>
      <c r="X68" s="4" t="str">
        <f t="shared" si="24"/>
        <v xml:space="preserve">    - 4.188E-02</v>
      </c>
      <c r="Y68" s="4" t="str">
        <f t="shared" si="24"/>
        <v xml:space="preserve">    - 4.123E-02</v>
      </c>
      <c r="Z68" s="4" t="str">
        <f t="shared" si="24"/>
        <v xml:space="preserve">    - 4.160E-02</v>
      </c>
      <c r="AA68" s="4" t="str">
        <f t="shared" si="24"/>
        <v xml:space="preserve">    - 4.138E-02</v>
      </c>
      <c r="AB68" s="4" t="str">
        <f t="shared" si="24"/>
        <v xml:space="preserve">    - 4.109E-02</v>
      </c>
      <c r="AC68" s="4" t="str">
        <f t="shared" si="24"/>
        <v xml:space="preserve">    - 4.081E-02</v>
      </c>
      <c r="AD68" s="4" t="str">
        <f t="shared" si="24"/>
        <v xml:space="preserve">    - 4.041E-02</v>
      </c>
      <c r="AE68" s="4" t="str">
        <f t="shared" si="24"/>
        <v xml:space="preserve">    - 4.084E-02</v>
      </c>
      <c r="AF68" s="4" t="str">
        <f t="shared" si="24"/>
        <v xml:space="preserve">    - 4.183E-02</v>
      </c>
      <c r="AG68" s="4" t="str">
        <f t="shared" si="24"/>
        <v xml:space="preserve">    - 4.331E-02</v>
      </c>
      <c r="AH68" s="4" t="str">
        <f t="shared" si="24"/>
        <v xml:space="preserve">    - 4.373E-02</v>
      </c>
      <c r="AI68" s="4" t="str">
        <f t="shared" si="24"/>
        <v xml:space="preserve">    - 4.536E-02</v>
      </c>
      <c r="AJ68" s="4" t="str">
        <f t="shared" si="24"/>
        <v xml:space="preserve">    - 4.726E-02</v>
      </c>
      <c r="AK68" s="4" t="str">
        <f t="shared" si="24"/>
        <v xml:space="preserve">    - 4.789E-02</v>
      </c>
      <c r="AL68" s="4" t="str">
        <f t="shared" si="24"/>
        <v xml:space="preserve">    - 4.440E-02</v>
      </c>
      <c r="AM68" s="4" t="str">
        <f t="shared" si="24"/>
        <v xml:space="preserve">    - 4.932E-02</v>
      </c>
      <c r="AN68" s="4" t="str">
        <f t="shared" si="24"/>
        <v xml:space="preserve">    - 4.472E-02</v>
      </c>
      <c r="AO68" s="4" t="str">
        <f t="shared" ref="AO68:AQ68" si="29">CONCATENATE("    - ", TEXT(AO38,"0.000E+00"))</f>
        <v xml:space="preserve">    - 4.749E-02</v>
      </c>
      <c r="AP68" s="4" t="str">
        <f t="shared" si="29"/>
        <v xml:space="preserve">    - 4.253E-02</v>
      </c>
      <c r="AQ68" s="4" t="str">
        <f t="shared" si="29"/>
        <v xml:space="preserve">    - 4.502E-02</v>
      </c>
    </row>
    <row r="69" spans="2:43">
      <c r="B69" s="4" t="str">
        <f t="shared" si="8"/>
        <v xml:space="preserve">    - 3.000</v>
      </c>
      <c r="C69" s="4" t="str">
        <f t="shared" si="9"/>
        <v xml:space="preserve">    - 6.910E-02</v>
      </c>
      <c r="D69" s="4" t="str">
        <f t="shared" si="24"/>
        <v xml:space="preserve">    - 3.037E-02</v>
      </c>
      <c r="E69" s="4" t="str">
        <f t="shared" si="24"/>
        <v xml:space="preserve">    - 3.132E-02</v>
      </c>
      <c r="F69" s="4" t="str">
        <f t="shared" si="24"/>
        <v xml:space="preserve">    - 3.277E-02</v>
      </c>
      <c r="G69" s="4" t="str">
        <f t="shared" si="24"/>
        <v xml:space="preserve">    - 3.555E-02</v>
      </c>
      <c r="H69" s="4" t="str">
        <f t="shared" si="24"/>
        <v xml:space="preserve">    - 3.571E-02</v>
      </c>
      <c r="I69" s="4" t="str">
        <f t="shared" si="24"/>
        <v xml:space="preserve">    - 3.589E-02</v>
      </c>
      <c r="J69" s="4" t="str">
        <f t="shared" si="24"/>
        <v xml:space="preserve">    - 3.478E-02</v>
      </c>
      <c r="K69" s="4" t="str">
        <f t="shared" si="24"/>
        <v xml:space="preserve">    - 3.604E-02</v>
      </c>
      <c r="L69" s="4" t="str">
        <f t="shared" si="24"/>
        <v xml:space="preserve">    - 3.533E-02</v>
      </c>
      <c r="M69" s="4" t="str">
        <f t="shared" si="24"/>
        <v xml:space="preserve">    - 3.670E-02</v>
      </c>
      <c r="N69" s="4" t="str">
        <f t="shared" si="24"/>
        <v xml:space="preserve">    - 3.580E-02</v>
      </c>
      <c r="O69" s="4" t="str">
        <f t="shared" si="24"/>
        <v xml:space="preserve">    - 3.706E-02</v>
      </c>
      <c r="P69" s="4" t="str">
        <f t="shared" si="24"/>
        <v xml:space="preserve">    - 3.577E-02</v>
      </c>
      <c r="Q69" s="4" t="str">
        <f t="shared" si="24"/>
        <v xml:space="preserve">    - 3.375E-02</v>
      </c>
      <c r="R69" s="4" t="str">
        <f t="shared" si="24"/>
        <v xml:space="preserve">    - 3.657E-02</v>
      </c>
      <c r="S69" s="4" t="str">
        <f t="shared" si="24"/>
        <v xml:space="preserve">    - 3.771E-02</v>
      </c>
      <c r="T69" s="4" t="str">
        <f t="shared" si="24"/>
        <v xml:space="preserve">    - 3.549E-02</v>
      </c>
      <c r="U69" s="4" t="str">
        <f t="shared" si="24"/>
        <v xml:space="preserve">    - 3.514E-02</v>
      </c>
      <c r="V69" s="4" t="str">
        <f t="shared" si="24"/>
        <v xml:space="preserve">    - 3.611E-02</v>
      </c>
      <c r="W69" s="4" t="str">
        <f t="shared" si="24"/>
        <v xml:space="preserve">    - 3.734E-02</v>
      </c>
      <c r="X69" s="4" t="str">
        <f t="shared" si="24"/>
        <v xml:space="preserve">    - 3.588E-02</v>
      </c>
      <c r="Y69" s="4" t="str">
        <f t="shared" si="24"/>
        <v xml:space="preserve">    - 3.630E-02</v>
      </c>
      <c r="Z69" s="4" t="str">
        <f t="shared" si="24"/>
        <v xml:space="preserve">    - 3.672E-02</v>
      </c>
      <c r="AA69" s="4" t="str">
        <f t="shared" si="24"/>
        <v xml:space="preserve">    - 3.661E-02</v>
      </c>
      <c r="AB69" s="4" t="str">
        <f t="shared" si="24"/>
        <v xml:space="preserve">    - 3.681E-02</v>
      </c>
      <c r="AC69" s="4" t="str">
        <f t="shared" si="24"/>
        <v xml:space="preserve">    - 3.670E-02</v>
      </c>
      <c r="AD69" s="4" t="str">
        <f t="shared" si="24"/>
        <v xml:space="preserve">    - 3.672E-02</v>
      </c>
      <c r="AE69" s="4" t="str">
        <f t="shared" si="24"/>
        <v xml:space="preserve">    - 3.717E-02</v>
      </c>
      <c r="AF69" s="4" t="str">
        <f t="shared" si="24"/>
        <v xml:space="preserve">    - 3.841E-02</v>
      </c>
      <c r="AG69" s="4" t="str">
        <f t="shared" si="24"/>
        <v xml:space="preserve">    - 4.002E-02</v>
      </c>
      <c r="AH69" s="4" t="str">
        <f t="shared" si="24"/>
        <v xml:space="preserve">    - 4.046E-02</v>
      </c>
      <c r="AI69" s="4" t="str">
        <f t="shared" si="24"/>
        <v xml:space="preserve">    - 4.199E-02</v>
      </c>
      <c r="AJ69" s="4" t="str">
        <f t="shared" si="24"/>
        <v xml:space="preserve">    - 4.355E-02</v>
      </c>
      <c r="AK69" s="4" t="str">
        <f t="shared" si="24"/>
        <v xml:space="preserve">    - 4.403E-02</v>
      </c>
      <c r="AL69" s="4" t="str">
        <f t="shared" si="24"/>
        <v xml:space="preserve">    - 3.573E-02</v>
      </c>
      <c r="AM69" s="4" t="str">
        <f t="shared" si="24"/>
        <v xml:space="preserve">    - 3.961E-02</v>
      </c>
      <c r="AN69" s="4" t="str">
        <f t="shared" si="24"/>
        <v xml:space="preserve">    - 3.646E-02</v>
      </c>
      <c r="AO69" s="4" t="str">
        <f t="shared" ref="AO69:AQ69" si="30">CONCATENATE("    - ", TEXT(AO39,"0.000E+00"))</f>
        <v xml:space="preserve">    - 4.307E-02</v>
      </c>
      <c r="AP69" s="4" t="str">
        <f t="shared" si="30"/>
        <v xml:space="preserve">    - 3.611E-02</v>
      </c>
      <c r="AQ69" s="4" t="str">
        <f t="shared" si="30"/>
        <v xml:space="preserve">    - 3.666E-02</v>
      </c>
    </row>
    <row r="70" spans="2:43">
      <c r="B70" s="4" t="str">
        <f t="shared" si="8"/>
        <v xml:space="preserve">    - 4.000</v>
      </c>
      <c r="C70" s="4" t="str">
        <f t="shared" si="9"/>
        <v xml:space="preserve">    - 5.793E-02</v>
      </c>
      <c r="D70" s="4" t="str">
        <f t="shared" si="24"/>
        <v xml:space="preserve">    - 2.566E-02</v>
      </c>
      <c r="E70" s="4" t="str">
        <f t="shared" si="24"/>
        <v xml:space="preserve">    - 2.658E-02</v>
      </c>
      <c r="F70" s="4" t="str">
        <f t="shared" si="24"/>
        <v xml:space="preserve">    - 2.793E-02</v>
      </c>
      <c r="G70" s="4" t="str">
        <f t="shared" si="24"/>
        <v xml:space="preserve">    - 3.040E-02</v>
      </c>
      <c r="H70" s="4" t="str">
        <f t="shared" si="24"/>
        <v xml:space="preserve">    - 3.066E-02</v>
      </c>
      <c r="I70" s="4" t="str">
        <f t="shared" si="24"/>
        <v xml:space="preserve">    - 3.093E-02</v>
      </c>
      <c r="J70" s="4" t="str">
        <f t="shared" si="24"/>
        <v xml:space="preserve">    - 3.031E-02</v>
      </c>
      <c r="K70" s="4" t="str">
        <f t="shared" si="24"/>
        <v xml:space="preserve">    - 3.153E-02</v>
      </c>
      <c r="L70" s="4" t="str">
        <f t="shared" si="24"/>
        <v xml:space="preserve">    - 3.101E-02</v>
      </c>
      <c r="M70" s="4" t="str">
        <f t="shared" si="24"/>
        <v xml:space="preserve">    - 3.233E-02</v>
      </c>
      <c r="N70" s="4" t="str">
        <f t="shared" si="24"/>
        <v xml:space="preserve">    - 3.165E-02</v>
      </c>
      <c r="O70" s="4" t="str">
        <f t="shared" si="24"/>
        <v xml:space="preserve">    - 3.287E-02</v>
      </c>
      <c r="P70" s="4" t="str">
        <f t="shared" si="24"/>
        <v xml:space="preserve">    - 3.182E-02</v>
      </c>
      <c r="Q70" s="4" t="str">
        <f t="shared" si="24"/>
        <v xml:space="preserve">    - 3.013E-02</v>
      </c>
      <c r="R70" s="4" t="str">
        <f t="shared" si="24"/>
        <v xml:space="preserve">    - 3.274E-02</v>
      </c>
      <c r="S70" s="4" t="str">
        <f t="shared" si="24"/>
        <v xml:space="preserve">    - 3.386E-02</v>
      </c>
      <c r="T70" s="4" t="str">
        <f t="shared" si="24"/>
        <v xml:space="preserve">    - 3.227E-02</v>
      </c>
      <c r="U70" s="4" t="str">
        <f t="shared" si="24"/>
        <v xml:space="preserve">    - 3.204E-02</v>
      </c>
      <c r="V70" s="4" t="str">
        <f t="shared" si="24"/>
        <v xml:space="preserve">    - 3.303E-02</v>
      </c>
      <c r="W70" s="4" t="str">
        <f t="shared" si="24"/>
        <v xml:space="preserve">    - 3.435E-02</v>
      </c>
      <c r="X70" s="4" t="str">
        <f t="shared" si="24"/>
        <v xml:space="preserve">    - 3.309E-02</v>
      </c>
      <c r="Y70" s="4" t="str">
        <f t="shared" si="24"/>
        <v xml:space="preserve">    - 3.441E-02</v>
      </c>
      <c r="Z70" s="4" t="str">
        <f t="shared" si="24"/>
        <v xml:space="preserve">    - 3.488E-02</v>
      </c>
      <c r="AA70" s="4" t="str">
        <f t="shared" si="24"/>
        <v xml:space="preserve">    - 3.485E-02</v>
      </c>
      <c r="AB70" s="4" t="str">
        <f t="shared" si="24"/>
        <v xml:space="preserve">    - 3.547E-02</v>
      </c>
      <c r="AC70" s="4" t="str">
        <f t="shared" si="24"/>
        <v xml:space="preserve">    - 3.550E-02</v>
      </c>
      <c r="AD70" s="4" t="str">
        <f t="shared" si="24"/>
        <v xml:space="preserve">    - 3.585E-02</v>
      </c>
      <c r="AE70" s="4" t="str">
        <f t="shared" si="24"/>
        <v xml:space="preserve">    - 3.633E-02</v>
      </c>
      <c r="AF70" s="4" t="str">
        <f t="shared" si="24"/>
        <v xml:space="preserve">    - 3.786E-02</v>
      </c>
      <c r="AG70" s="4" t="str">
        <f t="shared" si="24"/>
        <v xml:space="preserve">    - 3.971E-02</v>
      </c>
      <c r="AH70" s="4" t="str">
        <f t="shared" si="24"/>
        <v xml:space="preserve">    - 4.019E-02</v>
      </c>
      <c r="AI70" s="4" t="str">
        <f t="shared" si="24"/>
        <v xml:space="preserve">    - 4.175E-02</v>
      </c>
      <c r="AJ70" s="4" t="str">
        <f t="shared" si="24"/>
        <v xml:space="preserve">    - 4.322E-02</v>
      </c>
      <c r="AK70" s="4" t="str">
        <f t="shared" si="24"/>
        <v xml:space="preserve">    - 4.365E-02</v>
      </c>
      <c r="AL70" s="4" t="str">
        <f t="shared" si="24"/>
        <v xml:space="preserve">    - 3.072E-02</v>
      </c>
      <c r="AM70" s="4" t="str">
        <f t="shared" si="24"/>
        <v xml:space="preserve">    - 3.395E-02</v>
      </c>
      <c r="AN70" s="4" t="str">
        <f t="shared" si="24"/>
        <v xml:space="preserve">    - 3.182E-02</v>
      </c>
      <c r="AO70" s="4" t="str">
        <f t="shared" ref="AO70:AQ70" si="31">CONCATENATE("    - ", TEXT(AO40,"0.000E+00"))</f>
        <v xml:space="preserve">    - 4.214E-02</v>
      </c>
      <c r="AP70" s="4" t="str">
        <f t="shared" si="31"/>
        <v xml:space="preserve">    - 3.300E-02</v>
      </c>
      <c r="AQ70" s="4" t="str">
        <f t="shared" si="31"/>
        <v xml:space="preserve">    - 3.196E-02</v>
      </c>
    </row>
    <row r="71" spans="2:43">
      <c r="B71" s="4" t="str">
        <f t="shared" si="8"/>
        <v xml:space="preserve">    - 5.000</v>
      </c>
      <c r="C71" s="4" t="str">
        <f t="shared" si="9"/>
        <v xml:space="preserve">    - 5.036E-02</v>
      </c>
      <c r="D71" s="4" t="str">
        <f t="shared" si="24"/>
        <v xml:space="preserve">    - 2.252E-02</v>
      </c>
      <c r="E71" s="4" t="str">
        <f t="shared" si="24"/>
        <v xml:space="preserve">    - 2.342E-02</v>
      </c>
      <c r="F71" s="4" t="str">
        <f t="shared" si="24"/>
        <v xml:space="preserve">    - 2.471E-02</v>
      </c>
      <c r="G71" s="4" t="str">
        <f t="shared" ref="D71:AN77" si="32">CONCATENATE("    - ", TEXT(G41,"0.000E+00"))</f>
        <v xml:space="preserve">    - 2.701E-02</v>
      </c>
      <c r="H71" s="4" t="str">
        <f t="shared" si="32"/>
        <v xml:space="preserve">    - 2.736E-02</v>
      </c>
      <c r="I71" s="4" t="str">
        <f t="shared" si="32"/>
        <v xml:space="preserve">    - 2.770E-02</v>
      </c>
      <c r="J71" s="4" t="str">
        <f t="shared" si="32"/>
        <v xml:space="preserve">    - 2.747E-02</v>
      </c>
      <c r="K71" s="4" t="str">
        <f t="shared" si="32"/>
        <v xml:space="preserve">    - 2.866E-02</v>
      </c>
      <c r="L71" s="4" t="str">
        <f t="shared" si="32"/>
        <v xml:space="preserve">    - 2.829E-02</v>
      </c>
      <c r="M71" s="4" t="str">
        <f t="shared" si="32"/>
        <v xml:space="preserve">    - 2.960E-02</v>
      </c>
      <c r="N71" s="4" t="str">
        <f t="shared" si="32"/>
        <v xml:space="preserve">    - 2.908E-02</v>
      </c>
      <c r="O71" s="4" t="str">
        <f t="shared" si="32"/>
        <v xml:space="preserve">    - 3.031E-02</v>
      </c>
      <c r="P71" s="4" t="str">
        <f t="shared" si="32"/>
        <v xml:space="preserve">    - 2.944E-02</v>
      </c>
      <c r="Q71" s="4" t="str">
        <f t="shared" si="32"/>
        <v xml:space="preserve">    - 2.797E-02</v>
      </c>
      <c r="R71" s="4" t="str">
        <f t="shared" si="32"/>
        <v xml:space="preserve">    - 3.047E-02</v>
      </c>
      <c r="S71" s="4" t="str">
        <f t="shared" si="32"/>
        <v xml:space="preserve">    - 3.163E-02</v>
      </c>
      <c r="T71" s="4" t="str">
        <f t="shared" si="32"/>
        <v xml:space="preserve">    - 3.050E-02</v>
      </c>
      <c r="U71" s="4" t="str">
        <f t="shared" si="32"/>
        <v xml:space="preserve">    - 3.038E-02</v>
      </c>
      <c r="V71" s="4" t="str">
        <f t="shared" si="32"/>
        <v xml:space="preserve">    - 3.139E-02</v>
      </c>
      <c r="W71" s="4" t="str">
        <f t="shared" si="32"/>
        <v xml:space="preserve">    - 3.281E-02</v>
      </c>
      <c r="X71" s="4" t="str">
        <f t="shared" si="32"/>
        <v xml:space="preserve">    - 3.169E-02</v>
      </c>
      <c r="Y71" s="4" t="str">
        <f t="shared" si="32"/>
        <v xml:space="preserve">    - 3.376E-02</v>
      </c>
      <c r="Z71" s="4" t="str">
        <f t="shared" si="32"/>
        <v xml:space="preserve">    - 3.427E-02</v>
      </c>
      <c r="AA71" s="4" t="str">
        <f t="shared" si="32"/>
        <v xml:space="preserve">    - 3.430E-02</v>
      </c>
      <c r="AB71" s="4" t="str">
        <f t="shared" si="32"/>
        <v xml:space="preserve">    - 3.527E-02</v>
      </c>
      <c r="AC71" s="4" t="str">
        <f t="shared" si="32"/>
        <v xml:space="preserve">    - 3.539E-02</v>
      </c>
      <c r="AD71" s="4" t="str">
        <f t="shared" si="32"/>
        <v xml:space="preserve">    - 3.602E-02</v>
      </c>
      <c r="AE71" s="4" t="str">
        <f t="shared" si="32"/>
        <v xml:space="preserve">    - 3.653E-02</v>
      </c>
      <c r="AF71" s="4" t="str">
        <f t="shared" si="32"/>
        <v xml:space="preserve">    - 3.832E-02</v>
      </c>
      <c r="AG71" s="4" t="str">
        <f t="shared" si="32"/>
        <v xml:space="preserve">    - 4.039E-02</v>
      </c>
      <c r="AH71" s="4" t="str">
        <f t="shared" si="32"/>
        <v xml:space="preserve">    - 4.089E-02</v>
      </c>
      <c r="AI71" s="4" t="str">
        <f t="shared" si="32"/>
        <v xml:space="preserve">    - 4.257E-02</v>
      </c>
      <c r="AJ71" s="4" t="str">
        <f t="shared" si="32"/>
        <v xml:space="preserve">    - 4.403E-02</v>
      </c>
      <c r="AK71" s="4" t="str">
        <f t="shared" si="32"/>
        <v xml:space="preserve">    - 4.445E-02</v>
      </c>
      <c r="AL71" s="4" t="str">
        <f t="shared" si="32"/>
        <v xml:space="preserve">    - 2.745E-02</v>
      </c>
      <c r="AM71" s="4" t="str">
        <f t="shared" si="32"/>
        <v xml:space="preserve">    - 3.024E-02</v>
      </c>
      <c r="AN71" s="4" t="str">
        <f t="shared" si="32"/>
        <v xml:space="preserve">    - 2.888E-02</v>
      </c>
      <c r="AO71" s="4" t="str">
        <f t="shared" ref="AO71:AQ71" si="33">CONCATENATE("    - ", TEXT(AO41,"0.000E+00"))</f>
        <v xml:space="preserve">    - 4.246E-02</v>
      </c>
      <c r="AP71" s="4" t="str">
        <f t="shared" si="33"/>
        <v xml:space="preserve">    - 3.134E-02</v>
      </c>
      <c r="AQ71" s="4" t="str">
        <f t="shared" si="33"/>
        <v xml:space="preserve">    - 2.897E-02</v>
      </c>
    </row>
    <row r="72" spans="2:43">
      <c r="B72" s="4" t="str">
        <f t="shared" si="8"/>
        <v xml:space="preserve">    - 6.000</v>
      </c>
      <c r="C72" s="4" t="str">
        <f t="shared" si="9"/>
        <v xml:space="preserve">    - 4.486E-02</v>
      </c>
      <c r="D72" s="4" t="str">
        <f t="shared" si="32"/>
        <v xml:space="preserve">    - 2.025E-02</v>
      </c>
      <c r="E72" s="4" t="str">
        <f t="shared" si="32"/>
        <v xml:space="preserve">    - 2.116E-02</v>
      </c>
      <c r="F72" s="4" t="str">
        <f t="shared" si="32"/>
        <v xml:space="preserve">    - 2.242E-02</v>
      </c>
      <c r="G72" s="4" t="str">
        <f t="shared" si="32"/>
        <v xml:space="preserve">    - 2.463E-02</v>
      </c>
      <c r="H72" s="4" t="str">
        <f t="shared" si="32"/>
        <v xml:space="preserve">    - 2.505E-02</v>
      </c>
      <c r="I72" s="4" t="str">
        <f t="shared" si="32"/>
        <v xml:space="preserve">    - 2.546E-02</v>
      </c>
      <c r="J72" s="4" t="str">
        <f t="shared" si="32"/>
        <v xml:space="preserve">    - 2.553E-02</v>
      </c>
      <c r="K72" s="4" t="str">
        <f t="shared" si="32"/>
        <v xml:space="preserve">    - 2.675E-02</v>
      </c>
      <c r="L72" s="4" t="str">
        <f t="shared" si="32"/>
        <v xml:space="preserve">    - 2.649E-02</v>
      </c>
      <c r="M72" s="4" t="str">
        <f t="shared" si="32"/>
        <v xml:space="preserve">    - 2.781E-02</v>
      </c>
      <c r="N72" s="4" t="str">
        <f t="shared" si="32"/>
        <v xml:space="preserve">    - 2.741E-02</v>
      </c>
      <c r="O72" s="4" t="str">
        <f t="shared" si="32"/>
        <v xml:space="preserve">    - 2.866E-02</v>
      </c>
      <c r="P72" s="4" t="str">
        <f t="shared" si="32"/>
        <v xml:space="preserve">    - 2.792E-02</v>
      </c>
      <c r="Q72" s="4" t="str">
        <f t="shared" si="32"/>
        <v xml:space="preserve">    - 2.660E-02</v>
      </c>
      <c r="R72" s="4" t="str">
        <f t="shared" si="32"/>
        <v xml:space="preserve">    - 2.908E-02</v>
      </c>
      <c r="S72" s="4" t="str">
        <f t="shared" si="32"/>
        <v xml:space="preserve">    - 3.027E-02</v>
      </c>
      <c r="T72" s="4" t="str">
        <f t="shared" si="32"/>
        <v xml:space="preserve">    - 2.950E-02</v>
      </c>
      <c r="U72" s="4" t="str">
        <f t="shared" si="32"/>
        <v xml:space="preserve">    - 2.945E-02</v>
      </c>
      <c r="V72" s="4" t="str">
        <f t="shared" si="32"/>
        <v xml:space="preserve">    - 3.050E-02</v>
      </c>
      <c r="W72" s="4" t="str">
        <f t="shared" si="32"/>
        <v xml:space="preserve">    - 3.202E-02</v>
      </c>
      <c r="X72" s="4" t="str">
        <f t="shared" si="32"/>
        <v xml:space="preserve">    - 3.102E-02</v>
      </c>
      <c r="Y72" s="4" t="str">
        <f t="shared" si="32"/>
        <v xml:space="preserve">    - 3.367E-02</v>
      </c>
      <c r="Z72" s="4" t="str">
        <f t="shared" si="32"/>
        <v xml:space="preserve">    - 3.424E-02</v>
      </c>
      <c r="AA72" s="4" t="str">
        <f t="shared" si="32"/>
        <v xml:space="preserve">    - 3.433E-02</v>
      </c>
      <c r="AB72" s="4" t="str">
        <f t="shared" si="32"/>
        <v xml:space="preserve">    - 3.555E-02</v>
      </c>
      <c r="AC72" s="4" t="str">
        <f t="shared" si="32"/>
        <v xml:space="preserve">    - 3.576E-02</v>
      </c>
      <c r="AD72" s="4" t="str">
        <f t="shared" si="32"/>
        <v xml:space="preserve">    - 3.661E-02</v>
      </c>
      <c r="AE72" s="4" t="str">
        <f t="shared" si="32"/>
        <v xml:space="preserve">    - 3.717E-02</v>
      </c>
      <c r="AF72" s="4" t="str">
        <f t="shared" si="32"/>
        <v xml:space="preserve">    - 3.919E-02</v>
      </c>
      <c r="AG72" s="4" t="str">
        <f t="shared" si="32"/>
        <v xml:space="preserve">    - 4.145E-02</v>
      </c>
      <c r="AH72" s="4" t="str">
        <f t="shared" si="32"/>
        <v xml:space="preserve">    - 4.199E-02</v>
      </c>
      <c r="AI72" s="4" t="str">
        <f t="shared" si="32"/>
        <v xml:space="preserve">    - 4.379E-02</v>
      </c>
      <c r="AJ72" s="4" t="str">
        <f t="shared" si="32"/>
        <v xml:space="preserve">    - 4.528E-02</v>
      </c>
      <c r="AK72" s="4" t="str">
        <f t="shared" si="32"/>
        <v xml:space="preserve">    - 4.569E-02</v>
      </c>
      <c r="AL72" s="4" t="str">
        <f t="shared" si="32"/>
        <v xml:space="preserve">    - 2.516E-02</v>
      </c>
      <c r="AM72" s="4" t="str">
        <f t="shared" si="32"/>
        <v xml:space="preserve">    - 2.763E-02</v>
      </c>
      <c r="AN72" s="4" t="str">
        <f t="shared" si="32"/>
        <v xml:space="preserve">    - 2.689E-02</v>
      </c>
      <c r="AO72" s="4" t="str">
        <f t="shared" ref="AO72:AQ72" si="34">CONCATENATE("    - ", TEXT(AO42,"0.000E+00"))</f>
        <v xml:space="preserve">    - 4.329E-02</v>
      </c>
      <c r="AP72" s="4" t="str">
        <f t="shared" si="34"/>
        <v xml:space="preserve">    - 3.044E-02</v>
      </c>
      <c r="AQ72" s="4" t="str">
        <f t="shared" si="34"/>
        <v xml:space="preserve">    - 2.694E-02</v>
      </c>
    </row>
    <row r="73" spans="2:43">
      <c r="B73" s="4" t="str">
        <f t="shared" si="8"/>
        <v xml:space="preserve">    - 8.000</v>
      </c>
      <c r="C73" s="4" t="str">
        <f t="shared" si="9"/>
        <v xml:space="preserve">    - 3.735E-02</v>
      </c>
      <c r="D73" s="4" t="str">
        <f t="shared" si="32"/>
        <v xml:space="preserve">    - 1.721E-02</v>
      </c>
      <c r="E73" s="4" t="str">
        <f t="shared" si="32"/>
        <v xml:space="preserve">    - 1.814E-02</v>
      </c>
      <c r="F73" s="4" t="str">
        <f t="shared" si="32"/>
        <v xml:space="preserve">    - 1.940E-02</v>
      </c>
      <c r="G73" s="4" t="str">
        <f t="shared" si="32"/>
        <v xml:space="preserve">    - 2.148E-02</v>
      </c>
      <c r="H73" s="4" t="str">
        <f t="shared" si="32"/>
        <v xml:space="preserve">    - 2.203E-02</v>
      </c>
      <c r="I73" s="4" t="str">
        <f t="shared" si="32"/>
        <v xml:space="preserve">    - 2.258E-02</v>
      </c>
      <c r="J73" s="4" t="str">
        <f t="shared" si="32"/>
        <v xml:space="preserve">    - 2.314E-02</v>
      </c>
      <c r="K73" s="4" t="str">
        <f t="shared" si="32"/>
        <v xml:space="preserve">    - 2.439E-02</v>
      </c>
      <c r="L73" s="4" t="str">
        <f t="shared" si="32"/>
        <v xml:space="preserve">    - 2.432E-02</v>
      </c>
      <c r="M73" s="4" t="str">
        <f t="shared" si="32"/>
        <v xml:space="preserve">    - 2.568E-02</v>
      </c>
      <c r="N73" s="4" t="str">
        <f t="shared" si="32"/>
        <v xml:space="preserve">    - 2.547E-02</v>
      </c>
      <c r="O73" s="4" t="str">
        <f t="shared" si="32"/>
        <v xml:space="preserve">    - 2.677E-02</v>
      </c>
      <c r="P73" s="4" t="str">
        <f t="shared" si="32"/>
        <v xml:space="preserve">    - 2.623E-02</v>
      </c>
      <c r="Q73" s="4" t="str">
        <f t="shared" si="32"/>
        <v xml:space="preserve">    - 2.512E-02</v>
      </c>
      <c r="R73" s="4" t="str">
        <f t="shared" si="32"/>
        <v xml:space="preserve">    - 2.761E-02</v>
      </c>
      <c r="S73" s="4" t="str">
        <f t="shared" si="32"/>
        <v xml:space="preserve">    - 2.887E-02</v>
      </c>
      <c r="T73" s="4" t="str">
        <f t="shared" si="32"/>
        <v xml:space="preserve">    - 2.864E-02</v>
      </c>
      <c r="U73" s="4" t="str">
        <f t="shared" si="32"/>
        <v xml:space="preserve">    - 2.870E-02</v>
      </c>
      <c r="V73" s="4" t="str">
        <f t="shared" si="32"/>
        <v xml:space="preserve">    - 2.985E-02</v>
      </c>
      <c r="W73" s="4" t="str">
        <f t="shared" si="32"/>
        <v xml:space="preserve">    - 3.158E-02</v>
      </c>
      <c r="X73" s="4" t="str">
        <f t="shared" si="32"/>
        <v xml:space="preserve">    - 3.068E-02</v>
      </c>
      <c r="Y73" s="4" t="str">
        <f t="shared" si="32"/>
        <v xml:space="preserve">    - 3.435E-02</v>
      </c>
      <c r="Z73" s="4" t="str">
        <f t="shared" si="32"/>
        <v xml:space="preserve">    - 3.502E-02</v>
      </c>
      <c r="AA73" s="4" t="str">
        <f t="shared" si="32"/>
        <v xml:space="preserve">    - 3.517E-02</v>
      </c>
      <c r="AB73" s="4" t="str">
        <f t="shared" si="32"/>
        <v xml:space="preserve">    - 3.685E-02</v>
      </c>
      <c r="AC73" s="4" t="str">
        <f t="shared" si="32"/>
        <v xml:space="preserve">    - 3.717E-02</v>
      </c>
      <c r="AD73" s="4" t="str">
        <f t="shared" si="32"/>
        <v xml:space="preserve">    - 3.838E-02</v>
      </c>
      <c r="AE73" s="4" t="str">
        <f t="shared" si="32"/>
        <v xml:space="preserve">    - 3.900E-02</v>
      </c>
      <c r="AF73" s="4" t="str">
        <f t="shared" si="32"/>
        <v xml:space="preserve">    - 4.140E-02</v>
      </c>
      <c r="AG73" s="4" t="str">
        <f t="shared" si="32"/>
        <v xml:space="preserve">    - 4.402E-02</v>
      </c>
      <c r="AH73" s="4" t="str">
        <f t="shared" si="32"/>
        <v xml:space="preserve">    - 4.464E-02</v>
      </c>
      <c r="AI73" s="4" t="str">
        <f t="shared" si="32"/>
        <v xml:space="preserve">    - 4.667E-02</v>
      </c>
      <c r="AJ73" s="4" t="str">
        <f t="shared" si="32"/>
        <v xml:space="preserve">    - 4.827E-02</v>
      </c>
      <c r="AK73" s="4" t="str">
        <f t="shared" si="32"/>
        <v xml:space="preserve">    - 4.869E-02</v>
      </c>
      <c r="AL73" s="4" t="str">
        <f t="shared" si="32"/>
        <v xml:space="preserve">    - 2.220E-02</v>
      </c>
      <c r="AM73" s="4" t="str">
        <f t="shared" si="32"/>
        <v xml:space="preserve">    - 2.423E-02</v>
      </c>
      <c r="AN73" s="4" t="str">
        <f t="shared" si="32"/>
        <v xml:space="preserve">    - 2.444E-02</v>
      </c>
      <c r="AO73" s="4" t="str">
        <f t="shared" ref="AO73:AQ73" si="35">CONCATENATE("    - ", TEXT(AO43,"0.000E+00"))</f>
        <v xml:space="preserve">    - 4.560E-02</v>
      </c>
      <c r="AP73" s="4" t="str">
        <f t="shared" si="35"/>
        <v xml:space="preserve">    - 2.976E-02</v>
      </c>
      <c r="AQ73" s="4" t="str">
        <f t="shared" si="35"/>
        <v xml:space="preserve">    - 2.443E-02</v>
      </c>
    </row>
    <row r="74" spans="2:43">
      <c r="B74" s="4" t="str">
        <f t="shared" si="8"/>
        <v xml:space="preserve">    - 10.000</v>
      </c>
      <c r="C74" s="4" t="str">
        <f t="shared" si="9"/>
        <v xml:space="preserve">    - 3.244E-02</v>
      </c>
      <c r="D74" s="4" t="str">
        <f t="shared" si="32"/>
        <v xml:space="preserve">    - 1.525E-02</v>
      </c>
      <c r="E74" s="4" t="str">
        <f t="shared" si="32"/>
        <v xml:space="preserve">    - 1.623E-02</v>
      </c>
      <c r="F74" s="4" t="str">
        <f t="shared" si="32"/>
        <v xml:space="preserve">    - 1.750E-02</v>
      </c>
      <c r="G74" s="4" t="str">
        <f t="shared" si="32"/>
        <v xml:space="preserve">    - 1.954E-02</v>
      </c>
      <c r="H74" s="4" t="str">
        <f t="shared" si="32"/>
        <v xml:space="preserve">    - 2.019E-02</v>
      </c>
      <c r="I74" s="4" t="str">
        <f t="shared" si="32"/>
        <v xml:space="preserve">    - 2.084E-02</v>
      </c>
      <c r="J74" s="4" t="str">
        <f t="shared" si="32"/>
        <v xml:space="preserve">    - 2.176E-02</v>
      </c>
      <c r="K74" s="4" t="str">
        <f t="shared" si="32"/>
        <v xml:space="preserve">    - 2.308E-02</v>
      </c>
      <c r="L74" s="4" t="str">
        <f t="shared" si="32"/>
        <v xml:space="preserve">    - 2.313E-02</v>
      </c>
      <c r="M74" s="4" t="str">
        <f t="shared" si="32"/>
        <v xml:space="preserve">    - 2.457E-02</v>
      </c>
      <c r="N74" s="4" t="str">
        <f t="shared" si="32"/>
        <v xml:space="preserve">    - 2.447E-02</v>
      </c>
      <c r="O74" s="4" t="str">
        <f t="shared" si="32"/>
        <v xml:space="preserve">    - 2.585E-02</v>
      </c>
      <c r="P74" s="4" t="str">
        <f t="shared" si="32"/>
        <v xml:space="preserve">    - 2.543E-02</v>
      </c>
      <c r="Q74" s="4" t="str">
        <f t="shared" si="32"/>
        <v xml:space="preserve">    - 2.446E-02</v>
      </c>
      <c r="R74" s="4" t="str">
        <f t="shared" si="32"/>
        <v xml:space="preserve">    - 2.699E-02</v>
      </c>
      <c r="S74" s="4" t="str">
        <f t="shared" si="32"/>
        <v xml:space="preserve">    - 2.834E-02</v>
      </c>
      <c r="T74" s="4" t="str">
        <f t="shared" si="32"/>
        <v xml:space="preserve">    - 2.850E-02</v>
      </c>
      <c r="U74" s="4" t="str">
        <f t="shared" si="32"/>
        <v xml:space="preserve">    - 2.866E-02</v>
      </c>
      <c r="V74" s="4" t="str">
        <f t="shared" si="32"/>
        <v xml:space="preserve">    - 2.989E-02</v>
      </c>
      <c r="W74" s="4" t="str">
        <f t="shared" si="32"/>
        <v xml:space="preserve">    - 3.180E-02</v>
      </c>
      <c r="X74" s="4" t="str">
        <f t="shared" si="32"/>
        <v xml:space="preserve">    - 3.099E-02</v>
      </c>
      <c r="Y74" s="4" t="str">
        <f t="shared" si="32"/>
        <v xml:space="preserve">    - 3.549E-02</v>
      </c>
      <c r="Z74" s="4" t="str">
        <f t="shared" si="32"/>
        <v xml:space="preserve">    - 3.623E-02</v>
      </c>
      <c r="AA74" s="4" t="str">
        <f t="shared" si="32"/>
        <v xml:space="preserve">    - 3.645E-02</v>
      </c>
      <c r="AB74" s="4" t="str">
        <f t="shared" si="32"/>
        <v xml:space="preserve">    - 3.848E-02</v>
      </c>
      <c r="AC74" s="4" t="str">
        <f t="shared" si="32"/>
        <v xml:space="preserve">    - 3.891E-02</v>
      </c>
      <c r="AD74" s="4" t="str">
        <f t="shared" si="32"/>
        <v xml:space="preserve">    - 4.037E-02</v>
      </c>
      <c r="AE74" s="4" t="str">
        <f t="shared" si="32"/>
        <v xml:space="preserve">    - 4.108E-02</v>
      </c>
      <c r="AF74" s="4" t="str">
        <f t="shared" si="32"/>
        <v xml:space="preserve">    - 4.378E-02</v>
      </c>
      <c r="AG74" s="4" t="str">
        <f t="shared" si="32"/>
        <v xml:space="preserve">    - 4.671E-02</v>
      </c>
      <c r="AH74" s="4" t="str">
        <f t="shared" si="32"/>
        <v xml:space="preserve">    - 4.741E-02</v>
      </c>
      <c r="AI74" s="4" t="str">
        <f t="shared" si="32"/>
        <v xml:space="preserve">    - 4.965E-02</v>
      </c>
      <c r="AJ74" s="4" t="str">
        <f t="shared" si="32"/>
        <v xml:space="preserve">    - 5.142E-02</v>
      </c>
      <c r="AK74" s="4" t="str">
        <f t="shared" si="32"/>
        <v xml:space="preserve">    - 5.187E-02</v>
      </c>
      <c r="AL74" s="4" t="str">
        <f t="shared" si="32"/>
        <v xml:space="preserve">    - 2.040E-02</v>
      </c>
      <c r="AM74" s="4" t="str">
        <f t="shared" si="32"/>
        <v xml:space="preserve">    - 2.214E-02</v>
      </c>
      <c r="AN74" s="4" t="str">
        <f t="shared" si="32"/>
        <v xml:space="preserve">    - 2.306E-02</v>
      </c>
      <c r="AO74" s="4" t="str">
        <f t="shared" ref="AO74:AQ74" si="36">CONCATENATE("    - ", TEXT(AO44,"0.000E+00"))</f>
        <v xml:space="preserve">    - 4.819E-02</v>
      </c>
      <c r="AP74" s="4" t="str">
        <f t="shared" si="36"/>
        <v xml:space="preserve">    - 2.977E-02</v>
      </c>
      <c r="AQ74" s="4" t="str">
        <f t="shared" si="36"/>
        <v xml:space="preserve">    - 2.300E-02</v>
      </c>
    </row>
    <row r="75" spans="2:43">
      <c r="B75" s="4" t="str">
        <f t="shared" si="8"/>
        <v xml:space="preserve">    - 15.000</v>
      </c>
      <c r="C75" s="4" t="str">
        <f t="shared" si="9"/>
        <v xml:space="preserve">    - 2.530E-02</v>
      </c>
      <c r="D75" s="4" t="str">
        <f t="shared" si="32"/>
        <v xml:space="preserve">    - 1.248E-02</v>
      </c>
      <c r="E75" s="4" t="str">
        <f t="shared" si="32"/>
        <v xml:space="preserve">    - 1.356E-02</v>
      </c>
      <c r="F75" s="4" t="str">
        <f t="shared" si="32"/>
        <v xml:space="preserve">    - 1.491E-02</v>
      </c>
      <c r="G75" s="4" t="str">
        <f t="shared" si="32"/>
        <v xml:space="preserve">    - 1.693E-02</v>
      </c>
      <c r="H75" s="4" t="str">
        <f t="shared" si="32"/>
        <v xml:space="preserve">    - 1.778E-02</v>
      </c>
      <c r="I75" s="4" t="str">
        <f t="shared" si="32"/>
        <v xml:space="preserve">    - 1.861E-02</v>
      </c>
      <c r="J75" s="4" t="str">
        <f t="shared" si="32"/>
        <v xml:space="preserve">    - 2.018E-02</v>
      </c>
      <c r="K75" s="4" t="str">
        <f t="shared" si="32"/>
        <v xml:space="preserve">    - 2.163E-02</v>
      </c>
      <c r="L75" s="4" t="str">
        <f t="shared" si="32"/>
        <v xml:space="preserve">    - 2.191E-02</v>
      </c>
      <c r="M75" s="4" t="str">
        <f t="shared" si="32"/>
        <v xml:space="preserve">    - 2.347E-02</v>
      </c>
      <c r="N75" s="4" t="str">
        <f t="shared" si="32"/>
        <v xml:space="preserve">    - 2.360E-02</v>
      </c>
      <c r="O75" s="4" t="str">
        <f t="shared" si="32"/>
        <v xml:space="preserve">    - 2.512E-02</v>
      </c>
      <c r="P75" s="4" t="str">
        <f t="shared" si="32"/>
        <v xml:space="preserve">    - 2.491E-02</v>
      </c>
      <c r="Q75" s="4" t="str">
        <f t="shared" si="32"/>
        <v xml:space="preserve">    - 2.414E-02</v>
      </c>
      <c r="R75" s="4" t="str">
        <f t="shared" si="32"/>
        <v xml:space="preserve">    - 2.682E-02</v>
      </c>
      <c r="S75" s="4" t="str">
        <f t="shared" si="32"/>
        <v xml:space="preserve">    - 2.833E-02</v>
      </c>
      <c r="T75" s="4" t="str">
        <f t="shared" si="32"/>
        <v xml:space="preserve">    - 2.916E-02</v>
      </c>
      <c r="U75" s="4" t="str">
        <f t="shared" si="32"/>
        <v xml:space="preserve">    - 2.947E-02</v>
      </c>
      <c r="V75" s="4" t="str">
        <f t="shared" si="32"/>
        <v xml:space="preserve">    - 3.088E-02</v>
      </c>
      <c r="W75" s="4" t="str">
        <f t="shared" si="32"/>
        <v xml:space="preserve">    - 3.316E-02</v>
      </c>
      <c r="X75" s="4" t="str">
        <f t="shared" si="32"/>
        <v xml:space="preserve">    - 3.243E-02</v>
      </c>
      <c r="Y75" s="4" t="str">
        <f t="shared" si="32"/>
        <v xml:space="preserve">    - 3.851E-02</v>
      </c>
      <c r="Z75" s="4" t="str">
        <f t="shared" si="32"/>
        <v xml:space="preserve">    - 3.940E-02</v>
      </c>
      <c r="AA75" s="4" t="str">
        <f t="shared" si="32"/>
        <v xml:space="preserve">    - 3.974E-02</v>
      </c>
      <c r="AB75" s="4" t="str">
        <f t="shared" si="32"/>
        <v xml:space="preserve">    - 4.249E-02</v>
      </c>
      <c r="AC75" s="4" t="str">
        <f t="shared" si="32"/>
        <v xml:space="preserve">    - 4.312E-02</v>
      </c>
      <c r="AD75" s="4" t="str">
        <f t="shared" si="32"/>
        <v xml:space="preserve">    - 4.514E-02</v>
      </c>
      <c r="AE75" s="4" t="str">
        <f t="shared" si="32"/>
        <v xml:space="preserve">    - 4.599E-02</v>
      </c>
      <c r="AF75" s="4" t="str">
        <f t="shared" si="32"/>
        <v xml:space="preserve">    - 4.939E-02</v>
      </c>
      <c r="AG75" s="4" t="str">
        <f t="shared" si="32"/>
        <v xml:space="preserve">    - 5.296E-02</v>
      </c>
      <c r="AH75" s="4" t="str">
        <f t="shared" si="32"/>
        <v xml:space="preserve">    - 5.380E-02</v>
      </c>
      <c r="AI75" s="4" t="str">
        <f t="shared" si="32"/>
        <v xml:space="preserve">    - 5.653E-02</v>
      </c>
      <c r="AJ75" s="4" t="str">
        <f t="shared" si="32"/>
        <v xml:space="preserve">    - 5.866E-02</v>
      </c>
      <c r="AK75" s="4" t="str">
        <f t="shared" si="32"/>
        <v xml:space="preserve">    - 5.921E-02</v>
      </c>
      <c r="AL75" s="4" t="str">
        <f t="shared" si="32"/>
        <v xml:space="preserve">    - 1.805E-02</v>
      </c>
      <c r="AM75" s="4" t="str">
        <f t="shared" si="32"/>
        <v xml:space="preserve">    - 1.936E-02</v>
      </c>
      <c r="AN75" s="4" t="str">
        <f t="shared" si="32"/>
        <v xml:space="preserve">    - 2.148E-02</v>
      </c>
      <c r="AO75" s="4" t="str">
        <f t="shared" ref="AO75:AQ75" si="37">CONCATENATE("    - ", TEXT(AO45,"0.000E+00"))</f>
        <v xml:space="preserve">    - 5.440E-02</v>
      </c>
      <c r="AP75" s="4" t="str">
        <f t="shared" si="37"/>
        <v xml:space="preserve">    - 3.073E-02</v>
      </c>
      <c r="AQ75" s="4" t="str">
        <f t="shared" si="37"/>
        <v xml:space="preserve">    - 2.134E-02</v>
      </c>
    </row>
    <row r="76" spans="2:43">
      <c r="B76" s="4" t="str">
        <f t="shared" si="8"/>
        <v xml:space="preserve">    - 20.000</v>
      </c>
      <c r="C76" s="4" t="str">
        <f t="shared" si="9"/>
        <v xml:space="preserve">    - 2.145E-02</v>
      </c>
      <c r="D76" s="4" t="str">
        <f t="shared" si="32"/>
        <v xml:space="preserve">    - 1.105E-02</v>
      </c>
      <c r="E76" s="4" t="str">
        <f t="shared" si="32"/>
        <v xml:space="preserve">    - 1.223E-02</v>
      </c>
      <c r="F76" s="4" t="str">
        <f t="shared" si="32"/>
        <v xml:space="preserve">    - 1.365E-02</v>
      </c>
      <c r="G76" s="4" t="str">
        <f t="shared" si="32"/>
        <v xml:space="preserve">    - 1.571E-02</v>
      </c>
      <c r="H76" s="4" t="str">
        <f t="shared" si="32"/>
        <v xml:space="preserve">    - 1.669E-02</v>
      </c>
      <c r="I76" s="4" t="str">
        <f t="shared" si="32"/>
        <v xml:space="preserve">    - 1.766E-02</v>
      </c>
      <c r="J76" s="4" t="str">
        <f t="shared" si="32"/>
        <v xml:space="preserve">    - 1.966E-02</v>
      </c>
      <c r="K76" s="4" t="str">
        <f t="shared" si="32"/>
        <v xml:space="preserve">    - 2.123E-02</v>
      </c>
      <c r="L76" s="4" t="str">
        <f t="shared" si="32"/>
        <v xml:space="preserve">    - 2.164E-02</v>
      </c>
      <c r="M76" s="4" t="str">
        <f t="shared" si="32"/>
        <v xml:space="preserve">    - 2.334E-02</v>
      </c>
      <c r="N76" s="4" t="str">
        <f t="shared" si="32"/>
        <v xml:space="preserve">    - 2.359E-02</v>
      </c>
      <c r="O76" s="4" t="str">
        <f t="shared" si="32"/>
        <v xml:space="preserve">    - 2.525E-02</v>
      </c>
      <c r="P76" s="4" t="str">
        <f t="shared" si="32"/>
        <v xml:space="preserve">    - 2.516E-02</v>
      </c>
      <c r="Q76" s="4" t="str">
        <f t="shared" si="32"/>
        <v xml:space="preserve">    - 2.449E-02</v>
      </c>
      <c r="R76" s="4" t="str">
        <f t="shared" si="32"/>
        <v xml:space="preserve">    - 2.733E-02</v>
      </c>
      <c r="S76" s="4" t="str">
        <f t="shared" si="32"/>
        <v xml:space="preserve">    - 2.899E-02</v>
      </c>
      <c r="T76" s="4" t="str">
        <f t="shared" si="32"/>
        <v xml:space="preserve">    - 3.022E-02</v>
      </c>
      <c r="U76" s="4" t="str">
        <f t="shared" si="32"/>
        <v xml:space="preserve">    - 3.064E-02</v>
      </c>
      <c r="V76" s="4" t="str">
        <f t="shared" si="32"/>
        <v xml:space="preserve">    - 3.220E-02</v>
      </c>
      <c r="W76" s="4" t="str">
        <f t="shared" si="32"/>
        <v xml:space="preserve">    - 3.472E-02</v>
      </c>
      <c r="X76" s="4" t="str">
        <f t="shared" si="32"/>
        <v xml:space="preserve">    - 3.404E-02</v>
      </c>
      <c r="Y76" s="4" t="str">
        <f t="shared" si="32"/>
        <v xml:space="preserve">    - 4.118E-02</v>
      </c>
      <c r="Z76" s="4" t="str">
        <f t="shared" si="32"/>
        <v xml:space="preserve">    - 4.220E-02</v>
      </c>
      <c r="AA76" s="4" t="str">
        <f t="shared" si="32"/>
        <v xml:space="preserve">    - 4.261E-02</v>
      </c>
      <c r="AB76" s="4" t="str">
        <f t="shared" si="32"/>
        <v xml:space="preserve">    - 4.584E-02</v>
      </c>
      <c r="AC76" s="4" t="str">
        <f t="shared" si="32"/>
        <v xml:space="preserve">    - 4.659E-02</v>
      </c>
      <c r="AD76" s="4" t="str">
        <f t="shared" si="32"/>
        <v xml:space="preserve">    - 4.898E-02</v>
      </c>
      <c r="AE76" s="4" t="str">
        <f t="shared" si="32"/>
        <v xml:space="preserve">    - 4.992E-02</v>
      </c>
      <c r="AF76" s="4" t="str">
        <f t="shared" si="32"/>
        <v xml:space="preserve">    - 5.381E-02</v>
      </c>
      <c r="AG76" s="4" t="str">
        <f t="shared" si="32"/>
        <v xml:space="preserve">    - 5.792E-02</v>
      </c>
      <c r="AH76" s="4" t="str">
        <f t="shared" si="32"/>
        <v xml:space="preserve">    - 5.889E-02</v>
      </c>
      <c r="AI76" s="4" t="str">
        <f t="shared" si="32"/>
        <v xml:space="preserve">    - 6.202E-02</v>
      </c>
      <c r="AJ76" s="4" t="str">
        <f t="shared" si="32"/>
        <v xml:space="preserve">    - 6.443E-02</v>
      </c>
      <c r="AK76" s="4" t="str">
        <f t="shared" si="32"/>
        <v xml:space="preserve">    - 6.507E-02</v>
      </c>
      <c r="AL76" s="4" t="str">
        <f t="shared" si="32"/>
        <v xml:space="preserve">    - 1.702E-02</v>
      </c>
      <c r="AM76" s="4" t="str">
        <f t="shared" si="32"/>
        <v xml:space="preserve">    - 1.808E-02</v>
      </c>
      <c r="AN76" s="4" t="str">
        <f t="shared" si="32"/>
        <v xml:space="preserve">    - 2.101E-02</v>
      </c>
      <c r="AO76" s="4" t="str">
        <f t="shared" ref="AO76:AQ76" si="38">CONCATENATE("    - ", TEXT(AO46,"0.000E+00"))</f>
        <v xml:space="preserve">    - 5.945E-02</v>
      </c>
      <c r="AP76" s="4" t="str">
        <f t="shared" si="38"/>
        <v xml:space="preserve">    - 3.201E-02</v>
      </c>
      <c r="AQ76" s="4" t="str">
        <f t="shared" si="38"/>
        <v xml:space="preserve">    - 2.082E-02</v>
      </c>
    </row>
    <row r="77" spans="2:43">
      <c r="B77" s="4" t="str">
        <f t="shared" si="8"/>
        <v xml:space="preserve">    - 30.000</v>
      </c>
      <c r="C77" s="4" t="str">
        <f t="shared" si="9"/>
        <v xml:space="preserve">    - 1.741E-02</v>
      </c>
      <c r="D77" s="4" t="str">
        <f t="shared" si="32"/>
        <v xml:space="preserve">    - 9.654E-03</v>
      </c>
      <c r="E77" s="4" t="str">
        <f t="shared" si="32"/>
        <v xml:space="preserve">    - 1.097E-02</v>
      </c>
      <c r="F77" s="4" t="str">
        <f t="shared" si="32"/>
        <v xml:space="preserve">    - 1.252E-02</v>
      </c>
      <c r="G77" s="4" t="str">
        <f t="shared" si="32"/>
        <v xml:space="preserve">    - 1.468E-02</v>
      </c>
      <c r="H77" s="4" t="str">
        <f t="shared" si="32"/>
        <v xml:space="preserve">    - 1.584E-02</v>
      </c>
      <c r="I77" s="4" t="str">
        <f t="shared" si="32"/>
        <v xml:space="preserve">    - 1.702E-02</v>
      </c>
      <c r="J77" s="4" t="str">
        <f t="shared" si="32"/>
        <v xml:space="preserve">    - 1.958E-02</v>
      </c>
      <c r="K77" s="4" t="str">
        <f t="shared" si="32"/>
        <v xml:space="preserve">    - 2.134E-02</v>
      </c>
      <c r="L77" s="4" t="str">
        <f t="shared" si="32"/>
        <v xml:space="preserve">    - 2.192E-02</v>
      </c>
      <c r="M77" s="4" t="str">
        <f t="shared" si="32"/>
        <v xml:space="preserve">    - 2.381E-02</v>
      </c>
      <c r="N77" s="4" t="str">
        <f t="shared" si="32"/>
        <v xml:space="preserve">    - 2.422E-02</v>
      </c>
      <c r="O77" s="4" t="str">
        <f t="shared" si="32"/>
        <v xml:space="preserve">    - 2.609E-02</v>
      </c>
      <c r="P77" s="4" t="str">
        <f t="shared" si="32"/>
        <v xml:space="preserve">    - 2.614E-02</v>
      </c>
      <c r="Q77" s="4" t="str">
        <f t="shared" si="32"/>
        <v xml:space="preserve">    - 2.558E-02</v>
      </c>
      <c r="R77" s="4" t="str">
        <f t="shared" si="32"/>
        <v xml:space="preserve">    - 2.866E-02</v>
      </c>
      <c r="S77" s="4" t="str">
        <f t="shared" si="32"/>
        <v xml:space="preserve">    - 3.055E-02</v>
      </c>
      <c r="T77" s="4" t="str">
        <f t="shared" si="32"/>
        <v xml:space="preserve">    - 3.232E-02</v>
      </c>
      <c r="U77" s="4" t="str">
        <f t="shared" si="32"/>
        <v xml:space="preserve">    - 3.287E-02</v>
      </c>
      <c r="V77" s="4" t="str">
        <f t="shared" si="32"/>
        <v xml:space="preserve">    - 3.465E-02</v>
      </c>
      <c r="W77" s="4" t="str">
        <f t="shared" si="32"/>
        <v xml:space="preserve">    - 3.755E-02</v>
      </c>
      <c r="X77" s="4" t="str">
        <f t="shared" si="32"/>
        <v xml:space="preserve">    - 3.690E-02</v>
      </c>
      <c r="Y77" s="4" t="str">
        <f t="shared" si="32"/>
        <v xml:space="preserve">    - 4.553E-02</v>
      </c>
      <c r="Z77" s="4" t="str">
        <f t="shared" si="32"/>
        <v xml:space="preserve">    - 4.672E-02</v>
      </c>
      <c r="AA77" s="4" t="str">
        <f t="shared" si="32"/>
        <v xml:space="preserve">    - 4.721E-02</v>
      </c>
      <c r="AB77" s="4" t="str">
        <f t="shared" si="32"/>
        <v xml:space="preserve">    - 5.105E-02</v>
      </c>
      <c r="AC77" s="4" t="str">
        <f t="shared" si="32"/>
        <v xml:space="preserve">    - 5.200E-02</v>
      </c>
      <c r="AD77" s="4" t="str">
        <f t="shared" si="32"/>
        <v xml:space="preserve">    - 5.486E-02</v>
      </c>
      <c r="AE77" s="4" t="str">
        <f t="shared" si="32"/>
        <v xml:space="preserve">    - 5.596E-02</v>
      </c>
      <c r="AF77" s="4" t="str">
        <f t="shared" si="32"/>
        <v xml:space="preserve">    - 6.054E-02</v>
      </c>
      <c r="AG77" s="4" t="str">
        <f t="shared" si="32"/>
        <v xml:space="preserve">    - 6.538E-02</v>
      </c>
      <c r="AH77" s="4" t="str">
        <f t="shared" si="32"/>
        <v xml:space="preserve">    - 6.650E-02</v>
      </c>
      <c r="AI77" s="4" t="str">
        <f t="shared" si="32"/>
        <v xml:space="preserve">    - 7.019E-02</v>
      </c>
      <c r="AJ77" s="4" t="str">
        <f t="shared" si="32"/>
        <v xml:space="preserve">    - 7.312E-02</v>
      </c>
      <c r="AK77" s="4" t="str">
        <f t="shared" si="32"/>
        <v xml:space="preserve">    - 7.387E-02</v>
      </c>
      <c r="AL77" s="4" t="str">
        <f t="shared" si="32"/>
        <v xml:space="preserve">    - 1.624E-02</v>
      </c>
      <c r="AM77" s="4" t="str">
        <f t="shared" si="32"/>
        <v xml:space="preserve">    - 1.706E-02</v>
      </c>
      <c r="AN77" s="4" t="str">
        <f t="shared" ref="AN77:AQ77" si="39">CONCATENATE("    - ", TEXT(AN47,"0.000E+00"))</f>
        <v xml:space="preserve">    - 2.101E-02</v>
      </c>
      <c r="AO77" s="4" t="str">
        <f t="shared" si="39"/>
        <v xml:space="preserve">    - 6.713E-02</v>
      </c>
      <c r="AP77" s="4" t="str">
        <f t="shared" si="39"/>
        <v xml:space="preserve">    - 3.442E-02</v>
      </c>
      <c r="AQ77" s="4" t="str">
        <f t="shared" si="39"/>
        <v xml:space="preserve">    - 2.075E-02</v>
      </c>
    </row>
    <row r="78" spans="2:43">
      <c r="B78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628E9-6AC8-4B99-B05F-C0327BFB1E69}">
  <sheetPr codeName="Sheet6"/>
  <dimension ref="B1:P274"/>
  <sheetViews>
    <sheetView topLeftCell="F260" zoomScale="120" zoomScaleNormal="120" workbookViewId="0"/>
  </sheetViews>
  <sheetFormatPr baseColWidth="10" defaultColWidth="8.83203125" defaultRowHeight="15"/>
  <sheetData>
    <row r="1" spans="2:16">
      <c r="C1" s="5" t="s">
        <v>50</v>
      </c>
      <c r="N1" t="s">
        <v>63</v>
      </c>
    </row>
    <row r="2" spans="2:16">
      <c r="C2" s="5" t="s">
        <v>51</v>
      </c>
      <c r="N2" s="8" t="s">
        <v>60</v>
      </c>
      <c r="O2" s="8" t="s">
        <v>61</v>
      </c>
      <c r="P2" s="8" t="s">
        <v>62</v>
      </c>
    </row>
    <row r="3" spans="2:16">
      <c r="B3" t="s">
        <v>1</v>
      </c>
      <c r="C3" t="s">
        <v>11</v>
      </c>
      <c r="D3" t="s">
        <v>12</v>
      </c>
      <c r="E3" t="s">
        <v>13</v>
      </c>
      <c r="F3" t="s">
        <v>16</v>
      </c>
      <c r="G3" t="s">
        <v>14</v>
      </c>
      <c r="H3" t="s">
        <v>17</v>
      </c>
      <c r="I3" t="s">
        <v>18</v>
      </c>
      <c r="J3" t="s">
        <v>15</v>
      </c>
    </row>
    <row r="4" spans="2:16">
      <c r="B4" s="4">
        <v>1.4999999999999999E-2</v>
      </c>
      <c r="C4" s="4">
        <v>1.004</v>
      </c>
      <c r="D4" s="4">
        <v>1.5609999999999999</v>
      </c>
      <c r="E4" s="4">
        <v>-0.55400000000000005</v>
      </c>
      <c r="F4" s="7">
        <v>5.6</v>
      </c>
      <c r="G4" s="6">
        <v>0.35239999999999999</v>
      </c>
      <c r="H4" s="2">
        <v>4.0000000000000001E-3</v>
      </c>
      <c r="I4">
        <v>1</v>
      </c>
      <c r="J4" s="2">
        <v>1.2899999999999999E-3</v>
      </c>
      <c r="L4" t="str">
        <f>CONCATENATE("    -  ",TEXT(B4,"0.000"))</f>
        <v xml:space="preserve">    -  0.015</v>
      </c>
      <c r="N4" t="str">
        <f t="shared" ref="N4:N28" si="0">CONCATENATE("    - [",TEXT(C4,$N$2),", ",TEXT(D4,$N$2),", ",TEXT(E4,$N$2),", ",TEXT(F4,$O$2),", ",TEXT(G4,$P$2),"]")</f>
        <v xml:space="preserve">    - [1.004, 1.561, -0.554, 5.60, 0.3524]</v>
      </c>
    </row>
    <row r="5" spans="2:16">
      <c r="B5" s="4">
        <v>0.02</v>
      </c>
      <c r="C5" s="4">
        <v>1.012</v>
      </c>
      <c r="D5" s="4">
        <v>0.13</v>
      </c>
      <c r="E5" s="4">
        <v>0.62</v>
      </c>
      <c r="F5" s="7">
        <v>11.39</v>
      </c>
      <c r="G5" s="6">
        <v>-0.61619999999999997</v>
      </c>
      <c r="H5" s="2">
        <v>4.3E-3</v>
      </c>
      <c r="I5">
        <v>2</v>
      </c>
      <c r="J5" s="2">
        <v>2.1900000000000001E-3</v>
      </c>
      <c r="L5" t="str">
        <f t="shared" ref="L5:L28" si="1">CONCATENATE("    -  ",TEXT(B5,"0.000"))</f>
        <v xml:space="preserve">    -  0.020</v>
      </c>
      <c r="N5" t="str">
        <f t="shared" si="0"/>
        <v xml:space="preserve">    - [1.012, 0.130, 0.620, 11.39, -0.6162]</v>
      </c>
    </row>
    <row r="6" spans="2:16">
      <c r="B6" s="4">
        <v>0.03</v>
      </c>
      <c r="C6" s="4">
        <v>1.028</v>
      </c>
      <c r="D6" s="4">
        <v>0.374</v>
      </c>
      <c r="E6" s="4">
        <v>0.19</v>
      </c>
      <c r="F6" s="7">
        <v>29.34</v>
      </c>
      <c r="G6" s="6">
        <v>-0.317</v>
      </c>
      <c r="H6" s="2">
        <v>6.4999999999999997E-3</v>
      </c>
      <c r="I6">
        <v>3</v>
      </c>
      <c r="J6" s="2">
        <v>2.81E-3</v>
      </c>
      <c r="L6" t="str">
        <f t="shared" si="1"/>
        <v xml:space="preserve">    -  0.030</v>
      </c>
      <c r="N6" t="str">
        <f t="shared" si="0"/>
        <v xml:space="preserve">    - [1.028, 0.374, 0.190, 29.34, -0.3170]</v>
      </c>
    </row>
    <row r="7" spans="2:16">
      <c r="B7" s="4">
        <v>0.04</v>
      </c>
      <c r="C7" s="4">
        <v>1.0580000000000001</v>
      </c>
      <c r="D7" s="4">
        <v>0.33600000000000002</v>
      </c>
      <c r="E7" s="4">
        <v>0.248</v>
      </c>
      <c r="F7" s="7">
        <v>11.65</v>
      </c>
      <c r="G7" s="6">
        <v>-0.1188</v>
      </c>
      <c r="H7" s="2">
        <v>5.0000000000000001E-3</v>
      </c>
      <c r="I7">
        <v>7</v>
      </c>
      <c r="J7" s="2">
        <v>2.3800000000000002E-3</v>
      </c>
      <c r="L7" t="str">
        <f t="shared" si="1"/>
        <v xml:space="preserve">    -  0.040</v>
      </c>
      <c r="N7" t="str">
        <f t="shared" si="0"/>
        <v xml:space="preserve">    - [1.058, 0.336, 0.248, 11.65, -0.1188]</v>
      </c>
    </row>
    <row r="8" spans="2:16">
      <c r="B8" s="4">
        <v>0.05</v>
      </c>
      <c r="C8" s="4">
        <v>1.099</v>
      </c>
      <c r="D8" s="4">
        <v>0.36599999999999999</v>
      </c>
      <c r="E8" s="4">
        <v>0.23200000000000001</v>
      </c>
      <c r="F8" s="7">
        <v>14.01</v>
      </c>
      <c r="G8" s="6">
        <v>-0.13539999999999999</v>
      </c>
      <c r="H8" s="2">
        <v>6.4999999999999997E-3</v>
      </c>
      <c r="I8">
        <v>3</v>
      </c>
      <c r="J8" s="2">
        <v>3.4299999999999999E-3</v>
      </c>
      <c r="L8" t="str">
        <f t="shared" si="1"/>
        <v xml:space="preserve">    -  0.050</v>
      </c>
      <c r="N8" t="str">
        <f t="shared" si="0"/>
        <v xml:space="preserve">    - [1.099, 0.366, 0.232, 14.01, -0.1354]</v>
      </c>
    </row>
    <row r="9" spans="2:16">
      <c r="B9" s="4">
        <v>0.06</v>
      </c>
      <c r="C9" s="4">
        <v>1.1479999999999999</v>
      </c>
      <c r="D9" s="4">
        <v>0.40500000000000003</v>
      </c>
      <c r="E9" s="4">
        <v>0.20799999999999999</v>
      </c>
      <c r="F9" s="7">
        <v>14.17</v>
      </c>
      <c r="G9" s="6">
        <v>-0.1142</v>
      </c>
      <c r="H9" s="2">
        <v>1.5299999999999999E-2</v>
      </c>
      <c r="I9">
        <v>0.5</v>
      </c>
      <c r="J9" s="2">
        <v>5.77E-3</v>
      </c>
      <c r="L9" t="str">
        <f t="shared" si="1"/>
        <v xml:space="preserve">    -  0.060</v>
      </c>
      <c r="N9" t="str">
        <f t="shared" si="0"/>
        <v xml:space="preserve">    - [1.148, 0.405, 0.208, 14.17, -0.1142]</v>
      </c>
    </row>
    <row r="10" spans="2:16">
      <c r="B10" s="4">
        <v>0.08</v>
      </c>
      <c r="C10" s="4">
        <v>1.2669999999999999</v>
      </c>
      <c r="D10" s="4">
        <v>0.47</v>
      </c>
      <c r="E10" s="4">
        <v>0.18</v>
      </c>
      <c r="F10" s="7">
        <v>14.48</v>
      </c>
      <c r="G10" s="6">
        <v>-9.74E-2</v>
      </c>
      <c r="H10" s="2">
        <v>2.3199999999999998E-2</v>
      </c>
      <c r="I10">
        <v>0.5</v>
      </c>
      <c r="J10" s="2">
        <v>8.9200000000000008E-3</v>
      </c>
      <c r="L10" t="str">
        <f t="shared" si="1"/>
        <v xml:space="preserve">    -  0.080</v>
      </c>
      <c r="N10" t="str">
        <f t="shared" si="0"/>
        <v xml:space="preserve">    - [1.267, 0.470, 0.180, 14.48, -0.0974]</v>
      </c>
    </row>
    <row r="11" spans="2:16">
      <c r="B11" s="4">
        <v>0.1</v>
      </c>
      <c r="C11" s="4">
        <v>1.389</v>
      </c>
      <c r="D11" s="4">
        <v>0.55700000000000005</v>
      </c>
      <c r="E11" s="4">
        <v>0.14399999999999999</v>
      </c>
      <c r="F11" s="7">
        <v>14.11</v>
      </c>
      <c r="G11" s="6">
        <v>-7.9100000000000004E-2</v>
      </c>
      <c r="H11" s="2">
        <v>2.58E-2</v>
      </c>
      <c r="I11">
        <v>0.5</v>
      </c>
      <c r="J11" s="2">
        <v>1.04E-2</v>
      </c>
      <c r="L11" t="str">
        <f t="shared" si="1"/>
        <v xml:space="preserve">    -  0.100</v>
      </c>
      <c r="N11" t="str">
        <f t="shared" si="0"/>
        <v xml:space="preserve">    - [1.389, 0.557, 0.144, 14.11, -0.0791]</v>
      </c>
    </row>
    <row r="12" spans="2:16">
      <c r="B12" s="4">
        <v>0.15</v>
      </c>
      <c r="C12" s="4">
        <v>1.66</v>
      </c>
      <c r="D12" s="4">
        <v>0.74299999999999999</v>
      </c>
      <c r="E12" s="4">
        <v>7.9000000000000001E-2</v>
      </c>
      <c r="F12" s="7">
        <v>14.12</v>
      </c>
      <c r="G12" s="6">
        <v>-4.7600000000000003E-2</v>
      </c>
      <c r="H12" s="2">
        <v>2.93E-2</v>
      </c>
      <c r="I12">
        <v>0.5</v>
      </c>
      <c r="J12" s="2">
        <v>1.1429999999999999E-2</v>
      </c>
      <c r="L12" t="str">
        <f t="shared" si="1"/>
        <v xml:space="preserve">    -  0.150</v>
      </c>
      <c r="N12" t="str">
        <f t="shared" si="0"/>
        <v xml:space="preserve">    - [1.660, 0.743, 0.079, 14.12, -0.0476]</v>
      </c>
    </row>
    <row r="13" spans="2:16">
      <c r="B13" s="4">
        <v>0.2</v>
      </c>
      <c r="C13" s="4">
        <v>1.839</v>
      </c>
      <c r="D13" s="4">
        <v>0.91100000000000003</v>
      </c>
      <c r="E13" s="4">
        <v>3.4000000000000002E-2</v>
      </c>
      <c r="F13" s="7">
        <v>13.23</v>
      </c>
      <c r="G13" s="6">
        <v>-3.3399999999999999E-2</v>
      </c>
      <c r="H13" s="2">
        <v>2.5999999999999999E-2</v>
      </c>
      <c r="I13">
        <v>0.5</v>
      </c>
      <c r="J13" s="2">
        <v>1.1690000000000001E-2</v>
      </c>
      <c r="L13" t="str">
        <f t="shared" si="1"/>
        <v xml:space="preserve">    -  0.200</v>
      </c>
      <c r="N13" t="str">
        <f t="shared" si="0"/>
        <v xml:space="preserve">    - [1.839, 0.911, 0.034, 13.23, -0.0334]</v>
      </c>
    </row>
    <row r="14" spans="2:16">
      <c r="B14" s="4">
        <v>0.3</v>
      </c>
      <c r="C14" s="4">
        <v>1.9730000000000001</v>
      </c>
      <c r="D14" s="4">
        <v>1.095</v>
      </c>
      <c r="E14" s="4">
        <v>-8.9999999999999993E-3</v>
      </c>
      <c r="F14" s="7">
        <v>11.86</v>
      </c>
      <c r="G14" s="6">
        <v>-1.83E-2</v>
      </c>
      <c r="H14" s="2">
        <v>2.3400000000000001E-2</v>
      </c>
      <c r="I14">
        <v>0.5</v>
      </c>
      <c r="J14" s="2">
        <v>9.5499999999999995E-3</v>
      </c>
      <c r="L14" t="str">
        <f t="shared" si="1"/>
        <v xml:space="preserve">    -  0.300</v>
      </c>
      <c r="N14" t="str">
        <f t="shared" si="0"/>
        <v xml:space="preserve">    - [1.973, 1.095, -0.009, 11.86, -0.0183]</v>
      </c>
    </row>
    <row r="15" spans="2:16">
      <c r="B15" s="4">
        <v>0.4</v>
      </c>
      <c r="C15" s="4">
        <v>1.992</v>
      </c>
      <c r="D15" s="4">
        <v>1.1870000000000001</v>
      </c>
      <c r="E15" s="4">
        <v>-2.7E-2</v>
      </c>
      <c r="F15" s="7">
        <v>10.72</v>
      </c>
      <c r="G15" s="6">
        <v>-1.4E-2</v>
      </c>
      <c r="H15" s="2">
        <v>1.84E-2</v>
      </c>
      <c r="I15">
        <v>0.5</v>
      </c>
      <c r="J15" s="2">
        <v>7.77E-3</v>
      </c>
      <c r="L15" t="str">
        <f t="shared" si="1"/>
        <v xml:space="preserve">    -  0.400</v>
      </c>
      <c r="N15" t="str">
        <f t="shared" si="0"/>
        <v xml:space="preserve">    - [1.992, 1.187, -0.027, 10.72, -0.0140]</v>
      </c>
    </row>
    <row r="16" spans="2:16">
      <c r="B16" s="4">
        <v>0.5</v>
      </c>
      <c r="C16" s="4">
        <v>1.9670000000000001</v>
      </c>
      <c r="D16" s="4">
        <v>1.24</v>
      </c>
      <c r="E16" s="4">
        <v>-3.9E-2</v>
      </c>
      <c r="F16" s="7">
        <v>8.34</v>
      </c>
      <c r="G16" s="6">
        <v>-7.4000000000000003E-3</v>
      </c>
      <c r="H16" s="2">
        <v>1.7399999999999999E-2</v>
      </c>
      <c r="I16">
        <v>0.5</v>
      </c>
      <c r="J16" s="2">
        <v>6.6E-3</v>
      </c>
      <c r="L16" t="str">
        <f t="shared" si="1"/>
        <v xml:space="preserve">    -  0.500</v>
      </c>
      <c r="N16" t="str">
        <f t="shared" si="0"/>
        <v xml:space="preserve">    - [1.967, 1.240, -0.039, 8.34, -0.0074]</v>
      </c>
    </row>
    <row r="17" spans="2:14">
      <c r="B17" s="4">
        <v>0.6</v>
      </c>
      <c r="C17" s="4">
        <v>1.9470000000000001</v>
      </c>
      <c r="D17" s="4">
        <v>1.2470000000000001</v>
      </c>
      <c r="E17" s="4">
        <v>-0.04</v>
      </c>
      <c r="F17" s="7">
        <v>8.1999999999999993</v>
      </c>
      <c r="G17" s="6">
        <v>-9.5999999999999992E-3</v>
      </c>
      <c r="H17" s="2">
        <v>1.09E-2</v>
      </c>
      <c r="I17">
        <v>0.5</v>
      </c>
      <c r="J17" s="2">
        <v>5.1200000000000004E-3</v>
      </c>
      <c r="L17" t="str">
        <f t="shared" si="1"/>
        <v xml:space="preserve">    -  0.600</v>
      </c>
      <c r="N17" t="str">
        <f t="shared" si="0"/>
        <v xml:space="preserve">    - [1.947, 1.247, -0.040, 8.20, -0.0096]</v>
      </c>
    </row>
    <row r="18" spans="2:14">
      <c r="B18" s="4">
        <v>0.8</v>
      </c>
      <c r="C18" s="4">
        <v>1.9059999999999999</v>
      </c>
      <c r="D18" s="4">
        <v>1.2330000000000001</v>
      </c>
      <c r="E18" s="4">
        <v>-3.7999999999999999E-2</v>
      </c>
      <c r="F18" s="7">
        <v>7.93</v>
      </c>
      <c r="G18" s="6">
        <v>-1.0999999999999999E-2</v>
      </c>
      <c r="H18" s="2">
        <v>1.15E-2</v>
      </c>
      <c r="I18">
        <v>2</v>
      </c>
      <c r="J18" s="2">
        <v>5.1599999999999997E-3</v>
      </c>
      <c r="L18" t="str">
        <f t="shared" si="1"/>
        <v xml:space="preserve">    -  0.800</v>
      </c>
      <c r="N18" t="str">
        <f t="shared" si="0"/>
        <v xml:space="preserve">    - [1.906, 1.233, -0.038, 7.93, -0.0110]</v>
      </c>
    </row>
    <row r="19" spans="2:14">
      <c r="B19" s="4">
        <v>1</v>
      </c>
      <c r="C19" s="4">
        <v>1.841</v>
      </c>
      <c r="D19" s="4">
        <v>1.25</v>
      </c>
      <c r="E19" s="4">
        <v>-4.8000000000000001E-2</v>
      </c>
      <c r="F19" s="7">
        <v>19.489999999999998</v>
      </c>
      <c r="G19" s="6">
        <v>1.4E-2</v>
      </c>
      <c r="H19" s="2">
        <v>1.1599999999999999E-2</v>
      </c>
      <c r="I19">
        <v>0.5</v>
      </c>
      <c r="J19" s="2">
        <v>4.0000000000000001E-3</v>
      </c>
      <c r="L19" t="str">
        <f t="shared" si="1"/>
        <v xml:space="preserve">    -  1.000</v>
      </c>
      <c r="N19" t="str">
        <f t="shared" si="0"/>
        <v xml:space="preserve">    - [1.841, 1.250, -0.048, 19.49, 0.0140]</v>
      </c>
    </row>
    <row r="20" spans="2:14">
      <c r="B20" s="4">
        <v>1.5</v>
      </c>
      <c r="C20" s="4">
        <v>1.75</v>
      </c>
      <c r="D20" s="4">
        <v>1.1970000000000001</v>
      </c>
      <c r="E20" s="4">
        <v>-0.04</v>
      </c>
      <c r="F20" s="7">
        <v>15.9</v>
      </c>
      <c r="G20" s="6">
        <v>1.0999999999999999E-2</v>
      </c>
      <c r="H20" s="2">
        <v>1.0500000000000001E-2</v>
      </c>
      <c r="I20">
        <v>0.5</v>
      </c>
      <c r="J20" s="2">
        <v>3.1800000000000001E-3</v>
      </c>
      <c r="L20" t="str">
        <f t="shared" si="1"/>
        <v xml:space="preserve">    -  1.500</v>
      </c>
      <c r="N20" t="str">
        <f t="shared" si="0"/>
        <v xml:space="preserve">    - [1.750, 1.197, -0.040, 15.90, 0.0110]</v>
      </c>
    </row>
    <row r="21" spans="2:14">
      <c r="B21" s="4">
        <v>2</v>
      </c>
      <c r="C21" s="4">
        <v>1.712</v>
      </c>
      <c r="D21" s="4">
        <v>1.123</v>
      </c>
      <c r="E21" s="4">
        <v>-2.1000000000000001E-2</v>
      </c>
      <c r="F21" s="7">
        <v>7.97</v>
      </c>
      <c r="G21" s="6">
        <v>-5.7000000000000002E-3</v>
      </c>
      <c r="H21" s="2">
        <v>4.1999999999999997E-3</v>
      </c>
      <c r="I21">
        <v>0.5</v>
      </c>
      <c r="J21" s="2">
        <v>2.5000000000000001E-3</v>
      </c>
      <c r="L21" t="str">
        <f t="shared" si="1"/>
        <v xml:space="preserve">    -  2.000</v>
      </c>
      <c r="N21" t="str">
        <f t="shared" si="0"/>
        <v xml:space="preserve">    - [1.712, 1.123, -0.021, 7.97, -0.0057]</v>
      </c>
    </row>
    <row r="22" spans="2:14">
      <c r="B22" s="4">
        <v>3</v>
      </c>
      <c r="C22" s="4">
        <v>1.627</v>
      </c>
      <c r="D22" s="4">
        <v>1.0589999999999999</v>
      </c>
      <c r="E22" s="4">
        <v>-5.0000000000000001E-3</v>
      </c>
      <c r="F22" s="7">
        <v>11.99</v>
      </c>
      <c r="G22" s="6">
        <v>-1.32E-2</v>
      </c>
      <c r="H22" s="2">
        <v>8.5000000000000006E-3</v>
      </c>
      <c r="I22">
        <v>0.5</v>
      </c>
      <c r="J22" s="2">
        <v>5.0699999999999999E-3</v>
      </c>
      <c r="L22" t="str">
        <f t="shared" si="1"/>
        <v xml:space="preserve">    -  3.000</v>
      </c>
      <c r="N22" t="str">
        <f t="shared" si="0"/>
        <v xml:space="preserve">    - [1.627, 1.059, -0.005, 11.99, -0.0132]</v>
      </c>
    </row>
    <row r="23" spans="2:14">
      <c r="B23" s="4">
        <v>4</v>
      </c>
      <c r="C23" s="4">
        <v>1.5529999999999999</v>
      </c>
      <c r="D23" s="4">
        <v>1.026</v>
      </c>
      <c r="E23" s="4">
        <v>5.0000000000000001E-3</v>
      </c>
      <c r="F23" s="7">
        <v>12.93</v>
      </c>
      <c r="G23" s="6">
        <v>-1.9099999999999999E-2</v>
      </c>
      <c r="H23" s="2">
        <v>1.9300000000000001E-2</v>
      </c>
      <c r="I23">
        <v>0.5</v>
      </c>
      <c r="J23" s="2">
        <v>7.9100000000000004E-3</v>
      </c>
      <c r="L23" t="str">
        <f t="shared" si="1"/>
        <v xml:space="preserve">    -  4.000</v>
      </c>
      <c r="N23" t="str">
        <f t="shared" si="0"/>
        <v xml:space="preserve">    - [1.553, 1.026, 0.005, 12.93, -0.0191]</v>
      </c>
    </row>
    <row r="24" spans="2:14">
      <c r="B24" s="4">
        <v>5</v>
      </c>
      <c r="C24" s="4">
        <v>1.4830000000000001</v>
      </c>
      <c r="D24" s="4">
        <v>1.0089999999999999</v>
      </c>
      <c r="E24" s="4">
        <v>1.2E-2</v>
      </c>
      <c r="F24" s="7">
        <v>13.12</v>
      </c>
      <c r="G24" s="6">
        <v>-2.58E-2</v>
      </c>
      <c r="H24" s="2">
        <v>2.24E-2</v>
      </c>
      <c r="I24">
        <v>0.5</v>
      </c>
      <c r="J24" s="2">
        <v>9.3900000000000008E-3</v>
      </c>
      <c r="L24" t="str">
        <f t="shared" si="1"/>
        <v xml:space="preserve">    -  5.000</v>
      </c>
      <c r="N24" t="str">
        <f t="shared" si="0"/>
        <v xml:space="preserve">    - [1.483, 1.009, 0.012, 13.12, -0.0258]</v>
      </c>
    </row>
    <row r="25" spans="2:14">
      <c r="B25" s="4">
        <v>6</v>
      </c>
      <c r="C25" s="4">
        <v>1.4419999999999999</v>
      </c>
      <c r="D25" s="4">
        <v>0.98</v>
      </c>
      <c r="E25" s="4">
        <v>2.3E-2</v>
      </c>
      <c r="F25" s="7">
        <v>13.37</v>
      </c>
      <c r="G25" s="6">
        <v>-3.5499999999999997E-2</v>
      </c>
      <c r="H25" s="2">
        <v>2.1600000000000001E-2</v>
      </c>
      <c r="I25">
        <v>0.5</v>
      </c>
      <c r="J25" s="2">
        <v>1.12E-2</v>
      </c>
      <c r="L25" t="str">
        <f t="shared" si="1"/>
        <v xml:space="preserve">    -  6.000</v>
      </c>
      <c r="N25" t="str">
        <f t="shared" si="0"/>
        <v xml:space="preserve">    - [1.442, 0.980, 0.023, 13.37, -0.0355]</v>
      </c>
    </row>
    <row r="26" spans="2:14">
      <c r="B26" s="4">
        <v>8</v>
      </c>
      <c r="C26" s="4">
        <v>1.3540000000000001</v>
      </c>
      <c r="D26" s="4">
        <v>0.97399999999999998</v>
      </c>
      <c r="E26" s="4">
        <v>2.9000000000000001E-2</v>
      </c>
      <c r="F26" s="7">
        <v>13.65</v>
      </c>
      <c r="G26" s="6">
        <v>-4.24E-2</v>
      </c>
      <c r="H26" s="2">
        <v>3.3599999999999998E-2</v>
      </c>
      <c r="I26">
        <v>0.5</v>
      </c>
      <c r="J26" s="2">
        <v>1.37E-2</v>
      </c>
      <c r="L26" t="str">
        <f t="shared" si="1"/>
        <v xml:space="preserve">    -  8.000</v>
      </c>
      <c r="N26" t="str">
        <f t="shared" si="0"/>
        <v xml:space="preserve">    - [1.354, 0.974, 0.029, 13.65, -0.0424]</v>
      </c>
    </row>
    <row r="27" spans="2:14">
      <c r="B27" s="4">
        <v>10</v>
      </c>
      <c r="C27" s="4">
        <v>1.2969999999999999</v>
      </c>
      <c r="D27" s="4">
        <v>0.94899999999999995</v>
      </c>
      <c r="E27" s="4">
        <v>4.2000000000000003E-2</v>
      </c>
      <c r="F27" s="7">
        <v>13.97</v>
      </c>
      <c r="G27" s="6">
        <v>-5.6099999999999997E-2</v>
      </c>
      <c r="H27" s="2">
        <v>3.2300000000000002E-2</v>
      </c>
      <c r="I27">
        <v>0.5</v>
      </c>
      <c r="J27" s="2">
        <v>1.4999999999999999E-2</v>
      </c>
      <c r="L27" t="str">
        <f t="shared" si="1"/>
        <v xml:space="preserve">    -  10.000</v>
      </c>
      <c r="N27" t="str">
        <f t="shared" si="0"/>
        <v xml:space="preserve">    - [1.297, 0.949, 0.042, 13.97, -0.0561]</v>
      </c>
    </row>
    <row r="28" spans="2:14">
      <c r="B28" s="4">
        <v>15</v>
      </c>
      <c r="C28" s="4">
        <v>1.1990000000000001</v>
      </c>
      <c r="D28" s="4">
        <v>0.95699999999999996</v>
      </c>
      <c r="E28" s="4">
        <v>4.9000000000000002E-2</v>
      </c>
      <c r="F28" s="7">
        <v>14.37</v>
      </c>
      <c r="G28" s="6">
        <v>-5.9400000000000001E-2</v>
      </c>
      <c r="H28" s="2">
        <v>3.3799999999999997E-2</v>
      </c>
      <c r="I28">
        <v>0.5</v>
      </c>
      <c r="J28" s="2">
        <v>1.553E-2</v>
      </c>
      <c r="L28" t="str">
        <f t="shared" si="1"/>
        <v xml:space="preserve">    -  15.000</v>
      </c>
      <c r="N28" t="str">
        <f t="shared" si="0"/>
        <v xml:space="preserve">    - [1.199, 0.957, 0.049, 14.37, -0.0594]</v>
      </c>
    </row>
    <row r="30" spans="2:14">
      <c r="C30" s="5" t="s">
        <v>52</v>
      </c>
    </row>
    <row r="31" spans="2:14">
      <c r="B31" t="s">
        <v>1</v>
      </c>
      <c r="C31" t="s">
        <v>11</v>
      </c>
      <c r="D31" t="s">
        <v>12</v>
      </c>
      <c r="E31" t="s">
        <v>13</v>
      </c>
      <c r="F31" t="s">
        <v>16</v>
      </c>
      <c r="G31" t="s">
        <v>14</v>
      </c>
      <c r="H31" t="s">
        <v>17</v>
      </c>
      <c r="I31" t="s">
        <v>18</v>
      </c>
      <c r="J31" t="s">
        <v>15</v>
      </c>
    </row>
    <row r="32" spans="2:14">
      <c r="B32" s="4">
        <v>1.4999999999999999E-2</v>
      </c>
      <c r="C32" s="4">
        <v>1.0289999999999999</v>
      </c>
      <c r="D32" s="4">
        <v>0.39400000000000002</v>
      </c>
      <c r="E32" s="4">
        <v>0.20599999999999999</v>
      </c>
      <c r="F32" s="7">
        <v>15.51</v>
      </c>
      <c r="G32" s="6">
        <v>-0.13880000000000001</v>
      </c>
      <c r="H32" s="2">
        <v>4.4999999999999997E-3</v>
      </c>
      <c r="I32">
        <v>6</v>
      </c>
      <c r="J32" s="2">
        <v>2.2300000000000002E-3</v>
      </c>
      <c r="L32" t="str">
        <f>CONCATENATE("    -  ",TEXT(B32,"0.000"))</f>
        <v xml:space="preserve">    -  0.015</v>
      </c>
      <c r="N32" t="str">
        <f t="shared" ref="N32:N56" si="2">CONCATENATE("    - [",TEXT(C32,$N$2),", ",TEXT(D32,$N$2),", ",TEXT(E32,$N$2),", ",TEXT(F32,$O$2),", ",TEXT(G32,$P$2),"]")</f>
        <v xml:space="preserve">    - [1.029, 0.394, 0.206, 15.51, -0.1388]</v>
      </c>
    </row>
    <row r="33" spans="2:14">
      <c r="B33" s="4">
        <v>0.02</v>
      </c>
      <c r="C33" s="4">
        <v>1.0669999999999999</v>
      </c>
      <c r="D33" s="4">
        <v>0.38400000000000001</v>
      </c>
      <c r="E33" s="4">
        <v>0.22</v>
      </c>
      <c r="F33" s="7">
        <v>13.81</v>
      </c>
      <c r="G33" s="6">
        <v>-0.12039999999999999</v>
      </c>
      <c r="H33" s="2">
        <v>7.1000000000000004E-3</v>
      </c>
      <c r="I33">
        <v>0.5</v>
      </c>
      <c r="J33" s="2">
        <v>3.1199999999999999E-3</v>
      </c>
      <c r="L33" t="str">
        <f t="shared" ref="L33:L56" si="3">CONCATENATE("    -  ",TEXT(B33,"0.000"))</f>
        <v xml:space="preserve">    -  0.020</v>
      </c>
      <c r="N33" t="str">
        <f t="shared" si="2"/>
        <v xml:space="preserve">    - [1.067, 0.384, 0.220, 13.81, -0.1204]</v>
      </c>
    </row>
    <row r="34" spans="2:14">
      <c r="B34" s="4">
        <v>0.03</v>
      </c>
      <c r="C34" s="4">
        <v>1.2230000000000001</v>
      </c>
      <c r="D34" s="4">
        <v>0.42199999999999999</v>
      </c>
      <c r="E34" s="4">
        <v>0.19800000000000001</v>
      </c>
      <c r="F34" s="7">
        <v>15.1</v>
      </c>
      <c r="G34" s="6">
        <v>-0.1042</v>
      </c>
      <c r="H34" s="2">
        <v>1.83E-2</v>
      </c>
      <c r="I34">
        <v>0.5</v>
      </c>
      <c r="J34" s="2">
        <v>6.3499999999999997E-3</v>
      </c>
      <c r="L34" t="str">
        <f t="shared" si="3"/>
        <v xml:space="preserve">    -  0.030</v>
      </c>
      <c r="N34" t="str">
        <f t="shared" si="2"/>
        <v xml:space="preserve">    - [1.223, 0.422, 0.198, 15.10, -0.1042]</v>
      </c>
    </row>
    <row r="35" spans="2:14">
      <c r="B35" s="4">
        <v>0.04</v>
      </c>
      <c r="C35" s="4">
        <v>1.48</v>
      </c>
      <c r="D35" s="4">
        <v>0.503</v>
      </c>
      <c r="E35" s="4">
        <v>0.16600000000000001</v>
      </c>
      <c r="F35" s="7">
        <v>14.78</v>
      </c>
      <c r="G35" s="6">
        <v>-8.9300000000000004E-2</v>
      </c>
      <c r="H35" s="2">
        <v>1.72E-2</v>
      </c>
      <c r="I35">
        <v>0.5</v>
      </c>
      <c r="J35" s="2">
        <v>6.9699999999999996E-3</v>
      </c>
      <c r="L35" t="str">
        <f t="shared" si="3"/>
        <v xml:space="preserve">    -  0.040</v>
      </c>
      <c r="N35" t="str">
        <f t="shared" si="2"/>
        <v xml:space="preserve">    - [1.480, 0.503, 0.166, 14.78, -0.0893]</v>
      </c>
    </row>
    <row r="36" spans="2:14">
      <c r="B36" s="4">
        <v>0.05</v>
      </c>
      <c r="C36" s="4">
        <v>1.7649999999999999</v>
      </c>
      <c r="D36" s="4">
        <v>0.66600000000000004</v>
      </c>
      <c r="E36" s="4">
        <v>9.9000000000000005E-2</v>
      </c>
      <c r="F36" s="7">
        <v>16.34</v>
      </c>
      <c r="G36" s="6">
        <v>-4.9299999999999997E-2</v>
      </c>
      <c r="H36" s="2">
        <v>2.1000000000000001E-2</v>
      </c>
      <c r="I36">
        <v>2</v>
      </c>
      <c r="J36" s="2">
        <v>7.2199999999999999E-3</v>
      </c>
      <c r="L36" t="str">
        <f t="shared" si="3"/>
        <v xml:space="preserve">    -  0.050</v>
      </c>
      <c r="N36" t="str">
        <f t="shared" si="2"/>
        <v xml:space="preserve">    - [1.765, 0.666, 0.099, 16.34, -0.0493]</v>
      </c>
    </row>
    <row r="37" spans="2:14">
      <c r="B37" s="4">
        <v>0.06</v>
      </c>
      <c r="C37" s="4">
        <v>2.1890000000000001</v>
      </c>
      <c r="D37" s="4">
        <v>0.69699999999999995</v>
      </c>
      <c r="E37" s="4">
        <v>0.104</v>
      </c>
      <c r="F37" s="7">
        <v>12.9</v>
      </c>
      <c r="G37" s="6">
        <v>-5.8000000000000003E-2</v>
      </c>
      <c r="H37" s="2">
        <v>0.03</v>
      </c>
      <c r="I37">
        <v>0.5</v>
      </c>
      <c r="J37" s="2">
        <v>1.3559999999999999E-2</v>
      </c>
      <c r="L37" t="str">
        <f t="shared" si="3"/>
        <v xml:space="preserve">    -  0.060</v>
      </c>
      <c r="N37" t="str">
        <f t="shared" si="2"/>
        <v xml:space="preserve">    - [2.189, 0.697, 0.104, 12.90, -0.0580]</v>
      </c>
    </row>
    <row r="38" spans="2:14">
      <c r="B38" s="4">
        <v>0.08</v>
      </c>
      <c r="C38" s="4">
        <v>2.64</v>
      </c>
      <c r="D38" s="4">
        <v>0.92400000000000004</v>
      </c>
      <c r="E38" s="4">
        <v>3.5000000000000003E-2</v>
      </c>
      <c r="F38" s="7">
        <v>12.99</v>
      </c>
      <c r="G38" s="6">
        <v>-3.5099999999999999E-2</v>
      </c>
      <c r="H38" s="2">
        <v>1.54E-2</v>
      </c>
      <c r="I38">
        <v>0.5</v>
      </c>
      <c r="J38" s="2">
        <v>6.6600000000000001E-3</v>
      </c>
      <c r="L38" t="str">
        <f t="shared" si="3"/>
        <v xml:space="preserve">    -  0.080</v>
      </c>
      <c r="N38" t="str">
        <f t="shared" si="2"/>
        <v xml:space="preserve">    - [2.640, 0.924, 0.035, 12.99, -0.0351]</v>
      </c>
    </row>
    <row r="39" spans="2:14">
      <c r="B39" s="4">
        <v>0.1</v>
      </c>
      <c r="C39" s="4">
        <v>2.847</v>
      </c>
      <c r="D39" s="4">
        <v>1.1100000000000001</v>
      </c>
      <c r="E39" s="4">
        <v>-8.9999999999999993E-3</v>
      </c>
      <c r="F39" s="7">
        <v>12.98</v>
      </c>
      <c r="G39" s="6">
        <v>-1.8700000000000001E-2</v>
      </c>
      <c r="H39" s="2">
        <v>6.3E-3</v>
      </c>
      <c r="I39">
        <v>0.5</v>
      </c>
      <c r="J39" s="2">
        <v>4.13E-3</v>
      </c>
      <c r="L39" t="str">
        <f t="shared" si="3"/>
        <v xml:space="preserve">    -  0.100</v>
      </c>
      <c r="N39" t="str">
        <f t="shared" si="2"/>
        <v xml:space="preserve">    - [2.847, 1.110, -0.009, 12.98, -0.0187]</v>
      </c>
    </row>
    <row r="40" spans="2:14">
      <c r="B40" s="4">
        <v>0.15</v>
      </c>
      <c r="C40" s="4">
        <v>2.8769999999999998</v>
      </c>
      <c r="D40" s="4">
        <v>1.357</v>
      </c>
      <c r="E40" s="4">
        <v>-5.8000000000000003E-2</v>
      </c>
      <c r="F40" s="7">
        <v>21.73</v>
      </c>
      <c r="G40" s="6">
        <v>7.1000000000000004E-3</v>
      </c>
      <c r="H40" s="2">
        <v>4.7999999999999996E-3</v>
      </c>
      <c r="I40">
        <v>4</v>
      </c>
      <c r="J40" s="2">
        <v>2.4299999999999999E-3</v>
      </c>
      <c r="L40" t="str">
        <f t="shared" si="3"/>
        <v xml:space="preserve">    -  0.150</v>
      </c>
      <c r="N40" t="str">
        <f t="shared" si="2"/>
        <v xml:space="preserve">    - [2.877, 1.357, -0.058, 21.73, 0.0071]</v>
      </c>
    </row>
    <row r="41" spans="2:14">
      <c r="B41" s="4">
        <v>0.2</v>
      </c>
      <c r="C41" s="4">
        <v>2.762</v>
      </c>
      <c r="D41" s="4">
        <v>1.4550000000000001</v>
      </c>
      <c r="E41" s="4">
        <v>-7.3999999999999996E-2</v>
      </c>
      <c r="F41" s="7">
        <v>17.02</v>
      </c>
      <c r="G41" s="6">
        <v>1.14E-2</v>
      </c>
      <c r="H41" s="2">
        <v>4.4000000000000003E-3</v>
      </c>
      <c r="I41">
        <v>1</v>
      </c>
      <c r="J41" s="2">
        <v>1.9599999999999999E-3</v>
      </c>
      <c r="L41" t="str">
        <f t="shared" si="3"/>
        <v xml:space="preserve">    -  0.200</v>
      </c>
      <c r="N41" t="str">
        <f t="shared" si="2"/>
        <v xml:space="preserve">    - [2.762, 1.455, -0.074, 17.02, 0.0114]</v>
      </c>
    </row>
    <row r="42" spans="2:14">
      <c r="B42" s="4">
        <v>0.3</v>
      </c>
      <c r="C42" s="4">
        <v>2.5459999999999998</v>
      </c>
      <c r="D42" s="4">
        <v>1.51</v>
      </c>
      <c r="E42" s="4">
        <v>-8.5000000000000006E-2</v>
      </c>
      <c r="F42" s="7">
        <v>16.22</v>
      </c>
      <c r="G42" s="6">
        <v>1.72E-2</v>
      </c>
      <c r="H42" s="2">
        <v>4.7999999999999996E-3</v>
      </c>
      <c r="I42">
        <v>4</v>
      </c>
      <c r="J42" s="2">
        <v>2.15E-3</v>
      </c>
      <c r="L42" t="str">
        <f t="shared" si="3"/>
        <v xml:space="preserve">    -  0.300</v>
      </c>
      <c r="N42" t="str">
        <f t="shared" si="2"/>
        <v xml:space="preserve">    - [2.546, 1.510, -0.085, 16.22, 0.0172]</v>
      </c>
    </row>
    <row r="43" spans="2:14">
      <c r="B43" s="4">
        <v>0.4</v>
      </c>
      <c r="C43" s="4">
        <v>2.403</v>
      </c>
      <c r="D43" s="4">
        <v>1.498</v>
      </c>
      <c r="E43" s="4">
        <v>-8.5000000000000006E-2</v>
      </c>
      <c r="F43" s="7">
        <v>16.45</v>
      </c>
      <c r="G43" s="6">
        <v>1.89E-2</v>
      </c>
      <c r="H43" s="2">
        <v>5.4000000000000003E-3</v>
      </c>
      <c r="I43">
        <v>1</v>
      </c>
      <c r="J43" s="2">
        <v>2.3700000000000001E-3</v>
      </c>
      <c r="L43" t="str">
        <f t="shared" si="3"/>
        <v xml:space="preserve">    -  0.400</v>
      </c>
      <c r="N43" t="str">
        <f t="shared" si="2"/>
        <v xml:space="preserve">    - [2.403, 1.498, -0.085, 16.45, 0.0189]</v>
      </c>
    </row>
    <row r="44" spans="2:14">
      <c r="B44" s="4">
        <v>0.5</v>
      </c>
      <c r="C44" s="4">
        <v>2.2869999999999999</v>
      </c>
      <c r="D44" s="4">
        <v>1.474</v>
      </c>
      <c r="E44" s="4">
        <v>-8.3000000000000004E-2</v>
      </c>
      <c r="F44" s="7">
        <v>16.41</v>
      </c>
      <c r="G44" s="6">
        <v>1.9400000000000001E-2</v>
      </c>
      <c r="H44" s="2">
        <v>3.0999999999999999E-3</v>
      </c>
      <c r="I44">
        <v>1</v>
      </c>
      <c r="J44" s="2">
        <v>1.81E-3</v>
      </c>
      <c r="L44" t="str">
        <f t="shared" si="3"/>
        <v xml:space="preserve">    -  0.500</v>
      </c>
      <c r="N44" t="str">
        <f t="shared" si="2"/>
        <v xml:space="preserve">    - [2.287, 1.474, -0.083, 16.41, 0.0194]</v>
      </c>
    </row>
    <row r="45" spans="2:14">
      <c r="B45" s="4">
        <v>0.6</v>
      </c>
      <c r="C45" s="4">
        <v>2.1970000000000001</v>
      </c>
      <c r="D45" s="4">
        <v>1.448</v>
      </c>
      <c r="E45" s="4">
        <v>-8.1000000000000003E-2</v>
      </c>
      <c r="F45" s="7">
        <v>17.03</v>
      </c>
      <c r="G45" s="6">
        <v>2.2700000000000001E-2</v>
      </c>
      <c r="H45" s="2">
        <v>6.7000000000000002E-3</v>
      </c>
      <c r="I45">
        <v>15</v>
      </c>
      <c r="J45" s="2">
        <v>2.9299999999999999E-3</v>
      </c>
      <c r="L45" t="str">
        <f t="shared" si="3"/>
        <v xml:space="preserve">    -  0.600</v>
      </c>
      <c r="N45" t="str">
        <f t="shared" si="2"/>
        <v xml:space="preserve">    - [2.197, 1.448, -0.081, 17.03, 0.0227]</v>
      </c>
    </row>
    <row r="46" spans="2:14">
      <c r="B46" s="4">
        <v>0.8</v>
      </c>
      <c r="C46" s="4">
        <v>2.08</v>
      </c>
      <c r="D46" s="4">
        <v>1.3839999999999999</v>
      </c>
      <c r="E46" s="4">
        <v>-7.1999999999999995E-2</v>
      </c>
      <c r="F46" s="7">
        <v>16.239999999999998</v>
      </c>
      <c r="G46" s="6">
        <v>2.0199999999999999E-2</v>
      </c>
      <c r="H46" s="2">
        <v>6.4000000000000003E-3</v>
      </c>
      <c r="I46">
        <v>0.5</v>
      </c>
      <c r="J46" s="2">
        <v>2.8300000000000001E-3</v>
      </c>
      <c r="L46" t="str">
        <f t="shared" si="3"/>
        <v xml:space="preserve">    -  0.800</v>
      </c>
      <c r="N46" t="str">
        <f t="shared" si="2"/>
        <v xml:space="preserve">    - [2.080, 1.384, -0.072, 16.24, 0.0202]</v>
      </c>
    </row>
    <row r="47" spans="2:14">
      <c r="B47" s="4">
        <v>1</v>
      </c>
      <c r="C47" s="4">
        <v>1.994</v>
      </c>
      <c r="D47" s="4">
        <v>1.3360000000000001</v>
      </c>
      <c r="E47" s="4">
        <v>-6.6000000000000003E-2</v>
      </c>
      <c r="F47" s="7">
        <v>15.85</v>
      </c>
      <c r="G47" s="6">
        <v>2.1499999999999998E-2</v>
      </c>
      <c r="H47" s="2">
        <v>6.0000000000000001E-3</v>
      </c>
      <c r="I47">
        <v>6</v>
      </c>
      <c r="J47" s="2">
        <v>2.82E-3</v>
      </c>
      <c r="L47" t="str">
        <f t="shared" si="3"/>
        <v xml:space="preserve">    -  1.000</v>
      </c>
      <c r="N47" t="str">
        <f t="shared" si="2"/>
        <v xml:space="preserve">    - [1.994, 1.336, -0.066, 15.85, 0.0215]</v>
      </c>
    </row>
    <row r="48" spans="2:14">
      <c r="B48" s="4">
        <v>1.5</v>
      </c>
      <c r="C48" s="4">
        <v>1.855</v>
      </c>
      <c r="D48" s="4">
        <v>1.23</v>
      </c>
      <c r="E48" s="4">
        <v>-4.8000000000000001E-2</v>
      </c>
      <c r="F48" s="7">
        <v>16.010000000000002</v>
      </c>
      <c r="G48" s="6">
        <v>1.7100000000000001E-2</v>
      </c>
      <c r="H48" s="2">
        <v>4.4999999999999997E-3</v>
      </c>
      <c r="I48">
        <v>15</v>
      </c>
      <c r="J48" s="2">
        <v>2.2599999999999999E-3</v>
      </c>
      <c r="L48" t="str">
        <f t="shared" si="3"/>
        <v xml:space="preserve">    -  1.500</v>
      </c>
      <c r="N48" t="str">
        <f t="shared" si="2"/>
        <v xml:space="preserve">    - [1.855, 1.230, -0.048, 16.01, 0.0171]</v>
      </c>
    </row>
    <row r="49" spans="2:14">
      <c r="B49" s="4">
        <v>2</v>
      </c>
      <c r="C49" s="4">
        <v>1.7809999999999999</v>
      </c>
      <c r="D49" s="4">
        <v>1.153</v>
      </c>
      <c r="E49" s="4">
        <v>-3.2000000000000001E-2</v>
      </c>
      <c r="F49" s="7">
        <v>15.32</v>
      </c>
      <c r="G49" s="6">
        <v>9.1000000000000004E-3</v>
      </c>
      <c r="H49" s="2">
        <v>3.2000000000000002E-3</v>
      </c>
      <c r="I49">
        <v>0.5</v>
      </c>
      <c r="J49" s="2">
        <v>1.42E-3</v>
      </c>
      <c r="L49" t="str">
        <f t="shared" si="3"/>
        <v xml:space="preserve">    -  2.000</v>
      </c>
      <c r="N49" t="str">
        <f t="shared" si="2"/>
        <v xml:space="preserve">    - [1.781, 1.153, -0.032, 15.32, 0.0091]</v>
      </c>
    </row>
    <row r="50" spans="2:14">
      <c r="B50" s="4">
        <v>3</v>
      </c>
      <c r="C50" s="4">
        <v>1.673</v>
      </c>
      <c r="D50" s="4">
        <v>1.0569999999999999</v>
      </c>
      <c r="E50" s="4">
        <v>-0.01</v>
      </c>
      <c r="F50" s="7">
        <v>10.79</v>
      </c>
      <c r="G50" s="6">
        <v>-2.5000000000000001E-3</v>
      </c>
      <c r="H50" s="2">
        <v>4.1999999999999997E-3</v>
      </c>
      <c r="I50">
        <v>1</v>
      </c>
      <c r="J50" s="2">
        <v>2.0200000000000001E-3</v>
      </c>
      <c r="L50" t="str">
        <f t="shared" si="3"/>
        <v xml:space="preserve">    -  3.000</v>
      </c>
      <c r="N50" t="str">
        <f t="shared" si="2"/>
        <v xml:space="preserve">    - [1.673, 1.057, -0.010, 10.79, -0.0025]</v>
      </c>
    </row>
    <row r="51" spans="2:14">
      <c r="B51" s="4">
        <v>4</v>
      </c>
      <c r="C51" s="4">
        <v>1.607</v>
      </c>
      <c r="D51" s="4">
        <v>0.97399999999999998</v>
      </c>
      <c r="E51" s="4">
        <v>1.2999999999999999E-2</v>
      </c>
      <c r="F51" s="7">
        <v>12.22</v>
      </c>
      <c r="G51" s="6">
        <v>-1.6400000000000001E-2</v>
      </c>
      <c r="H51" s="2">
        <v>1.0500000000000001E-2</v>
      </c>
      <c r="I51">
        <v>0.5</v>
      </c>
      <c r="J51" s="2">
        <v>4.9800000000000001E-3</v>
      </c>
      <c r="L51" t="str">
        <f t="shared" si="3"/>
        <v xml:space="preserve">    -  4.000</v>
      </c>
      <c r="N51" t="str">
        <f t="shared" si="2"/>
        <v xml:space="preserve">    - [1.607, 0.974, 0.013, 12.22, -0.0164]</v>
      </c>
    </row>
    <row r="52" spans="2:14">
      <c r="B52" s="4">
        <v>5</v>
      </c>
      <c r="C52" s="4">
        <v>1.5289999999999999</v>
      </c>
      <c r="D52" s="4">
        <v>0.95699999999999996</v>
      </c>
      <c r="E52" s="4">
        <v>1.7999999999999999E-2</v>
      </c>
      <c r="F52" s="7">
        <v>10.9</v>
      </c>
      <c r="G52" s="6">
        <v>-1.5699999999999999E-2</v>
      </c>
      <c r="H52" s="2">
        <v>9.1999999999999998E-3</v>
      </c>
      <c r="I52">
        <v>0.5</v>
      </c>
      <c r="J52" s="2">
        <v>4.13E-3</v>
      </c>
      <c r="L52" t="str">
        <f t="shared" si="3"/>
        <v xml:space="preserve">    -  5.000</v>
      </c>
      <c r="N52" t="str">
        <f t="shared" si="2"/>
        <v xml:space="preserve">    - [1.529, 0.957, 0.018, 10.90, -0.0157]</v>
      </c>
    </row>
    <row r="53" spans="2:14">
      <c r="B53" s="4">
        <v>6</v>
      </c>
      <c r="C53" s="4">
        <v>1.4810000000000001</v>
      </c>
      <c r="D53" s="4">
        <v>0.93300000000000005</v>
      </c>
      <c r="E53" s="4">
        <v>2.5999999999999999E-2</v>
      </c>
      <c r="F53" s="7">
        <v>12.33</v>
      </c>
      <c r="G53" s="6">
        <v>-2.3900000000000001E-2</v>
      </c>
      <c r="H53" s="2">
        <v>1.1299999999999999E-2</v>
      </c>
      <c r="I53">
        <v>0.5</v>
      </c>
      <c r="J53" s="2">
        <v>5.2399999999999999E-3</v>
      </c>
      <c r="L53" t="str">
        <f t="shared" si="3"/>
        <v xml:space="preserve">    -  6.000</v>
      </c>
      <c r="N53" t="str">
        <f t="shared" si="2"/>
        <v xml:space="preserve">    - [1.481, 0.933, 0.026, 12.33, -0.0239]</v>
      </c>
    </row>
    <row r="54" spans="2:14">
      <c r="B54" s="4">
        <v>8</v>
      </c>
      <c r="C54" s="4">
        <v>1.3959999999999999</v>
      </c>
      <c r="D54" s="4">
        <v>0.91700000000000004</v>
      </c>
      <c r="E54" s="4">
        <v>0.03</v>
      </c>
      <c r="F54" s="7">
        <v>13.88</v>
      </c>
      <c r="G54" s="6">
        <v>-2.6200000000000001E-2</v>
      </c>
      <c r="H54" s="2">
        <v>1.37E-2</v>
      </c>
      <c r="I54">
        <v>0.5</v>
      </c>
      <c r="J54" s="2">
        <v>6.77E-3</v>
      </c>
      <c r="L54" t="str">
        <f t="shared" si="3"/>
        <v xml:space="preserve">    -  8.000</v>
      </c>
      <c r="N54" t="str">
        <f t="shared" si="2"/>
        <v xml:space="preserve">    - [1.396, 0.917, 0.030, 13.88, -0.0262]</v>
      </c>
    </row>
    <row r="55" spans="2:14">
      <c r="B55" s="4">
        <v>10</v>
      </c>
      <c r="C55" s="4">
        <v>1.3340000000000001</v>
      </c>
      <c r="D55" s="4">
        <v>0.90200000000000002</v>
      </c>
      <c r="E55" s="4">
        <v>3.7999999999999999E-2</v>
      </c>
      <c r="F55" s="7">
        <v>13.03</v>
      </c>
      <c r="G55" s="6">
        <v>-3.32E-2</v>
      </c>
      <c r="H55" s="2">
        <v>1.4800000000000001E-2</v>
      </c>
      <c r="I55">
        <v>0.5</v>
      </c>
      <c r="J55" s="2">
        <v>7.1900000000000002E-3</v>
      </c>
      <c r="L55" t="str">
        <f t="shared" si="3"/>
        <v xml:space="preserve">    -  10.000</v>
      </c>
      <c r="N55" t="str">
        <f t="shared" si="2"/>
        <v xml:space="preserve">    - [1.334, 0.902, 0.038, 13.03, -0.0332]</v>
      </c>
    </row>
    <row r="56" spans="2:14">
      <c r="B56" s="4">
        <v>15</v>
      </c>
      <c r="C56" s="4">
        <v>1.244</v>
      </c>
      <c r="D56" s="4">
        <v>0.86899999999999999</v>
      </c>
      <c r="E56" s="4">
        <v>0.05</v>
      </c>
      <c r="F56" s="7">
        <v>14.91</v>
      </c>
      <c r="G56" s="6">
        <v>-4.7600000000000003E-2</v>
      </c>
      <c r="H56" s="2">
        <v>1.9699999999999999E-2</v>
      </c>
      <c r="I56">
        <v>0.5</v>
      </c>
      <c r="J56" s="2">
        <v>1.098E-2</v>
      </c>
      <c r="L56" t="str">
        <f t="shared" si="3"/>
        <v xml:space="preserve">    -  15.000</v>
      </c>
      <c r="N56" t="str">
        <f t="shared" si="2"/>
        <v xml:space="preserve">    - [1.244, 0.869, 0.050, 14.91, -0.0476]</v>
      </c>
    </row>
    <row r="58" spans="2:14">
      <c r="C58" s="5" t="s">
        <v>53</v>
      </c>
    </row>
    <row r="59" spans="2:14">
      <c r="B59" t="s">
        <v>1</v>
      </c>
      <c r="C59" t="s">
        <v>11</v>
      </c>
      <c r="D59" t="s">
        <v>12</v>
      </c>
      <c r="E59" t="s">
        <v>13</v>
      </c>
      <c r="F59" t="s">
        <v>16</v>
      </c>
      <c r="G59" t="s">
        <v>14</v>
      </c>
      <c r="H59" t="s">
        <v>17</v>
      </c>
      <c r="I59" t="s">
        <v>18</v>
      </c>
      <c r="J59" t="s">
        <v>15</v>
      </c>
    </row>
    <row r="60" spans="2:14">
      <c r="B60" s="4">
        <v>1.4999999999999999E-2</v>
      </c>
      <c r="C60" s="4">
        <v>1.0009999999999999</v>
      </c>
      <c r="D60" s="4">
        <v>2.044</v>
      </c>
      <c r="E60" s="4">
        <v>-0.31</v>
      </c>
      <c r="F60" s="7">
        <v>11.15</v>
      </c>
      <c r="G60" s="6">
        <v>0.25190000000000001</v>
      </c>
      <c r="H60" s="2">
        <v>4.5999999999999999E-3</v>
      </c>
      <c r="I60">
        <v>3</v>
      </c>
      <c r="J60" s="2">
        <v>1.75E-3</v>
      </c>
      <c r="L60" t="str">
        <f>CONCATENATE("    -  ",TEXT(B60,"0.000"))</f>
        <v xml:space="preserve">    -  0.015</v>
      </c>
      <c r="N60" t="str">
        <f t="shared" ref="N60:N84" si="4">CONCATENATE("    - [",TEXT(C60,$N$2),", ",TEXT(D60,$N$2),", ",TEXT(E60,$N$2),", ",TEXT(F60,$O$2),", ",TEXT(G60,$P$2),"]")</f>
        <v xml:space="preserve">    - [1.001, 2.044, -0.310, 11.15, 0.2519]</v>
      </c>
    </row>
    <row r="61" spans="2:14">
      <c r="B61" s="4">
        <v>0.02</v>
      </c>
      <c r="C61" s="4">
        <v>1.0089999999999999</v>
      </c>
      <c r="D61" s="4">
        <v>0.10299999999999999</v>
      </c>
      <c r="E61" s="4">
        <v>0.76400000000000001</v>
      </c>
      <c r="F61" s="7">
        <v>10.78</v>
      </c>
      <c r="G61" s="6">
        <v>-1.0612999999999999</v>
      </c>
      <c r="H61" s="2">
        <v>4.7999999999999996E-3</v>
      </c>
      <c r="I61">
        <v>7</v>
      </c>
      <c r="J61" s="2">
        <v>2.4299999999999999E-3</v>
      </c>
      <c r="L61" t="str">
        <f t="shared" ref="L61:L84" si="5">CONCATENATE("    -  ",TEXT(B61,"0.000"))</f>
        <v xml:space="preserve">    -  0.020</v>
      </c>
      <c r="N61" t="str">
        <f t="shared" si="4"/>
        <v xml:space="preserve">    - [1.009, 0.103, 0.764, 10.78, -1.0613]</v>
      </c>
    </row>
    <row r="62" spans="2:14">
      <c r="B62" s="4">
        <v>0.03</v>
      </c>
      <c r="C62" s="4">
        <v>1.02</v>
      </c>
      <c r="D62" s="4">
        <v>0.35899999999999999</v>
      </c>
      <c r="E62" s="4">
        <v>0.20499999999999999</v>
      </c>
      <c r="F62" s="7">
        <v>12</v>
      </c>
      <c r="G62" s="6">
        <v>-5.0999999999999997E-2</v>
      </c>
      <c r="H62" s="2">
        <v>3.7000000000000002E-3</v>
      </c>
      <c r="I62">
        <v>8</v>
      </c>
      <c r="J62" s="2">
        <v>2.47E-3</v>
      </c>
      <c r="L62" t="str">
        <f t="shared" si="5"/>
        <v xml:space="preserve">    -  0.030</v>
      </c>
      <c r="N62" t="str">
        <f t="shared" si="4"/>
        <v xml:space="preserve">    - [1.020, 0.359, 0.205, 12.00, -0.0510]</v>
      </c>
    </row>
    <row r="63" spans="2:14">
      <c r="B63" s="4">
        <v>0.04</v>
      </c>
      <c r="C63" s="4">
        <v>1.042</v>
      </c>
      <c r="D63" s="4">
        <v>0.33</v>
      </c>
      <c r="E63" s="4">
        <v>0.23899999999999999</v>
      </c>
      <c r="F63" s="7">
        <v>14.45</v>
      </c>
      <c r="G63" s="6">
        <v>-9.6199999999999994E-2</v>
      </c>
      <c r="H63" s="2">
        <v>3.8E-3</v>
      </c>
      <c r="I63">
        <v>4</v>
      </c>
      <c r="J63" s="2">
        <v>2.15E-3</v>
      </c>
      <c r="L63" t="str">
        <f t="shared" si="5"/>
        <v xml:space="preserve">    -  0.040</v>
      </c>
      <c r="N63" t="str">
        <f t="shared" si="4"/>
        <v xml:space="preserve">    - [1.042, 0.330, 0.239, 14.45, -0.0962]</v>
      </c>
    </row>
    <row r="64" spans="2:14">
      <c r="B64" s="4">
        <v>0.05</v>
      </c>
      <c r="C64" s="4">
        <v>1.071</v>
      </c>
      <c r="D64" s="4">
        <v>0.35299999999999998</v>
      </c>
      <c r="E64" s="4">
        <v>0.24299999999999999</v>
      </c>
      <c r="F64" s="7">
        <v>12.89</v>
      </c>
      <c r="G64" s="6">
        <v>-0.14069999999999999</v>
      </c>
      <c r="H64" s="2">
        <v>3.8999999999999998E-3</v>
      </c>
      <c r="I64">
        <v>0.5</v>
      </c>
      <c r="J64" s="2">
        <v>1.6299999999999999E-3</v>
      </c>
      <c r="L64" t="str">
        <f t="shared" si="5"/>
        <v xml:space="preserve">    -  0.050</v>
      </c>
      <c r="N64" t="str">
        <f t="shared" si="4"/>
        <v xml:space="preserve">    - [1.071, 0.353, 0.243, 12.89, -0.1407]</v>
      </c>
    </row>
    <row r="65" spans="2:14">
      <c r="B65" s="4">
        <v>0.06</v>
      </c>
      <c r="C65" s="4">
        <v>1.109</v>
      </c>
      <c r="D65" s="4">
        <v>0.36399999999999999</v>
      </c>
      <c r="E65" s="4">
        <v>0.23699999999999999</v>
      </c>
      <c r="F65" s="7">
        <v>13.54</v>
      </c>
      <c r="G65" s="6">
        <v>-0.13489999999999999</v>
      </c>
      <c r="H65" s="2">
        <v>9.1999999999999998E-3</v>
      </c>
      <c r="I65">
        <v>0.5</v>
      </c>
      <c r="J65" s="2">
        <v>4.1000000000000003E-3</v>
      </c>
      <c r="L65" t="str">
        <f t="shared" si="5"/>
        <v xml:space="preserve">    -  0.060</v>
      </c>
      <c r="N65" t="str">
        <f t="shared" si="4"/>
        <v xml:space="preserve">    - [1.109, 0.364, 0.237, 13.54, -0.1349]</v>
      </c>
    </row>
    <row r="66" spans="2:14">
      <c r="B66" s="4">
        <v>0.08</v>
      </c>
      <c r="C66" s="4">
        <v>1.1890000000000001</v>
      </c>
      <c r="D66" s="4">
        <v>0.44600000000000001</v>
      </c>
      <c r="E66" s="4">
        <v>0.192</v>
      </c>
      <c r="F66" s="7">
        <v>13.97</v>
      </c>
      <c r="G66" s="6">
        <v>-0.1094</v>
      </c>
      <c r="H66" s="2">
        <v>2.0799999999999999E-2</v>
      </c>
      <c r="I66">
        <v>0.5</v>
      </c>
      <c r="J66" s="2">
        <v>7.4799999999999997E-3</v>
      </c>
      <c r="L66" t="str">
        <f t="shared" si="5"/>
        <v xml:space="preserve">    -  0.080</v>
      </c>
      <c r="N66" t="str">
        <f t="shared" si="4"/>
        <v xml:space="preserve">    - [1.189, 0.446, 0.192, 13.97, -0.1094]</v>
      </c>
    </row>
    <row r="67" spans="2:14">
      <c r="B67" s="4">
        <v>0.1</v>
      </c>
      <c r="C67" s="4">
        <v>1.2869999999999999</v>
      </c>
      <c r="D67" s="4">
        <v>0.50700000000000001</v>
      </c>
      <c r="E67" s="4">
        <v>0.16500000000000001</v>
      </c>
      <c r="F67" s="7">
        <v>13.89</v>
      </c>
      <c r="G67" s="6">
        <v>-9.2399999999999996E-2</v>
      </c>
      <c r="H67" s="2">
        <v>2.3699999999999999E-2</v>
      </c>
      <c r="I67">
        <v>0.5</v>
      </c>
      <c r="J67" s="2">
        <v>9.2099999999999994E-3</v>
      </c>
      <c r="L67" t="str">
        <f t="shared" si="5"/>
        <v xml:space="preserve">    -  0.100</v>
      </c>
      <c r="N67" t="str">
        <f t="shared" si="4"/>
        <v xml:space="preserve">    - [1.287, 0.507, 0.165, 13.89, -0.0924]</v>
      </c>
    </row>
    <row r="68" spans="2:14">
      <c r="B68" s="4">
        <v>0.15</v>
      </c>
      <c r="C68" s="4">
        <v>1.518</v>
      </c>
      <c r="D68" s="4">
        <v>0.67500000000000004</v>
      </c>
      <c r="E68" s="4">
        <v>0.1</v>
      </c>
      <c r="F68" s="7">
        <v>13.99</v>
      </c>
      <c r="G68" s="6">
        <v>-5.5500000000000001E-2</v>
      </c>
      <c r="H68" s="2">
        <v>3.1E-2</v>
      </c>
      <c r="I68">
        <v>0.5</v>
      </c>
      <c r="J68" s="2">
        <v>1.1089999999999999E-2</v>
      </c>
      <c r="L68" t="str">
        <f t="shared" si="5"/>
        <v xml:space="preserve">    -  0.150</v>
      </c>
      <c r="N68" t="str">
        <f t="shared" si="4"/>
        <v xml:space="preserve">    - [1.518, 0.675, 0.100, 13.99, -0.0555]</v>
      </c>
    </row>
    <row r="69" spans="2:14">
      <c r="B69" s="4">
        <v>0.2</v>
      </c>
      <c r="C69" s="4">
        <v>1.6950000000000001</v>
      </c>
      <c r="D69" s="4">
        <v>0.83499999999999996</v>
      </c>
      <c r="E69" s="4">
        <v>5.1999999999999998E-2</v>
      </c>
      <c r="F69" s="7">
        <v>13.62</v>
      </c>
      <c r="G69" s="6">
        <v>-3.6400000000000002E-2</v>
      </c>
      <c r="H69" s="2">
        <v>3.1E-2</v>
      </c>
      <c r="I69">
        <v>0.5</v>
      </c>
      <c r="J69" s="2">
        <v>1.163E-2</v>
      </c>
      <c r="L69" t="str">
        <f t="shared" si="5"/>
        <v xml:space="preserve">    -  0.200</v>
      </c>
      <c r="N69" t="str">
        <f t="shared" si="4"/>
        <v xml:space="preserve">    - [1.695, 0.835, 0.052, 13.62, -0.0364]</v>
      </c>
    </row>
    <row r="70" spans="2:14">
      <c r="B70" s="4">
        <v>0.3</v>
      </c>
      <c r="C70" s="4">
        <v>1.865</v>
      </c>
      <c r="D70" s="4">
        <v>1.0229999999999999</v>
      </c>
      <c r="E70" s="4">
        <v>5.0000000000000001E-3</v>
      </c>
      <c r="F70" s="7">
        <v>12.51</v>
      </c>
      <c r="G70" s="6">
        <v>-1.9699999999999999E-2</v>
      </c>
      <c r="H70" s="2">
        <v>2.69E-2</v>
      </c>
      <c r="I70">
        <v>0.5</v>
      </c>
      <c r="J70" s="2">
        <v>1.004E-2</v>
      </c>
      <c r="L70" t="str">
        <f t="shared" si="5"/>
        <v xml:space="preserve">    -  0.300</v>
      </c>
      <c r="N70" t="str">
        <f t="shared" si="4"/>
        <v xml:space="preserve">    - [1.865, 1.023, 0.005, 12.51, -0.0197]</v>
      </c>
    </row>
    <row r="71" spans="2:14">
      <c r="B71" s="4">
        <v>0.4</v>
      </c>
      <c r="C71" s="4">
        <v>1.9079999999999999</v>
      </c>
      <c r="D71" s="4">
        <v>1.135</v>
      </c>
      <c r="E71" s="4">
        <v>-1.7999999999999999E-2</v>
      </c>
      <c r="F71" s="7">
        <v>11.46</v>
      </c>
      <c r="G71" s="6">
        <v>-1.37E-2</v>
      </c>
      <c r="H71" s="2">
        <v>2.1600000000000001E-2</v>
      </c>
      <c r="I71">
        <v>0.5</v>
      </c>
      <c r="J71" s="2">
        <v>8.6199999999999992E-3</v>
      </c>
      <c r="L71" t="str">
        <f t="shared" si="5"/>
        <v xml:space="preserve">    -  0.400</v>
      </c>
      <c r="N71" t="str">
        <f t="shared" si="4"/>
        <v xml:space="preserve">    - [1.908, 1.135, -0.018, 11.46, -0.0137]</v>
      </c>
    </row>
    <row r="72" spans="2:14">
      <c r="B72" s="4">
        <v>0.5</v>
      </c>
      <c r="C72" s="4">
        <v>1.909</v>
      </c>
      <c r="D72" s="4">
        <v>1.1890000000000001</v>
      </c>
      <c r="E72" s="4">
        <v>-2.9000000000000001E-2</v>
      </c>
      <c r="F72" s="7">
        <v>9.92</v>
      </c>
      <c r="G72" s="6">
        <v>-1.06E-2</v>
      </c>
      <c r="H72" s="2">
        <v>1.8800000000000001E-2</v>
      </c>
      <c r="I72">
        <v>0.5</v>
      </c>
      <c r="J72" s="2">
        <v>7.7299999999999999E-3</v>
      </c>
      <c r="L72" t="str">
        <f t="shared" si="5"/>
        <v xml:space="preserve">    -  0.500</v>
      </c>
      <c r="N72" t="str">
        <f t="shared" si="4"/>
        <v xml:space="preserve">    - [1.909, 1.189, -0.029, 9.92, -0.0106]</v>
      </c>
    </row>
    <row r="73" spans="2:14">
      <c r="B73" s="4">
        <v>0.6</v>
      </c>
      <c r="C73" s="4">
        <v>1.889</v>
      </c>
      <c r="D73" s="4">
        <v>1.216</v>
      </c>
      <c r="E73" s="4">
        <v>-3.5000000000000003E-2</v>
      </c>
      <c r="F73" s="7">
        <v>8.5299999999999994</v>
      </c>
      <c r="G73" s="6">
        <v>-9.1000000000000004E-3</v>
      </c>
      <c r="H73" s="2">
        <v>2.06E-2</v>
      </c>
      <c r="I73">
        <v>0.5</v>
      </c>
      <c r="J73" s="2">
        <v>6.6100000000000004E-3</v>
      </c>
      <c r="L73" t="str">
        <f t="shared" si="5"/>
        <v xml:space="preserve">    -  0.600</v>
      </c>
      <c r="N73" t="str">
        <f t="shared" si="4"/>
        <v xml:space="preserve">    - [1.889, 1.216, -0.035, 8.53, -0.0091]</v>
      </c>
    </row>
    <row r="74" spans="2:14">
      <c r="B74" s="4">
        <v>0.8</v>
      </c>
      <c r="C74" s="4">
        <v>1.847</v>
      </c>
      <c r="D74" s="4">
        <v>1.226</v>
      </c>
      <c r="E74" s="4">
        <v>-3.6999999999999998E-2</v>
      </c>
      <c r="F74" s="7">
        <v>7.03</v>
      </c>
      <c r="G74" s="6">
        <v>-1.18E-2</v>
      </c>
      <c r="H74" s="2">
        <v>1.46E-2</v>
      </c>
      <c r="I74">
        <v>0.5</v>
      </c>
      <c r="J74" s="2">
        <v>5.1700000000000001E-3</v>
      </c>
      <c r="L74" t="str">
        <f t="shared" si="5"/>
        <v xml:space="preserve">    -  0.800</v>
      </c>
      <c r="N74" t="str">
        <f t="shared" si="4"/>
        <v xml:space="preserve">    - [1.847, 1.226, -0.037, 7.03, -0.0118]</v>
      </c>
    </row>
    <row r="75" spans="2:14">
      <c r="B75" s="4">
        <v>1</v>
      </c>
      <c r="C75" s="4">
        <v>1.8160000000000001</v>
      </c>
      <c r="D75" s="4">
        <v>1.204</v>
      </c>
      <c r="E75" s="4">
        <v>-3.4000000000000002E-2</v>
      </c>
      <c r="F75" s="7">
        <v>7.47</v>
      </c>
      <c r="G75" s="6">
        <v>-1.14E-2</v>
      </c>
      <c r="H75" s="2">
        <v>9.4999999999999998E-3</v>
      </c>
      <c r="I75">
        <v>0.5</v>
      </c>
      <c r="J75" s="2">
        <v>4.3400000000000001E-3</v>
      </c>
      <c r="L75" t="str">
        <f t="shared" si="5"/>
        <v xml:space="preserve">    -  1.000</v>
      </c>
      <c r="N75" t="str">
        <f t="shared" si="4"/>
        <v xml:space="preserve">    - [1.816, 1.204, -0.034, 7.47, -0.0114]</v>
      </c>
    </row>
    <row r="76" spans="2:14">
      <c r="B76" s="4">
        <v>1.5</v>
      </c>
      <c r="C76" s="4">
        <v>1.7330000000000001</v>
      </c>
      <c r="D76" s="4">
        <v>1.1850000000000001</v>
      </c>
      <c r="E76" s="4">
        <v>-3.6999999999999998E-2</v>
      </c>
      <c r="F76" s="7">
        <v>18.36</v>
      </c>
      <c r="G76" s="6">
        <v>1.06E-2</v>
      </c>
      <c r="H76" s="2">
        <v>8.3999999999999995E-3</v>
      </c>
      <c r="I76">
        <v>0.5</v>
      </c>
      <c r="J76" s="2">
        <v>3.0200000000000001E-3</v>
      </c>
      <c r="L76" t="str">
        <f t="shared" si="5"/>
        <v xml:space="preserve">    -  1.500</v>
      </c>
      <c r="N76" t="str">
        <f t="shared" si="4"/>
        <v xml:space="preserve">    - [1.733, 1.185, -0.037, 18.36, 0.0106]</v>
      </c>
    </row>
    <row r="77" spans="2:14">
      <c r="B77" s="4">
        <v>2</v>
      </c>
      <c r="C77" s="4">
        <v>1.6950000000000001</v>
      </c>
      <c r="D77" s="4">
        <v>1.121</v>
      </c>
      <c r="E77" s="4">
        <v>-2.1000000000000001E-2</v>
      </c>
      <c r="F77" s="7">
        <v>8.9</v>
      </c>
      <c r="G77" s="6">
        <v>-4.1999999999999997E-3</v>
      </c>
      <c r="H77" s="2">
        <v>1.01E-2</v>
      </c>
      <c r="I77">
        <v>0.5</v>
      </c>
      <c r="J77" s="2">
        <v>3.49E-3</v>
      </c>
      <c r="L77" t="str">
        <f t="shared" si="5"/>
        <v xml:space="preserve">    -  2.000</v>
      </c>
      <c r="N77" t="str">
        <f t="shared" si="4"/>
        <v xml:space="preserve">    - [1.695, 1.121, -0.021, 8.90, -0.0042]</v>
      </c>
    </row>
    <row r="78" spans="2:14">
      <c r="B78" s="4">
        <v>3</v>
      </c>
      <c r="C78" s="4">
        <v>1.617</v>
      </c>
      <c r="D78" s="4">
        <v>1.0589999999999999</v>
      </c>
      <c r="E78" s="4">
        <v>-4.0000000000000001E-3</v>
      </c>
      <c r="F78" s="7">
        <v>12.21</v>
      </c>
      <c r="G78" s="6">
        <v>-1.46E-2</v>
      </c>
      <c r="H78" s="2">
        <v>1.2200000000000001E-2</v>
      </c>
      <c r="I78">
        <v>0.5</v>
      </c>
      <c r="J78" s="2">
        <v>6.0800000000000003E-3</v>
      </c>
      <c r="L78" t="str">
        <f t="shared" si="5"/>
        <v xml:space="preserve">    -  3.000</v>
      </c>
      <c r="N78" t="str">
        <f t="shared" si="4"/>
        <v xml:space="preserve">    - [1.617, 1.059, -0.004, 12.21, -0.0146]</v>
      </c>
    </row>
    <row r="79" spans="2:14">
      <c r="B79" s="4">
        <v>4</v>
      </c>
      <c r="C79" s="4">
        <v>1.546</v>
      </c>
      <c r="D79" s="4">
        <v>1.022</v>
      </c>
      <c r="E79" s="4">
        <v>8.9999999999999993E-3</v>
      </c>
      <c r="F79" s="7">
        <v>12.92</v>
      </c>
      <c r="G79" s="6">
        <v>-2.58E-2</v>
      </c>
      <c r="H79" s="2">
        <v>2.1600000000000001E-2</v>
      </c>
      <c r="I79">
        <v>0.5</v>
      </c>
      <c r="J79" s="2">
        <v>9.7599999999999996E-3</v>
      </c>
      <c r="L79" t="str">
        <f t="shared" si="5"/>
        <v xml:space="preserve">    -  4.000</v>
      </c>
      <c r="N79" t="str">
        <f t="shared" si="4"/>
        <v xml:space="preserve">    - [1.546, 1.022, 0.009, 12.92, -0.0258]</v>
      </c>
    </row>
    <row r="80" spans="2:14">
      <c r="B80" s="4">
        <v>5</v>
      </c>
      <c r="C80" s="4">
        <v>1.4790000000000001</v>
      </c>
      <c r="D80" s="4">
        <v>1.008</v>
      </c>
      <c r="E80" s="4">
        <v>1.4999999999999999E-2</v>
      </c>
      <c r="F80" s="7">
        <v>13.26</v>
      </c>
      <c r="G80" s="6">
        <v>-3.1E-2</v>
      </c>
      <c r="H80" s="2">
        <v>2.3900000000000001E-2</v>
      </c>
      <c r="I80">
        <v>0.5</v>
      </c>
      <c r="J80" s="2">
        <v>1.1050000000000001E-2</v>
      </c>
      <c r="L80" t="str">
        <f t="shared" si="5"/>
        <v xml:space="preserve">    -  5.000</v>
      </c>
      <c r="N80" t="str">
        <f t="shared" si="4"/>
        <v xml:space="preserve">    - [1.479, 1.008, 0.015, 13.26, -0.0310]</v>
      </c>
    </row>
    <row r="81" spans="2:14">
      <c r="B81" s="4">
        <v>6</v>
      </c>
      <c r="C81" s="4">
        <v>1.4279999999999999</v>
      </c>
      <c r="D81" s="4">
        <v>0.995</v>
      </c>
      <c r="E81" s="4">
        <v>2.1000000000000001E-2</v>
      </c>
      <c r="F81" s="7">
        <v>13.23</v>
      </c>
      <c r="G81" s="6">
        <v>-3.7100000000000001E-2</v>
      </c>
      <c r="H81" s="2">
        <v>2.8000000000000001E-2</v>
      </c>
      <c r="I81">
        <v>0.5</v>
      </c>
      <c r="J81" s="2">
        <v>1.201E-2</v>
      </c>
      <c r="L81" t="str">
        <f t="shared" si="5"/>
        <v xml:space="preserve">    -  6.000</v>
      </c>
      <c r="N81" t="str">
        <f t="shared" si="4"/>
        <v xml:space="preserve">    - [1.428, 0.995, 0.021, 13.23, -0.0371]</v>
      </c>
    </row>
    <row r="82" spans="2:14">
      <c r="B82" s="4">
        <v>8</v>
      </c>
      <c r="C82" s="4">
        <v>1.353</v>
      </c>
      <c r="D82" s="4">
        <v>0.96</v>
      </c>
      <c r="E82" s="4">
        <v>3.7999999999999999E-2</v>
      </c>
      <c r="F82" s="7">
        <v>13.5</v>
      </c>
      <c r="G82" s="6">
        <v>-5.4699999999999999E-2</v>
      </c>
      <c r="H82" s="2">
        <v>3.32E-2</v>
      </c>
      <c r="I82">
        <v>0.5</v>
      </c>
      <c r="J82" s="2">
        <v>1.576E-2</v>
      </c>
      <c r="L82" t="str">
        <f t="shared" si="5"/>
        <v xml:space="preserve">    -  8.000</v>
      </c>
      <c r="N82" t="str">
        <f t="shared" si="4"/>
        <v xml:space="preserve">    - [1.353, 0.960, 0.038, 13.50, -0.0547]</v>
      </c>
    </row>
    <row r="83" spans="2:14">
      <c r="B83" s="4">
        <v>10</v>
      </c>
      <c r="C83" s="4">
        <v>1.2889999999999999</v>
      </c>
      <c r="D83" s="4">
        <v>0.96199999999999997</v>
      </c>
      <c r="E83" s="4">
        <v>4.2000000000000003E-2</v>
      </c>
      <c r="F83" s="7">
        <v>13.91</v>
      </c>
      <c r="G83" s="6">
        <v>-5.7700000000000001E-2</v>
      </c>
      <c r="H83" s="2">
        <v>3.6200000000000003E-2</v>
      </c>
      <c r="I83">
        <v>0.5</v>
      </c>
      <c r="J83" s="2">
        <v>1.627E-2</v>
      </c>
      <c r="L83" t="str">
        <f t="shared" si="5"/>
        <v xml:space="preserve">    -  10.000</v>
      </c>
      <c r="N83" t="str">
        <f t="shared" si="4"/>
        <v xml:space="preserve">    - [1.289, 0.962, 0.042, 13.91, -0.0577]</v>
      </c>
    </row>
    <row r="84" spans="2:14">
      <c r="B84" s="4">
        <v>15</v>
      </c>
      <c r="C84" s="4">
        <v>1.1910000000000001</v>
      </c>
      <c r="D84" s="4">
        <v>0.96899999999999997</v>
      </c>
      <c r="E84" s="4">
        <v>5.1999999999999998E-2</v>
      </c>
      <c r="F84" s="7">
        <v>14.48</v>
      </c>
      <c r="G84" s="6">
        <v>-6.4000000000000001E-2</v>
      </c>
      <c r="H84" s="2">
        <v>3.95E-2</v>
      </c>
      <c r="I84">
        <v>1</v>
      </c>
      <c r="J84" s="2">
        <v>1.7569999999999999E-2</v>
      </c>
      <c r="L84" t="str">
        <f t="shared" si="5"/>
        <v xml:space="preserve">    -  15.000</v>
      </c>
      <c r="N84" t="str">
        <f t="shared" si="4"/>
        <v xml:space="preserve">    - [1.191, 0.969, 0.052, 14.48, -0.0640]</v>
      </c>
    </row>
    <row r="86" spans="2:14">
      <c r="C86" s="5" t="s">
        <v>54</v>
      </c>
    </row>
    <row r="87" spans="2:14">
      <c r="B87" t="s">
        <v>1</v>
      </c>
      <c r="C87" t="s">
        <v>11</v>
      </c>
      <c r="D87" t="s">
        <v>12</v>
      </c>
      <c r="E87" t="s">
        <v>13</v>
      </c>
      <c r="F87" t="s">
        <v>16</v>
      </c>
      <c r="G87" t="s">
        <v>14</v>
      </c>
      <c r="H87" t="s">
        <v>17</v>
      </c>
      <c r="I87" t="s">
        <v>18</v>
      </c>
      <c r="J87" t="s">
        <v>15</v>
      </c>
    </row>
    <row r="88" spans="2:14">
      <c r="B88" s="4">
        <v>1.4999999999999999E-2</v>
      </c>
      <c r="C88" s="4">
        <v>1.002</v>
      </c>
      <c r="D88" s="4">
        <v>0.317</v>
      </c>
      <c r="E88" s="4">
        <v>0.22800000000000001</v>
      </c>
      <c r="F88" s="7">
        <v>33.67</v>
      </c>
      <c r="G88" s="6">
        <v>-0.4556</v>
      </c>
      <c r="H88">
        <v>0.1</v>
      </c>
      <c r="I88">
        <v>2</v>
      </c>
      <c r="J88">
        <v>0.03</v>
      </c>
      <c r="L88" t="str">
        <f>CONCATENATE("    -  ",TEXT(B88,"0.000"))</f>
        <v xml:space="preserve">    -  0.015</v>
      </c>
      <c r="N88" t="str">
        <f t="shared" ref="N88:N120" si="6">CONCATENATE("    - [",TEXT(C88,$N$2),", ",TEXT(D88,$N$2),", ",TEXT(E88,$N$2),", ",TEXT(F88,$O$2),", ",TEXT(G88,$P$2),"]")</f>
        <v xml:space="preserve">    - [1.002, 0.317, 0.228, 33.67, -0.4556]</v>
      </c>
    </row>
    <row r="89" spans="2:14">
      <c r="B89" s="4">
        <v>0.02</v>
      </c>
      <c r="C89" s="4">
        <v>1.0029999999999999</v>
      </c>
      <c r="D89" s="4">
        <v>0.46800000000000003</v>
      </c>
      <c r="E89" s="4">
        <v>0.13700000000000001</v>
      </c>
      <c r="F89" s="7">
        <v>25.3</v>
      </c>
      <c r="G89" s="6">
        <v>-8.2000000000000003E-2</v>
      </c>
      <c r="H89">
        <v>0.1</v>
      </c>
      <c r="I89">
        <v>3</v>
      </c>
      <c r="J89">
        <v>0.03</v>
      </c>
      <c r="L89" t="str">
        <f t="shared" ref="L89:L120" si="7">CONCATENATE("    -  ",TEXT(B89,"0.000"))</f>
        <v xml:space="preserve">    -  0.020</v>
      </c>
      <c r="N89" t="str">
        <f t="shared" si="6"/>
        <v xml:space="preserve">    - [1.003, 0.468, 0.137, 25.30, -0.0820]</v>
      </c>
    </row>
    <row r="90" spans="2:14">
      <c r="B90" s="4">
        <v>0.03</v>
      </c>
      <c r="C90" s="4">
        <v>1.0089999999999999</v>
      </c>
      <c r="D90" s="4">
        <v>0.38800000000000001</v>
      </c>
      <c r="E90" s="4">
        <v>0.187</v>
      </c>
      <c r="F90" s="7">
        <v>19.12</v>
      </c>
      <c r="G90" s="6">
        <v>-8.43E-2</v>
      </c>
      <c r="H90">
        <v>0.1</v>
      </c>
      <c r="I90">
        <v>1</v>
      </c>
      <c r="J90">
        <v>0.03</v>
      </c>
      <c r="L90" t="str">
        <f t="shared" si="7"/>
        <v xml:space="preserve">    -  0.030</v>
      </c>
      <c r="N90" t="str">
        <f t="shared" si="6"/>
        <v xml:space="preserve">    - [1.009, 0.388, 0.187, 19.12, -0.0843]</v>
      </c>
    </row>
    <row r="91" spans="2:14">
      <c r="B91" s="4">
        <v>0.04</v>
      </c>
      <c r="C91" s="4">
        <v>1.0189999999999999</v>
      </c>
      <c r="D91" s="4">
        <v>0.32</v>
      </c>
      <c r="E91" s="4">
        <v>0.251</v>
      </c>
      <c r="F91" s="7">
        <v>13.89</v>
      </c>
      <c r="G91" s="6">
        <v>-0.1026</v>
      </c>
      <c r="H91">
        <v>0.1</v>
      </c>
      <c r="I91">
        <v>1</v>
      </c>
      <c r="J91">
        <v>0.04</v>
      </c>
      <c r="L91" t="str">
        <f t="shared" si="7"/>
        <v xml:space="preserve">    -  0.040</v>
      </c>
      <c r="N91" t="str">
        <f t="shared" si="6"/>
        <v xml:space="preserve">    - [1.019, 0.320, 0.251, 13.89, -0.1026]</v>
      </c>
    </row>
    <row r="92" spans="2:14">
      <c r="B92" s="4">
        <v>0.05</v>
      </c>
      <c r="C92" s="4">
        <v>1.0329999999999999</v>
      </c>
      <c r="D92" s="4">
        <v>0.29899999999999999</v>
      </c>
      <c r="E92" s="4">
        <v>0.26400000000000001</v>
      </c>
      <c r="F92" s="7">
        <v>13.96</v>
      </c>
      <c r="G92" s="6">
        <v>-0.1066</v>
      </c>
      <c r="H92">
        <v>0.1</v>
      </c>
      <c r="I92">
        <v>7</v>
      </c>
      <c r="J92">
        <v>0.05</v>
      </c>
      <c r="L92" t="str">
        <f t="shared" si="7"/>
        <v xml:space="preserve">    -  0.050</v>
      </c>
      <c r="N92" t="str">
        <f t="shared" si="6"/>
        <v xml:space="preserve">    - [1.033, 0.299, 0.264, 13.96, -0.1066]</v>
      </c>
    </row>
    <row r="93" spans="2:14">
      <c r="B93" s="4">
        <v>0.06</v>
      </c>
      <c r="C93" s="4">
        <v>1.048</v>
      </c>
      <c r="D93" s="4">
        <v>0.314</v>
      </c>
      <c r="E93" s="4">
        <v>0.25700000000000001</v>
      </c>
      <c r="F93" s="7">
        <v>14.2</v>
      </c>
      <c r="G93" s="6">
        <v>-0.11</v>
      </c>
      <c r="H93">
        <v>0.1</v>
      </c>
      <c r="I93">
        <v>35</v>
      </c>
      <c r="J93">
        <v>0.09</v>
      </c>
      <c r="L93" t="str">
        <f t="shared" si="7"/>
        <v xml:space="preserve">    -  0.060</v>
      </c>
      <c r="N93" t="str">
        <f t="shared" si="6"/>
        <v xml:space="preserve">    - [1.048, 0.314, 0.257, 14.20, -0.1100]</v>
      </c>
    </row>
    <row r="94" spans="2:14">
      <c r="B94" s="4">
        <v>6.9000000000000006E-2</v>
      </c>
      <c r="C94" s="4">
        <v>1.06</v>
      </c>
      <c r="D94" s="4">
        <v>0.35199999999999998</v>
      </c>
      <c r="E94" s="4">
        <v>0.23599999999999999</v>
      </c>
      <c r="F94" s="7">
        <v>14.2</v>
      </c>
      <c r="G94" s="6">
        <v>-0.1079</v>
      </c>
      <c r="H94">
        <v>0.2</v>
      </c>
      <c r="I94">
        <v>0.5</v>
      </c>
      <c r="J94">
        <v>0.13</v>
      </c>
      <c r="L94" t="str">
        <f t="shared" si="7"/>
        <v xml:space="preserve">    -  0.069</v>
      </c>
      <c r="N94" t="str">
        <f t="shared" si="6"/>
        <v xml:space="preserve">    - [1.060, 0.352, 0.236, 14.20, -0.1079]</v>
      </c>
    </row>
    <row r="95" spans="2:14">
      <c r="B95" s="4">
        <v>7.0000000000000007E-2</v>
      </c>
      <c r="C95" s="4">
        <v>2.4460000000000002</v>
      </c>
      <c r="D95" s="4">
        <v>1.708</v>
      </c>
      <c r="E95" s="4">
        <v>5.8000000000000003E-2</v>
      </c>
      <c r="F95" s="7">
        <v>11.02</v>
      </c>
      <c r="G95" s="6">
        <v>-4.0399999999999998E-2</v>
      </c>
      <c r="H95">
        <v>12.3</v>
      </c>
      <c r="I95">
        <v>3</v>
      </c>
      <c r="J95">
        <v>5.68</v>
      </c>
      <c r="L95" t="str">
        <f t="shared" si="7"/>
        <v xml:space="preserve">    -  0.070</v>
      </c>
      <c r="N95" t="str">
        <f t="shared" si="6"/>
        <v xml:space="preserve">    - [2.446, 1.708, 0.058, 11.02, -0.0404]</v>
      </c>
    </row>
    <row r="96" spans="2:14">
      <c r="B96" s="4">
        <v>7.4999999999999997E-2</v>
      </c>
      <c r="C96" s="4">
        <v>2.31</v>
      </c>
      <c r="D96" s="4">
        <v>1.603</v>
      </c>
      <c r="E96" s="4">
        <v>6.2E-2</v>
      </c>
      <c r="F96" s="7">
        <v>15.06</v>
      </c>
      <c r="G96" s="6">
        <v>-5.0299999999999997E-2</v>
      </c>
      <c r="H96">
        <v>11.3</v>
      </c>
      <c r="I96">
        <v>20</v>
      </c>
      <c r="J96">
        <v>6.27</v>
      </c>
      <c r="L96" t="str">
        <f t="shared" si="7"/>
        <v xml:space="preserve">    -  0.075</v>
      </c>
      <c r="N96" t="str">
        <f t="shared" si="6"/>
        <v xml:space="preserve">    - [2.310, 1.603, 0.062, 15.06, -0.0503]</v>
      </c>
    </row>
    <row r="97" spans="2:14">
      <c r="B97" s="4">
        <v>0.08</v>
      </c>
      <c r="C97" s="4">
        <v>2.238</v>
      </c>
      <c r="D97" s="4">
        <v>1.4419999999999999</v>
      </c>
      <c r="E97" s="4">
        <v>7.9000000000000001E-2</v>
      </c>
      <c r="F97" s="7">
        <v>17.8</v>
      </c>
      <c r="G97" s="6">
        <v>-8.5800000000000001E-2</v>
      </c>
      <c r="H97">
        <v>10.9</v>
      </c>
      <c r="I97">
        <v>25</v>
      </c>
      <c r="J97">
        <v>6.25</v>
      </c>
      <c r="L97" t="str">
        <f t="shared" si="7"/>
        <v xml:space="preserve">    -  0.080</v>
      </c>
      <c r="N97" t="str">
        <f t="shared" si="6"/>
        <v xml:space="preserve">    - [2.238, 1.442, 0.079, 17.80, -0.0858]</v>
      </c>
    </row>
    <row r="98" spans="2:14">
      <c r="B98" s="4">
        <v>0.09</v>
      </c>
      <c r="C98" s="4">
        <v>1.9510000000000001</v>
      </c>
      <c r="D98" s="4">
        <v>1.179</v>
      </c>
      <c r="E98" s="4">
        <v>0.104</v>
      </c>
      <c r="F98" s="7">
        <v>17.18</v>
      </c>
      <c r="G98" s="6">
        <v>-7.5700000000000003E-2</v>
      </c>
      <c r="H98">
        <v>5.4</v>
      </c>
      <c r="I98">
        <v>4</v>
      </c>
      <c r="J98">
        <v>2.69</v>
      </c>
      <c r="L98" t="str">
        <f t="shared" si="7"/>
        <v xml:space="preserve">    -  0.090</v>
      </c>
      <c r="N98" t="str">
        <f t="shared" si="6"/>
        <v xml:space="preserve">    - [1.951, 1.179, 0.104, 17.18, -0.0757]</v>
      </c>
    </row>
    <row r="99" spans="2:14">
      <c r="B99" s="4">
        <v>0.1</v>
      </c>
      <c r="C99" s="4">
        <v>1.764</v>
      </c>
      <c r="D99" s="4">
        <v>0.86699999999999999</v>
      </c>
      <c r="E99" s="4">
        <v>0.16</v>
      </c>
      <c r="F99" s="7">
        <v>15.88</v>
      </c>
      <c r="G99" s="6">
        <v>-0.1366</v>
      </c>
      <c r="H99">
        <v>2.9</v>
      </c>
      <c r="I99">
        <v>4</v>
      </c>
      <c r="J99">
        <v>1.1499999999999999</v>
      </c>
      <c r="L99" t="str">
        <f t="shared" si="7"/>
        <v xml:space="preserve">    -  0.100</v>
      </c>
      <c r="N99" t="str">
        <f t="shared" si="6"/>
        <v xml:space="preserve">    - [1.764, 0.867, 0.160, 15.88, -0.1366]</v>
      </c>
    </row>
    <row r="100" spans="2:14">
      <c r="B100" s="4">
        <v>0.11</v>
      </c>
      <c r="C100" s="4">
        <v>1.61</v>
      </c>
      <c r="D100" s="4">
        <v>0.56200000000000006</v>
      </c>
      <c r="E100" s="4">
        <v>0.247</v>
      </c>
      <c r="F100" s="7">
        <v>15.87</v>
      </c>
      <c r="G100" s="6">
        <v>-0.21179999999999999</v>
      </c>
      <c r="H100">
        <v>3.1</v>
      </c>
      <c r="I100">
        <v>35</v>
      </c>
      <c r="J100">
        <v>1.41</v>
      </c>
      <c r="L100" t="str">
        <f t="shared" si="7"/>
        <v xml:space="preserve">    -  0.110</v>
      </c>
      <c r="N100" t="str">
        <f t="shared" si="6"/>
        <v xml:space="preserve">    - [1.610, 0.562, 0.247, 15.87, -0.2118]</v>
      </c>
    </row>
    <row r="101" spans="2:14">
      <c r="B101" s="4">
        <v>0.12</v>
      </c>
      <c r="C101" s="4">
        <v>1.5009999999999999</v>
      </c>
      <c r="D101" s="4">
        <v>0.34</v>
      </c>
      <c r="E101" s="4">
        <v>0.30499999999999999</v>
      </c>
      <c r="F101" s="7">
        <v>24.33</v>
      </c>
      <c r="G101" s="6">
        <v>-0.1784</v>
      </c>
      <c r="H101">
        <v>1.6</v>
      </c>
      <c r="I101">
        <v>0.5</v>
      </c>
      <c r="J101">
        <v>0.84</v>
      </c>
      <c r="L101" t="str">
        <f t="shared" si="7"/>
        <v xml:space="preserve">    -  0.120</v>
      </c>
      <c r="N101" t="str">
        <f t="shared" si="6"/>
        <v xml:space="preserve">    - [1.501, 0.340, 0.305, 24.33, -0.1784]</v>
      </c>
    </row>
    <row r="102" spans="2:14">
      <c r="B102" s="4">
        <v>0.13</v>
      </c>
      <c r="C102" s="4">
        <v>1.393</v>
      </c>
      <c r="D102" s="4">
        <v>0.30599999999999999</v>
      </c>
      <c r="E102" s="4">
        <v>0.122</v>
      </c>
      <c r="F102" s="7">
        <v>9.7200000000000006</v>
      </c>
      <c r="G102" s="6">
        <v>-5.74E-2</v>
      </c>
      <c r="H102">
        <v>0.2</v>
      </c>
      <c r="I102">
        <v>30</v>
      </c>
      <c r="J102">
        <v>0.1</v>
      </c>
      <c r="L102" t="str">
        <f t="shared" si="7"/>
        <v xml:space="preserve">    -  0.130</v>
      </c>
      <c r="N102" t="str">
        <f t="shared" si="6"/>
        <v xml:space="preserve">    - [1.393, 0.306, 0.122, 9.72, -0.0574]</v>
      </c>
    </row>
    <row r="103" spans="2:14">
      <c r="B103" s="4">
        <v>0.14000000000000001</v>
      </c>
      <c r="C103" s="4">
        <v>1.3140000000000001</v>
      </c>
      <c r="D103" s="4">
        <v>0.21</v>
      </c>
      <c r="E103" s="4">
        <v>0.156</v>
      </c>
      <c r="F103" s="7">
        <v>10.36</v>
      </c>
      <c r="G103" s="6">
        <v>3.56E-2</v>
      </c>
      <c r="H103">
        <v>0.2</v>
      </c>
      <c r="I103">
        <v>0.5</v>
      </c>
      <c r="J103">
        <v>0.08</v>
      </c>
      <c r="L103" t="str">
        <f t="shared" si="7"/>
        <v xml:space="preserve">    -  0.140</v>
      </c>
      <c r="N103" t="str">
        <f t="shared" si="6"/>
        <v xml:space="preserve">    - [1.314, 0.210, 0.156, 10.36, 0.0356]</v>
      </c>
    </row>
    <row r="104" spans="2:14">
      <c r="B104" s="4">
        <v>0.15</v>
      </c>
      <c r="C104" s="4">
        <v>1.2529999999999999</v>
      </c>
      <c r="D104" s="4">
        <v>0.14499999999999999</v>
      </c>
      <c r="E104" s="4">
        <v>0.35299999999999998</v>
      </c>
      <c r="F104" s="7">
        <v>15.12</v>
      </c>
      <c r="G104" s="6">
        <v>-8.4500000000000006E-2</v>
      </c>
      <c r="H104">
        <v>0.4</v>
      </c>
      <c r="I104">
        <v>0.5</v>
      </c>
      <c r="J104">
        <v>0.15</v>
      </c>
      <c r="L104" t="str">
        <f t="shared" si="7"/>
        <v xml:space="preserve">    -  0.150</v>
      </c>
      <c r="N104" t="str">
        <f t="shared" si="6"/>
        <v xml:space="preserve">    - [1.253, 0.145, 0.353, 15.12, -0.0845]</v>
      </c>
    </row>
    <row r="105" spans="2:14">
      <c r="B105" s="4">
        <v>0.2</v>
      </c>
      <c r="C105" s="4">
        <v>1.155</v>
      </c>
      <c r="D105" s="4">
        <v>0.248</v>
      </c>
      <c r="E105" s="4">
        <v>0.34699999999999998</v>
      </c>
      <c r="F105" s="7">
        <v>13.68</v>
      </c>
      <c r="G105" s="6">
        <v>-0.1966</v>
      </c>
      <c r="H105">
        <v>0.9</v>
      </c>
      <c r="I105">
        <v>0.5</v>
      </c>
      <c r="J105">
        <v>0.47</v>
      </c>
      <c r="L105" t="str">
        <f t="shared" si="7"/>
        <v xml:space="preserve">    -  0.200</v>
      </c>
      <c r="N105" t="str">
        <f t="shared" si="6"/>
        <v xml:space="preserve">    - [1.155, 0.248, 0.347, 13.68, -0.1966]</v>
      </c>
    </row>
    <row r="106" spans="2:14">
      <c r="B106" s="4">
        <v>0.3</v>
      </c>
      <c r="C106" s="4">
        <v>1.17</v>
      </c>
      <c r="D106" s="4">
        <v>0.48699999999999999</v>
      </c>
      <c r="E106" s="4">
        <v>0.16800000000000001</v>
      </c>
      <c r="F106" s="7">
        <v>13.62</v>
      </c>
      <c r="G106" s="6">
        <v>-8.1199999999999994E-2</v>
      </c>
      <c r="H106">
        <v>0.6</v>
      </c>
      <c r="I106">
        <v>0.5</v>
      </c>
      <c r="J106">
        <v>0.33</v>
      </c>
      <c r="L106" t="str">
        <f t="shared" si="7"/>
        <v xml:space="preserve">    -  0.300</v>
      </c>
      <c r="N106" t="str">
        <f t="shared" si="6"/>
        <v xml:space="preserve">    - [1.170, 0.487, 0.168, 13.62, -0.0812]</v>
      </c>
    </row>
    <row r="107" spans="2:14">
      <c r="B107" s="4">
        <v>0.4</v>
      </c>
      <c r="C107" s="4">
        <v>1.234</v>
      </c>
      <c r="D107" s="4">
        <v>0.60099999999999998</v>
      </c>
      <c r="E107" s="4">
        <v>0.123</v>
      </c>
      <c r="F107" s="7">
        <v>14.14</v>
      </c>
      <c r="G107" s="6">
        <v>-6.4699999999999994E-2</v>
      </c>
      <c r="H107">
        <v>0.6</v>
      </c>
      <c r="I107">
        <v>25</v>
      </c>
      <c r="J107">
        <v>0.38</v>
      </c>
      <c r="L107" t="str">
        <f t="shared" si="7"/>
        <v xml:space="preserve">    -  0.400</v>
      </c>
      <c r="N107" t="str">
        <f t="shared" si="6"/>
        <v xml:space="preserve">    - [1.234, 0.601, 0.123, 14.14, -0.0647]</v>
      </c>
    </row>
    <row r="108" spans="2:14">
      <c r="B108" s="4">
        <v>0.5</v>
      </c>
      <c r="C108" s="4">
        <v>1.2929999999999999</v>
      </c>
      <c r="D108" s="4">
        <v>0.67200000000000004</v>
      </c>
      <c r="E108" s="4">
        <v>9.8000000000000004E-2</v>
      </c>
      <c r="F108" s="7">
        <v>14.13</v>
      </c>
      <c r="G108" s="6">
        <v>-5.3199999999999997E-2</v>
      </c>
      <c r="H108">
        <v>0.6</v>
      </c>
      <c r="I108">
        <v>25</v>
      </c>
      <c r="J108">
        <v>0.4</v>
      </c>
      <c r="L108" t="str">
        <f t="shared" si="7"/>
        <v xml:space="preserve">    -  0.500</v>
      </c>
      <c r="N108" t="str">
        <f t="shared" si="6"/>
        <v xml:space="preserve">    - [1.293, 0.672, 0.098, 14.13, -0.0532]</v>
      </c>
    </row>
    <row r="109" spans="2:14">
      <c r="B109" s="4">
        <v>0.6</v>
      </c>
      <c r="C109" s="4">
        <v>1.3380000000000001</v>
      </c>
      <c r="D109" s="4">
        <v>0.72199999999999998</v>
      </c>
      <c r="E109" s="4">
        <v>0.08</v>
      </c>
      <c r="F109" s="7">
        <v>13.69</v>
      </c>
      <c r="G109" s="6">
        <v>-4.3799999999999999E-2</v>
      </c>
      <c r="H109">
        <v>0.7</v>
      </c>
      <c r="I109">
        <v>5</v>
      </c>
      <c r="J109">
        <v>0.42</v>
      </c>
      <c r="L109" t="str">
        <f t="shared" si="7"/>
        <v xml:space="preserve">    -  0.600</v>
      </c>
      <c r="N109" t="str">
        <f t="shared" si="6"/>
        <v xml:space="preserve">    - [1.338, 0.722, 0.080, 13.69, -0.0438]</v>
      </c>
    </row>
    <row r="110" spans="2:14">
      <c r="B110" s="4">
        <v>0.8</v>
      </c>
      <c r="C110" s="4">
        <v>1.4019999999999999</v>
      </c>
      <c r="D110" s="4">
        <v>0.79700000000000004</v>
      </c>
      <c r="E110" s="4">
        <v>5.7000000000000002E-2</v>
      </c>
      <c r="F110" s="7">
        <v>13.71</v>
      </c>
      <c r="G110" s="6">
        <v>-3.3399999999999999E-2</v>
      </c>
      <c r="H110">
        <v>0.7</v>
      </c>
      <c r="I110">
        <v>25</v>
      </c>
      <c r="J110">
        <v>0.41</v>
      </c>
      <c r="L110" t="str">
        <f t="shared" si="7"/>
        <v xml:space="preserve">    -  0.800</v>
      </c>
      <c r="N110" t="str">
        <f t="shared" si="6"/>
        <v xml:space="preserve">    - [1.402, 0.797, 0.057, 13.71, -0.0334]</v>
      </c>
    </row>
    <row r="111" spans="2:14">
      <c r="B111" s="4">
        <v>1</v>
      </c>
      <c r="C111" s="4">
        <v>1.4359999999999999</v>
      </c>
      <c r="D111" s="4">
        <v>0.85299999999999998</v>
      </c>
      <c r="E111" s="4">
        <v>4.2000000000000003E-2</v>
      </c>
      <c r="F111" s="7">
        <v>13.34</v>
      </c>
      <c r="G111" s="6">
        <v>-2.8500000000000001E-2</v>
      </c>
      <c r="H111">
        <v>0.8</v>
      </c>
      <c r="I111">
        <v>5</v>
      </c>
      <c r="J111">
        <v>0.43</v>
      </c>
      <c r="L111" t="str">
        <f t="shared" si="7"/>
        <v xml:space="preserve">    -  1.000</v>
      </c>
      <c r="N111" t="str">
        <f t="shared" si="6"/>
        <v xml:space="preserve">    - [1.436, 0.853, 0.042, 13.34, -0.0285]</v>
      </c>
    </row>
    <row r="112" spans="2:14">
      <c r="B112" s="4">
        <v>1.5</v>
      </c>
      <c r="C112" s="4">
        <v>1.421</v>
      </c>
      <c r="D112" s="4">
        <v>0.97699999999999998</v>
      </c>
      <c r="E112" s="4">
        <v>1.2999999999999999E-2</v>
      </c>
      <c r="F112" s="7">
        <v>14.3</v>
      </c>
      <c r="G112" s="6">
        <v>-2.0500000000000001E-2</v>
      </c>
      <c r="H112">
        <v>0.5</v>
      </c>
      <c r="I112">
        <v>4</v>
      </c>
      <c r="J112">
        <v>0.26</v>
      </c>
      <c r="L112" t="str">
        <f t="shared" si="7"/>
        <v xml:space="preserve">    -  1.500</v>
      </c>
      <c r="N112" t="str">
        <f t="shared" si="6"/>
        <v xml:space="preserve">    - [1.421, 0.977, 0.013, 14.30, -0.0205]</v>
      </c>
    </row>
    <row r="113" spans="2:14">
      <c r="B113" s="4">
        <v>2</v>
      </c>
      <c r="C113" s="4">
        <v>1.4279999999999999</v>
      </c>
      <c r="D113" s="4">
        <v>1.012</v>
      </c>
      <c r="E113" s="4">
        <v>7.0000000000000001E-3</v>
      </c>
      <c r="F113" s="7">
        <v>13.4</v>
      </c>
      <c r="G113" s="6">
        <v>-0.02</v>
      </c>
      <c r="H113">
        <v>1.3</v>
      </c>
      <c r="I113">
        <v>0.5</v>
      </c>
      <c r="J113">
        <v>0.67</v>
      </c>
      <c r="L113" t="str">
        <f t="shared" si="7"/>
        <v xml:space="preserve">    -  2.000</v>
      </c>
      <c r="N113" t="str">
        <f t="shared" si="6"/>
        <v xml:space="preserve">    - [1.428, 1.012, 0.007, 13.40, -0.0200]</v>
      </c>
    </row>
    <row r="114" spans="2:14">
      <c r="B114" s="4">
        <v>3</v>
      </c>
      <c r="C114" s="4">
        <v>1.4059999999999999</v>
      </c>
      <c r="D114" s="4">
        <v>1.0229999999999999</v>
      </c>
      <c r="E114" s="4">
        <v>1.4E-2</v>
      </c>
      <c r="F114" s="7">
        <v>13.42</v>
      </c>
      <c r="G114" s="6">
        <v>-3.85E-2</v>
      </c>
      <c r="H114">
        <v>3.3</v>
      </c>
      <c r="I114">
        <v>0.5</v>
      </c>
      <c r="J114">
        <v>1.35</v>
      </c>
      <c r="L114" t="str">
        <f t="shared" si="7"/>
        <v xml:space="preserve">    -  3.000</v>
      </c>
      <c r="N114" t="str">
        <f t="shared" si="6"/>
        <v xml:space="preserve">    - [1.406, 1.023, 0.014, 13.42, -0.0385]</v>
      </c>
    </row>
    <row r="115" spans="2:14">
      <c r="B115" s="4">
        <v>4</v>
      </c>
      <c r="C115" s="4">
        <v>1.363</v>
      </c>
      <c r="D115" s="4">
        <v>1.0369999999999999</v>
      </c>
      <c r="E115" s="4">
        <v>1.7999999999999999E-2</v>
      </c>
      <c r="F115" s="7">
        <v>13.72</v>
      </c>
      <c r="G115" s="6">
        <v>-4.3700000000000003E-2</v>
      </c>
      <c r="H115">
        <v>4.2</v>
      </c>
      <c r="I115">
        <v>0.5</v>
      </c>
      <c r="J115">
        <v>1.56</v>
      </c>
      <c r="L115" t="str">
        <f t="shared" si="7"/>
        <v xml:space="preserve">    -  4.000</v>
      </c>
      <c r="N115" t="str">
        <f t="shared" si="6"/>
        <v xml:space="preserve">    - [1.363, 1.037, 0.018, 13.72, -0.0437]</v>
      </c>
    </row>
    <row r="116" spans="2:14">
      <c r="B116" s="4">
        <v>5</v>
      </c>
      <c r="C116" s="4">
        <v>1.393</v>
      </c>
      <c r="D116" s="4">
        <v>0.96399999999999997</v>
      </c>
      <c r="E116" s="4">
        <v>4.9000000000000002E-2</v>
      </c>
      <c r="F116" s="7">
        <v>13.94</v>
      </c>
      <c r="G116" s="6">
        <v>-7.2300000000000003E-2</v>
      </c>
      <c r="H116">
        <v>5.4</v>
      </c>
      <c r="I116">
        <v>0.5</v>
      </c>
      <c r="J116">
        <v>2.25</v>
      </c>
      <c r="L116" t="str">
        <f t="shared" si="7"/>
        <v xml:space="preserve">    -  5.000</v>
      </c>
      <c r="N116" t="str">
        <f t="shared" si="6"/>
        <v xml:space="preserve">    - [1.393, 0.964, 0.049, 13.94, -0.0723]</v>
      </c>
    </row>
    <row r="117" spans="2:14">
      <c r="B117" s="4">
        <v>6</v>
      </c>
      <c r="C117" s="4">
        <v>1.397</v>
      </c>
      <c r="D117" s="4">
        <v>0.96299999999999997</v>
      </c>
      <c r="E117" s="4">
        <v>5.6000000000000001E-2</v>
      </c>
      <c r="F117" s="7">
        <v>14.34</v>
      </c>
      <c r="G117" s="6">
        <v>-7.6899999999999996E-2</v>
      </c>
      <c r="H117">
        <v>5.5</v>
      </c>
      <c r="I117">
        <v>0.5</v>
      </c>
      <c r="J117">
        <v>2.37</v>
      </c>
      <c r="L117" t="str">
        <f t="shared" si="7"/>
        <v xml:space="preserve">    -  6.000</v>
      </c>
      <c r="N117" t="str">
        <f t="shared" si="6"/>
        <v xml:space="preserve">    - [1.397, 0.963, 0.056, 14.34, -0.0769]</v>
      </c>
    </row>
    <row r="118" spans="2:14">
      <c r="B118" s="4">
        <v>8</v>
      </c>
      <c r="C118" s="4">
        <v>1.4650000000000001</v>
      </c>
      <c r="D118" s="4">
        <v>0.99</v>
      </c>
      <c r="E118" s="4">
        <v>6.3E-2</v>
      </c>
      <c r="F118" s="7">
        <v>14.15</v>
      </c>
      <c r="G118" s="6">
        <v>-8.48E-2</v>
      </c>
      <c r="H118">
        <v>5.8</v>
      </c>
      <c r="I118">
        <v>0.5</v>
      </c>
      <c r="J118">
        <v>2.58</v>
      </c>
      <c r="L118" t="str">
        <f t="shared" si="7"/>
        <v xml:space="preserve">    -  8.000</v>
      </c>
      <c r="N118" t="str">
        <f t="shared" si="6"/>
        <v xml:space="preserve">    - [1.465, 0.990, 0.063, 14.15, -0.0848]</v>
      </c>
    </row>
    <row r="119" spans="2:14">
      <c r="B119" s="4">
        <v>10</v>
      </c>
      <c r="C119" s="4">
        <v>1.4750000000000001</v>
      </c>
      <c r="D119" s="4">
        <v>1.151</v>
      </c>
      <c r="E119" s="4">
        <v>3.1E-2</v>
      </c>
      <c r="F119" s="7">
        <v>14.1</v>
      </c>
      <c r="G119" s="6">
        <v>-5.6099999999999997E-2</v>
      </c>
      <c r="H119">
        <v>4.5</v>
      </c>
      <c r="I119">
        <v>0.5</v>
      </c>
      <c r="J119">
        <v>1.89</v>
      </c>
      <c r="L119" t="str">
        <f t="shared" si="7"/>
        <v xml:space="preserve">    -  10.000</v>
      </c>
      <c r="N119" t="str">
        <f t="shared" si="6"/>
        <v xml:space="preserve">    - [1.475, 1.151, 0.031, 14.10, -0.0561]</v>
      </c>
    </row>
    <row r="120" spans="2:14">
      <c r="B120" s="4">
        <v>15</v>
      </c>
      <c r="C120" s="4">
        <v>1.589</v>
      </c>
      <c r="D120" s="4">
        <v>1.335</v>
      </c>
      <c r="E120" s="4">
        <v>1.6E-2</v>
      </c>
      <c r="F120" s="7">
        <v>13.6</v>
      </c>
      <c r="G120" s="6">
        <v>-4.9399999999999999E-2</v>
      </c>
      <c r="H120">
        <v>3.4</v>
      </c>
      <c r="I120">
        <v>0.5</v>
      </c>
      <c r="J120">
        <v>1.71</v>
      </c>
      <c r="L120" t="str">
        <f t="shared" si="7"/>
        <v xml:space="preserve">    -  15.000</v>
      </c>
      <c r="N120" t="str">
        <f t="shared" si="6"/>
        <v xml:space="preserve">    - [1.589, 1.335, 0.016, 13.60, -0.0494]</v>
      </c>
    </row>
    <row r="122" spans="2:14">
      <c r="C122" s="5" t="s">
        <v>55</v>
      </c>
    </row>
    <row r="123" spans="2:14">
      <c r="B123" t="s">
        <v>1</v>
      </c>
      <c r="C123" t="s">
        <v>11</v>
      </c>
      <c r="D123" t="s">
        <v>12</v>
      </c>
      <c r="E123" t="s">
        <v>13</v>
      </c>
      <c r="F123" t="s">
        <v>16</v>
      </c>
      <c r="G123" t="s">
        <v>14</v>
      </c>
      <c r="H123" t="s">
        <v>17</v>
      </c>
      <c r="I123" t="s">
        <v>18</v>
      </c>
      <c r="J123" t="s">
        <v>15</v>
      </c>
    </row>
    <row r="124" spans="2:14">
      <c r="B124">
        <v>0.03</v>
      </c>
      <c r="C124">
        <v>1.0069999999999999</v>
      </c>
      <c r="D124">
        <v>0.32200000000000001</v>
      </c>
      <c r="E124">
        <v>0.246</v>
      </c>
      <c r="F124">
        <v>13.67</v>
      </c>
      <c r="G124">
        <v>-0.10299999999999999</v>
      </c>
      <c r="H124">
        <v>0</v>
      </c>
      <c r="I124">
        <v>0.5</v>
      </c>
      <c r="J124">
        <v>0.02</v>
      </c>
      <c r="L124" t="str">
        <f>CONCATENATE("    -  ",TEXT(B124,"0.000"))</f>
        <v xml:space="preserve">    -  0.030</v>
      </c>
      <c r="N124" t="str">
        <f t="shared" ref="N124:N154" si="8">CONCATENATE("    - [",TEXT(C124,$N$2),", ",TEXT(D124,$N$2),", ",TEXT(E124,$N$2),", ",TEXT(F124,$O$2),", ",TEXT(G124,$P$2),"]")</f>
        <v xml:space="preserve">    - [1.007, 0.322, 0.246, 13.67, -0.1030]</v>
      </c>
    </row>
    <row r="125" spans="2:14">
      <c r="B125">
        <v>0.04</v>
      </c>
      <c r="C125">
        <v>1.014</v>
      </c>
      <c r="D125">
        <v>0.317</v>
      </c>
      <c r="E125">
        <v>0.245</v>
      </c>
      <c r="F125">
        <v>14.95</v>
      </c>
      <c r="G125">
        <v>-8.6699999999999999E-2</v>
      </c>
      <c r="H125">
        <v>0.1</v>
      </c>
      <c r="I125">
        <v>0.5</v>
      </c>
      <c r="J125">
        <v>0.04</v>
      </c>
      <c r="L125" t="str">
        <f t="shared" ref="L125:L154" si="9">CONCATENATE("    -  ",TEXT(B125,"0.000"))</f>
        <v xml:space="preserve">    -  0.040</v>
      </c>
      <c r="N125" t="str">
        <f t="shared" si="8"/>
        <v xml:space="preserve">    - [1.014, 0.317, 0.245, 14.95, -0.0867]</v>
      </c>
    </row>
    <row r="126" spans="2:14">
      <c r="B126">
        <v>0.05</v>
      </c>
      <c r="C126">
        <v>1.0229999999999999</v>
      </c>
      <c r="D126">
        <v>0.312</v>
      </c>
      <c r="E126">
        <v>0.252</v>
      </c>
      <c r="F126">
        <v>14.17</v>
      </c>
      <c r="G126">
        <v>-0.10050000000000001</v>
      </c>
      <c r="H126">
        <v>0.1</v>
      </c>
      <c r="I126">
        <v>0.5</v>
      </c>
      <c r="J126">
        <v>0.04</v>
      </c>
      <c r="L126" t="str">
        <f t="shared" si="9"/>
        <v xml:space="preserve">    -  0.050</v>
      </c>
      <c r="N126" t="str">
        <f t="shared" si="8"/>
        <v xml:space="preserve">    - [1.023, 0.312, 0.252, 14.17, -0.1005]</v>
      </c>
    </row>
    <row r="127" spans="2:14">
      <c r="B127">
        <v>0.06</v>
      </c>
      <c r="C127">
        <v>1.0329999999999999</v>
      </c>
      <c r="D127">
        <v>0.32</v>
      </c>
      <c r="E127">
        <v>0.26</v>
      </c>
      <c r="F127">
        <v>13.89</v>
      </c>
      <c r="G127">
        <v>-0.12230000000000001</v>
      </c>
      <c r="H127">
        <v>0.1</v>
      </c>
      <c r="I127">
        <v>4</v>
      </c>
      <c r="J127">
        <v>0.06</v>
      </c>
      <c r="L127" t="str">
        <f t="shared" si="9"/>
        <v xml:space="preserve">    -  0.060</v>
      </c>
      <c r="N127" t="str">
        <f t="shared" si="8"/>
        <v xml:space="preserve">    - [1.033, 0.320, 0.260, 13.89, -0.1223]</v>
      </c>
    </row>
    <row r="128" spans="2:14">
      <c r="B128">
        <v>0.08</v>
      </c>
      <c r="C128">
        <v>1.0580000000000001</v>
      </c>
      <c r="D128">
        <v>0.36199999999999999</v>
      </c>
      <c r="E128">
        <v>0.23300000000000001</v>
      </c>
      <c r="F128">
        <v>13.91</v>
      </c>
      <c r="G128">
        <v>-0.11269999999999999</v>
      </c>
      <c r="H128">
        <v>0.2</v>
      </c>
      <c r="I128">
        <v>0.5</v>
      </c>
      <c r="J128">
        <v>0.12</v>
      </c>
      <c r="L128" t="str">
        <f t="shared" si="9"/>
        <v xml:space="preserve">    -  0.080</v>
      </c>
      <c r="N128" t="str">
        <f t="shared" si="8"/>
        <v xml:space="preserve">    - [1.058, 0.362, 0.233, 13.91, -0.1127]</v>
      </c>
    </row>
    <row r="129" spans="2:14">
      <c r="B129">
        <v>8.7999999999999995E-2</v>
      </c>
      <c r="C129">
        <v>1.0669999999999999</v>
      </c>
      <c r="D129">
        <v>0.38200000000000001</v>
      </c>
      <c r="E129">
        <v>0.22</v>
      </c>
      <c r="F129">
        <v>14.14</v>
      </c>
      <c r="G129">
        <v>-0.1048</v>
      </c>
      <c r="H129">
        <v>0.3</v>
      </c>
      <c r="I129">
        <v>0.5</v>
      </c>
      <c r="J129">
        <v>0.15</v>
      </c>
      <c r="L129" t="str">
        <f t="shared" si="9"/>
        <v xml:space="preserve">    -  0.088</v>
      </c>
      <c r="N129" t="str">
        <f t="shared" si="8"/>
        <v xml:space="preserve">    - [1.067, 0.382, 0.220, 14.14, -0.1048]</v>
      </c>
    </row>
    <row r="130" spans="2:14">
      <c r="B130">
        <v>8.8999999999999996E-2</v>
      </c>
      <c r="C130">
        <v>2.3679999999999999</v>
      </c>
      <c r="D130">
        <v>1.58</v>
      </c>
      <c r="E130">
        <v>7.4999999999999997E-2</v>
      </c>
      <c r="F130">
        <v>12.44</v>
      </c>
      <c r="G130">
        <v>-6.3500000000000001E-2</v>
      </c>
      <c r="H130">
        <v>14.1</v>
      </c>
      <c r="I130">
        <v>3</v>
      </c>
      <c r="J130">
        <v>6.38</v>
      </c>
      <c r="L130" t="str">
        <f t="shared" si="9"/>
        <v xml:space="preserve">    -  0.089</v>
      </c>
      <c r="N130" t="str">
        <f t="shared" si="8"/>
        <v xml:space="preserve">    - [2.368, 1.580, 0.075, 12.44, -0.0635]</v>
      </c>
    </row>
    <row r="131" spans="2:14">
      <c r="B131">
        <v>0.09</v>
      </c>
      <c r="C131">
        <v>2.1869999999999998</v>
      </c>
      <c r="D131">
        <v>1.6930000000000001</v>
      </c>
      <c r="E131">
        <v>0.05</v>
      </c>
      <c r="F131">
        <v>18.21</v>
      </c>
      <c r="G131">
        <v>-4.1500000000000002E-2</v>
      </c>
      <c r="H131">
        <v>9.4</v>
      </c>
      <c r="I131">
        <v>20</v>
      </c>
      <c r="J131">
        <v>5.51</v>
      </c>
      <c r="L131" t="str">
        <f t="shared" si="9"/>
        <v xml:space="preserve">    -  0.090</v>
      </c>
      <c r="N131" t="str">
        <f t="shared" si="8"/>
        <v xml:space="preserve">    - [2.187, 1.693, 0.050, 18.21, -0.0415]</v>
      </c>
    </row>
    <row r="132" spans="2:14">
      <c r="B132">
        <v>0.1</v>
      </c>
      <c r="C132">
        <v>1.93</v>
      </c>
      <c r="D132">
        <v>1.4990000000000001</v>
      </c>
      <c r="E132">
        <v>6.0999999999999999E-2</v>
      </c>
      <c r="F132">
        <v>29.65</v>
      </c>
      <c r="G132">
        <v>-0.1162</v>
      </c>
      <c r="H132">
        <v>10.1</v>
      </c>
      <c r="I132">
        <v>40</v>
      </c>
      <c r="J132">
        <v>4.37</v>
      </c>
      <c r="L132" t="str">
        <f t="shared" si="9"/>
        <v xml:space="preserve">    -  0.100</v>
      </c>
      <c r="N132" t="str">
        <f t="shared" si="8"/>
        <v xml:space="preserve">    - [1.930, 1.499, 0.061, 29.65, -0.1162]</v>
      </c>
    </row>
    <row r="133" spans="2:14">
      <c r="B133">
        <v>0.11</v>
      </c>
      <c r="C133">
        <v>1.821</v>
      </c>
      <c r="D133">
        <v>1.196</v>
      </c>
      <c r="E133">
        <v>0.10199999999999999</v>
      </c>
      <c r="F133">
        <v>16.64</v>
      </c>
      <c r="G133">
        <v>-7.5600000000000001E-2</v>
      </c>
      <c r="H133">
        <v>5.5</v>
      </c>
      <c r="I133">
        <v>4</v>
      </c>
      <c r="J133">
        <v>2.72</v>
      </c>
      <c r="L133" t="str">
        <f t="shared" si="9"/>
        <v xml:space="preserve">    -  0.110</v>
      </c>
      <c r="N133" t="str">
        <f t="shared" si="8"/>
        <v xml:space="preserve">    - [1.821, 1.196, 0.102, 16.64, -0.0756]</v>
      </c>
    </row>
    <row r="134" spans="2:14">
      <c r="B134">
        <v>0.12</v>
      </c>
      <c r="C134">
        <v>1.6439999999999999</v>
      </c>
      <c r="D134">
        <v>0.97</v>
      </c>
      <c r="E134">
        <v>0.13600000000000001</v>
      </c>
      <c r="F134">
        <v>16.100000000000001</v>
      </c>
      <c r="G134">
        <v>-0.1135</v>
      </c>
      <c r="H134">
        <v>3.6</v>
      </c>
      <c r="I134">
        <v>1</v>
      </c>
      <c r="J134">
        <v>1.9</v>
      </c>
      <c r="L134" t="str">
        <f t="shared" si="9"/>
        <v xml:space="preserve">    -  0.120</v>
      </c>
      <c r="N134" t="str">
        <f t="shared" si="8"/>
        <v xml:space="preserve">    - [1.644, 0.970, 0.136, 16.10, -0.1135]</v>
      </c>
    </row>
    <row r="135" spans="2:14">
      <c r="B135">
        <v>0.13</v>
      </c>
      <c r="C135">
        <v>1.54</v>
      </c>
      <c r="D135">
        <v>0.71799999999999997</v>
      </c>
      <c r="E135">
        <v>0.19400000000000001</v>
      </c>
      <c r="F135">
        <v>15.69</v>
      </c>
      <c r="G135">
        <v>-0.16850000000000001</v>
      </c>
      <c r="H135">
        <v>2.7</v>
      </c>
      <c r="I135">
        <v>1</v>
      </c>
      <c r="J135">
        <v>1.6</v>
      </c>
      <c r="L135" t="str">
        <f t="shared" si="9"/>
        <v xml:space="preserve">    -  0.130</v>
      </c>
      <c r="N135" t="str">
        <f t="shared" si="8"/>
        <v xml:space="preserve">    - [1.540, 0.718, 0.194, 15.69, -0.1685]</v>
      </c>
    </row>
    <row r="136" spans="2:14">
      <c r="B136">
        <v>0.14000000000000001</v>
      </c>
      <c r="C136">
        <v>1.472</v>
      </c>
      <c r="D136">
        <v>0.47899999999999998</v>
      </c>
      <c r="E136">
        <v>0.27300000000000002</v>
      </c>
      <c r="F136">
        <v>16.5</v>
      </c>
      <c r="G136">
        <v>-0.21529999999999999</v>
      </c>
      <c r="H136">
        <v>1.7</v>
      </c>
      <c r="I136">
        <v>35</v>
      </c>
      <c r="J136">
        <v>1.05</v>
      </c>
      <c r="L136" t="str">
        <f t="shared" si="9"/>
        <v xml:space="preserve">    -  0.140</v>
      </c>
      <c r="N136" t="str">
        <f t="shared" si="8"/>
        <v xml:space="preserve">    - [1.472, 0.479, 0.273, 16.50, -0.2153]</v>
      </c>
    </row>
    <row r="137" spans="2:14">
      <c r="B137">
        <v>0.15</v>
      </c>
      <c r="C137">
        <v>1.4019999999999999</v>
      </c>
      <c r="D137">
        <v>0.35199999999999998</v>
      </c>
      <c r="E137">
        <v>0.26900000000000002</v>
      </c>
      <c r="F137">
        <v>17.09</v>
      </c>
      <c r="G137">
        <v>-2.47E-2</v>
      </c>
      <c r="H137">
        <v>1.1000000000000001</v>
      </c>
      <c r="I137">
        <v>0.5</v>
      </c>
      <c r="J137">
        <v>0.57999999999999996</v>
      </c>
      <c r="L137" t="str">
        <f t="shared" si="9"/>
        <v xml:space="preserve">    -  0.150</v>
      </c>
      <c r="N137" t="str">
        <f t="shared" si="8"/>
        <v xml:space="preserve">    - [1.402, 0.352, 0.269, 17.09, -0.0247]</v>
      </c>
    </row>
    <row r="138" spans="2:14">
      <c r="B138">
        <v>0.16</v>
      </c>
      <c r="C138">
        <v>1.3340000000000001</v>
      </c>
      <c r="D138">
        <v>0.32900000000000001</v>
      </c>
      <c r="E138">
        <v>0.14499999999999999</v>
      </c>
      <c r="F138">
        <v>11.38</v>
      </c>
      <c r="G138">
        <v>-6.4299999999999996E-2</v>
      </c>
      <c r="H138">
        <v>0.2</v>
      </c>
      <c r="I138">
        <v>30</v>
      </c>
      <c r="J138">
        <v>0.1</v>
      </c>
      <c r="L138" t="str">
        <f t="shared" si="9"/>
        <v xml:space="preserve">    -  0.160</v>
      </c>
      <c r="N138" t="str">
        <f t="shared" si="8"/>
        <v xml:space="preserve">    - [1.334, 0.329, 0.145, 11.38, -0.0643]</v>
      </c>
    </row>
    <row r="139" spans="2:14">
      <c r="B139">
        <v>0.2</v>
      </c>
      <c r="C139">
        <v>1.2010000000000001</v>
      </c>
      <c r="D139">
        <v>0.158</v>
      </c>
      <c r="E139">
        <v>0.42599999999999999</v>
      </c>
      <c r="F139">
        <v>14.12</v>
      </c>
      <c r="G139">
        <v>-0.18729999999999999</v>
      </c>
      <c r="H139">
        <v>0.3</v>
      </c>
      <c r="I139">
        <v>10</v>
      </c>
      <c r="J139">
        <v>0.2</v>
      </c>
      <c r="L139" t="str">
        <f t="shared" si="9"/>
        <v xml:space="preserve">    -  0.200</v>
      </c>
      <c r="N139" t="str">
        <f t="shared" si="8"/>
        <v xml:space="preserve">    - [1.201, 0.158, 0.426, 14.12, -0.1873]</v>
      </c>
    </row>
    <row r="140" spans="2:14">
      <c r="B140">
        <v>0.3</v>
      </c>
      <c r="C140">
        <v>1.1479999999999999</v>
      </c>
      <c r="D140">
        <v>0.42199999999999999</v>
      </c>
      <c r="E140">
        <v>0.20300000000000001</v>
      </c>
      <c r="F140">
        <v>13.49</v>
      </c>
      <c r="G140">
        <v>-0.1013</v>
      </c>
      <c r="H140">
        <v>0.8</v>
      </c>
      <c r="I140">
        <v>0.5</v>
      </c>
      <c r="J140">
        <v>0.36</v>
      </c>
      <c r="L140" t="str">
        <f t="shared" si="9"/>
        <v xml:space="preserve">    -  0.300</v>
      </c>
      <c r="N140" t="str">
        <f t="shared" si="8"/>
        <v xml:space="preserve">    - [1.148, 0.422, 0.203, 13.49, -0.1013]</v>
      </c>
    </row>
    <row r="141" spans="2:14">
      <c r="B141">
        <v>0.4</v>
      </c>
      <c r="C141">
        <v>1.1870000000000001</v>
      </c>
      <c r="D141">
        <v>0.56200000000000006</v>
      </c>
      <c r="E141">
        <v>0.13700000000000001</v>
      </c>
      <c r="F141">
        <v>14.19</v>
      </c>
      <c r="G141">
        <v>-7.0599999999999996E-2</v>
      </c>
      <c r="H141">
        <v>0.6</v>
      </c>
      <c r="I141">
        <v>0.5</v>
      </c>
      <c r="J141">
        <v>0.35</v>
      </c>
      <c r="L141" t="str">
        <f t="shared" si="9"/>
        <v xml:space="preserve">    -  0.400</v>
      </c>
      <c r="N141" t="str">
        <f t="shared" si="8"/>
        <v xml:space="preserve">    - [1.187, 0.562, 0.137, 14.19, -0.0706]</v>
      </c>
    </row>
    <row r="142" spans="2:14">
      <c r="B142">
        <v>0.5</v>
      </c>
      <c r="C142">
        <v>1.2330000000000001</v>
      </c>
      <c r="D142">
        <v>0.63400000000000001</v>
      </c>
      <c r="E142">
        <v>0.109</v>
      </c>
      <c r="F142">
        <v>14.2</v>
      </c>
      <c r="G142">
        <v>-5.5599999999999997E-2</v>
      </c>
      <c r="H142">
        <v>0.6</v>
      </c>
      <c r="I142">
        <v>0.5</v>
      </c>
      <c r="J142">
        <v>0.38</v>
      </c>
      <c r="L142" t="str">
        <f t="shared" si="9"/>
        <v xml:space="preserve">    -  0.500</v>
      </c>
      <c r="N142" t="str">
        <f t="shared" si="8"/>
        <v xml:space="preserve">    - [1.233, 0.634, 0.109, 14.20, -0.0556]</v>
      </c>
    </row>
    <row r="143" spans="2:14">
      <c r="B143">
        <v>0.6</v>
      </c>
      <c r="C143">
        <v>1.2689999999999999</v>
      </c>
      <c r="D143">
        <v>0.68500000000000005</v>
      </c>
      <c r="E143">
        <v>8.8999999999999996E-2</v>
      </c>
      <c r="F143">
        <v>13.78</v>
      </c>
      <c r="G143">
        <v>-4.3999999999999997E-2</v>
      </c>
      <c r="H143">
        <v>0.6</v>
      </c>
      <c r="I143">
        <v>1</v>
      </c>
      <c r="J143">
        <v>0.36</v>
      </c>
      <c r="L143" t="str">
        <f t="shared" si="9"/>
        <v xml:space="preserve">    -  0.600</v>
      </c>
      <c r="N143" t="str">
        <f t="shared" si="8"/>
        <v xml:space="preserve">    - [1.269, 0.685, 0.089, 13.78, -0.0440]</v>
      </c>
    </row>
    <row r="144" spans="2:14">
      <c r="B144">
        <v>0.8</v>
      </c>
      <c r="C144">
        <v>1.329</v>
      </c>
      <c r="D144">
        <v>0.75900000000000001</v>
      </c>
      <c r="E144">
        <v>6.5000000000000002E-2</v>
      </c>
      <c r="F144">
        <v>13.69</v>
      </c>
      <c r="G144">
        <v>-3.1699999999999999E-2</v>
      </c>
      <c r="H144">
        <v>0.8</v>
      </c>
      <c r="I144">
        <v>1</v>
      </c>
      <c r="J144">
        <v>0.39</v>
      </c>
      <c r="L144" t="str">
        <f t="shared" si="9"/>
        <v xml:space="preserve">    -  0.800</v>
      </c>
      <c r="N144" t="str">
        <f t="shared" si="8"/>
        <v xml:space="preserve">    - [1.329, 0.759, 0.065, 13.69, -0.0317]</v>
      </c>
    </row>
    <row r="145" spans="2:14">
      <c r="B145">
        <v>1</v>
      </c>
      <c r="C145">
        <v>1.367</v>
      </c>
      <c r="D145">
        <v>0.81100000000000005</v>
      </c>
      <c r="E145">
        <v>5.0999999999999997E-2</v>
      </c>
      <c r="F145">
        <v>13.67</v>
      </c>
      <c r="G145">
        <v>-2.8299999999999999E-2</v>
      </c>
      <c r="H145">
        <v>0.8</v>
      </c>
      <c r="I145">
        <v>1</v>
      </c>
      <c r="J145">
        <v>0.42</v>
      </c>
      <c r="L145" t="str">
        <f t="shared" si="9"/>
        <v xml:space="preserve">    -  1.000</v>
      </c>
      <c r="N145" t="str">
        <f t="shared" si="8"/>
        <v xml:space="preserve">    - [1.367, 0.811, 0.051, 13.67, -0.0283]</v>
      </c>
    </row>
    <row r="146" spans="2:14">
      <c r="B146">
        <v>1.5</v>
      </c>
      <c r="C146">
        <v>1.369</v>
      </c>
      <c r="D146">
        <v>0.94199999999999995</v>
      </c>
      <c r="E146">
        <v>0.02</v>
      </c>
      <c r="F146">
        <v>14.65</v>
      </c>
      <c r="G146">
        <v>-2.07E-2</v>
      </c>
      <c r="H146">
        <v>0.9</v>
      </c>
      <c r="I146">
        <v>1</v>
      </c>
      <c r="J146">
        <v>0.34</v>
      </c>
      <c r="L146" t="str">
        <f t="shared" si="9"/>
        <v xml:space="preserve">    -  1.500</v>
      </c>
      <c r="N146" t="str">
        <f t="shared" si="8"/>
        <v xml:space="preserve">    - [1.369, 0.942, 0.020, 14.65, -0.0207]</v>
      </c>
    </row>
    <row r="147" spans="2:14">
      <c r="B147">
        <v>2</v>
      </c>
      <c r="C147">
        <v>1.3839999999999999</v>
      </c>
      <c r="D147">
        <v>0.98</v>
      </c>
      <c r="E147">
        <v>1.4E-2</v>
      </c>
      <c r="F147">
        <v>13.51</v>
      </c>
      <c r="G147">
        <v>-2.1600000000000001E-2</v>
      </c>
      <c r="H147">
        <v>1.7</v>
      </c>
      <c r="I147">
        <v>0.5</v>
      </c>
      <c r="J147">
        <v>0.68</v>
      </c>
      <c r="L147" t="str">
        <f t="shared" si="9"/>
        <v xml:space="preserve">    -  2.000</v>
      </c>
      <c r="N147" t="str">
        <f t="shared" si="8"/>
        <v xml:space="preserve">    - [1.384, 0.980, 0.014, 13.51, -0.0216]</v>
      </c>
    </row>
    <row r="148" spans="2:14">
      <c r="B148">
        <v>3</v>
      </c>
      <c r="C148">
        <v>1.367</v>
      </c>
      <c r="D148">
        <v>1.006</v>
      </c>
      <c r="E148">
        <v>1.7000000000000001E-2</v>
      </c>
      <c r="F148">
        <v>13.33</v>
      </c>
      <c r="G148">
        <v>-3.7699999999999997E-2</v>
      </c>
      <c r="H148">
        <v>3.4</v>
      </c>
      <c r="I148">
        <v>0.5</v>
      </c>
      <c r="J148">
        <v>1.3</v>
      </c>
      <c r="L148" t="str">
        <f t="shared" si="9"/>
        <v xml:space="preserve">    -  3.000</v>
      </c>
      <c r="N148" t="str">
        <f t="shared" si="8"/>
        <v xml:space="preserve">    - [1.367, 1.006, 0.017, 13.33, -0.0377]</v>
      </c>
    </row>
    <row r="149" spans="2:14">
      <c r="B149">
        <v>4</v>
      </c>
      <c r="C149">
        <v>1.337</v>
      </c>
      <c r="D149">
        <v>1.0089999999999999</v>
      </c>
      <c r="E149">
        <v>2.4E-2</v>
      </c>
      <c r="F149">
        <v>14.15</v>
      </c>
      <c r="G149">
        <v>-4.5499999999999999E-2</v>
      </c>
      <c r="H149">
        <v>3.7</v>
      </c>
      <c r="I149">
        <v>0.5</v>
      </c>
      <c r="J149">
        <v>1.46</v>
      </c>
      <c r="L149" t="str">
        <f t="shared" si="9"/>
        <v xml:space="preserve">    -  4.000</v>
      </c>
      <c r="N149" t="str">
        <f t="shared" si="8"/>
        <v xml:space="preserve">    - [1.337, 1.009, 0.024, 14.15, -0.0455]</v>
      </c>
    </row>
    <row r="150" spans="2:14">
      <c r="B150">
        <v>5</v>
      </c>
      <c r="C150">
        <v>1.36</v>
      </c>
      <c r="D150">
        <v>0.95699999999999996</v>
      </c>
      <c r="E150">
        <v>4.9000000000000002E-2</v>
      </c>
      <c r="F150">
        <v>14.04</v>
      </c>
      <c r="G150">
        <v>-6.83E-2</v>
      </c>
      <c r="H150">
        <v>5.4</v>
      </c>
      <c r="I150">
        <v>0.5</v>
      </c>
      <c r="J150">
        <v>2.12</v>
      </c>
      <c r="L150" t="str">
        <f t="shared" si="9"/>
        <v xml:space="preserve">    -  5.000</v>
      </c>
      <c r="N150" t="str">
        <f t="shared" si="8"/>
        <v xml:space="preserve">    - [1.360, 0.957, 0.049, 14.04, -0.0683]</v>
      </c>
    </row>
    <row r="151" spans="2:14">
      <c r="B151">
        <v>6</v>
      </c>
      <c r="C151">
        <v>1.363</v>
      </c>
      <c r="D151">
        <v>0.96499999999999997</v>
      </c>
      <c r="E151">
        <v>5.3999999999999999E-2</v>
      </c>
      <c r="F151">
        <v>14.21</v>
      </c>
      <c r="G151">
        <v>-7.1599999999999997E-2</v>
      </c>
      <c r="H151">
        <v>5.7</v>
      </c>
      <c r="I151">
        <v>0.5</v>
      </c>
      <c r="J151">
        <v>2.21</v>
      </c>
      <c r="L151" t="str">
        <f t="shared" si="9"/>
        <v xml:space="preserve">    -  6.000</v>
      </c>
      <c r="N151" t="str">
        <f t="shared" si="8"/>
        <v xml:space="preserve">    - [1.363, 0.965, 0.054, 14.21, -0.0716]</v>
      </c>
    </row>
    <row r="152" spans="2:14">
      <c r="B152">
        <v>8</v>
      </c>
      <c r="C152">
        <v>1.4410000000000001</v>
      </c>
      <c r="D152">
        <v>0.99399999999999999</v>
      </c>
      <c r="E152">
        <v>6.0999999999999999E-2</v>
      </c>
      <c r="F152">
        <v>14.18</v>
      </c>
      <c r="G152">
        <v>-0.08</v>
      </c>
      <c r="H152">
        <v>5.8</v>
      </c>
      <c r="I152">
        <v>0.5</v>
      </c>
      <c r="J152">
        <v>2.4500000000000002</v>
      </c>
      <c r="L152" t="str">
        <f t="shared" si="9"/>
        <v xml:space="preserve">    -  8.000</v>
      </c>
      <c r="N152" t="str">
        <f t="shared" si="8"/>
        <v xml:space="preserve">    - [1.441, 0.994, 0.061, 14.18, -0.0800]</v>
      </c>
    </row>
    <row r="153" spans="2:14">
      <c r="B153">
        <v>10</v>
      </c>
      <c r="C153">
        <v>1.464</v>
      </c>
      <c r="D153">
        <v>1.1479999999999999</v>
      </c>
      <c r="E153">
        <v>3.2000000000000001E-2</v>
      </c>
      <c r="F153">
        <v>14.08</v>
      </c>
      <c r="G153">
        <v>-5.5399999999999998E-2</v>
      </c>
      <c r="H153">
        <v>4.0999999999999996</v>
      </c>
      <c r="I153">
        <v>0.5</v>
      </c>
      <c r="J153">
        <v>1.73</v>
      </c>
      <c r="L153" t="str">
        <f t="shared" si="9"/>
        <v xml:space="preserve">    -  10.000</v>
      </c>
      <c r="N153" t="str">
        <f t="shared" si="8"/>
        <v xml:space="preserve">    - [1.464, 1.148, 0.032, 14.08, -0.0554]</v>
      </c>
    </row>
    <row r="154" spans="2:14">
      <c r="B154">
        <v>15</v>
      </c>
      <c r="C154">
        <v>1.573</v>
      </c>
      <c r="D154">
        <v>1.337</v>
      </c>
      <c r="E154">
        <v>1.6E-2</v>
      </c>
      <c r="F154">
        <v>13.54</v>
      </c>
      <c r="G154">
        <v>-4.6300000000000001E-2</v>
      </c>
      <c r="H154">
        <v>3.5</v>
      </c>
      <c r="I154">
        <v>0.5</v>
      </c>
      <c r="J154">
        <v>1.76</v>
      </c>
      <c r="L154" t="str">
        <f t="shared" si="9"/>
        <v xml:space="preserve">    -  15.000</v>
      </c>
      <c r="N154" t="str">
        <f t="shared" si="8"/>
        <v xml:space="preserve">    - [1.573, 1.337, 0.016, 13.54, -0.0463]</v>
      </c>
    </row>
    <row r="156" spans="2:14">
      <c r="C156" s="5" t="s">
        <v>56</v>
      </c>
    </row>
    <row r="157" spans="2:14">
      <c r="B157" t="s">
        <v>1</v>
      </c>
      <c r="C157" t="s">
        <v>11</v>
      </c>
      <c r="D157" t="s">
        <v>12</v>
      </c>
      <c r="E157" t="s">
        <v>13</v>
      </c>
      <c r="F157" t="s">
        <v>16</v>
      </c>
      <c r="G157" t="s">
        <v>14</v>
      </c>
      <c r="H157" t="s">
        <v>17</v>
      </c>
      <c r="I157" t="s">
        <v>18</v>
      </c>
      <c r="J157" t="s">
        <v>15</v>
      </c>
    </row>
    <row r="158" spans="2:14">
      <c r="B158" s="4">
        <v>0.03</v>
      </c>
      <c r="C158" s="4">
        <v>1.0049999999999999</v>
      </c>
      <c r="D158" s="4">
        <v>0.33600000000000002</v>
      </c>
      <c r="E158" s="4">
        <v>0.224</v>
      </c>
      <c r="F158" s="7">
        <v>25.06</v>
      </c>
      <c r="G158" s="6">
        <v>-0.2039</v>
      </c>
      <c r="H158">
        <v>0</v>
      </c>
      <c r="I158">
        <v>5</v>
      </c>
      <c r="J158">
        <v>0.02</v>
      </c>
      <c r="L158" t="str">
        <f>CONCATENATE("    -  ",TEXT(B158,"0.000"))</f>
        <v xml:space="preserve">    -  0.030</v>
      </c>
      <c r="N158" t="str">
        <f t="shared" ref="N158:N190" si="10">CONCATENATE("    - [",TEXT(C158,$N$2),", ",TEXT(D158,$N$2),", ",TEXT(E158,$N$2),", ",TEXT(F158,$O$2),", ",TEXT(G158,$P$2),"]")</f>
        <v xml:space="preserve">    - [1.005, 0.336, 0.224, 25.06, -0.2039]</v>
      </c>
    </row>
    <row r="159" spans="2:14">
      <c r="B159" s="4">
        <v>0.04</v>
      </c>
      <c r="C159" s="4">
        <v>1.01</v>
      </c>
      <c r="D159" s="4">
        <v>0.29599999999999999</v>
      </c>
      <c r="E159" s="4">
        <v>0.27200000000000002</v>
      </c>
      <c r="F159" s="7">
        <v>14.23</v>
      </c>
      <c r="G159" s="6">
        <v>-0.11990000000000001</v>
      </c>
      <c r="H159">
        <v>0.1</v>
      </c>
      <c r="I159">
        <v>2</v>
      </c>
      <c r="J159">
        <v>0.03</v>
      </c>
      <c r="L159" t="str">
        <f t="shared" ref="L159:L182" si="11">CONCATENATE("    -  ",TEXT(B159,"0.000"))</f>
        <v xml:space="preserve">    -  0.040</v>
      </c>
      <c r="N159" t="str">
        <f t="shared" si="10"/>
        <v xml:space="preserve">    - [1.010, 0.296, 0.272, 14.23, -0.1199]</v>
      </c>
    </row>
    <row r="160" spans="2:14">
      <c r="B160" s="4">
        <v>0.05</v>
      </c>
      <c r="C160" s="4">
        <v>1.016</v>
      </c>
      <c r="D160" s="4">
        <v>0.313</v>
      </c>
      <c r="E160" s="4">
        <v>0.245</v>
      </c>
      <c r="F160" s="7">
        <v>13.51</v>
      </c>
      <c r="G160" s="6">
        <f>-0.0593</f>
        <v>-5.9299999999999999E-2</v>
      </c>
      <c r="H160">
        <v>0.1</v>
      </c>
      <c r="I160">
        <v>10</v>
      </c>
      <c r="J160">
        <v>0.03</v>
      </c>
      <c r="L160" t="str">
        <f t="shared" si="11"/>
        <v xml:space="preserve">    -  0.050</v>
      </c>
      <c r="N160" t="str">
        <f t="shared" si="10"/>
        <v xml:space="preserve">    - [1.016, 0.313, 0.245, 13.51, -0.0593]</v>
      </c>
    </row>
    <row r="161" spans="2:14">
      <c r="B161" s="4">
        <v>0.06</v>
      </c>
      <c r="C161" s="4">
        <v>1.022</v>
      </c>
      <c r="D161" s="4">
        <v>0.33600000000000002</v>
      </c>
      <c r="E161" s="4">
        <v>0.24399999999999999</v>
      </c>
      <c r="F161" s="7">
        <v>14.48</v>
      </c>
      <c r="G161" s="6">
        <f>-0.1157</f>
        <v>-0.1157</v>
      </c>
      <c r="H161">
        <v>0.1</v>
      </c>
      <c r="I161">
        <v>2</v>
      </c>
      <c r="J161">
        <v>0.04</v>
      </c>
      <c r="L161" t="str">
        <f t="shared" si="11"/>
        <v xml:space="preserve">    -  0.060</v>
      </c>
      <c r="N161" t="str">
        <f t="shared" si="10"/>
        <v xml:space="preserve">    - [1.022, 0.336, 0.244, 14.48, -0.1157]</v>
      </c>
    </row>
    <row r="162" spans="2:14">
      <c r="B162" s="4">
        <v>0.08</v>
      </c>
      <c r="C162" s="4">
        <v>1.0389999999999999</v>
      </c>
      <c r="D162" s="4">
        <v>0.35699999999999998</v>
      </c>
      <c r="E162" s="4">
        <v>0.23599999999999999</v>
      </c>
      <c r="F162" s="7">
        <v>13.57</v>
      </c>
      <c r="G162" s="6">
        <f>-0.1154</f>
        <v>-0.1154</v>
      </c>
      <c r="H162">
        <v>0.2</v>
      </c>
      <c r="I162">
        <v>0.5</v>
      </c>
      <c r="J162">
        <v>0.09</v>
      </c>
      <c r="L162" t="str">
        <f t="shared" si="11"/>
        <v xml:space="preserve">    -  0.080</v>
      </c>
      <c r="N162" t="str">
        <f t="shared" si="10"/>
        <v xml:space="preserve">    - [1.039, 0.357, 0.236, 13.57, -0.1154]</v>
      </c>
    </row>
    <row r="163" spans="2:14">
      <c r="B163" s="4">
        <v>0.1</v>
      </c>
      <c r="C163" s="4">
        <v>1.0569999999999999</v>
      </c>
      <c r="D163" s="4">
        <v>0.39</v>
      </c>
      <c r="E163" s="4">
        <v>0.217</v>
      </c>
      <c r="F163" s="7">
        <v>13.75</v>
      </c>
      <c r="G163" s="6">
        <v>-0.1096</v>
      </c>
      <c r="H163">
        <v>0.2</v>
      </c>
      <c r="I163">
        <v>3</v>
      </c>
      <c r="J163">
        <v>0.13</v>
      </c>
      <c r="L163" t="str">
        <f t="shared" si="11"/>
        <v xml:space="preserve">    -  0.100</v>
      </c>
      <c r="N163" t="str">
        <f t="shared" si="10"/>
        <v xml:space="preserve">    - [1.057, 0.390, 0.217, 13.75, -0.1096]</v>
      </c>
    </row>
    <row r="164" spans="2:14">
      <c r="B164" s="4">
        <v>0.115</v>
      </c>
      <c r="C164" s="4">
        <v>1.071</v>
      </c>
      <c r="D164" s="4">
        <v>0.435</v>
      </c>
      <c r="E164" s="4">
        <v>0.19400000000000001</v>
      </c>
      <c r="F164" s="7">
        <v>14.51</v>
      </c>
      <c r="G164" s="6">
        <v>-9.9599999999999994E-2</v>
      </c>
      <c r="H164">
        <v>0.3</v>
      </c>
      <c r="I164">
        <v>0.5</v>
      </c>
      <c r="J164">
        <v>0.14000000000000001</v>
      </c>
      <c r="L164" t="str">
        <f t="shared" si="11"/>
        <v xml:space="preserve">    -  0.115</v>
      </c>
      <c r="N164" t="str">
        <f t="shared" si="10"/>
        <v xml:space="preserve">    - [1.071, 0.435, 0.194, 14.51, -0.0996]</v>
      </c>
    </row>
    <row r="165" spans="2:14">
      <c r="B165" s="4">
        <v>0.11600000000000001</v>
      </c>
      <c r="C165" s="4">
        <v>2.0699999999999998</v>
      </c>
      <c r="D165" s="4">
        <v>1.63</v>
      </c>
      <c r="E165" s="4">
        <v>5.0999999999999997E-2</v>
      </c>
      <c r="F165" s="7">
        <v>14.52</v>
      </c>
      <c r="G165" s="6">
        <v>-4.1200000000000001E-2</v>
      </c>
      <c r="H165">
        <v>10.1</v>
      </c>
      <c r="I165">
        <v>3</v>
      </c>
      <c r="J165">
        <v>5.12</v>
      </c>
      <c r="L165" t="str">
        <f t="shared" si="11"/>
        <v xml:space="preserve">    -  0.116</v>
      </c>
      <c r="N165" t="str">
        <f t="shared" si="10"/>
        <v xml:space="preserve">    - [2.070, 1.630, 0.051, 14.52, -0.0412]</v>
      </c>
    </row>
    <row r="166" spans="2:14">
      <c r="B166" s="4">
        <v>0.12</v>
      </c>
      <c r="C166" s="4">
        <v>1.921</v>
      </c>
      <c r="D166" s="4">
        <v>1.623</v>
      </c>
      <c r="E166" s="4">
        <v>0.05</v>
      </c>
      <c r="F166" s="7">
        <v>29.71</v>
      </c>
      <c r="G166" s="6">
        <v>-0.1023</v>
      </c>
      <c r="H166">
        <v>7.4</v>
      </c>
      <c r="I166">
        <v>20</v>
      </c>
      <c r="J166">
        <v>4.41</v>
      </c>
      <c r="L166" t="str">
        <f t="shared" si="11"/>
        <v xml:space="preserve">    -  0.120</v>
      </c>
      <c r="N166" t="str">
        <f t="shared" si="10"/>
        <v xml:space="preserve">    - [1.921, 1.623, 0.050, 29.71, -0.1023]</v>
      </c>
    </row>
    <row r="167" spans="2:14">
      <c r="B167" s="4">
        <v>0.13</v>
      </c>
      <c r="C167" s="4">
        <v>1.917</v>
      </c>
      <c r="D167" s="4">
        <v>1.3149999999999999</v>
      </c>
      <c r="E167" s="4">
        <v>9.2999999999999999E-2</v>
      </c>
      <c r="F167" s="7">
        <v>15.12</v>
      </c>
      <c r="G167" s="6">
        <v>-7.1099999999999997E-2</v>
      </c>
      <c r="H167">
        <v>9.6999999999999993</v>
      </c>
      <c r="I167">
        <v>3</v>
      </c>
      <c r="J167">
        <v>4.3499999999999996</v>
      </c>
      <c r="L167" t="str">
        <f t="shared" si="11"/>
        <v xml:space="preserve">    -  0.130</v>
      </c>
      <c r="N167" t="str">
        <f t="shared" si="10"/>
        <v xml:space="preserve">    - [1.917, 1.315, 0.093, 15.12, -0.0711]</v>
      </c>
    </row>
    <row r="168" spans="2:14">
      <c r="B168" s="4">
        <v>0.14000000000000001</v>
      </c>
      <c r="C168" s="4">
        <v>1.734</v>
      </c>
      <c r="D168" s="4">
        <v>1.1539999999999999</v>
      </c>
      <c r="E168" s="4">
        <v>0.10299999999999999</v>
      </c>
      <c r="F168" s="7">
        <v>16.309999999999999</v>
      </c>
      <c r="G168" s="6">
        <v>-8.14E-2</v>
      </c>
      <c r="H168">
        <v>5.0999999999999996</v>
      </c>
      <c r="I168">
        <v>4</v>
      </c>
      <c r="J168">
        <v>2.79</v>
      </c>
      <c r="L168" t="str">
        <f t="shared" si="11"/>
        <v xml:space="preserve">    -  0.140</v>
      </c>
      <c r="N168" t="str">
        <f t="shared" si="10"/>
        <v xml:space="preserve">    - [1.734, 1.154, 0.103, 16.31, -0.0814]</v>
      </c>
    </row>
    <row r="169" spans="2:14">
      <c r="B169" s="4">
        <v>0.15</v>
      </c>
      <c r="C169" s="4">
        <v>1.595</v>
      </c>
      <c r="D169" s="4">
        <v>1.03</v>
      </c>
      <c r="E169" s="4">
        <v>0.122</v>
      </c>
      <c r="F169" s="7">
        <v>16.02</v>
      </c>
      <c r="G169" s="6">
        <v>-9.9599999999999994E-2</v>
      </c>
      <c r="H169">
        <v>4</v>
      </c>
      <c r="I169">
        <v>1</v>
      </c>
      <c r="J169">
        <v>2</v>
      </c>
      <c r="L169" t="str">
        <f t="shared" si="11"/>
        <v xml:space="preserve">    -  0.150</v>
      </c>
      <c r="N169" t="str">
        <f t="shared" si="10"/>
        <v xml:space="preserve">    - [1.595, 1.030, 0.122, 16.02, -0.0996]</v>
      </c>
    </row>
    <row r="170" spans="2:14">
      <c r="B170" s="4">
        <v>0.16</v>
      </c>
      <c r="C170" s="4">
        <v>1.5289999999999999</v>
      </c>
      <c r="D170" s="4">
        <v>0.52600000000000002</v>
      </c>
      <c r="E170" s="4">
        <v>0.16400000000000001</v>
      </c>
      <c r="F170" s="7">
        <v>15.64</v>
      </c>
      <c r="G170" s="6">
        <v>-0.14050000000000001</v>
      </c>
      <c r="H170">
        <v>2.9</v>
      </c>
      <c r="I170">
        <v>1</v>
      </c>
      <c r="J170">
        <v>1.65</v>
      </c>
      <c r="L170" t="str">
        <f t="shared" si="11"/>
        <v xml:space="preserve">    -  0.160</v>
      </c>
      <c r="N170" t="str">
        <f t="shared" si="10"/>
        <v xml:space="preserve">    - [1.529, 0.526, 0.164, 15.64, -0.1405]</v>
      </c>
    </row>
    <row r="171" spans="2:14">
      <c r="B171" s="4">
        <v>0.17</v>
      </c>
      <c r="C171" s="4">
        <v>1.4610000000000001</v>
      </c>
      <c r="D171" s="4">
        <v>0.64900000000000002</v>
      </c>
      <c r="E171" s="4">
        <v>0.20899999999999999</v>
      </c>
      <c r="F171" s="7">
        <v>15.75</v>
      </c>
      <c r="G171" s="6">
        <v>-0.1759</v>
      </c>
      <c r="H171">
        <v>2.2999999999999998</v>
      </c>
      <c r="I171">
        <v>35</v>
      </c>
      <c r="J171">
        <v>1.54</v>
      </c>
      <c r="L171" t="str">
        <f t="shared" si="11"/>
        <v xml:space="preserve">    -  0.170</v>
      </c>
      <c r="N171" t="str">
        <f t="shared" si="10"/>
        <v xml:space="preserve">    - [1.461, 0.649, 0.209, 15.75, -0.1759]</v>
      </c>
    </row>
    <row r="172" spans="2:14">
      <c r="B172" s="4">
        <v>0.15</v>
      </c>
      <c r="C172" s="4">
        <v>1.423</v>
      </c>
      <c r="D172" s="4">
        <v>0.47</v>
      </c>
      <c r="E172" s="4">
        <v>0.26900000000000002</v>
      </c>
      <c r="F172" s="7">
        <v>16.52</v>
      </c>
      <c r="G172" s="6">
        <v>-0.20039999999999999</v>
      </c>
      <c r="H172">
        <v>1.4</v>
      </c>
      <c r="I172">
        <v>35</v>
      </c>
      <c r="J172">
        <v>0.55000000000000004</v>
      </c>
      <c r="L172" t="str">
        <f t="shared" si="11"/>
        <v xml:space="preserve">    -  0.150</v>
      </c>
      <c r="N172" t="str">
        <f t="shared" si="10"/>
        <v xml:space="preserve">    - [1.423, 0.470, 0.269, 16.52, -0.2004]</v>
      </c>
    </row>
    <row r="173" spans="2:14">
      <c r="B173" s="4">
        <v>0.19</v>
      </c>
      <c r="C173" s="4">
        <v>1.377</v>
      </c>
      <c r="D173" s="4">
        <v>0.374</v>
      </c>
      <c r="E173" s="4">
        <v>0.26700000000000002</v>
      </c>
      <c r="F173" s="7">
        <v>15.15</v>
      </c>
      <c r="G173" s="6">
        <v>-6.3899999999999998E-2</v>
      </c>
      <c r="H173">
        <v>1.1000000000000001</v>
      </c>
      <c r="I173">
        <v>0.5</v>
      </c>
      <c r="J173">
        <v>0.52</v>
      </c>
      <c r="L173" t="str">
        <f t="shared" si="11"/>
        <v xml:space="preserve">    -  0.190</v>
      </c>
      <c r="N173" t="str">
        <f t="shared" si="10"/>
        <v xml:space="preserve">    - [1.377, 0.374, 0.267, 15.15, -0.0639]</v>
      </c>
    </row>
    <row r="174" spans="2:14">
      <c r="B174" s="4">
        <v>0.2</v>
      </c>
      <c r="C174" s="4">
        <v>1.3240000000000001</v>
      </c>
      <c r="D174" s="4">
        <v>0.36599999999999999</v>
      </c>
      <c r="E174" s="4">
        <v>0.16700000000000001</v>
      </c>
      <c r="F174" s="7">
        <v>13.25</v>
      </c>
      <c r="G174" s="6">
        <v>-6.5500000000000003E-2</v>
      </c>
      <c r="H174">
        <v>0.2</v>
      </c>
      <c r="I174">
        <v>3</v>
      </c>
      <c r="J174">
        <v>0.11</v>
      </c>
      <c r="L174" t="str">
        <f t="shared" si="11"/>
        <v xml:space="preserve">    -  0.200</v>
      </c>
      <c r="N174" t="str">
        <f t="shared" si="10"/>
        <v xml:space="preserve">    - [1.324, 0.366, 0.167, 13.25, -0.0655]</v>
      </c>
    </row>
    <row r="175" spans="2:14">
      <c r="B175" s="4">
        <v>0.25</v>
      </c>
      <c r="C175" s="4">
        <v>1.206</v>
      </c>
      <c r="D175" s="4">
        <v>0.191</v>
      </c>
      <c r="E175" s="4">
        <v>0.375</v>
      </c>
      <c r="F175" s="7">
        <v>14.46</v>
      </c>
      <c r="G175" s="6">
        <v>-0.16389999999999999</v>
      </c>
      <c r="H175">
        <v>0.3</v>
      </c>
      <c r="I175">
        <v>35</v>
      </c>
      <c r="J175">
        <v>0.17</v>
      </c>
      <c r="L175" t="str">
        <f t="shared" si="11"/>
        <v xml:space="preserve">    -  0.250</v>
      </c>
      <c r="N175" t="str">
        <f t="shared" si="10"/>
        <v xml:space="preserve">    - [1.206, 0.191, 0.375, 14.46, -0.1639]</v>
      </c>
    </row>
    <row r="176" spans="2:14">
      <c r="B176" s="4">
        <v>0.3</v>
      </c>
      <c r="C176" s="4">
        <v>1.1599999999999999</v>
      </c>
      <c r="D176" s="4">
        <v>0.254</v>
      </c>
      <c r="E176" s="4">
        <v>0.30399999999999999</v>
      </c>
      <c r="F176" s="7">
        <v>13.25</v>
      </c>
      <c r="G176" s="6">
        <v>-0.1643</v>
      </c>
      <c r="H176">
        <v>0.5</v>
      </c>
      <c r="I176">
        <v>0.5</v>
      </c>
      <c r="J176">
        <v>0.42</v>
      </c>
      <c r="L176" t="str">
        <f t="shared" si="11"/>
        <v xml:space="preserve">    -  0.300</v>
      </c>
      <c r="N176" t="str">
        <f t="shared" si="10"/>
        <v xml:space="preserve">    - [1.160, 0.254, 0.304, 13.25, -0.1643]</v>
      </c>
    </row>
    <row r="177" spans="2:14">
      <c r="B177" s="4">
        <v>0.4</v>
      </c>
      <c r="C177" s="4">
        <v>1.157</v>
      </c>
      <c r="D177" s="4">
        <v>0.49</v>
      </c>
      <c r="E177" s="4">
        <v>0.17100000000000001</v>
      </c>
      <c r="F177" s="7">
        <v>13.96</v>
      </c>
      <c r="G177" s="6">
        <v>-9.11E-2</v>
      </c>
      <c r="H177">
        <v>0.9</v>
      </c>
      <c r="I177">
        <v>0.5</v>
      </c>
      <c r="J177">
        <v>0.42</v>
      </c>
      <c r="L177" t="str">
        <f t="shared" si="11"/>
        <v xml:space="preserve">    -  0.400</v>
      </c>
      <c r="N177" t="str">
        <f t="shared" si="10"/>
        <v xml:space="preserve">    - [1.157, 0.490, 0.171, 13.96, -0.0911]</v>
      </c>
    </row>
    <row r="178" spans="2:14">
      <c r="B178" s="4">
        <v>0.5</v>
      </c>
      <c r="C178" s="4">
        <v>1.155</v>
      </c>
      <c r="D178" s="4">
        <v>0.57699999999999996</v>
      </c>
      <c r="E178" s="4">
        <v>0.13100000000000001</v>
      </c>
      <c r="F178" s="7">
        <v>14.05</v>
      </c>
      <c r="G178" s="6">
        <v>-6.5199999999999994E-2</v>
      </c>
      <c r="H178">
        <v>0.7</v>
      </c>
      <c r="I178">
        <v>0.5</v>
      </c>
      <c r="J178">
        <v>0.39</v>
      </c>
      <c r="L178" t="str">
        <f t="shared" si="11"/>
        <v xml:space="preserve">    -  0.500</v>
      </c>
      <c r="N178" t="str">
        <f t="shared" si="10"/>
        <v xml:space="preserve">    - [1.155, 0.577, 0.131, 14.05, -0.0652]</v>
      </c>
    </row>
    <row r="179" spans="2:14">
      <c r="B179" s="4">
        <v>0.6</v>
      </c>
      <c r="C179" s="4">
        <v>1.2070000000000001</v>
      </c>
      <c r="D179" s="4">
        <v>0.64300000000000002</v>
      </c>
      <c r="E179" s="4">
        <v>0.10100000000000001</v>
      </c>
      <c r="F179" s="7">
        <v>13.5</v>
      </c>
      <c r="G179" s="6">
        <v>-4.7300000000000002E-2</v>
      </c>
      <c r="H179">
        <v>0.6</v>
      </c>
      <c r="I179">
        <v>1</v>
      </c>
      <c r="J179">
        <v>0.33</v>
      </c>
      <c r="L179" t="str">
        <f t="shared" si="11"/>
        <v xml:space="preserve">    -  0.600</v>
      </c>
      <c r="N179" t="str">
        <f t="shared" si="10"/>
        <v xml:space="preserve">    - [1.207, 0.643, 0.101, 13.50, -0.0473]</v>
      </c>
    </row>
    <row r="180" spans="2:14">
      <c r="B180" s="4">
        <v>0.5</v>
      </c>
      <c r="C180" s="4">
        <v>1.2609999999999999</v>
      </c>
      <c r="D180" s="4">
        <v>0.105</v>
      </c>
      <c r="E180" s="4">
        <v>0.08</v>
      </c>
      <c r="F180" s="7">
        <v>13.59</v>
      </c>
      <c r="G180" s="6">
        <v>-3.6200000000000003E-2</v>
      </c>
      <c r="H180">
        <v>0.7</v>
      </c>
      <c r="I180">
        <v>1</v>
      </c>
      <c r="J180">
        <v>0.35</v>
      </c>
      <c r="L180" t="str">
        <f t="shared" si="11"/>
        <v xml:space="preserve">    -  0.500</v>
      </c>
      <c r="N180" t="str">
        <f t="shared" si="10"/>
        <v xml:space="preserve">    - [1.261, 0.105, 0.080, 13.59, -0.0362]</v>
      </c>
    </row>
    <row r="181" spans="2:14">
      <c r="B181" s="4">
        <v>1</v>
      </c>
      <c r="C181" s="4">
        <v>1.2949999999999999</v>
      </c>
      <c r="D181" s="4">
        <v>0.754</v>
      </c>
      <c r="E181" s="4">
        <v>6.6000000000000003E-2</v>
      </c>
      <c r="F181" s="7">
        <v>13.69</v>
      </c>
      <c r="G181" s="6">
        <v>-3.2500000000000001E-2</v>
      </c>
      <c r="H181">
        <v>0.7</v>
      </c>
      <c r="I181">
        <v>1</v>
      </c>
      <c r="J181">
        <v>0.4</v>
      </c>
      <c r="L181" t="str">
        <f t="shared" si="11"/>
        <v xml:space="preserve">    -  1.000</v>
      </c>
      <c r="N181" t="str">
        <f t="shared" si="10"/>
        <v xml:space="preserve">    - [1.295, 0.754, 0.066, 13.69, -0.0325]</v>
      </c>
    </row>
    <row r="182" spans="2:14">
      <c r="B182" s="4">
        <v>1.5</v>
      </c>
      <c r="C182" s="4">
        <v>1.32</v>
      </c>
      <c r="D182" s="4">
        <v>0.57299999999999995</v>
      </c>
      <c r="E182" s="4">
        <v>3.5000000000000003E-2</v>
      </c>
      <c r="F182" s="7">
        <v>14.75</v>
      </c>
      <c r="G182" s="6">
        <v>-2.52E-2</v>
      </c>
      <c r="H182">
        <v>0.6</v>
      </c>
      <c r="I182">
        <v>10</v>
      </c>
      <c r="J182">
        <v>0.35</v>
      </c>
      <c r="L182" t="str">
        <f t="shared" si="11"/>
        <v xml:space="preserve">    -  1.500</v>
      </c>
      <c r="N182" t="str">
        <f t="shared" si="10"/>
        <v xml:space="preserve">    - [1.320, 0.573, 0.035, 14.75, -0.0252]</v>
      </c>
    </row>
    <row r="183" spans="2:14">
      <c r="B183" s="4">
        <v>2</v>
      </c>
      <c r="C183" s="4">
        <v>1.335</v>
      </c>
      <c r="D183" s="4">
        <v>0.92300000000000004</v>
      </c>
      <c r="E183" s="4">
        <v>2.5000000000000001E-2</v>
      </c>
      <c r="F183" s="7">
        <v>13.56</v>
      </c>
      <c r="G183" s="6">
        <v>-2.7400000000000001E-2</v>
      </c>
      <c r="H183">
        <v>1.6</v>
      </c>
      <c r="I183">
        <v>0.5</v>
      </c>
      <c r="J183">
        <v>0.69</v>
      </c>
      <c r="L183" t="str">
        <f>CONCATENATE("    -  ",TEXT(B183,"0.000"))</f>
        <v xml:space="preserve">    -  2.000</v>
      </c>
      <c r="N183" t="str">
        <f t="shared" si="10"/>
        <v xml:space="preserve">    - [1.335, 0.923, 0.025, 13.56, -0.0274]</v>
      </c>
    </row>
    <row r="184" spans="2:14">
      <c r="B184" s="4">
        <v>3</v>
      </c>
      <c r="C184" s="4">
        <v>1.3260000000000001</v>
      </c>
      <c r="D184" s="4">
        <v>0.96499999999999997</v>
      </c>
      <c r="E184" s="4">
        <v>2.4E-2</v>
      </c>
      <c r="F184" s="7">
        <v>13.45</v>
      </c>
      <c r="G184" s="6">
        <v>-3.7199999999999997E-2</v>
      </c>
      <c r="H184">
        <v>3.2</v>
      </c>
      <c r="I184">
        <v>0.5</v>
      </c>
      <c r="J184">
        <v>1.17</v>
      </c>
      <c r="L184" t="str">
        <f t="shared" ref="L184:L190" si="12">CONCATENATE("    -  ",TEXT(B184,"0.000"))</f>
        <v xml:space="preserve">    -  3.000</v>
      </c>
      <c r="N184" t="str">
        <f t="shared" si="10"/>
        <v xml:space="preserve">    - [1.326, 0.965, 0.024, 13.45, -0.0372]</v>
      </c>
    </row>
    <row r="185" spans="2:14">
      <c r="B185" s="4">
        <v>4</v>
      </c>
      <c r="C185" s="4">
        <v>1.2989999999999999</v>
      </c>
      <c r="D185" s="4">
        <v>0.95399999999999996</v>
      </c>
      <c r="E185" s="4">
        <v>2.7E-2</v>
      </c>
      <c r="F185" s="7">
        <v>13.84</v>
      </c>
      <c r="G185" s="6">
        <v>-4.1500000000000002E-2</v>
      </c>
      <c r="H185">
        <v>3.5</v>
      </c>
      <c r="I185">
        <v>0.5</v>
      </c>
      <c r="J185">
        <v>1.25</v>
      </c>
      <c r="L185" t="str">
        <f t="shared" si="12"/>
        <v xml:space="preserve">    -  4.000</v>
      </c>
      <c r="N185" t="str">
        <f t="shared" si="10"/>
        <v xml:space="preserve">    - [1.299, 0.954, 0.027, 13.84, -0.0415]</v>
      </c>
    </row>
    <row r="186" spans="2:14">
      <c r="B186" s="4">
        <v>5</v>
      </c>
      <c r="C186" s="4">
        <v>1.327</v>
      </c>
      <c r="D186" s="4">
        <v>0.93200000000000005</v>
      </c>
      <c r="E186" s="4">
        <v>5.1999999999999998E-2</v>
      </c>
      <c r="F186" s="7">
        <v>14.08</v>
      </c>
      <c r="G186" s="6">
        <v>-6.3500000000000001E-2</v>
      </c>
      <c r="H186">
        <v>5.0999999999999996</v>
      </c>
      <c r="I186">
        <v>0.5</v>
      </c>
      <c r="J186">
        <v>1.9</v>
      </c>
      <c r="L186" t="str">
        <f t="shared" si="12"/>
        <v xml:space="preserve">    -  5.000</v>
      </c>
      <c r="N186" t="str">
        <f t="shared" si="10"/>
        <v xml:space="preserve">    - [1.327, 0.932, 0.052, 14.08, -0.0635]</v>
      </c>
    </row>
    <row r="187" spans="2:14">
      <c r="B187" s="4">
        <v>6</v>
      </c>
      <c r="C187" s="4">
        <v>1.339</v>
      </c>
      <c r="D187" s="4">
        <v>0.93500000000000005</v>
      </c>
      <c r="E187" s="4">
        <v>5.5E-2</v>
      </c>
      <c r="F187" s="7">
        <v>14.53</v>
      </c>
      <c r="G187" s="6">
        <v>-6.7599999999999993E-2</v>
      </c>
      <c r="H187">
        <v>5.0999999999999996</v>
      </c>
      <c r="I187">
        <v>0.5</v>
      </c>
      <c r="J187">
        <v>1.95</v>
      </c>
      <c r="L187" t="str">
        <f t="shared" si="12"/>
        <v xml:space="preserve">    -  6.000</v>
      </c>
      <c r="N187" t="str">
        <f t="shared" si="10"/>
        <v xml:space="preserve">    - [1.339, 0.935, 0.055, 14.53, -0.0676]</v>
      </c>
    </row>
    <row r="188" spans="2:14">
      <c r="B188" s="4">
        <v>5</v>
      </c>
      <c r="C188" s="4">
        <v>1.4219999999999999</v>
      </c>
      <c r="D188" s="4">
        <v>0.97299999999999998</v>
      </c>
      <c r="E188" s="4">
        <v>6.3E-2</v>
      </c>
      <c r="F188" s="7">
        <v>14.26</v>
      </c>
      <c r="G188" s="6">
        <v>-7.6100000000000001E-2</v>
      </c>
      <c r="H188">
        <v>5.3</v>
      </c>
      <c r="I188">
        <v>0.5</v>
      </c>
      <c r="J188">
        <v>2.19</v>
      </c>
      <c r="L188" t="str">
        <f t="shared" si="12"/>
        <v xml:space="preserve">    -  5.000</v>
      </c>
      <c r="N188" t="str">
        <f t="shared" si="10"/>
        <v xml:space="preserve">    - [1.422, 0.973, 0.063, 14.26, -0.0761]</v>
      </c>
    </row>
    <row r="189" spans="2:14">
      <c r="B189" s="4">
        <v>10</v>
      </c>
      <c r="C189" s="4">
        <v>1.4510000000000001</v>
      </c>
      <c r="D189" s="4">
        <v>1.133</v>
      </c>
      <c r="E189" s="4">
        <v>3.2000000000000001E-2</v>
      </c>
      <c r="F189" s="7">
        <v>14.31</v>
      </c>
      <c r="G189" s="6">
        <f>-0.0502</f>
        <v>-5.0200000000000002E-2</v>
      </c>
      <c r="H189">
        <v>3.7</v>
      </c>
      <c r="I189">
        <v>0.5</v>
      </c>
      <c r="J189">
        <v>1.49</v>
      </c>
      <c r="L189" t="str">
        <f t="shared" si="12"/>
        <v xml:space="preserve">    -  10.000</v>
      </c>
      <c r="N189" t="str">
        <f t="shared" si="10"/>
        <v xml:space="preserve">    - [1.451, 1.133, 0.032, 14.31, -0.0502]</v>
      </c>
    </row>
    <row r="190" spans="2:14">
      <c r="B190" s="4">
        <v>15</v>
      </c>
      <c r="C190" s="4">
        <v>1.5569999999999999</v>
      </c>
      <c r="D190" s="4">
        <v>1.3280000000000001</v>
      </c>
      <c r="E190" s="4">
        <v>1.4999999999999999E-2</v>
      </c>
      <c r="F190" s="7">
        <v>13.75</v>
      </c>
      <c r="G190" s="6">
        <v>-4.0500000000000001E-2</v>
      </c>
      <c r="H190">
        <v>3.6</v>
      </c>
      <c r="I190">
        <v>0.5</v>
      </c>
      <c r="J190">
        <v>1.57</v>
      </c>
      <c r="L190" t="str">
        <f t="shared" si="12"/>
        <v xml:space="preserve">    -  15.000</v>
      </c>
      <c r="N190" t="str">
        <f t="shared" si="10"/>
        <v xml:space="preserve">    - [1.557, 1.328, 0.015, 13.75, -0.0405]</v>
      </c>
    </row>
    <row r="192" spans="2:14">
      <c r="C192" s="5" t="s">
        <v>57</v>
      </c>
    </row>
    <row r="193" spans="2:16">
      <c r="B193" t="s">
        <v>1</v>
      </c>
      <c r="C193" t="s">
        <v>11</v>
      </c>
      <c r="D193" t="s">
        <v>12</v>
      </c>
      <c r="E193" t="s">
        <v>13</v>
      </c>
      <c r="F193" t="s">
        <v>16</v>
      </c>
      <c r="G193" t="s">
        <v>14</v>
      </c>
      <c r="H193" t="s">
        <v>17</v>
      </c>
      <c r="I193" t="s">
        <v>18</v>
      </c>
      <c r="J193" t="s">
        <v>15</v>
      </c>
      <c r="O193" s="8"/>
      <c r="P193" s="8"/>
    </row>
    <row r="194" spans="2:16">
      <c r="B194" s="4">
        <v>1.4999999999999999E-2</v>
      </c>
      <c r="C194" s="4">
        <v>1.1819999999999999</v>
      </c>
      <c r="D194" s="4">
        <v>0.46300000000000002</v>
      </c>
      <c r="E194" s="4">
        <v>0.17499999999999999</v>
      </c>
      <c r="F194" s="7">
        <v>14.23</v>
      </c>
      <c r="G194" s="6">
        <v>-9.0800000000000006E-2</v>
      </c>
      <c r="H194" s="2">
        <v>1.6899999999999998E-2</v>
      </c>
      <c r="I194">
        <v>0.5</v>
      </c>
      <c r="J194" s="2">
        <v>6.3400000000000001E-3</v>
      </c>
      <c r="L194" t="str">
        <f>CONCATENATE("    -  ",TEXT(B194,"0.000"))</f>
        <v xml:space="preserve">    -  0.015</v>
      </c>
      <c r="N194" t="str">
        <f t="shared" ref="N194:N218" si="13">CONCATENATE("    - [",TEXT(C194,$N$2),", ",TEXT(D194,$N$2),", ",TEXT(E194,$N$2),", ",TEXT(F194,$O$2),", ",TEXT(G194,$P$2),"]")</f>
        <v xml:space="preserve">    - [1.182, 0.463, 0.175, 14.23, -0.0908]</v>
      </c>
    </row>
    <row r="195" spans="2:16">
      <c r="B195" s="4">
        <v>0.02</v>
      </c>
      <c r="C195" s="4">
        <v>1.427</v>
      </c>
      <c r="D195" s="4">
        <v>0.54900000000000004</v>
      </c>
      <c r="E195" s="4">
        <v>0.14299999999999999</v>
      </c>
      <c r="F195" s="7">
        <v>14.86</v>
      </c>
      <c r="G195" s="6">
        <v>-7.0699999999999999E-2</v>
      </c>
      <c r="H195" s="2">
        <v>2.3099999999999999E-2</v>
      </c>
      <c r="I195">
        <v>0.5</v>
      </c>
      <c r="J195" s="2">
        <v>7.7999999999999996E-3</v>
      </c>
      <c r="L195" t="str">
        <f t="shared" ref="L195:L218" si="14">CONCATENATE("    -  ",TEXT(B195,"0.000"))</f>
        <v xml:space="preserve">    -  0.020</v>
      </c>
      <c r="N195" t="str">
        <f t="shared" si="13"/>
        <v xml:space="preserve">    - [1.427, 0.549, 0.143, 14.86, -0.0707]</v>
      </c>
    </row>
    <row r="196" spans="2:16">
      <c r="B196" s="4">
        <v>0.03</v>
      </c>
      <c r="C196" s="4">
        <v>2.335</v>
      </c>
      <c r="D196" s="4">
        <v>0.73599999999999999</v>
      </c>
      <c r="E196" s="4">
        <v>8.6999999999999994E-2</v>
      </c>
      <c r="F196" s="7">
        <v>13.28</v>
      </c>
      <c r="G196" s="6">
        <v>-4.19E-2</v>
      </c>
      <c r="H196" s="2">
        <v>2.3400000000000001E-2</v>
      </c>
      <c r="I196">
        <v>0.5</v>
      </c>
      <c r="J196" s="2">
        <v>1.18E-2</v>
      </c>
      <c r="L196" t="str">
        <f t="shared" si="14"/>
        <v xml:space="preserve">    -  0.030</v>
      </c>
      <c r="N196" t="str">
        <f t="shared" si="13"/>
        <v xml:space="preserve">    - [2.335, 0.736, 0.087, 13.28, -0.0419]</v>
      </c>
    </row>
    <row r="197" spans="2:16">
      <c r="B197" s="4">
        <v>0.04</v>
      </c>
      <c r="C197" s="4">
        <v>3.4769999999999999</v>
      </c>
      <c r="D197" s="4">
        <v>1.117</v>
      </c>
      <c r="E197" s="4">
        <v>-1.9E-2</v>
      </c>
      <c r="F197" s="7">
        <v>11.67</v>
      </c>
      <c r="G197" s="6">
        <v>2.5999999999999999E-3</v>
      </c>
      <c r="H197" s="2">
        <v>8.8999999999999999E-3</v>
      </c>
      <c r="I197">
        <v>0.5</v>
      </c>
      <c r="J197" s="2">
        <v>2.98E-3</v>
      </c>
      <c r="L197" t="str">
        <f t="shared" si="14"/>
        <v xml:space="preserve">    -  0.040</v>
      </c>
      <c r="N197" t="str">
        <f t="shared" si="13"/>
        <v xml:space="preserve">    - [3.477, 1.117, -0.019, 11.67, 0.0026]</v>
      </c>
    </row>
    <row r="198" spans="2:16">
      <c r="B198" s="4">
        <v>0.05</v>
      </c>
      <c r="C198" s="4">
        <v>4.4610000000000003</v>
      </c>
      <c r="D198" s="4">
        <v>1.4570000000000001</v>
      </c>
      <c r="E198" s="4">
        <v>-8.4000000000000005E-2</v>
      </c>
      <c r="F198" s="7">
        <v>13.62</v>
      </c>
      <c r="G198" s="6">
        <v>3.4099999999999998E-2</v>
      </c>
      <c r="H198" s="2">
        <v>1.26E-2</v>
      </c>
      <c r="I198">
        <v>10</v>
      </c>
      <c r="J198" s="2">
        <v>8.5000000000000006E-3</v>
      </c>
      <c r="L198" t="str">
        <f t="shared" si="14"/>
        <v xml:space="preserve">    -  0.050</v>
      </c>
      <c r="N198" t="str">
        <f t="shared" si="13"/>
        <v xml:space="preserve">    - [4.461, 1.457, -0.084, 13.62, 0.0341]</v>
      </c>
    </row>
    <row r="199" spans="2:16">
      <c r="B199" s="4">
        <v>0.06</v>
      </c>
      <c r="C199" s="4">
        <v>4.9829999999999997</v>
      </c>
      <c r="D199" s="4">
        <v>1.73</v>
      </c>
      <c r="E199" s="4">
        <v>-0.126</v>
      </c>
      <c r="F199" s="7">
        <v>13.64</v>
      </c>
      <c r="G199" s="6">
        <v>5.6099999999999997E-2</v>
      </c>
      <c r="H199" s="2">
        <v>2.2200000000000001E-2</v>
      </c>
      <c r="I199">
        <v>10</v>
      </c>
      <c r="J199" s="2">
        <v>1.5630000000000002E-2</v>
      </c>
      <c r="L199" t="str">
        <f t="shared" si="14"/>
        <v xml:space="preserve">    -  0.060</v>
      </c>
      <c r="N199" t="str">
        <f t="shared" si="13"/>
        <v xml:space="preserve">    - [4.983, 1.730, -0.126, 13.64, 0.0561]</v>
      </c>
    </row>
    <row r="200" spans="2:16">
      <c r="B200" s="4">
        <v>0.08</v>
      </c>
      <c r="C200" s="4">
        <v>5.0590000000000002</v>
      </c>
      <c r="D200" s="4">
        <v>2.0590000000000002</v>
      </c>
      <c r="E200" s="4">
        <v>-0.16800000000000001</v>
      </c>
      <c r="F200" s="7">
        <v>13.67</v>
      </c>
      <c r="G200" s="6">
        <v>7.6999999999999999E-2</v>
      </c>
      <c r="H200" s="2">
        <v>2.9399999999999999E-2</v>
      </c>
      <c r="I200">
        <v>35</v>
      </c>
      <c r="J200" s="2">
        <v>1.9460000000000002E-2</v>
      </c>
      <c r="L200" t="str">
        <f t="shared" si="14"/>
        <v xml:space="preserve">    -  0.080</v>
      </c>
      <c r="N200" t="str">
        <f t="shared" si="13"/>
        <v xml:space="preserve">    - [5.059, 2.059, -0.168, 13.67, 0.0770]</v>
      </c>
    </row>
    <row r="201" spans="2:16">
      <c r="B201" s="4">
        <v>0.1</v>
      </c>
      <c r="C201" s="4">
        <v>4.6630000000000003</v>
      </c>
      <c r="D201" s="4">
        <v>2.2210000000000001</v>
      </c>
      <c r="E201" s="4">
        <v>-0.186</v>
      </c>
      <c r="F201" s="7">
        <v>13.33</v>
      </c>
      <c r="G201" s="6">
        <v>8.2600000000000007E-2</v>
      </c>
      <c r="H201" s="2">
        <v>3.0200000000000001E-2</v>
      </c>
      <c r="I201">
        <v>10</v>
      </c>
      <c r="J201" s="2">
        <v>1.925E-2</v>
      </c>
      <c r="L201" t="str">
        <f t="shared" si="14"/>
        <v xml:space="preserve">    -  0.100</v>
      </c>
      <c r="N201" t="str">
        <f t="shared" si="13"/>
        <v xml:space="preserve">    - [4.663, 2.221, -0.186, 13.33, 0.0826]</v>
      </c>
    </row>
    <row r="202" spans="2:16">
      <c r="B202" s="4">
        <v>0.15</v>
      </c>
      <c r="C202" s="4">
        <v>3.8969999999999998</v>
      </c>
      <c r="D202" s="4">
        <v>2.242</v>
      </c>
      <c r="E202" s="4">
        <v>-0.185</v>
      </c>
      <c r="F202" s="7">
        <v>14.19</v>
      </c>
      <c r="G202" s="6">
        <v>7.7700000000000005E-2</v>
      </c>
      <c r="H202" s="2">
        <v>2.5499999999999998E-2</v>
      </c>
      <c r="I202">
        <v>15</v>
      </c>
      <c r="J202" s="2">
        <v>1.584E-2</v>
      </c>
      <c r="L202" t="str">
        <f t="shared" si="14"/>
        <v xml:space="preserve">    -  0.150</v>
      </c>
      <c r="N202" t="str">
        <f t="shared" si="13"/>
        <v xml:space="preserve">    - [3.897, 2.242, -0.185, 14.19, 0.0777]</v>
      </c>
    </row>
    <row r="203" spans="2:16">
      <c r="B203" s="4">
        <v>0.2</v>
      </c>
      <c r="C203" s="4">
        <v>3.4780000000000002</v>
      </c>
      <c r="D203" s="4">
        <v>2.1539999999999999</v>
      </c>
      <c r="E203" s="4">
        <v>-0.17599999999999999</v>
      </c>
      <c r="F203" s="7">
        <v>14.5</v>
      </c>
      <c r="G203" s="6">
        <v>7.7399999999999997E-2</v>
      </c>
      <c r="H203" s="2">
        <v>2.5000000000000001E-2</v>
      </c>
      <c r="I203">
        <v>0.5</v>
      </c>
      <c r="J203" s="2">
        <v>1.4919999999999999E-2</v>
      </c>
      <c r="L203" t="str">
        <f t="shared" si="14"/>
        <v xml:space="preserve">    -  0.200</v>
      </c>
      <c r="N203" t="str">
        <f t="shared" si="13"/>
        <v xml:space="preserve">    - [3.478, 2.154, -0.176, 14.50, 0.0774]</v>
      </c>
    </row>
    <row r="204" spans="2:16">
      <c r="B204" s="4">
        <v>0.3</v>
      </c>
      <c r="C204" s="4">
        <v>2.92</v>
      </c>
      <c r="D204" s="4">
        <v>2.0219999999999998</v>
      </c>
      <c r="E204" s="4">
        <v>-0.16400000000000001</v>
      </c>
      <c r="F204" s="7">
        <v>14.21</v>
      </c>
      <c r="G204" s="6">
        <v>6.5500000000000003E-2</v>
      </c>
      <c r="H204" s="2">
        <v>2.46E-2</v>
      </c>
      <c r="I204">
        <v>1</v>
      </c>
      <c r="J204" s="2">
        <v>1.4710000000000001E-2</v>
      </c>
      <c r="L204" t="str">
        <f t="shared" si="14"/>
        <v xml:space="preserve">    -  0.300</v>
      </c>
      <c r="N204" t="str">
        <f t="shared" si="13"/>
        <v xml:space="preserve">    - [2.920, 2.022, -0.164, 14.21, 0.0655]</v>
      </c>
    </row>
    <row r="205" spans="2:16">
      <c r="B205" s="4">
        <v>0.4</v>
      </c>
      <c r="C205" s="4">
        <v>2.66</v>
      </c>
      <c r="D205" s="4">
        <v>1.8819999999999999</v>
      </c>
      <c r="E205" s="4">
        <v>-0.14899999999999999</v>
      </c>
      <c r="F205" s="7">
        <v>14.24</v>
      </c>
      <c r="G205" s="6">
        <v>5.9499999999999997E-2</v>
      </c>
      <c r="H205" s="2">
        <v>2.1700000000000001E-2</v>
      </c>
      <c r="I205">
        <v>35</v>
      </c>
      <c r="J205" s="2">
        <v>1.372E-2</v>
      </c>
      <c r="L205" t="str">
        <f t="shared" si="14"/>
        <v xml:space="preserve">    -  0.400</v>
      </c>
      <c r="N205" t="str">
        <f t="shared" si="13"/>
        <v xml:space="preserve">    - [2.660, 1.882, -0.149, 14.24, 0.0595]</v>
      </c>
    </row>
    <row r="206" spans="2:16">
      <c r="B206" s="4">
        <v>0.5</v>
      </c>
      <c r="C206" s="4">
        <v>2.5</v>
      </c>
      <c r="D206" s="4">
        <v>1.766</v>
      </c>
      <c r="E206" s="4">
        <v>-0.13500000000000001</v>
      </c>
      <c r="F206" s="7">
        <v>14.33</v>
      </c>
      <c r="G206" s="6">
        <v>5.4600000000000003E-2</v>
      </c>
      <c r="H206" s="2">
        <v>2.46E-2</v>
      </c>
      <c r="I206">
        <v>1</v>
      </c>
      <c r="J206" s="2">
        <v>1.38E-2</v>
      </c>
      <c r="L206" t="str">
        <f t="shared" si="14"/>
        <v xml:space="preserve">    -  0.500</v>
      </c>
      <c r="N206" t="str">
        <f t="shared" si="13"/>
        <v xml:space="preserve">    - [2.500, 1.766, -0.135, 14.33, 0.0546]</v>
      </c>
    </row>
    <row r="207" spans="2:16">
      <c r="B207" s="4">
        <v>0.6</v>
      </c>
      <c r="C207" s="4">
        <v>2.3769999999999998</v>
      </c>
      <c r="D207" s="4">
        <v>1.679</v>
      </c>
      <c r="E207" s="4">
        <v>-0.124</v>
      </c>
      <c r="F207" s="7">
        <v>14.23</v>
      </c>
      <c r="G207" s="6">
        <v>5.0299999999999997E-2</v>
      </c>
      <c r="H207" s="2">
        <v>2.0199999999999999E-2</v>
      </c>
      <c r="I207">
        <v>1</v>
      </c>
      <c r="J207" s="2">
        <v>1.265E-2</v>
      </c>
      <c r="L207" t="str">
        <f t="shared" si="14"/>
        <v xml:space="preserve">    -  0.600</v>
      </c>
      <c r="N207" t="str">
        <f t="shared" si="13"/>
        <v xml:space="preserve">    - [2.377, 1.679, -0.124, 14.23, 0.0503]</v>
      </c>
    </row>
    <row r="208" spans="2:16">
      <c r="B208" s="4">
        <v>0.8</v>
      </c>
      <c r="C208" s="4">
        <v>2.2120000000000002</v>
      </c>
      <c r="D208" s="4">
        <v>1.544</v>
      </c>
      <c r="E208" s="4">
        <v>-0.105</v>
      </c>
      <c r="F208" s="7">
        <v>14.36</v>
      </c>
      <c r="G208" s="6">
        <v>4.3700000000000003E-2</v>
      </c>
      <c r="H208" s="2">
        <v>1.9699999999999999E-2</v>
      </c>
      <c r="I208">
        <v>0.5</v>
      </c>
      <c r="J208" s="2">
        <v>1.1860000000000001E-2</v>
      </c>
      <c r="L208" t="str">
        <f t="shared" si="14"/>
        <v xml:space="preserve">    -  0.800</v>
      </c>
      <c r="N208" t="str">
        <f t="shared" si="13"/>
        <v xml:space="preserve">    - [2.212, 1.544, -0.105, 14.36, 0.0437]</v>
      </c>
    </row>
    <row r="209" spans="2:14">
      <c r="B209" s="4">
        <v>1</v>
      </c>
      <c r="C209" s="4">
        <v>2.1030000000000002</v>
      </c>
      <c r="D209" s="4">
        <v>1.4410000000000001</v>
      </c>
      <c r="E209" s="4">
        <v>-8.8999999999999996E-2</v>
      </c>
      <c r="F209" s="7">
        <v>14.22</v>
      </c>
      <c r="G209" s="6">
        <v>3.78E-2</v>
      </c>
      <c r="H209" s="2">
        <v>1.55E-2</v>
      </c>
      <c r="I209">
        <v>0.5</v>
      </c>
      <c r="J209" s="2">
        <v>8.9499999999999996E-3</v>
      </c>
      <c r="L209" t="str">
        <f t="shared" si="14"/>
        <v xml:space="preserve">    -  1.000</v>
      </c>
      <c r="N209" t="str">
        <f t="shared" si="13"/>
        <v xml:space="preserve">    - [2.103, 1.441, -0.089, 14.22, 0.0378]</v>
      </c>
    </row>
    <row r="210" spans="2:14">
      <c r="B210" s="4">
        <v>1.5</v>
      </c>
      <c r="C210" s="4">
        <v>1.9390000000000001</v>
      </c>
      <c r="D210" s="4">
        <v>1.2689999999999999</v>
      </c>
      <c r="E210" s="4">
        <v>-5.8000000000000003E-2</v>
      </c>
      <c r="F210" s="7">
        <v>14.52</v>
      </c>
      <c r="G210" s="6">
        <v>2.46E-2</v>
      </c>
      <c r="H210" s="2">
        <v>1.9099999999999999E-2</v>
      </c>
      <c r="I210">
        <v>0.5</v>
      </c>
      <c r="J210" s="2">
        <v>7.5700000000000003E-3</v>
      </c>
      <c r="L210" t="str">
        <f t="shared" si="14"/>
        <v xml:space="preserve">    -  1.500</v>
      </c>
      <c r="N210" t="str">
        <f t="shared" si="13"/>
        <v xml:space="preserve">    - [1.939, 1.269, -0.058, 14.52, 0.0246]</v>
      </c>
    </row>
    <row r="211" spans="2:14">
      <c r="B211" s="4">
        <v>2</v>
      </c>
      <c r="C211" s="4">
        <v>1.839</v>
      </c>
      <c r="D211" s="4">
        <v>1.173</v>
      </c>
      <c r="E211" s="4">
        <v>-3.9E-2</v>
      </c>
      <c r="F211" s="7">
        <v>14.07</v>
      </c>
      <c r="G211" s="6">
        <v>1.61E-2</v>
      </c>
      <c r="H211" s="2">
        <v>1.4500000000000001E-2</v>
      </c>
      <c r="I211">
        <v>0.5</v>
      </c>
      <c r="J211" s="2">
        <v>5.2199999999999998E-3</v>
      </c>
      <c r="L211" t="str">
        <f t="shared" si="14"/>
        <v xml:space="preserve">    -  2.000</v>
      </c>
      <c r="N211" t="str">
        <f t="shared" si="13"/>
        <v xml:space="preserve">    - [1.839, 1.173, -0.039, 14.07, 0.0161]</v>
      </c>
    </row>
    <row r="212" spans="2:14">
      <c r="B212" s="4">
        <v>3</v>
      </c>
      <c r="C212" s="4">
        <v>1.71</v>
      </c>
      <c r="D212" s="4">
        <v>1.056</v>
      </c>
      <c r="E212" s="4">
        <v>-1.2999999999999999E-2</v>
      </c>
      <c r="F212" s="7">
        <v>11.82</v>
      </c>
      <c r="G212" s="6">
        <v>4.7000000000000002E-3</v>
      </c>
      <c r="H212" s="2">
        <v>7.0000000000000001E-3</v>
      </c>
      <c r="I212">
        <v>0.5</v>
      </c>
      <c r="J212" s="2">
        <v>2.3900000000000002E-3</v>
      </c>
      <c r="L212" t="str">
        <f t="shared" si="14"/>
        <v xml:space="preserve">    -  3.000</v>
      </c>
      <c r="N212" t="str">
        <f t="shared" si="13"/>
        <v xml:space="preserve">    - [1.710, 1.056, -0.013, 11.82, 0.0047]</v>
      </c>
    </row>
    <row r="213" spans="2:14">
      <c r="B213" s="4">
        <v>4</v>
      </c>
      <c r="C213" s="4">
        <v>1.621</v>
      </c>
      <c r="D213" s="4">
        <v>0.98899999999999999</v>
      </c>
      <c r="E213" s="4">
        <v>4.0000000000000001E-3</v>
      </c>
      <c r="F213" s="7">
        <v>13.45</v>
      </c>
      <c r="G213" s="6">
        <v>-4.1000000000000003E-3</v>
      </c>
      <c r="H213" s="2">
        <v>5.4999999999999997E-3</v>
      </c>
      <c r="I213">
        <v>1</v>
      </c>
      <c r="J213" s="2">
        <v>2.1099999999999999E-3</v>
      </c>
      <c r="L213" t="str">
        <f t="shared" si="14"/>
        <v xml:space="preserve">    -  4.000</v>
      </c>
      <c r="N213" t="str">
        <f t="shared" si="13"/>
        <v xml:space="preserve">    - [1.621, 0.989, 0.004, 13.45, -0.0041]</v>
      </c>
    </row>
    <row r="214" spans="2:14">
      <c r="B214" s="4">
        <v>5</v>
      </c>
      <c r="C214" s="4">
        <v>1.554</v>
      </c>
      <c r="D214" s="4">
        <v>0.93899999999999995</v>
      </c>
      <c r="E214" s="4">
        <v>1.7999999999999999E-2</v>
      </c>
      <c r="F214" s="7">
        <v>13.55</v>
      </c>
      <c r="G214" s="6">
        <v>-1.2200000000000001E-2</v>
      </c>
      <c r="H214" s="2">
        <v>5.1000000000000004E-3</v>
      </c>
      <c r="I214">
        <v>30</v>
      </c>
      <c r="J214" s="2">
        <v>3.3300000000000001E-3</v>
      </c>
      <c r="L214" t="str">
        <f t="shared" si="14"/>
        <v xml:space="preserve">    -  5.000</v>
      </c>
      <c r="N214" t="str">
        <f t="shared" si="13"/>
        <v xml:space="preserve">    - [1.554, 0.939, 0.018, 13.55, -0.0122]</v>
      </c>
    </row>
    <row r="215" spans="2:14">
      <c r="B215" s="4">
        <v>6</v>
      </c>
      <c r="C215" s="4">
        <v>1.5069999999999999</v>
      </c>
      <c r="D215" s="4">
        <v>0.90300000000000002</v>
      </c>
      <c r="E215" s="4">
        <v>2.9000000000000001E-2</v>
      </c>
      <c r="F215" s="7">
        <v>16.13</v>
      </c>
      <c r="G215" s="6">
        <v>-2.7199999999999998E-2</v>
      </c>
      <c r="H215" s="2">
        <v>8.5000000000000006E-3</v>
      </c>
      <c r="I215">
        <v>25</v>
      </c>
      <c r="J215" s="2">
        <v>4.7499999999999999E-3</v>
      </c>
      <c r="L215" t="str">
        <f t="shared" si="14"/>
        <v xml:space="preserve">    -  6.000</v>
      </c>
      <c r="N215" t="str">
        <f t="shared" si="13"/>
        <v xml:space="preserve">    - [1.507, 0.903, 0.029, 16.13, -0.0272]</v>
      </c>
    </row>
    <row r="216" spans="2:14">
      <c r="B216" s="4">
        <v>8</v>
      </c>
      <c r="C216" s="4">
        <v>1.4219999999999999</v>
      </c>
      <c r="D216" s="4">
        <v>0.879</v>
      </c>
      <c r="E216" s="4">
        <v>3.5000000000000003E-2</v>
      </c>
      <c r="F216" s="7">
        <v>13.36</v>
      </c>
      <c r="G216" s="6">
        <v>-1.9099999999999999E-2</v>
      </c>
      <c r="H216" s="2">
        <v>8.8999999999999999E-3</v>
      </c>
      <c r="I216">
        <v>0.5</v>
      </c>
      <c r="J216" s="2">
        <v>4.45E-3</v>
      </c>
      <c r="L216" t="str">
        <f t="shared" si="14"/>
        <v xml:space="preserve">    -  8.000</v>
      </c>
      <c r="N216" t="str">
        <f t="shared" si="13"/>
        <v xml:space="preserve">    - [1.422, 0.879, 0.035, 13.36, -0.0191]</v>
      </c>
    </row>
    <row r="217" spans="2:14">
      <c r="B217" s="4">
        <v>10</v>
      </c>
      <c r="C217" s="4">
        <v>1.3620000000000001</v>
      </c>
      <c r="D217" s="4">
        <v>0.85899999999999999</v>
      </c>
      <c r="E217" s="4">
        <v>4.2000000000000003E-2</v>
      </c>
      <c r="F217" s="7">
        <v>13.37</v>
      </c>
      <c r="G217" s="6">
        <v>-2.47E-2</v>
      </c>
      <c r="H217" s="2">
        <v>8.9999999999999993E-3</v>
      </c>
      <c r="I217">
        <v>0.5</v>
      </c>
      <c r="J217" s="2">
        <v>4.5300000000000002E-3</v>
      </c>
      <c r="L217" t="str">
        <f t="shared" si="14"/>
        <v xml:space="preserve">    -  10.000</v>
      </c>
      <c r="N217" t="str">
        <f t="shared" si="13"/>
        <v xml:space="preserve">    - [1.362, 0.859, 0.042, 13.37, -0.0247]</v>
      </c>
    </row>
    <row r="218" spans="2:14">
      <c r="B218" s="4">
        <v>15</v>
      </c>
      <c r="C218" s="4">
        <v>1.2669999999999999</v>
      </c>
      <c r="D218" s="4">
        <v>0.84299999999999997</v>
      </c>
      <c r="E218" s="4">
        <v>4.7E-2</v>
      </c>
      <c r="F218" s="7">
        <v>15.08</v>
      </c>
      <c r="G218" s="6">
        <v>-3.3599999999999998E-2</v>
      </c>
      <c r="H218" s="2">
        <v>1.0200000000000001E-2</v>
      </c>
      <c r="I218">
        <v>1</v>
      </c>
      <c r="J218" s="2">
        <v>6.0400000000000002E-3</v>
      </c>
      <c r="L218" t="str">
        <f t="shared" si="14"/>
        <v xml:space="preserve">    -  15.000</v>
      </c>
      <c r="N218" t="str">
        <f t="shared" si="13"/>
        <v xml:space="preserve">    - [1.267, 0.843, 0.047, 15.08, -0.0336]</v>
      </c>
    </row>
    <row r="220" spans="2:14">
      <c r="C220" s="5" t="s">
        <v>58</v>
      </c>
    </row>
    <row r="221" spans="2:14">
      <c r="B221" t="s">
        <v>1</v>
      </c>
      <c r="C221" t="s">
        <v>11</v>
      </c>
      <c r="D221" t="s">
        <v>12</v>
      </c>
      <c r="E221" t="s">
        <v>13</v>
      </c>
      <c r="F221" t="s">
        <v>16</v>
      </c>
      <c r="G221" t="s">
        <v>14</v>
      </c>
      <c r="H221" t="s">
        <v>17</v>
      </c>
      <c r="I221" t="s">
        <v>18</v>
      </c>
      <c r="J221" t="s">
        <v>15</v>
      </c>
    </row>
    <row r="222" spans="2:14">
      <c r="B222" s="4">
        <v>1.4999999999999999E-2</v>
      </c>
      <c r="C222" s="4">
        <v>1.17</v>
      </c>
      <c r="D222" s="4">
        <v>0.45900000000000002</v>
      </c>
      <c r="E222" s="4">
        <v>0.17499999999999999</v>
      </c>
      <c r="F222" s="7">
        <v>13.73</v>
      </c>
      <c r="G222" s="6">
        <v>-8.6199999999999999E-2</v>
      </c>
      <c r="H222" s="2">
        <v>1.4500000000000001E-2</v>
      </c>
      <c r="I222">
        <v>0.5</v>
      </c>
      <c r="J222" s="2">
        <v>5.1200000000000004E-3</v>
      </c>
      <c r="L222" t="str">
        <f>CONCATENATE("    -  ",TEXT(B222,"0.000"))</f>
        <v xml:space="preserve">    -  0.015</v>
      </c>
      <c r="N222" t="str">
        <f t="shared" ref="N222:N246" si="15">CONCATENATE("    - [",TEXT(C222,$N$2),", ",TEXT(D222,$N$2),", ",TEXT(E222,$N$2),", ",TEXT(F222,$O$2),", ",TEXT(G222,$P$2),"]")</f>
        <v xml:space="preserve">    - [1.170, 0.459, 0.175, 13.73, -0.0862]</v>
      </c>
    </row>
    <row r="223" spans="2:14">
      <c r="B223" s="4">
        <v>0.02</v>
      </c>
      <c r="C223" s="4">
        <v>1.407</v>
      </c>
      <c r="D223" s="4">
        <v>0.51200000000000001</v>
      </c>
      <c r="E223" s="4">
        <v>0.161</v>
      </c>
      <c r="F223" s="7">
        <v>14.4</v>
      </c>
      <c r="G223" s="6">
        <v>-8.1900000000000001E-2</v>
      </c>
      <c r="H223" s="2">
        <v>2.1499999999999998E-2</v>
      </c>
      <c r="I223">
        <v>0.5</v>
      </c>
      <c r="J223" s="2">
        <v>8.3000000000000001E-3</v>
      </c>
      <c r="L223" t="str">
        <f t="shared" ref="L223:L246" si="16">CONCATENATE("    -  ",TEXT(B223,"0.000"))</f>
        <v xml:space="preserve">    -  0.020</v>
      </c>
      <c r="N223" t="str">
        <f t="shared" si="15"/>
        <v xml:space="preserve">    - [1.407, 0.512, 0.161, 14.40, -0.0819]</v>
      </c>
    </row>
    <row r="224" spans="2:14">
      <c r="B224" s="4">
        <v>0.03</v>
      </c>
      <c r="C224" s="4">
        <v>2.2919999999999998</v>
      </c>
      <c r="D224" s="4">
        <v>0.69299999999999995</v>
      </c>
      <c r="E224" s="4">
        <v>0.10199999999999999</v>
      </c>
      <c r="F224" s="7">
        <v>13.34</v>
      </c>
      <c r="G224" s="6">
        <v>-4.8399999999999999E-2</v>
      </c>
      <c r="H224" s="2">
        <v>2.4799999999999999E-2</v>
      </c>
      <c r="I224">
        <v>0.5</v>
      </c>
      <c r="J224" s="2">
        <v>1.24E-2</v>
      </c>
      <c r="L224" t="str">
        <f t="shared" si="16"/>
        <v xml:space="preserve">    -  0.030</v>
      </c>
      <c r="N224" t="str">
        <f t="shared" si="15"/>
        <v xml:space="preserve">    - [2.292, 0.693, 0.102, 13.34, -0.0484]</v>
      </c>
    </row>
    <row r="225" spans="2:14">
      <c r="B225" s="4">
        <v>0.04</v>
      </c>
      <c r="C225" s="4">
        <v>3.39</v>
      </c>
      <c r="D225" s="4">
        <v>1.052</v>
      </c>
      <c r="E225" s="4">
        <v>-4.0000000000000001E-3</v>
      </c>
      <c r="F225" s="7">
        <v>19.760000000000002</v>
      </c>
      <c r="G225" s="6">
        <v>-6.7999999999999996E-3</v>
      </c>
      <c r="H225" s="2">
        <v>9.4999999999999998E-3</v>
      </c>
      <c r="I225">
        <v>0.5</v>
      </c>
      <c r="J225" s="2">
        <v>3.8300000000000001E-3</v>
      </c>
      <c r="L225" t="str">
        <f t="shared" si="16"/>
        <v xml:space="preserve">    -  0.040</v>
      </c>
      <c r="N225" t="str">
        <f t="shared" si="15"/>
        <v xml:space="preserve">    - [3.390, 1.052, -0.004, 19.76, -0.0068]</v>
      </c>
    </row>
    <row r="226" spans="2:14">
      <c r="B226" s="4">
        <v>0.05</v>
      </c>
      <c r="C226" s="4">
        <v>4.3220000000000001</v>
      </c>
      <c r="D226" s="4">
        <v>1.383</v>
      </c>
      <c r="E226" s="4">
        <v>-7.0999999999999994E-2</v>
      </c>
      <c r="F226" s="7">
        <v>13.51</v>
      </c>
      <c r="G226" s="6">
        <v>2.7E-2</v>
      </c>
      <c r="H226" s="2">
        <v>1.1900000000000001E-2</v>
      </c>
      <c r="I226">
        <v>4</v>
      </c>
      <c r="J226" s="2">
        <v>7.8200000000000006E-3</v>
      </c>
      <c r="L226" t="str">
        <f t="shared" si="16"/>
        <v xml:space="preserve">    -  0.050</v>
      </c>
      <c r="N226" t="str">
        <f t="shared" si="15"/>
        <v xml:space="preserve">    - [4.322, 1.383, -0.071, 13.51, 0.0270]</v>
      </c>
    </row>
    <row r="227" spans="2:14">
      <c r="B227" s="4">
        <v>0.06</v>
      </c>
      <c r="C227" s="4">
        <v>4.8369999999999997</v>
      </c>
      <c r="D227" s="4">
        <v>1.653</v>
      </c>
      <c r="E227" s="4">
        <v>-0.115</v>
      </c>
      <c r="F227" s="7">
        <v>13.66</v>
      </c>
      <c r="G227" s="6">
        <v>5.11E-2</v>
      </c>
      <c r="H227" s="2">
        <v>2.3699999999999999E-2</v>
      </c>
      <c r="I227">
        <v>0.5</v>
      </c>
      <c r="J227" s="2">
        <v>1.422E-2</v>
      </c>
      <c r="L227" t="str">
        <f t="shared" si="16"/>
        <v xml:space="preserve">    -  0.060</v>
      </c>
      <c r="N227" t="str">
        <f t="shared" si="15"/>
        <v xml:space="preserve">    - [4.837, 1.653, -0.115, 13.66, 0.0511]</v>
      </c>
    </row>
    <row r="228" spans="2:14">
      <c r="B228" s="4">
        <v>0.08</v>
      </c>
      <c r="C228" s="4">
        <v>4.9290000000000003</v>
      </c>
      <c r="D228" s="4">
        <v>1.9830000000000001</v>
      </c>
      <c r="E228" s="4">
        <v>-0.159</v>
      </c>
      <c r="F228" s="7">
        <v>13.74</v>
      </c>
      <c r="G228" s="6">
        <v>7.2999999999999995E-2</v>
      </c>
      <c r="H228" s="2">
        <v>2.7300000000000001E-2</v>
      </c>
      <c r="I228">
        <v>10</v>
      </c>
      <c r="J228" s="2">
        <v>1.9089999999999999E-2</v>
      </c>
      <c r="L228" t="str">
        <f t="shared" si="16"/>
        <v xml:space="preserve">    -  0.080</v>
      </c>
      <c r="N228" t="str">
        <f t="shared" si="15"/>
        <v xml:space="preserve">    - [4.929, 1.983, -0.159, 13.74, 0.0730]</v>
      </c>
    </row>
    <row r="229" spans="2:14">
      <c r="B229" s="4">
        <v>0.1</v>
      </c>
      <c r="C229" s="4">
        <v>4.58</v>
      </c>
      <c r="D229" s="4">
        <v>2.1459999999999999</v>
      </c>
      <c r="E229" s="4">
        <v>-0.17799999999999999</v>
      </c>
      <c r="F229" s="7">
        <v>12.83</v>
      </c>
      <c r="G229" s="6">
        <v>7.5899999999999995E-2</v>
      </c>
      <c r="H229" s="2">
        <v>2.69E-2</v>
      </c>
      <c r="I229">
        <v>1</v>
      </c>
      <c r="J229" s="2">
        <v>1.7330000000000002E-2</v>
      </c>
      <c r="L229" t="str">
        <f t="shared" si="16"/>
        <v xml:space="preserve">    -  0.100</v>
      </c>
      <c r="N229" t="str">
        <f t="shared" si="15"/>
        <v xml:space="preserve">    - [4.580, 2.146, -0.178, 12.83, 0.0759]</v>
      </c>
    </row>
    <row r="230" spans="2:14">
      <c r="B230" s="4">
        <v>0.15</v>
      </c>
      <c r="C230" s="4">
        <v>3.8940000000000001</v>
      </c>
      <c r="D230" s="4">
        <v>2.1480000000000001</v>
      </c>
      <c r="E230" s="4">
        <v>-0.17299999999999999</v>
      </c>
      <c r="F230" s="7">
        <v>14.46</v>
      </c>
      <c r="G230" s="6">
        <v>6.9800000000000001E-2</v>
      </c>
      <c r="H230" s="2">
        <v>2.5100000000000001E-2</v>
      </c>
      <c r="I230">
        <v>35</v>
      </c>
      <c r="J230" s="2">
        <v>1.506E-2</v>
      </c>
      <c r="L230" t="str">
        <f t="shared" si="16"/>
        <v xml:space="preserve">    -  0.150</v>
      </c>
      <c r="N230" t="str">
        <f t="shared" si="15"/>
        <v xml:space="preserve">    - [3.894, 2.148, -0.173, 14.46, 0.0698]</v>
      </c>
    </row>
    <row r="231" spans="2:14">
      <c r="B231" s="4">
        <v>0.2</v>
      </c>
      <c r="C231" s="4">
        <v>3.3450000000000002</v>
      </c>
      <c r="D231" s="4">
        <v>2.1469999999999998</v>
      </c>
      <c r="E231" s="4">
        <v>-0.17599999999999999</v>
      </c>
      <c r="F231" s="7">
        <v>14.08</v>
      </c>
      <c r="G231" s="6">
        <v>7.1900000000000006E-2</v>
      </c>
      <c r="H231" s="2">
        <v>2.5100000000000001E-2</v>
      </c>
      <c r="I231">
        <v>35</v>
      </c>
      <c r="J231" s="2">
        <v>1.54E-2</v>
      </c>
      <c r="L231" t="str">
        <f t="shared" si="16"/>
        <v xml:space="preserve">    -  0.200</v>
      </c>
      <c r="N231" t="str">
        <f t="shared" si="15"/>
        <v xml:space="preserve">    - [3.345, 2.147, -0.176, 14.08, 0.0719]</v>
      </c>
    </row>
    <row r="232" spans="2:14">
      <c r="B232" s="4">
        <v>0.3</v>
      </c>
      <c r="C232" s="4">
        <v>2.887</v>
      </c>
      <c r="D232" s="4">
        <v>1.99</v>
      </c>
      <c r="E232" s="4">
        <v>-0.16</v>
      </c>
      <c r="F232" s="7">
        <v>14.13</v>
      </c>
      <c r="G232" s="6">
        <v>6.3299999999999995E-2</v>
      </c>
      <c r="H232" s="2">
        <v>2.29E-2</v>
      </c>
      <c r="I232">
        <v>25</v>
      </c>
      <c r="J232" s="2">
        <v>1.4500000000000001E-2</v>
      </c>
      <c r="L232" t="str">
        <f t="shared" si="16"/>
        <v xml:space="preserve">    -  0.300</v>
      </c>
      <c r="N232" t="str">
        <f t="shared" si="15"/>
        <v xml:space="preserve">    - [2.887, 1.990, -0.160, 14.13, 0.0633]</v>
      </c>
    </row>
    <row r="233" spans="2:14">
      <c r="B233" s="4">
        <v>0.4</v>
      </c>
      <c r="C233" s="4">
        <v>2.6349999999999998</v>
      </c>
      <c r="D233" s="4">
        <v>1.86</v>
      </c>
      <c r="E233" s="4">
        <v>-0.14599999999999999</v>
      </c>
      <c r="F233" s="7">
        <v>14.24</v>
      </c>
      <c r="G233" s="6">
        <v>5.8299999999999998E-2</v>
      </c>
      <c r="H233" s="2">
        <v>2.1700000000000001E-2</v>
      </c>
      <c r="I233">
        <v>35</v>
      </c>
      <c r="J233" s="2">
        <v>1.3769999999999999E-2</v>
      </c>
      <c r="L233" t="str">
        <f t="shared" si="16"/>
        <v xml:space="preserve">    -  0.400</v>
      </c>
      <c r="N233" t="str">
        <f t="shared" si="15"/>
        <v xml:space="preserve">    - [2.635, 1.860, -0.146, 14.24, 0.0583]</v>
      </c>
    </row>
    <row r="234" spans="2:14">
      <c r="B234" s="4">
        <v>0.5</v>
      </c>
      <c r="C234" s="4">
        <v>2.496</v>
      </c>
      <c r="D234" s="4">
        <v>1.736</v>
      </c>
      <c r="E234" s="4">
        <v>-0.13</v>
      </c>
      <c r="F234" s="7">
        <v>14.32</v>
      </c>
      <c r="G234" s="6">
        <v>5.0500000000000003E-2</v>
      </c>
      <c r="H234" s="2">
        <v>2.3E-2</v>
      </c>
      <c r="I234">
        <v>1</v>
      </c>
      <c r="J234" s="2">
        <v>1.2670000000000001E-2</v>
      </c>
      <c r="L234" t="str">
        <f t="shared" si="16"/>
        <v xml:space="preserve">    -  0.500</v>
      </c>
      <c r="N234" t="str">
        <f t="shared" si="15"/>
        <v xml:space="preserve">    - [2.496, 1.736, -0.130, 14.32, 0.0505]</v>
      </c>
    </row>
    <row r="235" spans="2:14">
      <c r="B235" s="4">
        <v>0.6</v>
      </c>
      <c r="C235" s="4">
        <v>2.371</v>
      </c>
      <c r="D235" s="4">
        <v>1.6559999999999999</v>
      </c>
      <c r="E235" s="4">
        <v>-0.12</v>
      </c>
      <c r="F235" s="7">
        <v>14.27</v>
      </c>
      <c r="G235" s="6">
        <v>4.7199999999999999E-2</v>
      </c>
      <c r="H235" s="2">
        <v>1.7999999999999999E-2</v>
      </c>
      <c r="I235">
        <v>25</v>
      </c>
      <c r="J235" s="2">
        <v>1.1979999999999999E-2</v>
      </c>
      <c r="L235" t="str">
        <f t="shared" si="16"/>
        <v xml:space="preserve">    -  0.600</v>
      </c>
      <c r="N235" t="str">
        <f t="shared" si="15"/>
        <v xml:space="preserve">    - [2.371, 1.656, -0.120, 14.27, 0.0472]</v>
      </c>
    </row>
    <row r="236" spans="2:14">
      <c r="B236" s="4">
        <v>0.8</v>
      </c>
      <c r="C236" s="4">
        <v>2.2069999999999999</v>
      </c>
      <c r="D236" s="4">
        <v>1.532</v>
      </c>
      <c r="E236" s="4">
        <v>-0.10299999999999999</v>
      </c>
      <c r="F236" s="7">
        <v>14.12</v>
      </c>
      <c r="G236" s="6">
        <v>4.2500000000000003E-2</v>
      </c>
      <c r="H236" s="2">
        <v>1.9199999999999998E-2</v>
      </c>
      <c r="I236">
        <v>0.5</v>
      </c>
      <c r="J236" s="2">
        <v>1.1310000000000001E-2</v>
      </c>
      <c r="L236" t="str">
        <f t="shared" si="16"/>
        <v xml:space="preserve">    -  0.800</v>
      </c>
      <c r="N236" t="str">
        <f t="shared" si="15"/>
        <v xml:space="preserve">    - [2.207, 1.532, -0.103, 14.12, 0.0425]</v>
      </c>
    </row>
    <row r="237" spans="2:14">
      <c r="B237" s="4">
        <v>1</v>
      </c>
      <c r="C237" s="4">
        <v>2.1019999999999999</v>
      </c>
      <c r="D237" s="4">
        <v>1.4279999999999999</v>
      </c>
      <c r="E237" s="4">
        <v>-8.5999999999999993E-2</v>
      </c>
      <c r="F237" s="7">
        <v>14.35</v>
      </c>
      <c r="G237" s="6">
        <v>3.44E-2</v>
      </c>
      <c r="H237" s="2">
        <v>1.6299999999999999E-2</v>
      </c>
      <c r="I237">
        <v>0.5</v>
      </c>
      <c r="J237" s="2">
        <v>8.5800000000000008E-3</v>
      </c>
      <c r="L237" t="str">
        <f t="shared" si="16"/>
        <v xml:space="preserve">    -  1.000</v>
      </c>
      <c r="N237" t="str">
        <f t="shared" si="15"/>
        <v xml:space="preserve">    - [2.102, 1.428, -0.086, 14.35, 0.0344]</v>
      </c>
    </row>
    <row r="238" spans="2:14">
      <c r="B238" s="4">
        <v>1.5</v>
      </c>
      <c r="C238" s="4">
        <v>1.9390000000000001</v>
      </c>
      <c r="D238" s="4">
        <v>1.2649999999999999</v>
      </c>
      <c r="E238" s="4">
        <v>-5.7000000000000002E-2</v>
      </c>
      <c r="F238" s="7">
        <v>14.24</v>
      </c>
      <c r="G238" s="6">
        <v>2.3199999999999998E-2</v>
      </c>
      <c r="H238" s="2">
        <v>1.2200000000000001E-2</v>
      </c>
      <c r="I238">
        <v>0.5</v>
      </c>
      <c r="J238" s="2">
        <v>6.1000000000000004E-3</v>
      </c>
      <c r="L238" t="str">
        <f t="shared" si="16"/>
        <v xml:space="preserve">    -  1.500</v>
      </c>
      <c r="N238" t="str">
        <f t="shared" si="15"/>
        <v xml:space="preserve">    - [1.939, 1.265, -0.057, 14.24, 0.0232]</v>
      </c>
    </row>
    <row r="239" spans="2:14">
      <c r="B239" s="4">
        <v>2</v>
      </c>
      <c r="C239" s="4">
        <v>1.835</v>
      </c>
      <c r="D239" s="4">
        <v>1.173</v>
      </c>
      <c r="E239" s="4">
        <v>-3.9E-2</v>
      </c>
      <c r="F239" s="7">
        <v>14.07</v>
      </c>
      <c r="G239" s="6">
        <v>1.61E-2</v>
      </c>
      <c r="H239" s="2">
        <v>1.3100000000000001E-2</v>
      </c>
      <c r="I239">
        <v>0.5</v>
      </c>
      <c r="J239" s="2">
        <v>5.3400000000000001E-3</v>
      </c>
      <c r="L239" t="str">
        <f t="shared" si="16"/>
        <v xml:space="preserve">    -  2.000</v>
      </c>
      <c r="N239" t="str">
        <f t="shared" si="15"/>
        <v xml:space="preserve">    - [1.835, 1.173, -0.039, 14.07, 0.0161]</v>
      </c>
    </row>
    <row r="240" spans="2:14">
      <c r="B240" s="4">
        <v>3</v>
      </c>
      <c r="C240" s="4">
        <v>1.712</v>
      </c>
      <c r="D240" s="4">
        <v>1.0509999999999999</v>
      </c>
      <c r="E240" s="4">
        <v>-1.0999999999999999E-2</v>
      </c>
      <c r="F240" s="7">
        <v>13.67</v>
      </c>
      <c r="G240" s="6">
        <v>2.3999999999999998E-3</v>
      </c>
      <c r="H240" s="2">
        <v>8.0999999999999996E-3</v>
      </c>
      <c r="I240">
        <v>0.5</v>
      </c>
      <c r="J240" s="2">
        <v>2.5400000000000002E-3</v>
      </c>
      <c r="L240" t="str">
        <f t="shared" si="16"/>
        <v xml:space="preserve">    -  3.000</v>
      </c>
      <c r="N240" t="str">
        <f t="shared" si="15"/>
        <v xml:space="preserve">    - [1.712, 1.051, -0.011, 13.67, 0.0024]</v>
      </c>
    </row>
    <row r="241" spans="2:14">
      <c r="B241" s="4">
        <v>4</v>
      </c>
      <c r="C241" s="4">
        <v>1.627</v>
      </c>
      <c r="D241" s="4">
        <v>0.98299999999999998</v>
      </c>
      <c r="E241" s="4">
        <v>6.0000000000000001E-3</v>
      </c>
      <c r="F241" s="7">
        <v>13.51</v>
      </c>
      <c r="G241" s="6">
        <v>-5.1000000000000004E-3</v>
      </c>
      <c r="H241" s="2">
        <v>4.4000000000000003E-3</v>
      </c>
      <c r="I241">
        <v>5</v>
      </c>
      <c r="J241" s="2">
        <v>2.5699999999999998E-3</v>
      </c>
      <c r="L241" t="str">
        <f t="shared" si="16"/>
        <v xml:space="preserve">    -  4.000</v>
      </c>
      <c r="N241" t="str">
        <f t="shared" si="15"/>
        <v xml:space="preserve">    - [1.627, 0.983, 0.006, 13.51, -0.0051]</v>
      </c>
    </row>
    <row r="242" spans="2:14">
      <c r="B242" s="4">
        <v>5</v>
      </c>
      <c r="C242" s="4">
        <v>1.5580000000000001</v>
      </c>
      <c r="D242" s="4">
        <v>0.94299999999999995</v>
      </c>
      <c r="E242" s="4">
        <v>1.7000000000000001E-2</v>
      </c>
      <c r="F242" s="7">
        <v>13.82</v>
      </c>
      <c r="G242" s="6">
        <v>-1.17E-2</v>
      </c>
      <c r="H242" s="2">
        <v>7.6E-3</v>
      </c>
      <c r="I242">
        <v>1</v>
      </c>
      <c r="J242" s="2">
        <v>3.7100000000000002E-3</v>
      </c>
      <c r="L242" t="str">
        <f t="shared" si="16"/>
        <v xml:space="preserve">    -  5.000</v>
      </c>
      <c r="N242" t="str">
        <f t="shared" si="15"/>
        <v xml:space="preserve">    - [1.558, 0.943, 0.017, 13.82, -0.0117]</v>
      </c>
    </row>
    <row r="243" spans="2:14">
      <c r="B243" s="4">
        <v>6</v>
      </c>
      <c r="C243" s="4">
        <v>1.5049999999999999</v>
      </c>
      <c r="D243" s="4">
        <v>0.91500000000000004</v>
      </c>
      <c r="E243" s="4">
        <v>2.5000000000000001E-2</v>
      </c>
      <c r="F243" s="7">
        <v>16.37</v>
      </c>
      <c r="G243" s="6">
        <v>-2.3099999999999999E-2</v>
      </c>
      <c r="H243" s="2">
        <v>9.9000000000000008E-3</v>
      </c>
      <c r="I243">
        <v>1</v>
      </c>
      <c r="J243" s="2">
        <v>5.13E-3</v>
      </c>
      <c r="L243" t="str">
        <f t="shared" si="16"/>
        <v xml:space="preserve">    -  6.000</v>
      </c>
      <c r="N243" t="str">
        <f t="shared" si="15"/>
        <v xml:space="preserve">    - [1.505, 0.915, 0.025, 16.37, -0.0231]</v>
      </c>
    </row>
    <row r="244" spans="2:14">
      <c r="B244" s="4">
        <v>8</v>
      </c>
      <c r="C244" s="4">
        <v>1.4179999999999999</v>
      </c>
      <c r="D244" s="4">
        <v>0.89100000000000001</v>
      </c>
      <c r="E244" s="4">
        <v>3.2000000000000001E-2</v>
      </c>
      <c r="F244" s="7">
        <v>12.06</v>
      </c>
      <c r="G244" s="6">
        <v>-1.67E-2</v>
      </c>
      <c r="H244" s="2">
        <v>1.12E-2</v>
      </c>
      <c r="I244">
        <v>0.5</v>
      </c>
      <c r="J244" s="2">
        <v>4.1799999999999997E-3</v>
      </c>
      <c r="L244" t="str">
        <f t="shared" si="16"/>
        <v xml:space="preserve">    -  8.000</v>
      </c>
      <c r="N244" t="str">
        <f t="shared" si="15"/>
        <v xml:space="preserve">    - [1.418, 0.891, 0.032, 12.06, -0.0167]</v>
      </c>
    </row>
    <row r="245" spans="2:14">
      <c r="B245" s="4">
        <v>10</v>
      </c>
      <c r="C245" s="4">
        <v>1.3580000000000001</v>
      </c>
      <c r="D245" s="4">
        <v>0.875</v>
      </c>
      <c r="E245" s="4">
        <v>3.6999999999999998E-2</v>
      </c>
      <c r="F245" s="7">
        <v>14.01</v>
      </c>
      <c r="G245" s="6">
        <v>-2.2599999999999999E-2</v>
      </c>
      <c r="H245" s="2">
        <v>1.1599999999999999E-2</v>
      </c>
      <c r="I245">
        <v>0.5</v>
      </c>
      <c r="J245" s="2">
        <v>5.47E-3</v>
      </c>
      <c r="L245" t="str">
        <f t="shared" si="16"/>
        <v xml:space="preserve">    -  10.000</v>
      </c>
      <c r="N245" t="str">
        <f t="shared" si="15"/>
        <v xml:space="preserve">    - [1.358, 0.875, 0.037, 14.01, -0.0226]</v>
      </c>
    </row>
    <row r="246" spans="2:14">
      <c r="B246" s="4">
        <v>15</v>
      </c>
      <c r="C246" s="4">
        <v>1.2669999999999999</v>
      </c>
      <c r="D246" s="4">
        <v>0.84399999999999997</v>
      </c>
      <c r="E246" s="4">
        <v>4.8000000000000001E-2</v>
      </c>
      <c r="F246" s="7">
        <v>14.55</v>
      </c>
      <c r="G246" s="6">
        <v>-3.44E-2</v>
      </c>
      <c r="H246" s="2">
        <v>1.0800000000000001E-2</v>
      </c>
      <c r="I246">
        <v>4</v>
      </c>
      <c r="J246" s="2">
        <v>6.5100000000000002E-3</v>
      </c>
      <c r="L246" t="str">
        <f t="shared" si="16"/>
        <v xml:space="preserve">    -  15.000</v>
      </c>
      <c r="N246" t="str">
        <f t="shared" si="15"/>
        <v xml:space="preserve">    - [1.267, 0.844, 0.048, 14.55, -0.0344]</v>
      </c>
    </row>
    <row r="248" spans="2:14">
      <c r="C248" s="5" t="s">
        <v>59</v>
      </c>
    </row>
    <row r="249" spans="2:14">
      <c r="B249" t="s">
        <v>1</v>
      </c>
      <c r="C249" t="s">
        <v>11</v>
      </c>
      <c r="D249" t="s">
        <v>12</v>
      </c>
      <c r="E249" t="s">
        <v>13</v>
      </c>
      <c r="F249" t="s">
        <v>16</v>
      </c>
      <c r="G249" t="s">
        <v>14</v>
      </c>
      <c r="H249" t="s">
        <v>17</v>
      </c>
      <c r="I249" t="s">
        <v>18</v>
      </c>
      <c r="J249" t="s">
        <v>15</v>
      </c>
    </row>
    <row r="250" spans="2:14">
      <c r="B250" s="4">
        <v>1.4999999999999999E-2</v>
      </c>
      <c r="C250" s="4">
        <v>1.0289999999999999</v>
      </c>
      <c r="D250" s="4">
        <v>0.36399999999999999</v>
      </c>
      <c r="E250" s="4">
        <v>0.24</v>
      </c>
      <c r="F250" s="7">
        <v>14.12</v>
      </c>
      <c r="G250" s="6">
        <v>-0.1704</v>
      </c>
      <c r="H250" s="2">
        <v>4.5999999999999999E-3</v>
      </c>
      <c r="I250">
        <v>25</v>
      </c>
      <c r="J250" s="2">
        <v>2.3600000000000001E-3</v>
      </c>
      <c r="L250" t="str">
        <f t="shared" ref="L250" si="17">CONCATENATE("    -  ",TEXT(B250,"0.000"))</f>
        <v xml:space="preserve">    -  0.015</v>
      </c>
      <c r="N250" t="str">
        <f t="shared" ref="N250:N274" si="18">CONCATENATE("    - [",TEXT(C250,$N$2),", ",TEXT(D250,$N$2),", ",TEXT(E250,$N$2),", ",TEXT(F250,$O$2),", ",TEXT(G250,$P$2),"]")</f>
        <v xml:space="preserve">    - [1.029, 0.364, 0.240, 14.12, -0.1704]</v>
      </c>
    </row>
    <row r="251" spans="2:14">
      <c r="B251" s="4">
        <v>0.02</v>
      </c>
      <c r="C251" s="4">
        <v>1.0669999999999999</v>
      </c>
      <c r="D251" s="4">
        <v>0.38900000000000001</v>
      </c>
      <c r="E251" s="4">
        <v>0.214</v>
      </c>
      <c r="F251" s="7">
        <v>12.68</v>
      </c>
      <c r="G251" s="6">
        <v>-0.11260000000000001</v>
      </c>
      <c r="H251" s="2">
        <v>7.1999999999999998E-3</v>
      </c>
      <c r="I251">
        <v>0.5</v>
      </c>
      <c r="J251" s="2">
        <v>3.5899999999999999E-3</v>
      </c>
      <c r="L251" t="str">
        <f t="shared" ref="L251:L274" si="19">CONCATENATE("    -  ",TEXT(B251,"0.000"))</f>
        <v xml:space="preserve">    -  0.020</v>
      </c>
      <c r="N251" t="str">
        <f t="shared" si="18"/>
        <v xml:space="preserve">    - [1.067, 0.389, 0.214, 12.68, -0.1126]</v>
      </c>
    </row>
    <row r="252" spans="2:14">
      <c r="B252" s="4">
        <v>0.03</v>
      </c>
      <c r="C252" s="4">
        <v>1.212</v>
      </c>
      <c r="D252" s="4">
        <v>0.42099999999999999</v>
      </c>
      <c r="E252" s="4">
        <v>0.20100000000000001</v>
      </c>
      <c r="F252" s="7">
        <v>14.12</v>
      </c>
      <c r="G252" s="6">
        <v>-0.1079</v>
      </c>
      <c r="H252" s="2">
        <v>1.5599999999999999E-2</v>
      </c>
      <c r="I252">
        <v>0.5</v>
      </c>
      <c r="J252" s="2">
        <v>6.1000000000000004E-3</v>
      </c>
      <c r="L252" t="str">
        <f t="shared" si="19"/>
        <v xml:space="preserve">    -  0.030</v>
      </c>
      <c r="N252" t="str">
        <f t="shared" si="18"/>
        <v xml:space="preserve">    - [1.212, 0.421, 0.201, 14.12, -0.1079]</v>
      </c>
    </row>
    <row r="253" spans="2:14">
      <c r="B253" s="4">
        <v>0.04</v>
      </c>
      <c r="C253" s="4">
        <v>1.4550000000000001</v>
      </c>
      <c r="D253" s="4">
        <v>0.49299999999999999</v>
      </c>
      <c r="E253" s="4">
        <v>0.17100000000000001</v>
      </c>
      <c r="F253" s="7">
        <v>14.53</v>
      </c>
      <c r="G253" s="6">
        <v>-9.2499999999999999E-2</v>
      </c>
      <c r="H253" s="2">
        <v>2.01E-2</v>
      </c>
      <c r="I253">
        <v>0.5</v>
      </c>
      <c r="J253" s="2">
        <v>8.3099999999999997E-3</v>
      </c>
      <c r="L253" t="str">
        <f t="shared" si="19"/>
        <v xml:space="preserve">    -  0.040</v>
      </c>
      <c r="N253" t="str">
        <f t="shared" si="18"/>
        <v xml:space="preserve">    - [1.455, 0.493, 0.171, 14.53, -0.0925]</v>
      </c>
    </row>
    <row r="254" spans="2:14">
      <c r="B254" s="4">
        <v>0.05</v>
      </c>
      <c r="C254" s="4">
        <v>1.7370000000000001</v>
      </c>
      <c r="D254" s="4">
        <v>0.628</v>
      </c>
      <c r="E254" s="4">
        <v>0.115</v>
      </c>
      <c r="F254" s="7">
        <v>15.82</v>
      </c>
      <c r="G254" s="6">
        <v>-0.06</v>
      </c>
      <c r="H254" s="2">
        <v>9.7000000000000003E-3</v>
      </c>
      <c r="I254">
        <v>2</v>
      </c>
      <c r="J254" s="2">
        <v>4.9899999999999996E-3</v>
      </c>
      <c r="L254" t="str">
        <f t="shared" si="19"/>
        <v xml:space="preserve">    -  0.050</v>
      </c>
      <c r="N254" t="str">
        <f t="shared" si="18"/>
        <v xml:space="preserve">    - [1.737, 0.628, 0.115, 15.82, -0.0600]</v>
      </c>
    </row>
    <row r="255" spans="2:14">
      <c r="B255" s="4">
        <v>0.06</v>
      </c>
      <c r="C255" s="4">
        <v>2.125</v>
      </c>
      <c r="D255" s="4">
        <v>0.66400000000000003</v>
      </c>
      <c r="E255" s="4">
        <v>0.11799999999999999</v>
      </c>
      <c r="F255" s="7">
        <v>11.9</v>
      </c>
      <c r="G255" s="6">
        <v>-6.1499999999999999E-2</v>
      </c>
      <c r="H255" s="2">
        <v>2.9000000000000001E-2</v>
      </c>
      <c r="I255">
        <v>0.5</v>
      </c>
      <c r="J255" s="2">
        <v>1.389E-2</v>
      </c>
      <c r="L255" t="str">
        <f t="shared" si="19"/>
        <v xml:space="preserve">    -  0.060</v>
      </c>
      <c r="N255" t="str">
        <f t="shared" si="18"/>
        <v xml:space="preserve">    - [2.125, 0.664, 0.118, 11.90, -0.0615]</v>
      </c>
    </row>
    <row r="256" spans="2:14">
      <c r="B256" s="4">
        <v>0.08</v>
      </c>
      <c r="C256" s="4">
        <v>2.5569999999999999</v>
      </c>
      <c r="D256" s="4">
        <v>0.89500000000000002</v>
      </c>
      <c r="E256" s="4">
        <v>4.2000000000000003E-2</v>
      </c>
      <c r="F256" s="7">
        <v>14.37</v>
      </c>
      <c r="G256" s="6">
        <v>-4.1300000000000003E-2</v>
      </c>
      <c r="H256" s="2">
        <v>1.8599999999999998E-2</v>
      </c>
      <c r="I256">
        <v>0.5</v>
      </c>
      <c r="J256" s="2">
        <v>9.58E-3</v>
      </c>
      <c r="L256" t="str">
        <f t="shared" si="19"/>
        <v xml:space="preserve">    -  0.080</v>
      </c>
      <c r="N256" t="str">
        <f t="shared" si="18"/>
        <v xml:space="preserve">    - [2.557, 0.895, 0.042, 14.37, -0.0413]</v>
      </c>
    </row>
    <row r="257" spans="2:14">
      <c r="B257" s="4">
        <v>0.1</v>
      </c>
      <c r="C257" s="4">
        <v>2.766</v>
      </c>
      <c r="D257" s="4">
        <v>1.069</v>
      </c>
      <c r="E257" s="4">
        <v>1E-3</v>
      </c>
      <c r="F257" s="7">
        <v>12.64</v>
      </c>
      <c r="G257" s="6">
        <v>-2.5100000000000001E-2</v>
      </c>
      <c r="H257" s="2">
        <v>1.14E-2</v>
      </c>
      <c r="I257">
        <v>35</v>
      </c>
      <c r="J257" s="2">
        <v>6.2300000000000003E-3</v>
      </c>
      <c r="L257" t="str">
        <f t="shared" si="19"/>
        <v xml:space="preserve">    -  0.100</v>
      </c>
      <c r="N257" t="str">
        <f t="shared" si="18"/>
        <v xml:space="preserve">    - [2.766, 1.069, 0.001, 12.64, -0.0251]</v>
      </c>
    </row>
    <row r="258" spans="2:14">
      <c r="B258" s="4">
        <v>0.15</v>
      </c>
      <c r="C258" s="4">
        <v>2.8239999999999998</v>
      </c>
      <c r="D258" s="4">
        <v>1.3149999999999999</v>
      </c>
      <c r="E258" s="4">
        <v>-4.9000000000000002E-2</v>
      </c>
      <c r="F258" s="7">
        <v>8.66</v>
      </c>
      <c r="G258" s="6">
        <v>-4.7999999999999996E-3</v>
      </c>
      <c r="H258" s="2">
        <v>3.5999999999999999E-3</v>
      </c>
      <c r="I258">
        <v>30</v>
      </c>
      <c r="J258" s="2">
        <v>1.75E-3</v>
      </c>
      <c r="L258" t="str">
        <f t="shared" si="19"/>
        <v xml:space="preserve">    -  0.150</v>
      </c>
      <c r="N258" t="str">
        <f t="shared" si="18"/>
        <v xml:space="preserve">    - [2.824, 1.315, -0.049, 8.66, -0.0048]</v>
      </c>
    </row>
    <row r="259" spans="2:14">
      <c r="B259" s="4">
        <v>0.2</v>
      </c>
      <c r="C259" s="4">
        <v>2.7160000000000002</v>
      </c>
      <c r="D259" s="4">
        <v>1.43</v>
      </c>
      <c r="E259" s="4">
        <v>-7.0000000000000007E-2</v>
      </c>
      <c r="F259" s="7">
        <v>18.52</v>
      </c>
      <c r="G259" s="6">
        <v>1.0800000000000001E-2</v>
      </c>
      <c r="H259" s="2">
        <v>5.0000000000000001E-3</v>
      </c>
      <c r="I259">
        <v>0.5</v>
      </c>
      <c r="J259" s="2">
        <v>1.64E-3</v>
      </c>
      <c r="L259" t="str">
        <f t="shared" si="19"/>
        <v xml:space="preserve">    -  0.200</v>
      </c>
      <c r="N259" t="str">
        <f t="shared" si="18"/>
        <v xml:space="preserve">    - [2.716, 1.430, -0.070, 18.52, 0.0108]</v>
      </c>
    </row>
    <row r="260" spans="2:14">
      <c r="B260" s="4">
        <v>0.3</v>
      </c>
      <c r="C260" s="4">
        <v>2.5219999999999998</v>
      </c>
      <c r="D260" s="4">
        <v>1.492</v>
      </c>
      <c r="E260" s="4">
        <v>-8.2000000000000003E-2</v>
      </c>
      <c r="F260" s="7">
        <v>16.59</v>
      </c>
      <c r="G260" s="6">
        <v>1.61E-2</v>
      </c>
      <c r="H260" s="2">
        <v>4.8999999999999998E-3</v>
      </c>
      <c r="I260">
        <v>40</v>
      </c>
      <c r="J260" s="2">
        <v>2.4599999999999999E-3</v>
      </c>
      <c r="L260" t="str">
        <f t="shared" si="19"/>
        <v xml:space="preserve">    -  0.300</v>
      </c>
      <c r="N260" t="str">
        <f t="shared" si="18"/>
        <v xml:space="preserve">    - [2.522, 1.492, -0.082, 16.59, 0.0161]</v>
      </c>
    </row>
    <row r="261" spans="2:14">
      <c r="B261" s="4">
        <v>0.4</v>
      </c>
      <c r="C261" s="4">
        <v>2.3719999999999999</v>
      </c>
      <c r="D261" s="4">
        <v>1.494</v>
      </c>
      <c r="E261" s="4">
        <v>-8.5000000000000006E-2</v>
      </c>
      <c r="F261" s="7">
        <v>15.96</v>
      </c>
      <c r="G261" s="6">
        <v>1.9400000000000001E-2</v>
      </c>
      <c r="H261" s="2">
        <v>4.0000000000000001E-3</v>
      </c>
      <c r="I261">
        <v>25</v>
      </c>
      <c r="J261" s="2">
        <v>1.9499999999999999E-3</v>
      </c>
      <c r="L261" t="str">
        <f t="shared" si="19"/>
        <v xml:space="preserve">    -  0.400</v>
      </c>
      <c r="N261" t="str">
        <f t="shared" si="18"/>
        <v xml:space="preserve">    - [2.372, 1.494, -0.085, 15.96, 0.0194]</v>
      </c>
    </row>
    <row r="262" spans="2:14">
      <c r="B262" s="4">
        <v>0.5</v>
      </c>
      <c r="C262" s="4">
        <v>2.2709999999999999</v>
      </c>
      <c r="D262" s="4">
        <v>1.466</v>
      </c>
      <c r="E262" s="4">
        <v>-8.2000000000000003E-2</v>
      </c>
      <c r="F262" s="7">
        <v>16.25</v>
      </c>
      <c r="G262" s="6">
        <v>1.95E-2</v>
      </c>
      <c r="H262" s="2">
        <v>2.8E-3</v>
      </c>
      <c r="I262">
        <v>15</v>
      </c>
      <c r="J262" s="2">
        <v>1.6299999999999999E-3</v>
      </c>
      <c r="L262" t="str">
        <f t="shared" si="19"/>
        <v xml:space="preserve">    -  0.500</v>
      </c>
      <c r="N262" t="str">
        <f t="shared" si="18"/>
        <v xml:space="preserve">    - [2.271, 1.466, -0.082, 16.25, 0.0195]</v>
      </c>
    </row>
    <row r="263" spans="2:14">
      <c r="B263" s="4">
        <v>0.6</v>
      </c>
      <c r="C263" s="4">
        <v>2.1920000000000002</v>
      </c>
      <c r="D263" s="4">
        <v>1.4339999999999999</v>
      </c>
      <c r="E263" s="4">
        <v>-7.8E-2</v>
      </c>
      <c r="F263" s="7">
        <v>17.02</v>
      </c>
      <c r="G263" s="6">
        <v>1.9900000000000001E-2</v>
      </c>
      <c r="H263" s="2">
        <v>5.4999999999999997E-3</v>
      </c>
      <c r="I263">
        <v>1</v>
      </c>
      <c r="J263" s="2">
        <v>2.4199999999999998E-3</v>
      </c>
      <c r="L263" t="str">
        <f t="shared" si="19"/>
        <v xml:space="preserve">    -  0.600</v>
      </c>
      <c r="N263" t="str">
        <f t="shared" si="18"/>
        <v xml:space="preserve">    - [2.192, 1.434, -0.078, 17.02, 0.0199]</v>
      </c>
    </row>
    <row r="264" spans="2:14">
      <c r="B264" s="4">
        <v>0.8</v>
      </c>
      <c r="C264" s="4">
        <v>2.0659999999999998</v>
      </c>
      <c r="D264" s="4">
        <v>1.3859999999999999</v>
      </c>
      <c r="E264" s="4">
        <v>-7.2999999999999995E-2</v>
      </c>
      <c r="F264" s="7">
        <v>15.07</v>
      </c>
      <c r="G264" s="6">
        <v>2.0199999999999999E-2</v>
      </c>
      <c r="H264" s="2">
        <v>6.7999999999999996E-3</v>
      </c>
      <c r="I264">
        <v>35</v>
      </c>
      <c r="J264" s="2">
        <v>2.96E-3</v>
      </c>
      <c r="L264" t="str">
        <f t="shared" si="19"/>
        <v xml:space="preserve">    -  0.800</v>
      </c>
      <c r="N264" t="str">
        <f t="shared" si="18"/>
        <v xml:space="preserve">    - [2.066, 1.386, -0.073, 15.07, 0.0202]</v>
      </c>
    </row>
    <row r="265" spans="2:14">
      <c r="B265" s="4">
        <v>1</v>
      </c>
      <c r="C265" s="4">
        <v>1.982</v>
      </c>
      <c r="D265" s="4">
        <v>1.3320000000000001</v>
      </c>
      <c r="E265" s="4">
        <v>-6.5000000000000002E-2</v>
      </c>
      <c r="F265" s="7">
        <v>15.38</v>
      </c>
      <c r="G265" s="6">
        <v>1.9300000000000001E-2</v>
      </c>
      <c r="H265" s="2">
        <v>4.5999999999999999E-3</v>
      </c>
      <c r="I265">
        <v>35</v>
      </c>
      <c r="J265" s="2">
        <v>1.89E-3</v>
      </c>
      <c r="L265" t="str">
        <f t="shared" si="19"/>
        <v xml:space="preserve">    -  1.000</v>
      </c>
      <c r="N265" t="str">
        <f t="shared" si="18"/>
        <v xml:space="preserve">    - [1.982, 1.332, -0.065, 15.38, 0.0193]</v>
      </c>
    </row>
    <row r="266" spans="2:14">
      <c r="B266" s="4">
        <v>1.5</v>
      </c>
      <c r="C266" s="4">
        <v>1.8480000000000001</v>
      </c>
      <c r="D266" s="4">
        <v>1.2270000000000001</v>
      </c>
      <c r="E266" s="4">
        <v>-4.7E-2</v>
      </c>
      <c r="F266" s="7">
        <v>16.41</v>
      </c>
      <c r="G266" s="6">
        <v>1.6E-2</v>
      </c>
      <c r="H266" s="2">
        <v>6.4000000000000003E-3</v>
      </c>
      <c r="I266">
        <v>0.5</v>
      </c>
      <c r="J266" s="2">
        <v>3.1700000000000001E-3</v>
      </c>
      <c r="L266" t="str">
        <f t="shared" si="19"/>
        <v xml:space="preserve">    -  1.500</v>
      </c>
      <c r="N266" t="str">
        <f t="shared" si="18"/>
        <v xml:space="preserve">    - [1.848, 1.227, -0.047, 16.41, 0.0160]</v>
      </c>
    </row>
    <row r="267" spans="2:14">
      <c r="B267" s="4">
        <v>2</v>
      </c>
      <c r="C267" s="4">
        <v>1.7749999999999999</v>
      </c>
      <c r="D267" s="4">
        <v>1.1539999999999999</v>
      </c>
      <c r="E267" s="4">
        <v>-3.3000000000000002E-2</v>
      </c>
      <c r="F267" s="7">
        <v>14.35</v>
      </c>
      <c r="G267" s="6">
        <v>0.01</v>
      </c>
      <c r="H267" s="2">
        <v>6.4000000000000003E-3</v>
      </c>
      <c r="I267">
        <v>40</v>
      </c>
      <c r="J267" s="2">
        <v>1.9400000000000001E-3</v>
      </c>
      <c r="L267" t="str">
        <f t="shared" si="19"/>
        <v xml:space="preserve">    -  2.000</v>
      </c>
      <c r="N267" t="str">
        <f t="shared" si="18"/>
        <v xml:space="preserve">    - [1.775, 1.154, -0.033, 14.35, 0.0100]</v>
      </c>
    </row>
    <row r="268" spans="2:14">
      <c r="B268" s="4">
        <v>3</v>
      </c>
      <c r="C268" s="4">
        <v>1.671</v>
      </c>
      <c r="D268" s="4">
        <v>1.054</v>
      </c>
      <c r="E268" s="4">
        <v>-0.01</v>
      </c>
      <c r="F268" s="7">
        <v>10.47</v>
      </c>
      <c r="G268" s="6">
        <v>-8.0000000000000004E-4</v>
      </c>
      <c r="H268" s="2">
        <v>3.0999999999999999E-3</v>
      </c>
      <c r="I268">
        <v>3</v>
      </c>
      <c r="J268" s="2">
        <v>1.5200000000000001E-3</v>
      </c>
      <c r="L268" t="str">
        <f t="shared" si="19"/>
        <v xml:space="preserve">    -  3.000</v>
      </c>
      <c r="N268" t="str">
        <f t="shared" si="18"/>
        <v xml:space="preserve">    - [1.671, 1.054, -0.010, 10.47, -0.0008]</v>
      </c>
    </row>
    <row r="269" spans="2:14">
      <c r="B269" s="4">
        <v>4</v>
      </c>
      <c r="C269" s="4">
        <v>1.597</v>
      </c>
      <c r="D269" s="4">
        <v>0.98799999999999999</v>
      </c>
      <c r="E269" s="4">
        <v>8.0000000000000002E-3</v>
      </c>
      <c r="F269" s="7">
        <v>12.53</v>
      </c>
      <c r="G269" s="6">
        <v>-1.15E-2</v>
      </c>
      <c r="H269" s="2">
        <v>8.0999999999999996E-3</v>
      </c>
      <c r="I269">
        <v>1</v>
      </c>
      <c r="J269" s="2">
        <v>4.3299999999999996E-3</v>
      </c>
      <c r="L269" t="str">
        <f t="shared" si="19"/>
        <v xml:space="preserve">    -  4.000</v>
      </c>
      <c r="N269" t="str">
        <f t="shared" si="18"/>
        <v xml:space="preserve">    - [1.597, 0.988, 0.008, 12.53, -0.0115]</v>
      </c>
    </row>
    <row r="270" spans="2:14">
      <c r="B270" s="4">
        <v>5</v>
      </c>
      <c r="C270" s="4">
        <v>1.5269999999999999</v>
      </c>
      <c r="D270" s="4">
        <v>0.95099999999999996</v>
      </c>
      <c r="E270" s="4">
        <v>0.02</v>
      </c>
      <c r="F270" s="7">
        <v>9.99</v>
      </c>
      <c r="G270" s="6">
        <v>-1.84E-2</v>
      </c>
      <c r="H270" s="2">
        <v>7.1000000000000004E-3</v>
      </c>
      <c r="I270">
        <v>40</v>
      </c>
      <c r="J270" s="2">
        <v>3.5200000000000001E-3</v>
      </c>
      <c r="L270" t="str">
        <f t="shared" si="19"/>
        <v xml:space="preserve">    -  5.000</v>
      </c>
      <c r="N270" t="str">
        <f t="shared" si="18"/>
        <v xml:space="preserve">    - [1.527, 0.951, 0.020, 9.99, -0.0184]</v>
      </c>
    </row>
    <row r="271" spans="2:14">
      <c r="B271" s="4">
        <v>6</v>
      </c>
      <c r="C271" s="4">
        <v>1.478</v>
      </c>
      <c r="D271" s="4">
        <v>0.94</v>
      </c>
      <c r="E271" s="4">
        <v>2.1000000000000001E-2</v>
      </c>
      <c r="F271" s="7">
        <v>13.11</v>
      </c>
      <c r="G271" s="6">
        <v>-1.6299999999999999E-2</v>
      </c>
      <c r="H271" s="2">
        <v>1.2999999999999999E-2</v>
      </c>
      <c r="I271">
        <v>0.5</v>
      </c>
      <c r="J271" s="2">
        <v>5.5999999999999999E-3</v>
      </c>
      <c r="L271" t="str">
        <f t="shared" si="19"/>
        <v xml:space="preserve">    -  6.000</v>
      </c>
      <c r="N271" t="str">
        <f t="shared" si="18"/>
        <v xml:space="preserve">    - [1.478, 0.940, 0.021, 13.11, -0.0163]</v>
      </c>
    </row>
    <row r="272" spans="2:14">
      <c r="B272" s="4">
        <v>8</v>
      </c>
      <c r="C272" s="4">
        <v>1.395</v>
      </c>
      <c r="D272" s="4">
        <v>0.91700000000000004</v>
      </c>
      <c r="E272" s="4">
        <v>2.8000000000000001E-2</v>
      </c>
      <c r="F272" s="7">
        <v>13.45</v>
      </c>
      <c r="G272" s="6">
        <v>-2.1299999999999999E-2</v>
      </c>
      <c r="H272" s="2">
        <v>1.4200000000000001E-2</v>
      </c>
      <c r="I272">
        <v>0.5</v>
      </c>
      <c r="J272" s="2">
        <v>6.0400000000000002E-3</v>
      </c>
      <c r="L272" t="str">
        <f t="shared" si="19"/>
        <v xml:space="preserve">    -  8.000</v>
      </c>
      <c r="N272" t="str">
        <f t="shared" si="18"/>
        <v xml:space="preserve">    - [1.395, 0.917, 0.028, 13.45, -0.0213]</v>
      </c>
    </row>
    <row r="273" spans="2:14">
      <c r="B273" s="4">
        <v>10</v>
      </c>
      <c r="C273" s="4">
        <v>1.3340000000000001</v>
      </c>
      <c r="D273" s="4">
        <v>0.90100000000000002</v>
      </c>
      <c r="E273" s="4">
        <v>3.5000000000000003E-2</v>
      </c>
      <c r="F273" s="7">
        <v>12.56</v>
      </c>
      <c r="G273" s="6">
        <v>-2.6700000000000002E-2</v>
      </c>
      <c r="H273" s="2">
        <v>1.4800000000000001E-2</v>
      </c>
      <c r="I273">
        <v>0.5</v>
      </c>
      <c r="J273" s="2">
        <v>6.2300000000000003E-3</v>
      </c>
      <c r="L273" t="str">
        <f t="shared" si="19"/>
        <v xml:space="preserve">    -  10.000</v>
      </c>
      <c r="N273" t="str">
        <f t="shared" si="18"/>
        <v xml:space="preserve">    - [1.334, 0.901, 0.035, 12.56, -0.0267]</v>
      </c>
    </row>
    <row r="274" spans="2:14">
      <c r="B274" s="4">
        <v>15</v>
      </c>
      <c r="C274" s="4">
        <v>1.26</v>
      </c>
      <c r="D274" s="4">
        <v>0.82299999999999995</v>
      </c>
      <c r="E274" s="4">
        <v>6.5000000000000002E-2</v>
      </c>
      <c r="F274" s="7">
        <v>14.28</v>
      </c>
      <c r="G274" s="6">
        <v>-5.8099999999999999E-2</v>
      </c>
      <c r="H274" s="2">
        <v>1.9599999999999999E-2</v>
      </c>
      <c r="I274">
        <v>3</v>
      </c>
      <c r="J274" s="2">
        <v>1.1509999999999999E-2</v>
      </c>
      <c r="L274" t="str">
        <f t="shared" si="19"/>
        <v xml:space="preserve">    -  15.000</v>
      </c>
      <c r="N274" t="str">
        <f t="shared" si="18"/>
        <v xml:space="preserve">    - [1.260, 0.823, 0.065, 14.28, -0.0581]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FBBDC-A503-4AE2-BD56-3F6288C5953B}">
  <sheetPr codeName="Sheet3"/>
  <dimension ref="A1:H30"/>
  <sheetViews>
    <sheetView workbookViewId="0"/>
  </sheetViews>
  <sheetFormatPr baseColWidth="10" defaultColWidth="8.83203125" defaultRowHeight="15"/>
  <cols>
    <col min="3" max="6" width="9.5" bestFit="1" customWidth="1"/>
    <col min="7" max="7" width="11.5" bestFit="1" customWidth="1"/>
    <col min="8" max="8" width="9.5" bestFit="1" customWidth="1"/>
  </cols>
  <sheetData>
    <row r="1" spans="1:8">
      <c r="A1" t="s">
        <v>0</v>
      </c>
      <c r="C1" s="5" t="s">
        <v>49</v>
      </c>
    </row>
    <row r="2" spans="1:8">
      <c r="B2" t="s">
        <v>1</v>
      </c>
      <c r="C2" t="s">
        <v>20</v>
      </c>
    </row>
    <row r="3" spans="1:8">
      <c r="B3">
        <v>0.01</v>
      </c>
      <c r="C3" s="3">
        <v>4.6399999999999997</v>
      </c>
      <c r="D3" s="3"/>
      <c r="E3" s="3"/>
      <c r="F3" s="3" t="str">
        <f>CONCATENATE("    - ", TEXT(B3,"0.000"))</f>
        <v xml:space="preserve">    - 0.010</v>
      </c>
      <c r="G3" s="3" t="str">
        <f>CONCATENATE("    - ", TEXT(C3,"0.000E+00"))</f>
        <v xml:space="preserve">    - 4.640E+00</v>
      </c>
      <c r="H3" s="3"/>
    </row>
    <row r="4" spans="1:8">
      <c r="B4" s="4">
        <v>1.4999999999999999E-2</v>
      </c>
      <c r="C4" s="3">
        <v>1.3</v>
      </c>
      <c r="D4" s="3"/>
      <c r="E4" s="3"/>
      <c r="F4" s="3" t="str">
        <f t="shared" ref="F4:F29" si="0">CONCATENATE("    - ", TEXT(B4,"0.000"))</f>
        <v xml:space="preserve">    - 0.015</v>
      </c>
      <c r="G4" s="3" t="str">
        <f t="shared" ref="G4:G29" si="1">CONCATENATE("    - ", TEXT(C4,"0.000E+00"))</f>
        <v xml:space="preserve">    - 1.300E+00</v>
      </c>
      <c r="H4" s="3"/>
    </row>
    <row r="5" spans="1:8">
      <c r="B5" s="4">
        <v>0.02</v>
      </c>
      <c r="C5" s="3">
        <v>0.52549999999999997</v>
      </c>
      <c r="D5" s="3"/>
      <c r="E5" s="3"/>
      <c r="F5" s="3" t="str">
        <f t="shared" si="0"/>
        <v xml:space="preserve">    - 0.020</v>
      </c>
      <c r="G5" s="3" t="str">
        <f t="shared" si="1"/>
        <v xml:space="preserve">    - 5.255E-01</v>
      </c>
      <c r="H5" s="3"/>
    </row>
    <row r="6" spans="1:8">
      <c r="B6" s="4">
        <v>0.03</v>
      </c>
      <c r="C6" s="3">
        <v>0.15010000000000001</v>
      </c>
      <c r="D6" s="3"/>
      <c r="E6" s="3"/>
      <c r="F6" s="3" t="str">
        <f t="shared" si="0"/>
        <v xml:space="preserve">    - 0.030</v>
      </c>
      <c r="G6" s="3" t="str">
        <f t="shared" si="1"/>
        <v xml:space="preserve">    - 1.501E-01</v>
      </c>
      <c r="H6" s="3"/>
    </row>
    <row r="7" spans="1:8">
      <c r="B7" s="4">
        <v>0.04</v>
      </c>
      <c r="C7" s="3">
        <v>6.694E-2</v>
      </c>
      <c r="D7" s="3"/>
      <c r="E7" s="3"/>
      <c r="F7" s="3" t="str">
        <f t="shared" si="0"/>
        <v xml:space="preserve">    - 0.040</v>
      </c>
      <c r="G7" s="3" t="str">
        <f t="shared" si="1"/>
        <v xml:space="preserve">    - 6.694E-02</v>
      </c>
      <c r="H7" s="3"/>
    </row>
    <row r="8" spans="1:8">
      <c r="B8" s="4">
        <v>0.05</v>
      </c>
      <c r="C8" s="3">
        <v>4.0309999999999999E-2</v>
      </c>
      <c r="D8" s="3"/>
      <c r="E8" s="3"/>
      <c r="F8" s="3" t="str">
        <f t="shared" si="0"/>
        <v xml:space="preserve">    - 0.050</v>
      </c>
      <c r="G8" s="3" t="str">
        <f t="shared" si="1"/>
        <v xml:space="preserve">    - 4.031E-02</v>
      </c>
      <c r="H8" s="3"/>
    </row>
    <row r="9" spans="1:8">
      <c r="B9" s="4">
        <v>0.06</v>
      </c>
      <c r="C9" s="3">
        <v>3.0040000000000001E-2</v>
      </c>
      <c r="D9" s="3"/>
      <c r="E9" s="3"/>
      <c r="F9" s="3" t="str">
        <f t="shared" si="0"/>
        <v xml:space="preserve">    - 0.060</v>
      </c>
      <c r="G9" s="3" t="str">
        <f t="shared" si="1"/>
        <v xml:space="preserve">    - 3.004E-02</v>
      </c>
      <c r="H9" s="3"/>
    </row>
    <row r="10" spans="1:8">
      <c r="B10" s="4">
        <v>0.08</v>
      </c>
      <c r="C10" s="3">
        <v>2.393E-2</v>
      </c>
      <c r="D10" s="3"/>
      <c r="E10" s="3"/>
      <c r="F10" s="3" t="str">
        <f t="shared" si="0"/>
        <v xml:space="preserve">    - 0.080</v>
      </c>
      <c r="G10" s="3" t="str">
        <f t="shared" si="1"/>
        <v xml:space="preserve">    - 2.393E-02</v>
      </c>
      <c r="H10" s="3"/>
    </row>
    <row r="11" spans="1:8">
      <c r="B11" s="4">
        <v>0.1</v>
      </c>
      <c r="C11" s="3">
        <v>2.3179999999999999E-2</v>
      </c>
      <c r="D11" s="3"/>
      <c r="E11" s="3"/>
      <c r="F11" s="3" t="str">
        <f t="shared" si="0"/>
        <v xml:space="preserve">    - 0.100</v>
      </c>
      <c r="G11" s="3" t="str">
        <f t="shared" si="1"/>
        <v xml:space="preserve">    - 2.318E-02</v>
      </c>
      <c r="H11" s="3"/>
    </row>
    <row r="12" spans="1:8">
      <c r="B12" s="4">
        <v>0.15</v>
      </c>
      <c r="C12" s="3">
        <v>2.494E-2</v>
      </c>
      <c r="D12" s="3"/>
      <c r="E12" s="3"/>
      <c r="F12" s="3" t="str">
        <f t="shared" si="0"/>
        <v xml:space="preserve">    - 0.150</v>
      </c>
      <c r="G12" s="3" t="str">
        <f t="shared" si="1"/>
        <v xml:space="preserve">    - 2.494E-02</v>
      </c>
      <c r="H12" s="3"/>
    </row>
    <row r="13" spans="1:8">
      <c r="B13" s="4">
        <v>0.2</v>
      </c>
      <c r="C13" s="3">
        <v>2.6720000000000001E-2</v>
      </c>
      <c r="D13" s="3"/>
      <c r="E13" s="3"/>
      <c r="F13" s="3" t="str">
        <f t="shared" si="0"/>
        <v xml:space="preserve">    - 0.200</v>
      </c>
      <c r="G13" s="3" t="str">
        <f t="shared" si="1"/>
        <v xml:space="preserve">    - 2.672E-02</v>
      </c>
      <c r="H13" s="3"/>
    </row>
    <row r="14" spans="1:8">
      <c r="B14" s="4">
        <v>0.3</v>
      </c>
      <c r="C14" s="3">
        <v>2.8719999999999999E-2</v>
      </c>
      <c r="D14" s="3"/>
      <c r="E14" s="3"/>
      <c r="F14" s="3" t="str">
        <f t="shared" si="0"/>
        <v xml:space="preserve">    - 0.300</v>
      </c>
      <c r="G14" s="3" t="str">
        <f t="shared" si="1"/>
        <v xml:space="preserve">    - 2.872E-02</v>
      </c>
      <c r="H14" s="3"/>
    </row>
    <row r="15" spans="1:8">
      <c r="B15" s="4">
        <v>0.4</v>
      </c>
      <c r="C15" s="3">
        <v>2.9489999999999999E-2</v>
      </c>
      <c r="D15" s="3"/>
      <c r="E15" s="3"/>
      <c r="F15" s="3" t="str">
        <f t="shared" si="0"/>
        <v xml:space="preserve">    - 0.400</v>
      </c>
      <c r="G15" s="3" t="str">
        <f t="shared" si="1"/>
        <v xml:space="preserve">    - 2.949E-02</v>
      </c>
      <c r="H15" s="3"/>
    </row>
    <row r="16" spans="1:8">
      <c r="B16" s="4">
        <v>0.5</v>
      </c>
      <c r="C16" s="3">
        <v>2.9659999999999999E-2</v>
      </c>
      <c r="D16" s="3"/>
      <c r="E16" s="3"/>
      <c r="F16" s="3" t="str">
        <f t="shared" si="0"/>
        <v xml:space="preserve">    - 0.500</v>
      </c>
      <c r="G16" s="3" t="str">
        <f t="shared" si="1"/>
        <v xml:space="preserve">    - 2.966E-02</v>
      </c>
      <c r="H16" s="3"/>
    </row>
    <row r="17" spans="2:8">
      <c r="B17" s="4">
        <v>0.6</v>
      </c>
      <c r="C17" s="3">
        <v>2.9530000000000001E-2</v>
      </c>
      <c r="D17" s="3"/>
      <c r="E17" s="3"/>
      <c r="F17" s="3" t="str">
        <f t="shared" si="0"/>
        <v xml:space="preserve">    - 0.600</v>
      </c>
      <c r="G17" s="3" t="str">
        <f t="shared" si="1"/>
        <v xml:space="preserve">    - 2.953E-02</v>
      </c>
      <c r="H17" s="3"/>
    </row>
    <row r="18" spans="2:8">
      <c r="B18" s="4">
        <v>0.8</v>
      </c>
      <c r="C18" s="3">
        <v>2.8819999999999998E-2</v>
      </c>
      <c r="D18" s="3"/>
      <c r="E18" s="3"/>
      <c r="F18" s="3" t="str">
        <f t="shared" si="0"/>
        <v xml:space="preserve">    - 0.800</v>
      </c>
      <c r="G18" s="3" t="str">
        <f t="shared" si="1"/>
        <v xml:space="preserve">    - 2.882E-02</v>
      </c>
      <c r="H18" s="3"/>
    </row>
    <row r="19" spans="2:8">
      <c r="B19" s="4">
        <v>1</v>
      </c>
      <c r="C19" s="3">
        <v>2.7869999999999999E-2</v>
      </c>
      <c r="D19" s="3"/>
      <c r="E19" s="3"/>
      <c r="F19" s="3" t="str">
        <f t="shared" si="0"/>
        <v xml:space="preserve">    - 1.000</v>
      </c>
      <c r="G19" s="3" t="str">
        <f t="shared" si="1"/>
        <v xml:space="preserve">    - 2.787E-02</v>
      </c>
      <c r="H19" s="3"/>
    </row>
    <row r="20" spans="2:8">
      <c r="B20" s="4">
        <v>1.5</v>
      </c>
      <c r="C20" s="3">
        <v>2.545E-2</v>
      </c>
      <c r="D20" s="3"/>
      <c r="E20" s="3"/>
      <c r="F20" s="3" t="str">
        <f t="shared" si="0"/>
        <v xml:space="preserve">    - 1.500</v>
      </c>
      <c r="G20" s="3" t="str">
        <f t="shared" si="1"/>
        <v xml:space="preserve">    - 2.545E-02</v>
      </c>
      <c r="H20" s="3"/>
    </row>
    <row r="21" spans="2:8">
      <c r="B21" s="4">
        <v>2</v>
      </c>
      <c r="C21" s="3">
        <v>2.342E-2</v>
      </c>
      <c r="D21" s="3"/>
      <c r="E21" s="3"/>
      <c r="F21" s="3" t="str">
        <f t="shared" si="0"/>
        <v xml:space="preserve">    - 2.000</v>
      </c>
      <c r="G21" s="3" t="str">
        <f t="shared" si="1"/>
        <v xml:space="preserve">    - 2.342E-02</v>
      </c>
      <c r="H21" s="3"/>
    </row>
    <row r="22" spans="2:8">
      <c r="B22" s="4">
        <v>3</v>
      </c>
      <c r="C22" s="3">
        <v>2.0539999999999999E-2</v>
      </c>
      <c r="D22" s="3"/>
      <c r="E22" s="3"/>
      <c r="F22" s="3" t="str">
        <f t="shared" si="0"/>
        <v xml:space="preserve">    - 3.000</v>
      </c>
      <c r="G22" s="3" t="str">
        <f t="shared" si="1"/>
        <v xml:space="preserve">    - 2.054E-02</v>
      </c>
      <c r="H22" s="3"/>
    </row>
    <row r="23" spans="2:8">
      <c r="B23" s="4">
        <v>4</v>
      </c>
      <c r="C23" s="3">
        <v>1.866E-2</v>
      </c>
      <c r="D23" s="3"/>
      <c r="E23" s="3"/>
      <c r="F23" s="3" t="str">
        <f t="shared" si="0"/>
        <v xml:space="preserve">    - 4.000</v>
      </c>
      <c r="G23" s="3" t="str">
        <f t="shared" si="1"/>
        <v xml:space="preserve">    - 1.866E-02</v>
      </c>
      <c r="H23" s="3"/>
    </row>
    <row r="24" spans="2:8">
      <c r="B24" s="4">
        <v>5</v>
      </c>
      <c r="C24" s="3">
        <v>1.737E-2</v>
      </c>
      <c r="D24" s="3"/>
      <c r="E24" s="3"/>
      <c r="F24" s="3" t="str">
        <f t="shared" si="0"/>
        <v xml:space="preserve">    - 5.000</v>
      </c>
      <c r="G24" s="3" t="str">
        <f t="shared" si="1"/>
        <v xml:space="preserve">    - 1.737E-02</v>
      </c>
      <c r="H24" s="3"/>
    </row>
    <row r="25" spans="2:8">
      <c r="B25" s="4">
        <v>6</v>
      </c>
      <c r="C25" s="3">
        <v>1.644E-2</v>
      </c>
      <c r="D25" s="3"/>
      <c r="E25" s="3"/>
      <c r="F25" s="3" t="str">
        <f t="shared" si="0"/>
        <v xml:space="preserve">    - 6.000</v>
      </c>
      <c r="G25" s="3" t="str">
        <f t="shared" si="1"/>
        <v xml:space="preserve">    - 1.644E-02</v>
      </c>
      <c r="H25" s="3"/>
    </row>
    <row r="26" spans="2:8">
      <c r="B26" s="4">
        <v>8</v>
      </c>
      <c r="C26" s="3">
        <v>1.521E-2</v>
      </c>
      <c r="D26" s="3"/>
      <c r="E26" s="3"/>
      <c r="F26" s="3" t="str">
        <f t="shared" si="0"/>
        <v xml:space="preserve">    - 8.000</v>
      </c>
      <c r="G26" s="3" t="str">
        <f t="shared" si="1"/>
        <v xml:space="preserve">    - 1.521E-02</v>
      </c>
      <c r="H26" s="3"/>
    </row>
    <row r="27" spans="2:8">
      <c r="B27" s="4">
        <v>10</v>
      </c>
      <c r="C27" s="3">
        <v>1.4460000000000001E-2</v>
      </c>
      <c r="D27" s="3"/>
      <c r="E27" s="3"/>
      <c r="F27" s="3" t="str">
        <f t="shared" si="0"/>
        <v xml:space="preserve">    - 10.000</v>
      </c>
      <c r="G27" s="3" t="str">
        <f t="shared" si="1"/>
        <v xml:space="preserve">    - 1.446E-02</v>
      </c>
      <c r="H27" s="3"/>
    </row>
    <row r="28" spans="2:8">
      <c r="B28" s="4">
        <v>15</v>
      </c>
      <c r="C28" s="3">
        <v>1.349E-2</v>
      </c>
      <c r="D28" s="3"/>
      <c r="E28" s="3"/>
      <c r="F28" s="3" t="str">
        <f t="shared" si="0"/>
        <v xml:space="preserve">    - 15.000</v>
      </c>
      <c r="G28" s="3" t="str">
        <f t="shared" si="1"/>
        <v xml:space="preserve">    - 1.349E-02</v>
      </c>
      <c r="H28" s="3"/>
    </row>
    <row r="29" spans="2:8">
      <c r="B29" s="4">
        <v>20</v>
      </c>
      <c r="C29" s="3">
        <v>1.308E-2</v>
      </c>
      <c r="D29" s="3"/>
      <c r="E29" s="3"/>
      <c r="F29" s="3" t="str">
        <f t="shared" si="0"/>
        <v xml:space="preserve">    - 20.000</v>
      </c>
      <c r="G29" s="3" t="str">
        <f t="shared" si="1"/>
        <v xml:space="preserve">    - 1.308E-02</v>
      </c>
      <c r="H29" s="3"/>
    </row>
    <row r="30" spans="2:8">
      <c r="B30" s="4"/>
      <c r="C30" s="3"/>
      <c r="D30" s="3"/>
      <c r="E30" s="3"/>
      <c r="F30" s="3"/>
      <c r="G30" s="3"/>
      <c r="H30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088EB-037B-4F26-A82C-1496D4EC6593}">
  <sheetPr codeName="Sheet4"/>
  <dimension ref="B1:P248"/>
  <sheetViews>
    <sheetView workbookViewId="0"/>
  </sheetViews>
  <sheetFormatPr baseColWidth="10" defaultColWidth="8.83203125" defaultRowHeight="15"/>
  <sheetData>
    <row r="1" spans="2:16">
      <c r="C1" s="5" t="s">
        <v>86</v>
      </c>
      <c r="N1" t="s">
        <v>63</v>
      </c>
    </row>
    <row r="2" spans="2:16">
      <c r="C2" s="5" t="s">
        <v>51</v>
      </c>
      <c r="N2" s="8" t="s">
        <v>60</v>
      </c>
      <c r="O2" s="8" t="s">
        <v>61</v>
      </c>
      <c r="P2" s="8" t="s">
        <v>62</v>
      </c>
    </row>
    <row r="3" spans="2:16">
      <c r="B3" t="s">
        <v>1</v>
      </c>
      <c r="C3" t="s">
        <v>87</v>
      </c>
      <c r="D3" t="s">
        <v>88</v>
      </c>
      <c r="E3" t="s">
        <v>89</v>
      </c>
      <c r="F3" t="s">
        <v>17</v>
      </c>
      <c r="G3" t="s">
        <v>18</v>
      </c>
      <c r="H3" t="s">
        <v>17</v>
      </c>
      <c r="I3" t="s">
        <v>18</v>
      </c>
      <c r="J3" t="s">
        <v>15</v>
      </c>
    </row>
    <row r="4" spans="2:16">
      <c r="B4">
        <v>1.4999999999999999E-2</v>
      </c>
      <c r="C4">
        <v>0.126</v>
      </c>
      <c r="D4">
        <v>0</v>
      </c>
      <c r="E4">
        <v>-2.9999999999999997E-4</v>
      </c>
      <c r="F4">
        <v>0</v>
      </c>
      <c r="G4">
        <v>1</v>
      </c>
      <c r="H4">
        <v>-0.9</v>
      </c>
      <c r="I4">
        <v>2</v>
      </c>
      <c r="J4">
        <v>0.7</v>
      </c>
      <c r="L4" t="str">
        <f>CONCATENATE("    -  ",TEXT(B4,"0.000"))</f>
        <v xml:space="preserve">    -  0.015</v>
      </c>
      <c r="N4" t="str">
        <f t="shared" ref="N4:N28" si="0">CONCATENATE("    - [",TEXT(C4,$N$2),", ",TEXT(D4,$N$2),", ",TEXT(E4,$N$2),", ",TEXT(F4,$O$2),", ",TEXT(G4,$P$2),"]")</f>
        <v xml:space="preserve">    - [0.126, 0.000, 0.000, 0.00, 1.0000]</v>
      </c>
    </row>
    <row r="5" spans="2:16">
      <c r="B5">
        <v>0.02</v>
      </c>
      <c r="C5">
        <v>1.0009999999999999</v>
      </c>
      <c r="D5">
        <v>-1.2999999999999999E-3</v>
      </c>
      <c r="E5">
        <v>-9.6299999999999997E-2</v>
      </c>
      <c r="F5">
        <v>0.1</v>
      </c>
      <c r="G5">
        <v>35</v>
      </c>
      <c r="H5">
        <v>-1.6</v>
      </c>
      <c r="I5">
        <v>3</v>
      </c>
      <c r="J5">
        <v>1</v>
      </c>
      <c r="L5" t="str">
        <f t="shared" ref="L5:L28" si="1">CONCATENATE("    -  ",TEXT(B5,"0.000"))</f>
        <v xml:space="preserve">    -  0.020</v>
      </c>
      <c r="N5" t="str">
        <f t="shared" si="0"/>
        <v xml:space="preserve">    - [1.001, -0.001, -0.096, 0.10, 35.0000]</v>
      </c>
    </row>
    <row r="6" spans="2:16">
      <c r="B6">
        <v>0.03</v>
      </c>
      <c r="C6">
        <v>1.0900000000000001</v>
      </c>
      <c r="D6">
        <v>0</v>
      </c>
      <c r="E6">
        <v>9.5000000000000001E-2</v>
      </c>
      <c r="F6">
        <v>0.2</v>
      </c>
      <c r="G6">
        <v>25</v>
      </c>
      <c r="H6">
        <v>-2.2999999999999998</v>
      </c>
      <c r="I6">
        <v>2</v>
      </c>
      <c r="J6">
        <v>1.4</v>
      </c>
      <c r="L6" t="str">
        <f t="shared" si="1"/>
        <v xml:space="preserve">    -  0.030</v>
      </c>
      <c r="N6" t="str">
        <f t="shared" si="0"/>
        <v xml:space="preserve">    - [1.090, 0.000, 0.095, 0.20, 25.0000]</v>
      </c>
    </row>
    <row r="7" spans="2:16">
      <c r="B7">
        <v>0.04</v>
      </c>
      <c r="C7">
        <v>1.1319999999999999</v>
      </c>
      <c r="D7">
        <v>-1.1999999999999999E-3</v>
      </c>
      <c r="E7">
        <v>0.33579999999999999</v>
      </c>
      <c r="F7">
        <v>0.4</v>
      </c>
      <c r="G7">
        <v>5</v>
      </c>
      <c r="H7">
        <v>-2</v>
      </c>
      <c r="I7">
        <v>1</v>
      </c>
      <c r="J7">
        <v>1</v>
      </c>
      <c r="L7" t="str">
        <f t="shared" si="1"/>
        <v xml:space="preserve">    -  0.040</v>
      </c>
      <c r="N7" t="str">
        <f t="shared" si="0"/>
        <v xml:space="preserve">    - [1.132, -0.001, 0.336, 0.40, 5.0000]</v>
      </c>
    </row>
    <row r="8" spans="2:16">
      <c r="B8">
        <v>0.05</v>
      </c>
      <c r="C8">
        <v>1.3120000000000001</v>
      </c>
      <c r="D8">
        <v>-4.0000000000000002E-4</v>
      </c>
      <c r="E8">
        <v>0.17710000000000001</v>
      </c>
      <c r="F8">
        <v>0.3</v>
      </c>
      <c r="G8">
        <v>10</v>
      </c>
      <c r="H8">
        <v>-4.4000000000000004</v>
      </c>
      <c r="I8">
        <v>1</v>
      </c>
      <c r="J8">
        <v>2.6</v>
      </c>
      <c r="L8" t="str">
        <f t="shared" si="1"/>
        <v xml:space="preserve">    -  0.050</v>
      </c>
      <c r="N8" t="str">
        <f t="shared" si="0"/>
        <v xml:space="preserve">    - [1.312, 0.000, 0.177, 0.30, 10.0000]</v>
      </c>
    </row>
    <row r="9" spans="2:16">
      <c r="B9">
        <v>0.06</v>
      </c>
      <c r="C9">
        <v>1.506</v>
      </c>
      <c r="D9">
        <v>-1.1999999999999999E-3</v>
      </c>
      <c r="E9">
        <v>0.2351</v>
      </c>
      <c r="F9">
        <v>3.9</v>
      </c>
      <c r="G9">
        <v>6</v>
      </c>
      <c r="H9">
        <v>-5</v>
      </c>
      <c r="I9">
        <v>40</v>
      </c>
      <c r="J9">
        <v>3.3</v>
      </c>
      <c r="L9" t="str">
        <f t="shared" si="1"/>
        <v xml:space="preserve">    -  0.060</v>
      </c>
      <c r="N9" t="str">
        <f t="shared" si="0"/>
        <v xml:space="preserve">    - [1.506, -0.001, 0.235, 3.90, 6.0000]</v>
      </c>
    </row>
    <row r="10" spans="2:16">
      <c r="B10">
        <v>0.08</v>
      </c>
      <c r="C10">
        <v>1.7110000000000001</v>
      </c>
      <c r="D10">
        <v>-1.1299999999999999E-2</v>
      </c>
      <c r="E10">
        <v>0.3775</v>
      </c>
      <c r="F10">
        <v>4</v>
      </c>
      <c r="G10">
        <v>4</v>
      </c>
      <c r="H10">
        <v>-4.9000000000000004</v>
      </c>
      <c r="I10">
        <v>0.5</v>
      </c>
      <c r="J10">
        <v>3</v>
      </c>
      <c r="L10" t="str">
        <f t="shared" si="1"/>
        <v xml:space="preserve">    -  0.080</v>
      </c>
      <c r="N10" t="str">
        <f t="shared" si="0"/>
        <v xml:space="preserve">    - [1.711, -0.011, 0.378, 4.00, 4.0000]</v>
      </c>
    </row>
    <row r="11" spans="2:16">
      <c r="B11">
        <v>0.1</v>
      </c>
      <c r="C11">
        <v>2.42</v>
      </c>
      <c r="D11">
        <v>-1.5599999999999999E-2</v>
      </c>
      <c r="E11">
        <v>0.2903</v>
      </c>
      <c r="F11">
        <v>10.3</v>
      </c>
      <c r="G11">
        <v>5</v>
      </c>
      <c r="H11">
        <v>-3.9</v>
      </c>
      <c r="I11">
        <v>0.5</v>
      </c>
      <c r="J11">
        <v>6.3</v>
      </c>
      <c r="L11" t="str">
        <f t="shared" si="1"/>
        <v xml:space="preserve">    -  0.100</v>
      </c>
      <c r="N11" t="str">
        <f t="shared" si="0"/>
        <v xml:space="preserve">    - [2.420, -0.016, 0.290, 10.30, 5.0000]</v>
      </c>
    </row>
    <row r="12" spans="2:16">
      <c r="B12">
        <v>0.15</v>
      </c>
      <c r="C12">
        <v>4.4349999999999996</v>
      </c>
      <c r="D12">
        <v>-2.9100000000000001E-2</v>
      </c>
      <c r="E12">
        <v>0.1696</v>
      </c>
      <c r="F12">
        <v>8</v>
      </c>
      <c r="G12">
        <v>4</v>
      </c>
      <c r="H12">
        <v>-4.8</v>
      </c>
      <c r="I12">
        <v>20</v>
      </c>
      <c r="J12">
        <v>5.3</v>
      </c>
      <c r="L12" t="str">
        <f t="shared" si="1"/>
        <v xml:space="preserve">    -  0.150</v>
      </c>
      <c r="N12" t="str">
        <f t="shared" si="0"/>
        <v xml:space="preserve">    - [4.435, -0.029, 0.170, 8.00, 4.0000]</v>
      </c>
    </row>
    <row r="13" spans="2:16">
      <c r="B13">
        <v>0.2</v>
      </c>
      <c r="C13">
        <v>14.657</v>
      </c>
      <c r="D13">
        <v>-2.5000000000000001E-2</v>
      </c>
      <c r="E13">
        <v>3.15E-2</v>
      </c>
      <c r="F13">
        <v>1.9</v>
      </c>
      <c r="G13">
        <v>4</v>
      </c>
      <c r="H13">
        <v>-4.9000000000000004</v>
      </c>
      <c r="I13">
        <v>0.5</v>
      </c>
      <c r="J13">
        <v>2.9</v>
      </c>
      <c r="L13" t="str">
        <f t="shared" si="1"/>
        <v xml:space="preserve">    -  0.200</v>
      </c>
      <c r="N13" t="str">
        <f t="shared" si="0"/>
        <v xml:space="preserve">    - [14.657, -0.025, 0.032, 1.90, 4.0000]</v>
      </c>
    </row>
    <row r="14" spans="2:16">
      <c r="B14">
        <v>0.3</v>
      </c>
      <c r="C14">
        <v>68.272999999999996</v>
      </c>
      <c r="D14">
        <v>-2.93E-2</v>
      </c>
      <c r="E14">
        <v>-1.34E-2</v>
      </c>
      <c r="F14">
        <v>9.6999999999999993</v>
      </c>
      <c r="G14">
        <v>2</v>
      </c>
      <c r="H14">
        <v>-4.7</v>
      </c>
      <c r="I14">
        <v>20</v>
      </c>
      <c r="J14">
        <v>5.0999999999999996</v>
      </c>
      <c r="L14" t="str">
        <f t="shared" si="1"/>
        <v xml:space="preserve">    -  0.300</v>
      </c>
      <c r="N14" t="str">
        <f t="shared" si="0"/>
        <v xml:space="preserve">    - [68.273, -0.029, -0.013, 9.70, 2.0000]</v>
      </c>
    </row>
    <row r="15" spans="2:16">
      <c r="B15">
        <v>0.4</v>
      </c>
      <c r="C15">
        <v>46.658000000000001</v>
      </c>
      <c r="D15">
        <v>-4.4900000000000002E-2</v>
      </c>
      <c r="E15">
        <v>-1.8599999999999998E-2</v>
      </c>
      <c r="F15">
        <v>17.2</v>
      </c>
      <c r="G15">
        <v>2</v>
      </c>
      <c r="H15">
        <v>-4.9000000000000004</v>
      </c>
      <c r="I15">
        <v>20</v>
      </c>
      <c r="J15">
        <v>10.199999999999999</v>
      </c>
      <c r="L15" t="str">
        <f t="shared" si="1"/>
        <v xml:space="preserve">    -  0.400</v>
      </c>
      <c r="N15" t="str">
        <f t="shared" si="0"/>
        <v xml:space="preserve">    - [46.658, -0.045, -0.019, 17.20, 2.0000]</v>
      </c>
    </row>
    <row r="16" spans="2:16">
      <c r="B16">
        <v>0.5</v>
      </c>
      <c r="C16">
        <v>24.533999999999999</v>
      </c>
      <c r="D16">
        <v>-5.8000000000000003E-2</v>
      </c>
      <c r="E16">
        <v>-4.1999999999999997E-3</v>
      </c>
      <c r="F16">
        <v>25.6</v>
      </c>
      <c r="G16">
        <v>40</v>
      </c>
      <c r="H16">
        <v>-4.8</v>
      </c>
      <c r="I16">
        <v>20</v>
      </c>
      <c r="J16">
        <v>13.9</v>
      </c>
      <c r="L16" t="str">
        <f t="shared" si="1"/>
        <v xml:space="preserve">    -  0.500</v>
      </c>
      <c r="N16" t="str">
        <f t="shared" si="0"/>
        <v xml:space="preserve">    - [24.534, -0.058, -0.004, 25.60, 40.0000]</v>
      </c>
    </row>
    <row r="17" spans="2:14">
      <c r="B17">
        <v>0.6</v>
      </c>
      <c r="C17">
        <v>96.986999999999995</v>
      </c>
      <c r="D17">
        <v>-4.2099999999999999E-2</v>
      </c>
      <c r="E17">
        <v>-2.92E-2</v>
      </c>
      <c r="F17">
        <v>23.1</v>
      </c>
      <c r="G17">
        <v>40</v>
      </c>
      <c r="H17">
        <v>-3.7</v>
      </c>
      <c r="I17">
        <v>15</v>
      </c>
      <c r="J17">
        <v>13</v>
      </c>
      <c r="L17" t="str">
        <f t="shared" si="1"/>
        <v xml:space="preserve">    -  0.600</v>
      </c>
      <c r="N17" t="str">
        <f t="shared" si="0"/>
        <v xml:space="preserve">    - [96.987, -0.042, -0.029, 23.10, 40.0000]</v>
      </c>
    </row>
    <row r="18" spans="2:14">
      <c r="B18">
        <v>0.8</v>
      </c>
      <c r="C18">
        <v>52.067999999999998</v>
      </c>
      <c r="D18">
        <v>-4.2700000000000002E-2</v>
      </c>
      <c r="E18">
        <v>-1.9900000000000001E-2</v>
      </c>
      <c r="F18">
        <v>20.9</v>
      </c>
      <c r="G18">
        <v>40</v>
      </c>
      <c r="H18">
        <v>-4.5999999999999996</v>
      </c>
      <c r="I18">
        <v>15</v>
      </c>
      <c r="J18">
        <v>12.2</v>
      </c>
      <c r="L18" t="str">
        <f t="shared" si="1"/>
        <v xml:space="preserve">    -  0.800</v>
      </c>
      <c r="N18" t="str">
        <f t="shared" si="0"/>
        <v xml:space="preserve">    - [52.068, -0.043, -0.020, 20.90, 40.0000]</v>
      </c>
    </row>
    <row r="19" spans="2:14">
      <c r="B19">
        <v>1</v>
      </c>
      <c r="C19">
        <v>31.709</v>
      </c>
      <c r="D19">
        <v>-4.2500000000000003E-2</v>
      </c>
      <c r="E19">
        <v>-6.1000000000000004E-3</v>
      </c>
      <c r="F19">
        <v>20.6</v>
      </c>
      <c r="G19">
        <v>2</v>
      </c>
      <c r="H19">
        <v>-4.3</v>
      </c>
      <c r="I19">
        <v>20</v>
      </c>
      <c r="J19">
        <v>11.9</v>
      </c>
      <c r="L19" t="str">
        <f t="shared" si="1"/>
        <v xml:space="preserve">    -  1.000</v>
      </c>
      <c r="N19" t="str">
        <f t="shared" si="0"/>
        <v xml:space="preserve">    - [31.709, -0.043, -0.006, 20.60, 2.0000]</v>
      </c>
    </row>
    <row r="20" spans="2:14">
      <c r="B20">
        <v>1.5</v>
      </c>
      <c r="C20">
        <v>35.718000000000004</v>
      </c>
      <c r="D20">
        <v>-3.15E-2</v>
      </c>
      <c r="E20">
        <v>-5.4000000000000003E-3</v>
      </c>
      <c r="F20">
        <v>12.3</v>
      </c>
      <c r="G20">
        <v>2</v>
      </c>
      <c r="H20">
        <v>-4.8</v>
      </c>
      <c r="I20">
        <v>15</v>
      </c>
      <c r="J20">
        <v>7.1</v>
      </c>
      <c r="L20" t="str">
        <f t="shared" si="1"/>
        <v xml:space="preserve">    -  1.500</v>
      </c>
      <c r="N20" t="str">
        <f t="shared" si="0"/>
        <v xml:space="preserve">    - [35.718, -0.032, -0.005, 12.30, 2.0000]</v>
      </c>
    </row>
    <row r="21" spans="2:14">
      <c r="B21">
        <v>2</v>
      </c>
      <c r="C21">
        <v>25.695</v>
      </c>
      <c r="D21">
        <v>-3.0200000000000001E-2</v>
      </c>
      <c r="E21">
        <v>2.2000000000000001E-3</v>
      </c>
      <c r="F21">
        <v>8.9</v>
      </c>
      <c r="G21">
        <v>2</v>
      </c>
      <c r="H21">
        <v>-4.9000000000000004</v>
      </c>
      <c r="I21">
        <v>15</v>
      </c>
      <c r="J21">
        <v>5.2</v>
      </c>
      <c r="L21" t="str">
        <f t="shared" si="1"/>
        <v xml:space="preserve">    -  2.000</v>
      </c>
      <c r="N21" t="str">
        <f t="shared" si="0"/>
        <v xml:space="preserve">    - [25.695, -0.030, 0.002, 8.90, 2.0000]</v>
      </c>
    </row>
    <row r="22" spans="2:14">
      <c r="B22">
        <v>3</v>
      </c>
      <c r="C22">
        <v>18.224</v>
      </c>
      <c r="D22">
        <v>-2.98E-2</v>
      </c>
      <c r="E22">
        <v>8.2000000000000007E-3</v>
      </c>
      <c r="F22">
        <v>5.5</v>
      </c>
      <c r="G22">
        <v>3</v>
      </c>
      <c r="H22">
        <v>-4.9000000000000004</v>
      </c>
      <c r="I22">
        <v>20</v>
      </c>
      <c r="J22">
        <v>3.6</v>
      </c>
      <c r="L22" t="str">
        <f t="shared" si="1"/>
        <v xml:space="preserve">    -  3.000</v>
      </c>
      <c r="N22" t="str">
        <f t="shared" si="0"/>
        <v xml:space="preserve">    - [18.224, -0.030, 0.008, 5.50, 3.0000]</v>
      </c>
    </row>
    <row r="23" spans="2:14">
      <c r="B23">
        <v>4</v>
      </c>
      <c r="C23">
        <v>15.521000000000001</v>
      </c>
      <c r="D23">
        <v>-3.09E-2</v>
      </c>
      <c r="E23">
        <v>7.1000000000000004E-3</v>
      </c>
      <c r="F23">
        <v>5</v>
      </c>
      <c r="G23">
        <v>3</v>
      </c>
      <c r="H23">
        <v>-3.5</v>
      </c>
      <c r="I23">
        <v>20</v>
      </c>
      <c r="J23">
        <v>3.2</v>
      </c>
      <c r="L23" t="str">
        <f t="shared" si="1"/>
        <v xml:space="preserve">    -  4.000</v>
      </c>
      <c r="N23" t="str">
        <f t="shared" si="0"/>
        <v xml:space="preserve">    - [15.521, -0.031, 0.007, 5.00, 3.0000]</v>
      </c>
    </row>
    <row r="24" spans="2:14">
      <c r="B24">
        <v>5</v>
      </c>
      <c r="C24">
        <v>10.29</v>
      </c>
      <c r="D24">
        <v>-3.7499999999999999E-2</v>
      </c>
      <c r="E24">
        <v>1.1900000000000001E-2</v>
      </c>
      <c r="F24">
        <v>3.9</v>
      </c>
      <c r="G24">
        <v>40</v>
      </c>
      <c r="H24">
        <v>-4.9000000000000004</v>
      </c>
      <c r="I24">
        <v>20</v>
      </c>
      <c r="J24">
        <v>3.1</v>
      </c>
      <c r="L24" t="str">
        <f t="shared" si="1"/>
        <v xml:space="preserve">    -  5.000</v>
      </c>
      <c r="N24" t="str">
        <f t="shared" si="0"/>
        <v xml:space="preserve">    - [10.290, -0.038, 0.012, 3.90, 40.0000]</v>
      </c>
    </row>
    <row r="25" spans="2:14">
      <c r="B25">
        <v>6</v>
      </c>
      <c r="C25">
        <v>10.957000000000001</v>
      </c>
      <c r="D25">
        <v>-3.8199999999999998E-2</v>
      </c>
      <c r="E25">
        <v>1E-4</v>
      </c>
      <c r="F25">
        <v>4.3</v>
      </c>
      <c r="G25">
        <v>40</v>
      </c>
      <c r="H25">
        <v>-4.5</v>
      </c>
      <c r="I25">
        <v>20</v>
      </c>
      <c r="J25">
        <v>2.6</v>
      </c>
      <c r="L25" t="str">
        <f t="shared" si="1"/>
        <v xml:space="preserve">    -  6.000</v>
      </c>
      <c r="N25" t="str">
        <f t="shared" si="0"/>
        <v xml:space="preserve">    - [10.957, -0.038, 0.000, 4.30, 40.0000]</v>
      </c>
    </row>
    <row r="26" spans="2:14">
      <c r="B26">
        <v>8</v>
      </c>
      <c r="C26">
        <v>7.2770000000000001</v>
      </c>
      <c r="D26">
        <v>-4.6699999999999998E-2</v>
      </c>
      <c r="E26">
        <v>1.1000000000000001E-3</v>
      </c>
      <c r="F26">
        <v>5</v>
      </c>
      <c r="G26">
        <v>5</v>
      </c>
      <c r="H26">
        <v>-4.9000000000000004</v>
      </c>
      <c r="I26">
        <v>25</v>
      </c>
      <c r="J26">
        <v>3.6</v>
      </c>
      <c r="L26" t="str">
        <f t="shared" si="1"/>
        <v xml:space="preserve">    -  8.000</v>
      </c>
      <c r="N26" t="str">
        <f t="shared" si="0"/>
        <v xml:space="preserve">    - [7.277, -0.047, 0.001, 5.00, 5.0000]</v>
      </c>
    </row>
    <row r="27" spans="2:14">
      <c r="B27">
        <v>10</v>
      </c>
      <c r="C27">
        <v>9.3209999999999997</v>
      </c>
      <c r="D27">
        <v>-5.0900000000000001E-2</v>
      </c>
      <c r="E27">
        <v>-2.5399999999999999E-2</v>
      </c>
      <c r="F27">
        <v>2.9</v>
      </c>
      <c r="G27">
        <v>6</v>
      </c>
      <c r="H27">
        <v>-4.7</v>
      </c>
      <c r="I27">
        <v>0.5</v>
      </c>
      <c r="J27">
        <v>2.7</v>
      </c>
      <c r="L27" t="str">
        <f t="shared" si="1"/>
        <v xml:space="preserve">    -  10.000</v>
      </c>
      <c r="N27" t="str">
        <f t="shared" si="0"/>
        <v xml:space="preserve">    - [9.321, -0.051, -0.025, 2.90, 6.0000]</v>
      </c>
    </row>
    <row r="28" spans="2:14">
      <c r="B28">
        <v>15</v>
      </c>
      <c r="C28">
        <v>2.0390000000000001</v>
      </c>
      <c r="D28">
        <v>-9.2600000000000002E-2</v>
      </c>
      <c r="E28">
        <v>-1.5100000000000001E-2</v>
      </c>
      <c r="F28">
        <v>5.2</v>
      </c>
      <c r="G28">
        <v>8</v>
      </c>
      <c r="H28">
        <v>-5</v>
      </c>
      <c r="I28">
        <v>30</v>
      </c>
      <c r="J28">
        <v>3.8</v>
      </c>
      <c r="L28" t="str">
        <f t="shared" si="1"/>
        <v xml:space="preserve">    -  15.000</v>
      </c>
      <c r="N28" t="str">
        <f t="shared" si="0"/>
        <v xml:space="preserve">    - [2.039, -0.093, -0.015, 5.20, 8.0000]</v>
      </c>
    </row>
    <row r="30" spans="2:14">
      <c r="C30" s="5" t="s">
        <v>52</v>
      </c>
    </row>
    <row r="31" spans="2:14">
      <c r="B31" t="s">
        <v>1</v>
      </c>
      <c r="C31" t="s">
        <v>87</v>
      </c>
      <c r="D31" t="s">
        <v>88</v>
      </c>
      <c r="E31" t="s">
        <v>89</v>
      </c>
      <c r="F31" t="s">
        <v>17</v>
      </c>
      <c r="G31" t="s">
        <v>18</v>
      </c>
      <c r="H31" t="s">
        <v>17</v>
      </c>
      <c r="I31" t="s">
        <v>18</v>
      </c>
      <c r="J31" t="s">
        <v>15</v>
      </c>
    </row>
    <row r="32" spans="2:14">
      <c r="B32">
        <v>1.4999999999999999E-2</v>
      </c>
      <c r="C32">
        <v>1.1100000000000001</v>
      </c>
      <c r="D32">
        <v>0</v>
      </c>
      <c r="E32">
        <v>0.13</v>
      </c>
      <c r="F32">
        <v>0.5</v>
      </c>
      <c r="G32">
        <v>25</v>
      </c>
      <c r="H32">
        <v>-1.6</v>
      </c>
      <c r="I32">
        <v>1</v>
      </c>
      <c r="J32">
        <v>0.8</v>
      </c>
      <c r="L32" t="str">
        <f>CONCATENATE("    -  ",TEXT(B32,"0.000"))</f>
        <v xml:space="preserve">    -  0.015</v>
      </c>
      <c r="N32" t="str">
        <f t="shared" ref="N32:N56" si="2">CONCATENATE("    - [",TEXT(C32,$N$2),", ",TEXT(D32,$N$2),", ",TEXT(E32,$N$2),", ",TEXT(F32,$O$2),", ",TEXT(G32,$P$2),"]")</f>
        <v xml:space="preserve">    - [1.110, 0.000, 0.130, 0.50, 25.0000]</v>
      </c>
    </row>
    <row r="33" spans="2:14">
      <c r="B33">
        <v>0.02</v>
      </c>
      <c r="C33">
        <v>1.202</v>
      </c>
      <c r="D33">
        <v>-6.9999999999999999E-4</v>
      </c>
      <c r="E33">
        <v>0.1895</v>
      </c>
      <c r="F33">
        <v>0</v>
      </c>
      <c r="G33">
        <v>10</v>
      </c>
      <c r="H33">
        <v>-3.3</v>
      </c>
      <c r="I33">
        <v>40</v>
      </c>
      <c r="J33">
        <v>2</v>
      </c>
      <c r="L33" t="str">
        <f t="shared" ref="L33:L56" si="3">CONCATENATE("    -  ",TEXT(B33,"0.000"))</f>
        <v xml:space="preserve">    -  0.020</v>
      </c>
      <c r="N33" t="str">
        <f t="shared" si="2"/>
        <v xml:space="preserve">    - [1.202, -0.001, 0.190, 0.00, 10.0000]</v>
      </c>
    </row>
    <row r="34" spans="2:14">
      <c r="B34">
        <v>0.03</v>
      </c>
      <c r="C34">
        <v>1.5569999999999999</v>
      </c>
      <c r="D34">
        <v>-7.3000000000000001E-3</v>
      </c>
      <c r="E34">
        <v>0.40629999999999999</v>
      </c>
      <c r="F34">
        <v>3.5</v>
      </c>
      <c r="G34">
        <v>5</v>
      </c>
      <c r="H34">
        <v>-4.5</v>
      </c>
      <c r="I34">
        <v>0.5</v>
      </c>
      <c r="J34">
        <v>2.6</v>
      </c>
      <c r="L34" t="str">
        <f t="shared" si="3"/>
        <v xml:space="preserve">    -  0.030</v>
      </c>
      <c r="N34" t="str">
        <f t="shared" si="2"/>
        <v xml:space="preserve">    - [1.557, -0.007, 0.406, 3.50, 5.0000]</v>
      </c>
    </row>
    <row r="35" spans="2:14">
      <c r="B35">
        <v>0.04</v>
      </c>
      <c r="C35">
        <v>2.5680000000000001</v>
      </c>
      <c r="D35">
        <v>-1.3899999999999999E-2</v>
      </c>
      <c r="E35">
        <v>0.31769999999999998</v>
      </c>
      <c r="F35">
        <v>9.6</v>
      </c>
      <c r="G35">
        <v>5</v>
      </c>
      <c r="H35">
        <v>-4.7</v>
      </c>
      <c r="I35">
        <v>0.5</v>
      </c>
      <c r="J35">
        <v>5.9</v>
      </c>
      <c r="L35" t="str">
        <f t="shared" si="3"/>
        <v xml:space="preserve">    -  0.040</v>
      </c>
      <c r="N35" t="str">
        <f t="shared" si="2"/>
        <v xml:space="preserve">    - [2.568, -0.014, 0.318, 9.60, 5.0000]</v>
      </c>
    </row>
    <row r="36" spans="2:14">
      <c r="B36">
        <v>0.05</v>
      </c>
      <c r="C36">
        <v>4.7409999999999997</v>
      </c>
      <c r="D36">
        <v>-2.1000000000000001E-2</v>
      </c>
      <c r="E36">
        <v>0.17760000000000001</v>
      </c>
      <c r="F36">
        <v>8.6999999999999993</v>
      </c>
      <c r="G36">
        <v>7</v>
      </c>
      <c r="H36">
        <v>-3.4</v>
      </c>
      <c r="I36">
        <v>1</v>
      </c>
      <c r="J36">
        <v>5.2</v>
      </c>
      <c r="L36" t="str">
        <f t="shared" si="3"/>
        <v xml:space="preserve">    -  0.050</v>
      </c>
      <c r="N36" t="str">
        <f t="shared" si="2"/>
        <v xml:space="preserve">    - [4.741, -0.021, 0.178, 8.70, 7.0000]</v>
      </c>
    </row>
    <row r="37" spans="2:14">
      <c r="B37">
        <v>0.06</v>
      </c>
      <c r="C37">
        <v>6.4539999999999997</v>
      </c>
      <c r="D37">
        <v>-3.85E-2</v>
      </c>
      <c r="E37">
        <v>0.19750000000000001</v>
      </c>
      <c r="F37">
        <v>13</v>
      </c>
      <c r="G37">
        <v>4</v>
      </c>
      <c r="H37">
        <v>-4.5999999999999996</v>
      </c>
      <c r="I37">
        <v>20</v>
      </c>
      <c r="J37">
        <v>7.6</v>
      </c>
      <c r="L37" t="str">
        <f t="shared" si="3"/>
        <v xml:space="preserve">    -  0.060</v>
      </c>
      <c r="N37" t="str">
        <f t="shared" si="2"/>
        <v xml:space="preserve">    - [6.454, -0.039, 0.198, 13.00, 4.0000]</v>
      </c>
    </row>
    <row r="38" spans="2:14">
      <c r="B38">
        <v>0.08</v>
      </c>
      <c r="C38">
        <v>24.488</v>
      </c>
      <c r="D38">
        <v>-3.6999999999999998E-2</v>
      </c>
      <c r="E38">
        <v>2.75E-2</v>
      </c>
      <c r="F38">
        <v>2.4</v>
      </c>
      <c r="G38">
        <v>6</v>
      </c>
      <c r="H38">
        <v>-5</v>
      </c>
      <c r="I38">
        <v>0.5</v>
      </c>
      <c r="J38">
        <v>2.6</v>
      </c>
      <c r="L38" t="str">
        <f t="shared" si="3"/>
        <v xml:space="preserve">    -  0.080</v>
      </c>
      <c r="N38" t="str">
        <f t="shared" si="2"/>
        <v xml:space="preserve">    - [24.488, -0.037, 0.028, 2.40, 6.0000]</v>
      </c>
    </row>
    <row r="39" spans="2:14">
      <c r="B39">
        <v>0.1</v>
      </c>
      <c r="C39">
        <v>84.882999999999996</v>
      </c>
      <c r="D39">
        <v>-4.2799999999999998E-2</v>
      </c>
      <c r="E39">
        <v>-1.9E-2</v>
      </c>
      <c r="F39">
        <v>9.9</v>
      </c>
      <c r="G39">
        <v>40</v>
      </c>
      <c r="H39">
        <v>-4.9000000000000004</v>
      </c>
      <c r="I39">
        <v>20</v>
      </c>
      <c r="J39">
        <v>6.2</v>
      </c>
      <c r="L39" t="str">
        <f t="shared" si="3"/>
        <v xml:space="preserve">    -  0.100</v>
      </c>
      <c r="N39" t="str">
        <f t="shared" si="2"/>
        <v xml:space="preserve">    - [84.883, -0.043, -0.019, 9.90, 40.0000]</v>
      </c>
    </row>
    <row r="40" spans="2:14">
      <c r="B40">
        <v>0.15</v>
      </c>
      <c r="C40">
        <v>148.49</v>
      </c>
      <c r="D40">
        <v>-6.54E-2</v>
      </c>
      <c r="E40">
        <v>-4.8099999999999997E-2</v>
      </c>
      <c r="F40">
        <v>31</v>
      </c>
      <c r="G40">
        <v>1</v>
      </c>
      <c r="H40">
        <v>-6.1</v>
      </c>
      <c r="I40">
        <v>20</v>
      </c>
      <c r="J40">
        <v>17.600000000000001</v>
      </c>
      <c r="L40" t="str">
        <f t="shared" si="3"/>
        <v xml:space="preserve">    -  0.150</v>
      </c>
      <c r="N40" t="str">
        <f t="shared" si="2"/>
        <v xml:space="preserve">    - [148.490, -0.065, -0.048, 31.00, 1.0000]</v>
      </c>
    </row>
    <row r="41" spans="2:14">
      <c r="B41">
        <v>0.2</v>
      </c>
      <c r="C41">
        <v>37.5</v>
      </c>
      <c r="D41">
        <v>-9.7500000000000003E-2</v>
      </c>
      <c r="E41">
        <v>-1.6400000000000001E-2</v>
      </c>
      <c r="F41">
        <v>54</v>
      </c>
      <c r="G41">
        <v>1</v>
      </c>
      <c r="H41">
        <v>-4.5</v>
      </c>
      <c r="I41">
        <v>20</v>
      </c>
      <c r="J41">
        <v>31.6</v>
      </c>
      <c r="L41" t="str">
        <f t="shared" si="3"/>
        <v xml:space="preserve">    -  0.200</v>
      </c>
      <c r="N41" t="str">
        <f t="shared" si="2"/>
        <v xml:space="preserve">    - [37.500, -0.098, -0.016, 54.00, 1.0000]</v>
      </c>
    </row>
    <row r="42" spans="2:14">
      <c r="B42">
        <v>0.3</v>
      </c>
      <c r="C42">
        <v>95.156000000000006</v>
      </c>
      <c r="D42">
        <v>-8.0100000000000005E-2</v>
      </c>
      <c r="E42">
        <v>-5.3100000000000001E-2</v>
      </c>
      <c r="F42">
        <v>49.7</v>
      </c>
      <c r="G42">
        <v>1</v>
      </c>
      <c r="H42">
        <v>-4.8</v>
      </c>
      <c r="I42">
        <v>15</v>
      </c>
      <c r="J42">
        <v>28.5</v>
      </c>
      <c r="L42" t="str">
        <f t="shared" si="3"/>
        <v xml:space="preserve">    -  0.300</v>
      </c>
      <c r="N42" t="str">
        <f t="shared" si="2"/>
        <v xml:space="preserve">    - [95.156, -0.080, -0.053, 49.70, 1.0000]</v>
      </c>
    </row>
    <row r="43" spans="2:14">
      <c r="B43">
        <v>0.4</v>
      </c>
      <c r="C43">
        <v>97.897000000000006</v>
      </c>
      <c r="D43">
        <v>-7.3700000000000002E-2</v>
      </c>
      <c r="E43">
        <v>-0.05</v>
      </c>
      <c r="F43">
        <v>48.7</v>
      </c>
      <c r="G43">
        <v>40</v>
      </c>
      <c r="H43">
        <v>-4.9000000000000004</v>
      </c>
      <c r="I43">
        <v>15</v>
      </c>
      <c r="J43">
        <v>27.8</v>
      </c>
      <c r="L43" t="str">
        <f t="shared" si="3"/>
        <v xml:space="preserve">    -  0.400</v>
      </c>
      <c r="N43" t="str">
        <f t="shared" si="2"/>
        <v xml:space="preserve">    - [97.897, -0.074, -0.050, 48.70, 40.0000]</v>
      </c>
    </row>
    <row r="44" spans="2:14">
      <c r="B44">
        <v>0.5</v>
      </c>
      <c r="C44">
        <v>70.527000000000001</v>
      </c>
      <c r="D44">
        <v>-6.9400000000000003E-2</v>
      </c>
      <c r="E44">
        <v>-3.7499999999999999E-2</v>
      </c>
      <c r="F44">
        <v>49.4</v>
      </c>
      <c r="G44">
        <v>1</v>
      </c>
      <c r="H44">
        <v>-1.4</v>
      </c>
      <c r="I44">
        <v>20</v>
      </c>
      <c r="J44">
        <v>30</v>
      </c>
      <c r="L44" t="str">
        <f t="shared" si="3"/>
        <v xml:space="preserve">    -  0.500</v>
      </c>
      <c r="N44" t="str">
        <f t="shared" si="2"/>
        <v xml:space="preserve">    - [70.527, -0.069, -0.038, 49.40, 1.0000]</v>
      </c>
    </row>
    <row r="45" spans="2:14">
      <c r="B45">
        <v>0.6</v>
      </c>
      <c r="C45">
        <v>59.387999999999998</v>
      </c>
      <c r="D45">
        <v>-6.3799999999999996E-2</v>
      </c>
      <c r="E45">
        <v>-3.04E-2</v>
      </c>
      <c r="F45">
        <v>43.1</v>
      </c>
      <c r="G45">
        <v>40</v>
      </c>
      <c r="H45">
        <v>-3.7</v>
      </c>
      <c r="I45">
        <v>15</v>
      </c>
      <c r="J45">
        <v>25.2</v>
      </c>
      <c r="L45" t="str">
        <f t="shared" si="3"/>
        <v xml:space="preserve">    -  0.600</v>
      </c>
      <c r="N45" t="str">
        <f t="shared" si="2"/>
        <v xml:space="preserve">    - [59.388, -0.064, -0.030, 43.10, 40.0000]</v>
      </c>
    </row>
    <row r="46" spans="2:14">
      <c r="B46">
        <v>0.8</v>
      </c>
      <c r="C46">
        <v>82.081000000000003</v>
      </c>
      <c r="D46">
        <v>-4.9099999999999998E-2</v>
      </c>
      <c r="E46">
        <v>-2.9100000000000001E-2</v>
      </c>
      <c r="F46">
        <v>32.4</v>
      </c>
      <c r="G46">
        <v>1</v>
      </c>
      <c r="H46">
        <v>-4.8</v>
      </c>
      <c r="I46">
        <v>15</v>
      </c>
      <c r="J46">
        <v>18.899999999999999</v>
      </c>
      <c r="L46" t="str">
        <f t="shared" si="3"/>
        <v xml:space="preserve">    -  0.800</v>
      </c>
      <c r="N46" t="str">
        <f t="shared" si="2"/>
        <v xml:space="preserve">    - [82.081, -0.049, -0.029, 32.40, 1.0000]</v>
      </c>
    </row>
    <row r="47" spans="2:14">
      <c r="B47">
        <v>1</v>
      </c>
      <c r="C47">
        <v>34.012</v>
      </c>
      <c r="D47">
        <v>-0.05</v>
      </c>
      <c r="E47">
        <v>-6.1999999999999998E-3</v>
      </c>
      <c r="F47">
        <v>27.9</v>
      </c>
      <c r="G47">
        <v>2</v>
      </c>
      <c r="H47">
        <v>-5</v>
      </c>
      <c r="I47">
        <v>15</v>
      </c>
      <c r="J47">
        <v>16.3</v>
      </c>
      <c r="L47" t="str">
        <f t="shared" si="3"/>
        <v xml:space="preserve">    -  1.000</v>
      </c>
      <c r="N47" t="str">
        <f t="shared" si="2"/>
        <v xml:space="preserve">    - [34.012, -0.050, -0.006, 27.90, 2.0000]</v>
      </c>
    </row>
    <row r="48" spans="2:14">
      <c r="B48">
        <v>1.5</v>
      </c>
      <c r="C48">
        <v>59.781999999999996</v>
      </c>
      <c r="D48">
        <v>-2.9100000000000001E-2</v>
      </c>
      <c r="E48">
        <v>-1.0999999999999999E-2</v>
      </c>
      <c r="F48">
        <v>14.4</v>
      </c>
      <c r="G48">
        <v>1</v>
      </c>
      <c r="H48">
        <v>-5</v>
      </c>
      <c r="I48">
        <v>15</v>
      </c>
      <c r="J48">
        <v>8.3000000000000007</v>
      </c>
      <c r="L48" t="str">
        <f t="shared" si="3"/>
        <v xml:space="preserve">    -  1.500</v>
      </c>
      <c r="N48" t="str">
        <f t="shared" si="2"/>
        <v xml:space="preserve">    - [59.782, -0.029, -0.011, 14.40, 1.0000]</v>
      </c>
    </row>
    <row r="49" spans="2:14">
      <c r="B49">
        <v>2</v>
      </c>
      <c r="C49">
        <v>30.047999999999998</v>
      </c>
      <c r="D49">
        <v>-2.81E-2</v>
      </c>
      <c r="E49">
        <v>2.8999999999999998E-3</v>
      </c>
      <c r="F49">
        <v>9.1999999999999993</v>
      </c>
      <c r="G49">
        <v>2</v>
      </c>
      <c r="H49">
        <v>-4.8</v>
      </c>
      <c r="I49">
        <v>15</v>
      </c>
      <c r="J49">
        <v>5.4</v>
      </c>
      <c r="L49" t="str">
        <f t="shared" si="3"/>
        <v xml:space="preserve">    -  2.000</v>
      </c>
      <c r="N49" t="str">
        <f t="shared" si="2"/>
        <v xml:space="preserve">    - [30.048, -0.028, 0.003, 9.20, 2.0000]</v>
      </c>
    </row>
    <row r="50" spans="2:14">
      <c r="B50">
        <v>3</v>
      </c>
      <c r="C50">
        <v>41.856000000000002</v>
      </c>
      <c r="D50">
        <v>-1.54E-2</v>
      </c>
      <c r="E50">
        <v>1.9E-3</v>
      </c>
      <c r="F50">
        <v>3.7</v>
      </c>
      <c r="G50">
        <v>2</v>
      </c>
      <c r="H50">
        <v>-2.7</v>
      </c>
      <c r="I50">
        <v>15</v>
      </c>
      <c r="J50">
        <v>2.2999999999999998</v>
      </c>
      <c r="L50" t="str">
        <f t="shared" si="3"/>
        <v xml:space="preserve">    -  3.000</v>
      </c>
      <c r="N50" t="str">
        <f t="shared" si="2"/>
        <v xml:space="preserve">    - [41.856, -0.015, 0.002, 3.70, 2.0000]</v>
      </c>
    </row>
    <row r="51" spans="2:14">
      <c r="B51">
        <v>4</v>
      </c>
      <c r="C51">
        <v>17.042000000000002</v>
      </c>
      <c r="D51">
        <v>-2.01E-2</v>
      </c>
      <c r="E51">
        <v>1.4800000000000001E-2</v>
      </c>
      <c r="F51">
        <v>2</v>
      </c>
      <c r="G51">
        <v>40</v>
      </c>
      <c r="H51">
        <v>-3.4</v>
      </c>
      <c r="I51">
        <v>20</v>
      </c>
      <c r="J51">
        <v>2</v>
      </c>
      <c r="L51" t="str">
        <f t="shared" si="3"/>
        <v xml:space="preserve">    -  4.000</v>
      </c>
      <c r="N51" t="str">
        <f t="shared" si="2"/>
        <v xml:space="preserve">    - [17.042, -0.020, 0.015, 2.00, 40.0000]</v>
      </c>
    </row>
    <row r="52" spans="2:14">
      <c r="B52">
        <v>5</v>
      </c>
      <c r="C52">
        <v>10.667999999999999</v>
      </c>
      <c r="D52">
        <v>-2.52E-2</v>
      </c>
      <c r="E52">
        <v>2.5499999999999998E-2</v>
      </c>
      <c r="F52">
        <v>1.3</v>
      </c>
      <c r="G52">
        <v>35</v>
      </c>
      <c r="H52">
        <v>-1.8</v>
      </c>
      <c r="I52">
        <v>0.5</v>
      </c>
      <c r="J52">
        <v>0.9</v>
      </c>
      <c r="L52" t="str">
        <f t="shared" si="3"/>
        <v xml:space="preserve">    -  5.000</v>
      </c>
      <c r="N52" t="str">
        <f t="shared" si="2"/>
        <v xml:space="preserve">    - [10.668, -0.025, 0.026, 1.30, 35.0000]</v>
      </c>
    </row>
    <row r="53" spans="2:14">
      <c r="B53">
        <v>6</v>
      </c>
      <c r="C53">
        <v>8.1969999999999992</v>
      </c>
      <c r="D53">
        <v>-2.6700000000000002E-2</v>
      </c>
      <c r="E53">
        <v>3.4599999999999999E-2</v>
      </c>
      <c r="F53">
        <v>1.5</v>
      </c>
      <c r="G53">
        <v>5</v>
      </c>
      <c r="H53">
        <v>-3.2</v>
      </c>
      <c r="I53">
        <v>20</v>
      </c>
      <c r="J53">
        <v>1.6</v>
      </c>
      <c r="L53" t="str">
        <f t="shared" si="3"/>
        <v xml:space="preserve">    -  6.000</v>
      </c>
      <c r="N53" t="str">
        <f t="shared" si="2"/>
        <v xml:space="preserve">    - [8.197, -0.027, 0.035, 1.50, 5.0000]</v>
      </c>
    </row>
    <row r="54" spans="2:14">
      <c r="B54">
        <v>8</v>
      </c>
      <c r="C54">
        <v>7.319</v>
      </c>
      <c r="D54">
        <v>-2.41E-2</v>
      </c>
      <c r="E54">
        <v>3.09E-2</v>
      </c>
      <c r="F54">
        <v>0.8</v>
      </c>
      <c r="G54">
        <v>6</v>
      </c>
      <c r="H54">
        <v>-3.4</v>
      </c>
      <c r="I54">
        <v>30</v>
      </c>
      <c r="J54">
        <v>1.9</v>
      </c>
      <c r="L54" t="str">
        <f t="shared" si="3"/>
        <v xml:space="preserve">    -  8.000</v>
      </c>
      <c r="N54" t="str">
        <f t="shared" si="2"/>
        <v xml:space="preserve">    - [7.319, -0.024, 0.031, 0.80, 6.0000]</v>
      </c>
    </row>
    <row r="55" spans="2:14">
      <c r="B55">
        <v>10</v>
      </c>
      <c r="C55">
        <v>8.6890000000000001</v>
      </c>
      <c r="D55">
        <v>-2.2200000000000001E-2</v>
      </c>
      <c r="E55">
        <v>1.38E-2</v>
      </c>
      <c r="F55">
        <v>0.9</v>
      </c>
      <c r="G55">
        <v>8</v>
      </c>
      <c r="H55">
        <v>-3.7</v>
      </c>
      <c r="I55">
        <v>1</v>
      </c>
      <c r="J55">
        <v>1.5</v>
      </c>
      <c r="L55" t="str">
        <f t="shared" si="3"/>
        <v xml:space="preserve">    -  10.000</v>
      </c>
      <c r="N55" t="str">
        <f t="shared" si="2"/>
        <v xml:space="preserve">    - [8.689, -0.022, 0.014, 0.90, 8.0000]</v>
      </c>
    </row>
    <row r="56" spans="2:14">
      <c r="B56">
        <v>15</v>
      </c>
      <c r="C56">
        <v>5.2949999999999999</v>
      </c>
      <c r="D56">
        <v>-2.63E-2</v>
      </c>
      <c r="E56">
        <v>1.38E-2</v>
      </c>
      <c r="F56">
        <v>2.1</v>
      </c>
      <c r="G56">
        <v>40</v>
      </c>
      <c r="H56">
        <v>-4.8</v>
      </c>
      <c r="I56">
        <v>1</v>
      </c>
      <c r="J56">
        <v>2.8</v>
      </c>
      <c r="L56" t="str">
        <f t="shared" si="3"/>
        <v xml:space="preserve">    -  15.000</v>
      </c>
      <c r="N56" t="str">
        <f t="shared" si="2"/>
        <v xml:space="preserve">    - [5.295, -0.026, 0.014, 2.10, 40.0000]</v>
      </c>
    </row>
    <row r="58" spans="2:14">
      <c r="C58" s="5" t="s">
        <v>53</v>
      </c>
    </row>
    <row r="59" spans="2:14">
      <c r="B59" t="s">
        <v>1</v>
      </c>
      <c r="C59" t="s">
        <v>87</v>
      </c>
      <c r="D59" t="s">
        <v>88</v>
      </c>
      <c r="E59" t="s">
        <v>89</v>
      </c>
      <c r="F59" t="s">
        <v>17</v>
      </c>
      <c r="G59" t="s">
        <v>18</v>
      </c>
      <c r="H59" t="s">
        <v>17</v>
      </c>
      <c r="I59" t="s">
        <v>18</v>
      </c>
      <c r="J59" t="s">
        <v>15</v>
      </c>
    </row>
    <row r="60" spans="2:14">
      <c r="B60" s="4">
        <v>1.4999999999999999E-2</v>
      </c>
      <c r="C60" s="4"/>
      <c r="D60" s="4"/>
      <c r="E60" s="4"/>
      <c r="F60" s="7"/>
      <c r="G60" s="6"/>
      <c r="H60" s="2"/>
      <c r="J60" s="2"/>
      <c r="L60" t="str">
        <f>CONCATENATE("    -  ",TEXT(B60,"0.000"))</f>
        <v xml:space="preserve">    -  0.015</v>
      </c>
      <c r="N60" t="str">
        <f t="shared" ref="N60:N84" si="4">CONCATENATE("    - [",TEXT(C60,$N$2),", ",TEXT(D60,$N$2),", ",TEXT(E60,$N$2),", ",TEXT(F60,$O$2),", ",TEXT(G60,$P$2),"]")</f>
        <v xml:space="preserve">    - [0.000, 0.000, 0.000, 0.00, 0.0000]</v>
      </c>
    </row>
    <row r="61" spans="2:14">
      <c r="B61" s="4">
        <v>0.02</v>
      </c>
      <c r="C61" s="4"/>
      <c r="D61" s="4"/>
      <c r="E61" s="4"/>
      <c r="F61" s="7"/>
      <c r="G61" s="6"/>
      <c r="H61" s="2"/>
      <c r="J61" s="2"/>
      <c r="L61" t="str">
        <f t="shared" ref="L61:L84" si="5">CONCATENATE("    -  ",TEXT(B61,"0.000"))</f>
        <v xml:space="preserve">    -  0.020</v>
      </c>
      <c r="N61" t="str">
        <f t="shared" si="4"/>
        <v xml:space="preserve">    - [0.000, 0.000, 0.000, 0.00, 0.0000]</v>
      </c>
    </row>
    <row r="62" spans="2:14">
      <c r="B62" s="4">
        <v>0.03</v>
      </c>
      <c r="C62" s="4"/>
      <c r="D62" s="4"/>
      <c r="E62" s="4"/>
      <c r="F62" s="7"/>
      <c r="G62" s="6"/>
      <c r="H62" s="2"/>
      <c r="J62" s="2"/>
      <c r="L62" t="str">
        <f t="shared" si="5"/>
        <v xml:space="preserve">    -  0.030</v>
      </c>
      <c r="N62" t="str">
        <f t="shared" si="4"/>
        <v xml:space="preserve">    - [0.000, 0.000, 0.000, 0.00, 0.0000]</v>
      </c>
    </row>
    <row r="63" spans="2:14">
      <c r="B63" s="4">
        <v>0.04</v>
      </c>
      <c r="C63" s="4"/>
      <c r="D63" s="4"/>
      <c r="E63" s="4"/>
      <c r="F63" s="7"/>
      <c r="G63" s="6"/>
      <c r="H63" s="2"/>
      <c r="J63" s="2"/>
      <c r="L63" t="str">
        <f t="shared" si="5"/>
        <v xml:space="preserve">    -  0.040</v>
      </c>
      <c r="N63" t="str">
        <f t="shared" si="4"/>
        <v xml:space="preserve">    - [0.000, 0.000, 0.000, 0.00, 0.0000]</v>
      </c>
    </row>
    <row r="64" spans="2:14">
      <c r="B64" s="4">
        <v>0.05</v>
      </c>
      <c r="C64" s="4"/>
      <c r="D64" s="4"/>
      <c r="E64" s="4"/>
      <c r="F64" s="7"/>
      <c r="G64" s="6"/>
      <c r="H64" s="2"/>
      <c r="J64" s="2"/>
      <c r="L64" t="str">
        <f t="shared" si="5"/>
        <v xml:space="preserve">    -  0.050</v>
      </c>
      <c r="N64" t="str">
        <f t="shared" si="4"/>
        <v xml:space="preserve">    - [0.000, 0.000, 0.000, 0.00, 0.0000]</v>
      </c>
    </row>
    <row r="65" spans="2:14">
      <c r="B65" s="4">
        <v>0.06</v>
      </c>
      <c r="C65" s="4"/>
      <c r="D65" s="4"/>
      <c r="E65" s="4"/>
      <c r="F65" s="7"/>
      <c r="G65" s="6"/>
      <c r="H65" s="2"/>
      <c r="J65" s="2"/>
      <c r="L65" t="str">
        <f t="shared" si="5"/>
        <v xml:space="preserve">    -  0.060</v>
      </c>
      <c r="N65" t="str">
        <f t="shared" si="4"/>
        <v xml:space="preserve">    - [0.000, 0.000, 0.000, 0.00, 0.0000]</v>
      </c>
    </row>
    <row r="66" spans="2:14">
      <c r="B66" s="4">
        <v>0.08</v>
      </c>
      <c r="C66" s="4"/>
      <c r="D66" s="4"/>
      <c r="E66" s="4"/>
      <c r="F66" s="7"/>
      <c r="G66" s="6"/>
      <c r="H66" s="2"/>
      <c r="J66" s="2"/>
      <c r="L66" t="str">
        <f t="shared" si="5"/>
        <v xml:space="preserve">    -  0.080</v>
      </c>
      <c r="N66" t="str">
        <f t="shared" si="4"/>
        <v xml:space="preserve">    - [0.000, 0.000, 0.000, 0.00, 0.0000]</v>
      </c>
    </row>
    <row r="67" spans="2:14">
      <c r="B67" s="4">
        <v>0.1</v>
      </c>
      <c r="C67" s="4"/>
      <c r="D67" s="4"/>
      <c r="E67" s="4"/>
      <c r="F67" s="7"/>
      <c r="G67" s="6"/>
      <c r="H67" s="2"/>
      <c r="J67" s="2"/>
      <c r="L67" t="str">
        <f t="shared" si="5"/>
        <v xml:space="preserve">    -  0.100</v>
      </c>
      <c r="N67" t="str">
        <f t="shared" si="4"/>
        <v xml:space="preserve">    - [0.000, 0.000, 0.000, 0.00, 0.0000]</v>
      </c>
    </row>
    <row r="68" spans="2:14">
      <c r="B68" s="4">
        <v>0.15</v>
      </c>
      <c r="C68" s="4"/>
      <c r="D68" s="4"/>
      <c r="E68" s="4"/>
      <c r="F68" s="7"/>
      <c r="G68" s="6"/>
      <c r="H68" s="2"/>
      <c r="J68" s="2"/>
      <c r="L68" t="str">
        <f t="shared" si="5"/>
        <v xml:space="preserve">    -  0.150</v>
      </c>
      <c r="N68" t="str">
        <f t="shared" si="4"/>
        <v xml:space="preserve">    - [0.000, 0.000, 0.000, 0.00, 0.0000]</v>
      </c>
    </row>
    <row r="69" spans="2:14">
      <c r="B69" s="4">
        <v>0.2</v>
      </c>
      <c r="C69" s="4"/>
      <c r="D69" s="4"/>
      <c r="E69" s="4"/>
      <c r="F69" s="7"/>
      <c r="G69" s="6"/>
      <c r="H69" s="2"/>
      <c r="J69" s="2"/>
      <c r="L69" t="str">
        <f t="shared" si="5"/>
        <v xml:space="preserve">    -  0.200</v>
      </c>
      <c r="N69" t="str">
        <f t="shared" si="4"/>
        <v xml:space="preserve">    - [0.000, 0.000, 0.000, 0.00, 0.0000]</v>
      </c>
    </row>
    <row r="70" spans="2:14">
      <c r="B70" s="4">
        <v>0.3</v>
      </c>
      <c r="C70" s="4"/>
      <c r="D70" s="4"/>
      <c r="E70" s="4"/>
      <c r="F70" s="7"/>
      <c r="G70" s="6"/>
      <c r="H70" s="2"/>
      <c r="J70" s="2"/>
      <c r="L70" t="str">
        <f t="shared" si="5"/>
        <v xml:space="preserve">    -  0.300</v>
      </c>
      <c r="N70" t="str">
        <f t="shared" si="4"/>
        <v xml:space="preserve">    - [0.000, 0.000, 0.000, 0.00, 0.0000]</v>
      </c>
    </row>
    <row r="71" spans="2:14">
      <c r="B71" s="4">
        <v>0.4</v>
      </c>
      <c r="C71" s="4"/>
      <c r="D71" s="4"/>
      <c r="E71" s="4"/>
      <c r="F71" s="7"/>
      <c r="G71" s="6"/>
      <c r="H71" s="2"/>
      <c r="J71" s="2"/>
      <c r="L71" t="str">
        <f t="shared" si="5"/>
        <v xml:space="preserve">    -  0.400</v>
      </c>
      <c r="N71" t="str">
        <f t="shared" si="4"/>
        <v xml:space="preserve">    - [0.000, 0.000, 0.000, 0.00, 0.0000]</v>
      </c>
    </row>
    <row r="72" spans="2:14">
      <c r="B72" s="4">
        <v>0.5</v>
      </c>
      <c r="C72" s="4"/>
      <c r="D72" s="4"/>
      <c r="E72" s="4"/>
      <c r="F72" s="7"/>
      <c r="G72" s="6"/>
      <c r="H72" s="2"/>
      <c r="J72" s="2"/>
      <c r="L72" t="str">
        <f t="shared" si="5"/>
        <v xml:space="preserve">    -  0.500</v>
      </c>
      <c r="N72" t="str">
        <f t="shared" si="4"/>
        <v xml:space="preserve">    - [0.000, 0.000, 0.000, 0.00, 0.0000]</v>
      </c>
    </row>
    <row r="73" spans="2:14">
      <c r="B73" s="4">
        <v>0.6</v>
      </c>
      <c r="C73" s="4"/>
      <c r="D73" s="4"/>
      <c r="E73" s="4"/>
      <c r="F73" s="7"/>
      <c r="G73" s="6"/>
      <c r="H73" s="2"/>
      <c r="J73" s="2"/>
      <c r="L73" t="str">
        <f t="shared" si="5"/>
        <v xml:space="preserve">    -  0.600</v>
      </c>
      <c r="N73" t="str">
        <f t="shared" si="4"/>
        <v xml:space="preserve">    - [0.000, 0.000, 0.000, 0.00, 0.0000]</v>
      </c>
    </row>
    <row r="74" spans="2:14">
      <c r="B74" s="4">
        <v>0.8</v>
      </c>
      <c r="C74" s="4"/>
      <c r="D74" s="4"/>
      <c r="E74" s="4"/>
      <c r="F74" s="7"/>
      <c r="G74" s="6"/>
      <c r="H74" s="2"/>
      <c r="J74" s="2"/>
      <c r="L74" t="str">
        <f t="shared" si="5"/>
        <v xml:space="preserve">    -  0.800</v>
      </c>
      <c r="N74" t="str">
        <f t="shared" si="4"/>
        <v xml:space="preserve">    - [0.000, 0.000, 0.000, 0.00, 0.0000]</v>
      </c>
    </row>
    <row r="75" spans="2:14">
      <c r="B75" s="4">
        <v>1</v>
      </c>
      <c r="C75" s="4"/>
      <c r="D75" s="4"/>
      <c r="E75" s="4"/>
      <c r="F75" s="7"/>
      <c r="G75" s="6"/>
      <c r="H75" s="2"/>
      <c r="J75" s="2"/>
      <c r="L75" t="str">
        <f t="shared" si="5"/>
        <v xml:space="preserve">    -  1.000</v>
      </c>
      <c r="N75" t="str">
        <f t="shared" si="4"/>
        <v xml:space="preserve">    - [0.000, 0.000, 0.000, 0.00, 0.0000]</v>
      </c>
    </row>
    <row r="76" spans="2:14">
      <c r="B76" s="4">
        <v>1.5</v>
      </c>
      <c r="C76" s="4"/>
      <c r="D76" s="4"/>
      <c r="E76" s="4"/>
      <c r="F76" s="7"/>
      <c r="G76" s="6"/>
      <c r="H76" s="2"/>
      <c r="J76" s="2"/>
      <c r="L76" t="str">
        <f t="shared" si="5"/>
        <v xml:space="preserve">    -  1.500</v>
      </c>
      <c r="N76" t="str">
        <f t="shared" si="4"/>
        <v xml:space="preserve">    - [0.000, 0.000, 0.000, 0.00, 0.0000]</v>
      </c>
    </row>
    <row r="77" spans="2:14">
      <c r="B77" s="4">
        <v>2</v>
      </c>
      <c r="C77" s="4"/>
      <c r="D77" s="4"/>
      <c r="E77" s="4"/>
      <c r="F77" s="7"/>
      <c r="G77" s="6"/>
      <c r="H77" s="2"/>
      <c r="J77" s="2"/>
      <c r="L77" t="str">
        <f t="shared" si="5"/>
        <v xml:space="preserve">    -  2.000</v>
      </c>
      <c r="N77" t="str">
        <f t="shared" si="4"/>
        <v xml:space="preserve">    - [0.000, 0.000, 0.000, 0.00, 0.0000]</v>
      </c>
    </row>
    <row r="78" spans="2:14">
      <c r="B78" s="4">
        <v>3</v>
      </c>
      <c r="C78" s="4"/>
      <c r="D78" s="4"/>
      <c r="E78" s="4"/>
      <c r="F78" s="7"/>
      <c r="G78" s="6"/>
      <c r="H78" s="2"/>
      <c r="J78" s="2"/>
      <c r="L78" t="str">
        <f t="shared" si="5"/>
        <v xml:space="preserve">    -  3.000</v>
      </c>
      <c r="N78" t="str">
        <f t="shared" si="4"/>
        <v xml:space="preserve">    - [0.000, 0.000, 0.000, 0.00, 0.0000]</v>
      </c>
    </row>
    <row r="79" spans="2:14">
      <c r="B79" s="4">
        <v>4</v>
      </c>
      <c r="C79" s="4"/>
      <c r="D79" s="4"/>
      <c r="E79" s="4"/>
      <c r="F79" s="7"/>
      <c r="G79" s="6"/>
      <c r="H79" s="2"/>
      <c r="J79" s="2"/>
      <c r="L79" t="str">
        <f t="shared" si="5"/>
        <v xml:space="preserve">    -  4.000</v>
      </c>
      <c r="N79" t="str">
        <f t="shared" si="4"/>
        <v xml:space="preserve">    - [0.000, 0.000, 0.000, 0.00, 0.0000]</v>
      </c>
    </row>
    <row r="80" spans="2:14">
      <c r="B80" s="4">
        <v>5</v>
      </c>
      <c r="C80" s="4"/>
      <c r="D80" s="4"/>
      <c r="E80" s="4"/>
      <c r="F80" s="7"/>
      <c r="G80" s="6"/>
      <c r="H80" s="2"/>
      <c r="J80" s="2"/>
      <c r="L80" t="str">
        <f t="shared" si="5"/>
        <v xml:space="preserve">    -  5.000</v>
      </c>
      <c r="N80" t="str">
        <f t="shared" si="4"/>
        <v xml:space="preserve">    - [0.000, 0.000, 0.000, 0.00, 0.0000]</v>
      </c>
    </row>
    <row r="81" spans="2:14">
      <c r="B81" s="4">
        <v>6</v>
      </c>
      <c r="C81" s="4"/>
      <c r="D81" s="4"/>
      <c r="E81" s="4"/>
      <c r="F81" s="7"/>
      <c r="G81" s="6"/>
      <c r="H81" s="2"/>
      <c r="J81" s="2"/>
      <c r="L81" t="str">
        <f t="shared" si="5"/>
        <v xml:space="preserve">    -  6.000</v>
      </c>
      <c r="N81" t="str">
        <f t="shared" si="4"/>
        <v xml:space="preserve">    - [0.000, 0.000, 0.000, 0.00, 0.0000]</v>
      </c>
    </row>
    <row r="82" spans="2:14">
      <c r="B82" s="4">
        <v>8</v>
      </c>
      <c r="C82" s="4"/>
      <c r="D82" s="4"/>
      <c r="E82" s="4"/>
      <c r="F82" s="7"/>
      <c r="G82" s="6"/>
      <c r="H82" s="2"/>
      <c r="J82" s="2"/>
      <c r="L82" t="str">
        <f t="shared" si="5"/>
        <v xml:space="preserve">    -  8.000</v>
      </c>
      <c r="N82" t="str">
        <f t="shared" si="4"/>
        <v xml:space="preserve">    - [0.000, 0.000, 0.000, 0.00, 0.0000]</v>
      </c>
    </row>
    <row r="83" spans="2:14">
      <c r="B83" s="4">
        <v>10</v>
      </c>
      <c r="C83" s="4"/>
      <c r="D83" s="4"/>
      <c r="E83" s="4"/>
      <c r="F83" s="7"/>
      <c r="G83" s="6"/>
      <c r="H83" s="2"/>
      <c r="J83" s="2"/>
      <c r="L83" t="str">
        <f t="shared" si="5"/>
        <v xml:space="preserve">    -  10.000</v>
      </c>
      <c r="N83" t="str">
        <f t="shared" si="4"/>
        <v xml:space="preserve">    - [0.000, 0.000, 0.000, 0.00, 0.0000]</v>
      </c>
    </row>
    <row r="84" spans="2:14">
      <c r="B84" s="4">
        <v>15</v>
      </c>
      <c r="C84" s="4"/>
      <c r="D84" s="4"/>
      <c r="E84" s="4"/>
      <c r="F84" s="7"/>
      <c r="G84" s="6"/>
      <c r="H84" s="2"/>
      <c r="J84" s="2"/>
      <c r="L84" t="str">
        <f t="shared" si="5"/>
        <v xml:space="preserve">    -  15.000</v>
      </c>
      <c r="N84" t="str">
        <f t="shared" si="4"/>
        <v xml:space="preserve">    - [0.000, 0.000, 0.000, 0.00, 0.0000]</v>
      </c>
    </row>
    <row r="86" spans="2:14">
      <c r="C86" s="5" t="s">
        <v>54</v>
      </c>
    </row>
    <row r="87" spans="2:14">
      <c r="B87" t="s">
        <v>1</v>
      </c>
      <c r="C87" t="s">
        <v>87</v>
      </c>
      <c r="D87" t="s">
        <v>88</v>
      </c>
      <c r="E87" t="s">
        <v>89</v>
      </c>
      <c r="F87" t="s">
        <v>17</v>
      </c>
      <c r="G87" t="s">
        <v>18</v>
      </c>
      <c r="H87" t="s">
        <v>17</v>
      </c>
      <c r="I87" t="s">
        <v>18</v>
      </c>
      <c r="J87" t="s">
        <v>15</v>
      </c>
    </row>
    <row r="88" spans="2:14">
      <c r="B88">
        <v>1.4999999999999999E-2</v>
      </c>
      <c r="C88">
        <v>1</v>
      </c>
      <c r="D88">
        <v>-4.0000000000000002E-4</v>
      </c>
      <c r="E88">
        <v>0</v>
      </c>
      <c r="F88">
        <v>1</v>
      </c>
      <c r="G88">
        <v>40</v>
      </c>
      <c r="H88">
        <v>-0.2</v>
      </c>
      <c r="I88">
        <v>3</v>
      </c>
      <c r="J88">
        <v>0.4</v>
      </c>
      <c r="L88" t="str">
        <f>CONCATENATE("    -  ",TEXT(B88,"0.000"))</f>
        <v xml:space="preserve">    -  0.015</v>
      </c>
      <c r="N88" t="str">
        <f t="shared" ref="N88:N112" si="6">CONCATENATE("    - [",TEXT(C88,$N$2),", ",TEXT(D88,$N$2),", ",TEXT(E88,$N$2),", ",TEXT(F88,$O$2),", ",TEXT(G88,$P$2),"]")</f>
        <v xml:space="preserve">    - [1.000, 0.000, 0.000, 1.00, 40.0000]</v>
      </c>
    </row>
    <row r="89" spans="2:14">
      <c r="B89">
        <v>0.02</v>
      </c>
      <c r="C89">
        <v>1</v>
      </c>
      <c r="D89">
        <v>-4.0000000000000002E-4</v>
      </c>
      <c r="E89">
        <v>0</v>
      </c>
      <c r="F89">
        <v>0.4</v>
      </c>
      <c r="G89">
        <v>40</v>
      </c>
      <c r="H89">
        <v>-0.5</v>
      </c>
      <c r="I89">
        <v>5</v>
      </c>
      <c r="J89">
        <v>0.4</v>
      </c>
      <c r="L89" t="str">
        <f t="shared" ref="L89:L112" si="7">CONCATENATE("    -  ",TEXT(B89,"0.000"))</f>
        <v xml:space="preserve">    -  0.020</v>
      </c>
      <c r="N89" t="str">
        <f t="shared" si="6"/>
        <v xml:space="preserve">    - [1.000, 0.000, 0.000, 0.40, 40.0000]</v>
      </c>
    </row>
    <row r="90" spans="2:14">
      <c r="B90">
        <v>0.03</v>
      </c>
      <c r="C90">
        <v>1.0509999999999999</v>
      </c>
      <c r="D90">
        <v>0</v>
      </c>
      <c r="E90">
        <v>3.56E-2</v>
      </c>
      <c r="F90">
        <v>0.6</v>
      </c>
      <c r="G90">
        <v>40</v>
      </c>
      <c r="H90">
        <v>-1</v>
      </c>
      <c r="I90">
        <v>4</v>
      </c>
      <c r="J90">
        <v>0.7</v>
      </c>
      <c r="L90" t="str">
        <f t="shared" si="7"/>
        <v xml:space="preserve">    -  0.030</v>
      </c>
      <c r="N90" t="str">
        <f t="shared" si="6"/>
        <v xml:space="preserve">    - [1.051, 0.000, 0.036, 0.60, 40.0000]</v>
      </c>
    </row>
    <row r="91" spans="2:14">
      <c r="B91">
        <v>0.04</v>
      </c>
      <c r="C91">
        <v>1.0409999999999999</v>
      </c>
      <c r="D91">
        <v>-8.9999999999999998E-4</v>
      </c>
      <c r="E91">
        <v>0.2054</v>
      </c>
      <c r="F91">
        <v>1</v>
      </c>
      <c r="G91">
        <v>40</v>
      </c>
      <c r="H91">
        <v>-1.1000000000000001</v>
      </c>
      <c r="I91">
        <v>1</v>
      </c>
      <c r="J91">
        <v>0.7</v>
      </c>
      <c r="L91" t="str">
        <f t="shared" si="7"/>
        <v xml:space="preserve">    -  0.040</v>
      </c>
      <c r="N91" t="str">
        <f t="shared" si="6"/>
        <v xml:space="preserve">    - [1.041, -0.001, 0.205, 1.00, 40.0000]</v>
      </c>
    </row>
    <row r="92" spans="2:14">
      <c r="B92">
        <v>0.05</v>
      </c>
      <c r="C92">
        <v>1.0529999999999999</v>
      </c>
      <c r="D92">
        <v>-1.8E-3</v>
      </c>
      <c r="E92">
        <v>0.36709999999999998</v>
      </c>
      <c r="F92">
        <v>1.9</v>
      </c>
      <c r="G92">
        <v>40</v>
      </c>
      <c r="H92">
        <v>-1.4</v>
      </c>
      <c r="I92">
        <v>1</v>
      </c>
      <c r="J92">
        <v>0.9</v>
      </c>
      <c r="L92" t="str">
        <f t="shared" si="7"/>
        <v xml:space="preserve">    -  0.050</v>
      </c>
      <c r="N92" t="str">
        <f t="shared" si="6"/>
        <v xml:space="preserve">    - [1.053, -0.002, 0.367, 1.90, 40.0000]</v>
      </c>
    </row>
    <row r="93" spans="2:14">
      <c r="B93">
        <v>0.06</v>
      </c>
      <c r="C93">
        <v>1.1140000000000001</v>
      </c>
      <c r="D93">
        <v>-1.4E-3</v>
      </c>
      <c r="E93">
        <v>0.1421</v>
      </c>
      <c r="F93">
        <v>0.7</v>
      </c>
      <c r="G93">
        <v>40</v>
      </c>
      <c r="H93">
        <v>-3.2</v>
      </c>
      <c r="I93">
        <v>2</v>
      </c>
      <c r="J93">
        <v>1.8</v>
      </c>
      <c r="L93" t="str">
        <f t="shared" si="7"/>
        <v xml:space="preserve">    -  0.060</v>
      </c>
      <c r="N93" t="str">
        <f t="shared" si="6"/>
        <v xml:space="preserve">    - [1.114, -0.001, 0.142, 0.70, 40.0000]</v>
      </c>
    </row>
    <row r="94" spans="2:14">
      <c r="B94">
        <v>0.08</v>
      </c>
      <c r="C94">
        <v>0.6</v>
      </c>
      <c r="D94">
        <v>-0.52500000000000002</v>
      </c>
      <c r="E94">
        <v>-0.66149999999999998</v>
      </c>
      <c r="F94">
        <v>17.3</v>
      </c>
      <c r="G94">
        <v>20</v>
      </c>
      <c r="H94">
        <v>-19.899999999999999</v>
      </c>
      <c r="I94">
        <v>1</v>
      </c>
      <c r="J94">
        <v>12.3</v>
      </c>
      <c r="L94" t="str">
        <f t="shared" si="7"/>
        <v xml:space="preserve">    -  0.080</v>
      </c>
      <c r="N94" t="str">
        <f t="shared" si="6"/>
        <v xml:space="preserve">    - [0.600, -0.525, -0.662, 17.30, 20.0000]</v>
      </c>
    </row>
    <row r="95" spans="2:14">
      <c r="B95">
        <v>0.1</v>
      </c>
      <c r="C95">
        <v>0.7</v>
      </c>
      <c r="D95">
        <v>-0.32</v>
      </c>
      <c r="E95">
        <v>-0.41799999999999998</v>
      </c>
      <c r="F95">
        <v>52.5</v>
      </c>
      <c r="G95">
        <v>15</v>
      </c>
      <c r="H95">
        <v>-21.8</v>
      </c>
      <c r="I95">
        <v>1</v>
      </c>
      <c r="J95">
        <v>23.9</v>
      </c>
      <c r="L95" t="str">
        <f t="shared" si="7"/>
        <v xml:space="preserve">    -  0.100</v>
      </c>
      <c r="N95" t="str">
        <f t="shared" si="6"/>
        <v xml:space="preserve">    - [0.700, -0.320, -0.418, 52.50, 15.0000]</v>
      </c>
    </row>
    <row r="96" spans="2:14">
      <c r="B96">
        <v>0.15</v>
      </c>
      <c r="C96">
        <v>1.4430000000000001</v>
      </c>
      <c r="D96">
        <v>5.9999999999999995E-4</v>
      </c>
      <c r="E96">
        <v>0.71450000000000002</v>
      </c>
      <c r="F96">
        <v>6.6</v>
      </c>
      <c r="G96">
        <v>5</v>
      </c>
      <c r="H96">
        <v>-4.5</v>
      </c>
      <c r="I96">
        <v>40</v>
      </c>
      <c r="J96">
        <v>4.4000000000000004</v>
      </c>
      <c r="L96" t="str">
        <f t="shared" si="7"/>
        <v xml:space="preserve">    -  0.150</v>
      </c>
      <c r="N96" t="str">
        <f t="shared" si="6"/>
        <v xml:space="preserve">    - [1.443, 0.001, 0.715, 6.60, 5.0000]</v>
      </c>
    </row>
    <row r="97" spans="2:14">
      <c r="B97">
        <v>0.2</v>
      </c>
      <c r="C97">
        <v>1.37</v>
      </c>
      <c r="D97">
        <v>-2E-3</v>
      </c>
      <c r="E97">
        <v>0.38279999999999997</v>
      </c>
      <c r="F97">
        <v>5</v>
      </c>
      <c r="G97">
        <v>5</v>
      </c>
      <c r="H97">
        <v>-4.7</v>
      </c>
      <c r="I97">
        <v>0.5</v>
      </c>
      <c r="J97">
        <v>3.7</v>
      </c>
      <c r="L97" t="str">
        <f t="shared" si="7"/>
        <v xml:space="preserve">    -  0.200</v>
      </c>
      <c r="N97" t="str">
        <f t="shared" si="6"/>
        <v xml:space="preserve">    - [1.370, -0.002, 0.383, 5.00, 5.0000]</v>
      </c>
    </row>
    <row r="98" spans="2:14">
      <c r="B98">
        <v>0.3</v>
      </c>
      <c r="C98">
        <v>1.663</v>
      </c>
      <c r="D98">
        <v>-4.5999999999999999E-3</v>
      </c>
      <c r="E98">
        <v>0.2</v>
      </c>
      <c r="F98">
        <v>4.7</v>
      </c>
      <c r="G98">
        <v>10</v>
      </c>
      <c r="H98">
        <v>-3.8</v>
      </c>
      <c r="I98">
        <v>0.5</v>
      </c>
      <c r="J98">
        <v>2.9</v>
      </c>
      <c r="L98" t="str">
        <f t="shared" si="7"/>
        <v xml:space="preserve">    -  0.300</v>
      </c>
      <c r="N98" t="str">
        <f t="shared" si="6"/>
        <v xml:space="preserve">    - [1.663, -0.005, 0.200, 4.70, 10.0000]</v>
      </c>
    </row>
    <row r="99" spans="2:14">
      <c r="B99">
        <v>0.4</v>
      </c>
      <c r="C99">
        <v>1.85</v>
      </c>
      <c r="D99">
        <v>-1.4E-2</v>
      </c>
      <c r="E99">
        <v>0.25700000000000001</v>
      </c>
      <c r="F99">
        <v>4</v>
      </c>
      <c r="G99">
        <v>5</v>
      </c>
      <c r="H99">
        <v>-3.4</v>
      </c>
      <c r="I99">
        <v>20</v>
      </c>
      <c r="J99">
        <v>2.7</v>
      </c>
      <c r="L99" t="str">
        <f t="shared" si="7"/>
        <v xml:space="preserve">    -  0.400</v>
      </c>
      <c r="N99" t="str">
        <f t="shared" si="6"/>
        <v xml:space="preserve">    - [1.850, -0.014, 0.257, 4.00, 5.0000]</v>
      </c>
    </row>
    <row r="100" spans="2:14">
      <c r="B100">
        <v>0.5</v>
      </c>
      <c r="C100">
        <v>2.65</v>
      </c>
      <c r="D100">
        <v>-1.35E-2</v>
      </c>
      <c r="E100">
        <v>0.14599999999999999</v>
      </c>
      <c r="F100">
        <v>5.0999999999999996</v>
      </c>
      <c r="G100">
        <v>8</v>
      </c>
      <c r="H100">
        <v>-3</v>
      </c>
      <c r="I100">
        <v>1</v>
      </c>
      <c r="J100">
        <v>3.4</v>
      </c>
      <c r="L100" t="str">
        <f t="shared" si="7"/>
        <v xml:space="preserve">    -  0.500</v>
      </c>
      <c r="N100" t="str">
        <f t="shared" si="6"/>
        <v xml:space="preserve">    - [2.650, -0.014, 0.146, 5.10, 8.0000]</v>
      </c>
    </row>
    <row r="101" spans="2:14">
      <c r="B101">
        <v>0.6</v>
      </c>
      <c r="C101">
        <v>3.51</v>
      </c>
      <c r="D101">
        <v>-1.2E-2</v>
      </c>
      <c r="E101">
        <v>0.106</v>
      </c>
      <c r="F101">
        <v>5.3</v>
      </c>
      <c r="G101">
        <v>8</v>
      </c>
      <c r="H101">
        <v>-3.7</v>
      </c>
      <c r="I101">
        <v>1</v>
      </c>
      <c r="J101">
        <v>3.1</v>
      </c>
      <c r="L101" t="str">
        <f t="shared" si="7"/>
        <v xml:space="preserve">    -  0.600</v>
      </c>
      <c r="N101" t="str">
        <f t="shared" si="6"/>
        <v xml:space="preserve">    - [3.510, -0.012, 0.106, 5.30, 8.0000]</v>
      </c>
    </row>
    <row r="102" spans="2:14">
      <c r="B102">
        <v>0.8</v>
      </c>
      <c r="C102">
        <v>4.8499999999999996</v>
      </c>
      <c r="D102">
        <v>-1.43E-2</v>
      </c>
      <c r="E102">
        <v>7.9000000000000001E-2</v>
      </c>
      <c r="F102">
        <v>3.8</v>
      </c>
      <c r="G102">
        <v>8</v>
      </c>
      <c r="H102">
        <v>-3.4</v>
      </c>
      <c r="I102">
        <v>1</v>
      </c>
      <c r="J102">
        <v>2.4</v>
      </c>
      <c r="L102" t="str">
        <f t="shared" si="7"/>
        <v xml:space="preserve">    -  0.800</v>
      </c>
      <c r="N102" t="str">
        <f t="shared" si="6"/>
        <v xml:space="preserve">    - [4.850, -0.014, 0.079, 3.80, 8.0000]</v>
      </c>
    </row>
    <row r="103" spans="2:14">
      <c r="B103">
        <v>1</v>
      </c>
      <c r="C103">
        <v>6.1660000000000004</v>
      </c>
      <c r="D103">
        <v>-1.6E-2</v>
      </c>
      <c r="E103">
        <v>0.06</v>
      </c>
      <c r="F103">
        <v>1.7</v>
      </c>
      <c r="G103">
        <v>8</v>
      </c>
      <c r="H103">
        <v>-3</v>
      </c>
      <c r="I103">
        <v>1</v>
      </c>
      <c r="J103">
        <v>1.8</v>
      </c>
      <c r="L103" t="str">
        <f t="shared" si="7"/>
        <v xml:space="preserve">    -  1.000</v>
      </c>
      <c r="N103" t="str">
        <f t="shared" si="6"/>
        <v xml:space="preserve">    - [6.166, -0.016, 0.060, 1.70, 8.0000]</v>
      </c>
    </row>
    <row r="104" spans="2:14">
      <c r="B104">
        <v>1.5</v>
      </c>
      <c r="C104">
        <v>10.5</v>
      </c>
      <c r="D104">
        <v>-2.58E-2</v>
      </c>
      <c r="E104">
        <v>1.12E-2</v>
      </c>
      <c r="F104">
        <v>12.8</v>
      </c>
      <c r="G104">
        <v>40</v>
      </c>
      <c r="H104">
        <v>-4.5</v>
      </c>
      <c r="I104">
        <v>15</v>
      </c>
      <c r="J104">
        <v>5</v>
      </c>
      <c r="L104" t="str">
        <f t="shared" si="7"/>
        <v xml:space="preserve">    -  1.500</v>
      </c>
      <c r="N104" t="str">
        <f t="shared" si="6"/>
        <v xml:space="preserve">    - [10.500, -0.026, 0.011, 12.80, 40.0000]</v>
      </c>
    </row>
    <row r="105" spans="2:14">
      <c r="B105">
        <v>2</v>
      </c>
      <c r="C105">
        <v>27.41</v>
      </c>
      <c r="D105">
        <v>-1.55E-2</v>
      </c>
      <c r="E105">
        <v>1.9E-3</v>
      </c>
      <c r="F105">
        <v>1.5</v>
      </c>
      <c r="G105">
        <v>4</v>
      </c>
      <c r="H105">
        <v>-4.7</v>
      </c>
      <c r="I105">
        <v>30</v>
      </c>
      <c r="J105">
        <v>5</v>
      </c>
      <c r="L105" t="str">
        <f t="shared" si="7"/>
        <v xml:space="preserve">    -  2.000</v>
      </c>
      <c r="N105" t="str">
        <f t="shared" si="6"/>
        <v xml:space="preserve">    - [27.410, -0.016, 0.002, 1.50, 4.0000]</v>
      </c>
    </row>
    <row r="106" spans="2:14">
      <c r="B106">
        <v>3</v>
      </c>
      <c r="C106">
        <v>11.27</v>
      </c>
      <c r="D106">
        <v>-4.0899999999999999E-2</v>
      </c>
      <c r="E106">
        <v>-2.7000000000000001E-3</v>
      </c>
      <c r="F106">
        <v>8.5</v>
      </c>
      <c r="G106">
        <v>40</v>
      </c>
      <c r="H106">
        <v>-4.5999999999999996</v>
      </c>
      <c r="I106">
        <v>20</v>
      </c>
      <c r="J106">
        <v>5</v>
      </c>
      <c r="L106" t="str">
        <f t="shared" si="7"/>
        <v xml:space="preserve">    -  3.000</v>
      </c>
      <c r="N106" t="str">
        <f t="shared" si="6"/>
        <v xml:space="preserve">    - [11.270, -0.041, -0.003, 8.50, 40.0000]</v>
      </c>
    </row>
    <row r="107" spans="2:14">
      <c r="B107">
        <v>4</v>
      </c>
      <c r="C107">
        <v>15.28</v>
      </c>
      <c r="D107">
        <v>-5.5800000000000002E-2</v>
      </c>
      <c r="E107">
        <v>-3.5299999999999998E-2</v>
      </c>
      <c r="F107">
        <v>13.2</v>
      </c>
      <c r="G107">
        <v>40</v>
      </c>
      <c r="H107">
        <v>-4.4000000000000004</v>
      </c>
      <c r="I107">
        <v>0.5</v>
      </c>
      <c r="J107">
        <v>4.5999999999999996</v>
      </c>
      <c r="L107" t="str">
        <f t="shared" si="7"/>
        <v xml:space="preserve">    -  4.000</v>
      </c>
      <c r="N107" t="str">
        <f t="shared" si="6"/>
        <v xml:space="preserve">    - [15.280, -0.056, -0.035, 13.20, 40.0000]</v>
      </c>
    </row>
    <row r="108" spans="2:14">
      <c r="B108">
        <v>5</v>
      </c>
      <c r="C108">
        <v>9.2140000000000004</v>
      </c>
      <c r="D108">
        <v>-7.85E-2</v>
      </c>
      <c r="E108">
        <v>-4.8800000000000003E-2</v>
      </c>
      <c r="F108">
        <v>5.9</v>
      </c>
      <c r="G108">
        <v>40</v>
      </c>
      <c r="H108">
        <v>-8.1</v>
      </c>
      <c r="I108">
        <v>0.5</v>
      </c>
      <c r="J108">
        <v>3.9</v>
      </c>
      <c r="L108" t="str">
        <f t="shared" si="7"/>
        <v xml:space="preserve">    -  5.000</v>
      </c>
      <c r="N108" t="str">
        <f t="shared" si="6"/>
        <v xml:space="preserve">    - [9.214, -0.079, -0.049, 5.90, 40.0000]</v>
      </c>
    </row>
    <row r="109" spans="2:14">
      <c r="B109">
        <v>6</v>
      </c>
      <c r="C109">
        <v>2.95</v>
      </c>
      <c r="D109">
        <v>-0.1178</v>
      </c>
      <c r="E109">
        <v>-6.0000000000000001E-3</v>
      </c>
      <c r="F109">
        <v>6.2</v>
      </c>
      <c r="G109">
        <v>40</v>
      </c>
      <c r="H109">
        <v>-7.8</v>
      </c>
      <c r="I109">
        <v>0.5</v>
      </c>
      <c r="J109">
        <v>5</v>
      </c>
      <c r="L109" t="str">
        <f t="shared" si="7"/>
        <v xml:space="preserve">    -  6.000</v>
      </c>
      <c r="N109" t="str">
        <f t="shared" si="6"/>
        <v xml:space="preserve">    - [2.950, -0.118, -0.006, 6.20, 40.0000]</v>
      </c>
    </row>
    <row r="110" spans="2:14">
      <c r="B110">
        <v>8</v>
      </c>
      <c r="C110">
        <v>4.92</v>
      </c>
      <c r="D110">
        <v>-0.15</v>
      </c>
      <c r="E110">
        <v>-0.1033</v>
      </c>
      <c r="F110">
        <v>7.6</v>
      </c>
      <c r="G110">
        <v>10</v>
      </c>
      <c r="H110">
        <v>-11.1</v>
      </c>
      <c r="I110">
        <v>1</v>
      </c>
      <c r="J110">
        <v>5.9</v>
      </c>
      <c r="L110" t="str">
        <f t="shared" si="7"/>
        <v xml:space="preserve">    -  8.000</v>
      </c>
      <c r="N110" t="str">
        <f t="shared" si="6"/>
        <v xml:space="preserve">    - [4.920, -0.150, -0.103, 7.60, 10.0000]</v>
      </c>
    </row>
    <row r="111" spans="2:14">
      <c r="B111">
        <v>10</v>
      </c>
      <c r="C111">
        <v>2.2160000000000002</v>
      </c>
      <c r="D111">
        <v>-0.21640000000000001</v>
      </c>
      <c r="E111">
        <v>-8.1000000000000003E-2</v>
      </c>
      <c r="F111">
        <v>7.8</v>
      </c>
      <c r="G111">
        <v>40</v>
      </c>
      <c r="H111">
        <v>-6.7</v>
      </c>
      <c r="I111">
        <v>0.5</v>
      </c>
      <c r="J111">
        <v>4.3</v>
      </c>
      <c r="L111" t="str">
        <f t="shared" si="7"/>
        <v xml:space="preserve">    -  10.000</v>
      </c>
      <c r="N111" t="str">
        <f t="shared" si="6"/>
        <v xml:space="preserve">    - [2.216, -0.216, -0.081, 7.80, 40.0000]</v>
      </c>
    </row>
    <row r="112" spans="2:14">
      <c r="B112">
        <v>15</v>
      </c>
      <c r="C112">
        <v>1.91</v>
      </c>
      <c r="D112">
        <v>-0.31519999999999998</v>
      </c>
      <c r="E112">
        <v>-0.115</v>
      </c>
      <c r="F112">
        <v>12.4</v>
      </c>
      <c r="G112">
        <v>40</v>
      </c>
      <c r="H112">
        <v>-3.6</v>
      </c>
      <c r="I112">
        <v>0.5</v>
      </c>
      <c r="J112">
        <v>6.6</v>
      </c>
      <c r="L112" t="str">
        <f t="shared" si="7"/>
        <v xml:space="preserve">    -  15.000</v>
      </c>
      <c r="N112" t="str">
        <f t="shared" si="6"/>
        <v xml:space="preserve">    - [1.910, -0.315, -0.115, 12.40, 40.0000]</v>
      </c>
    </row>
    <row r="114" spans="2:14">
      <c r="C114" s="5" t="s">
        <v>55</v>
      </c>
    </row>
    <row r="115" spans="2:14">
      <c r="B115" t="s">
        <v>1</v>
      </c>
      <c r="C115" t="s">
        <v>87</v>
      </c>
      <c r="D115" t="s">
        <v>88</v>
      </c>
      <c r="E115" t="s">
        <v>89</v>
      </c>
      <c r="F115" t="s">
        <v>17</v>
      </c>
      <c r="G115" t="s">
        <v>18</v>
      </c>
      <c r="H115" t="s">
        <v>17</v>
      </c>
      <c r="I115" t="s">
        <v>18</v>
      </c>
      <c r="J115" t="s">
        <v>15</v>
      </c>
    </row>
    <row r="116" spans="2:14">
      <c r="B116">
        <v>0.03</v>
      </c>
      <c r="C116">
        <v>1.02</v>
      </c>
      <c r="D116">
        <v>-2.9999999999999997E-4</v>
      </c>
      <c r="E116">
        <v>0.2</v>
      </c>
      <c r="F116">
        <v>0.8</v>
      </c>
      <c r="G116">
        <v>40</v>
      </c>
      <c r="H116">
        <v>-0.3</v>
      </c>
      <c r="I116">
        <v>1</v>
      </c>
      <c r="J116">
        <v>0.5</v>
      </c>
      <c r="L116" t="str">
        <f>CONCATENATE("    -  ",TEXT(B116,"0.000"))</f>
        <v xml:space="preserve">    -  0.030</v>
      </c>
      <c r="N116" t="str">
        <f t="shared" ref="N116:N138" si="8">CONCATENATE("    - [",TEXT(C116,$N$2),", ",TEXT(D116,$N$2),", ",TEXT(E116,$N$2),", ",TEXT(F116,$O$2),", ",TEXT(G116,$P$2),"]")</f>
        <v xml:space="preserve">    - [1.020, 0.000, 0.200, 0.80, 40.0000]</v>
      </c>
    </row>
    <row r="117" spans="2:14">
      <c r="B117">
        <v>0.04</v>
      </c>
      <c r="C117">
        <v>1.04</v>
      </c>
      <c r="D117">
        <v>-4.0000000000000002E-4</v>
      </c>
      <c r="E117">
        <v>0.3</v>
      </c>
      <c r="F117">
        <v>1</v>
      </c>
      <c r="G117">
        <v>8</v>
      </c>
      <c r="H117">
        <v>-0.4</v>
      </c>
      <c r="I117">
        <v>0.5</v>
      </c>
      <c r="J117">
        <v>0.7</v>
      </c>
      <c r="L117" t="str">
        <f t="shared" ref="L117:L138" si="9">CONCATENATE("    -  ",TEXT(B117,"0.000"))</f>
        <v xml:space="preserve">    -  0.040</v>
      </c>
      <c r="N117" t="str">
        <f t="shared" si="8"/>
        <v xml:space="preserve">    - [1.040, 0.000, 0.300, 1.00, 8.0000]</v>
      </c>
    </row>
    <row r="118" spans="2:14">
      <c r="B118">
        <v>0.05</v>
      </c>
      <c r="C118">
        <v>1.04</v>
      </c>
      <c r="D118">
        <v>-1.1999999999999999E-3</v>
      </c>
      <c r="E118">
        <v>0.25</v>
      </c>
      <c r="F118">
        <v>1.2</v>
      </c>
      <c r="G118">
        <v>40</v>
      </c>
      <c r="H118">
        <v>-1.3</v>
      </c>
      <c r="I118">
        <v>1</v>
      </c>
      <c r="J118">
        <v>0.8</v>
      </c>
      <c r="L118" t="str">
        <f t="shared" si="9"/>
        <v xml:space="preserve">    -  0.050</v>
      </c>
      <c r="N118" t="str">
        <f t="shared" si="8"/>
        <v xml:space="preserve">    - [1.040, -0.001, 0.250, 1.20, 40.0000]</v>
      </c>
    </row>
    <row r="119" spans="2:14">
      <c r="B119">
        <v>0.06</v>
      </c>
      <c r="C119">
        <v>1.042</v>
      </c>
      <c r="D119">
        <v>-2E-3</v>
      </c>
      <c r="E119">
        <v>0.252</v>
      </c>
      <c r="F119">
        <v>0.6</v>
      </c>
      <c r="G119">
        <v>40</v>
      </c>
      <c r="H119">
        <v>-2.2999999999999998</v>
      </c>
      <c r="I119">
        <v>2</v>
      </c>
      <c r="J119">
        <v>1.7</v>
      </c>
      <c r="L119" t="str">
        <f t="shared" si="9"/>
        <v xml:space="preserve">    -  0.060</v>
      </c>
      <c r="N119" t="str">
        <f t="shared" si="8"/>
        <v xml:space="preserve">    - [1.042, -0.002, 0.252, 0.60, 40.0000]</v>
      </c>
    </row>
    <row r="120" spans="2:14">
      <c r="B120">
        <v>0.08</v>
      </c>
      <c r="C120">
        <v>1.256</v>
      </c>
      <c r="D120">
        <v>0</v>
      </c>
      <c r="E120">
        <v>0.12</v>
      </c>
      <c r="F120">
        <v>3.4</v>
      </c>
      <c r="G120">
        <v>15</v>
      </c>
      <c r="H120">
        <v>-2.8</v>
      </c>
      <c r="I120">
        <v>1</v>
      </c>
      <c r="J120">
        <v>2.2000000000000002</v>
      </c>
      <c r="L120" t="str">
        <f t="shared" si="9"/>
        <v xml:space="preserve">    -  0.080</v>
      </c>
      <c r="N120" t="str">
        <f t="shared" si="8"/>
        <v xml:space="preserve">    - [1.256, 0.000, 0.120, 3.40, 15.0000]</v>
      </c>
    </row>
    <row r="121" spans="2:14">
      <c r="B121">
        <v>0.1</v>
      </c>
      <c r="C121">
        <v>0.64300000000000002</v>
      </c>
      <c r="D121">
        <v>-0.44700000000000001</v>
      </c>
      <c r="E121">
        <v>-0.64700000000000002</v>
      </c>
      <c r="F121">
        <v>15.4</v>
      </c>
      <c r="G121">
        <v>20</v>
      </c>
      <c r="H121">
        <v>-17.100000000000001</v>
      </c>
      <c r="I121">
        <v>1</v>
      </c>
      <c r="J121">
        <v>11.7</v>
      </c>
      <c r="L121" t="str">
        <f t="shared" si="9"/>
        <v xml:space="preserve">    -  0.100</v>
      </c>
      <c r="N121" t="str">
        <f t="shared" si="8"/>
        <v xml:space="preserve">    - [0.643, -0.447, -0.647, 15.40, 20.0000]</v>
      </c>
    </row>
    <row r="122" spans="2:14">
      <c r="B122">
        <v>0.15</v>
      </c>
      <c r="C122">
        <v>1.55</v>
      </c>
      <c r="D122">
        <v>-3.6700000000000003E-2</v>
      </c>
      <c r="E122">
        <v>0.77400000000000002</v>
      </c>
      <c r="F122">
        <v>16.2</v>
      </c>
      <c r="G122">
        <v>25</v>
      </c>
      <c r="H122">
        <v>-3.4</v>
      </c>
      <c r="I122">
        <v>0.5</v>
      </c>
      <c r="J122">
        <v>7.6</v>
      </c>
      <c r="L122" t="str">
        <f t="shared" si="9"/>
        <v xml:space="preserve">    -  0.150</v>
      </c>
      <c r="N122" t="str">
        <f t="shared" si="8"/>
        <v xml:space="preserve">    - [1.550, -0.037, 0.774, 16.20, 25.0000]</v>
      </c>
    </row>
    <row r="123" spans="2:14">
      <c r="B123">
        <v>0.2</v>
      </c>
      <c r="C123">
        <v>1.4</v>
      </c>
      <c r="D123">
        <v>-1E-3</v>
      </c>
      <c r="E123">
        <v>0.55500000000000005</v>
      </c>
      <c r="F123">
        <v>7.3</v>
      </c>
      <c r="G123">
        <v>5</v>
      </c>
      <c r="H123">
        <v>-4.5999999999999996</v>
      </c>
      <c r="I123">
        <v>0.5</v>
      </c>
      <c r="J123">
        <v>4.5999999999999996</v>
      </c>
      <c r="L123" t="str">
        <f t="shared" si="9"/>
        <v xml:space="preserve">    -  0.200</v>
      </c>
      <c r="N123" t="str">
        <f t="shared" si="8"/>
        <v xml:space="preserve">    - [1.400, -0.001, 0.555, 7.30, 5.0000]</v>
      </c>
    </row>
    <row r="124" spans="2:14">
      <c r="B124">
        <v>0.3</v>
      </c>
      <c r="C124">
        <v>1.4570000000000001</v>
      </c>
      <c r="D124">
        <v>-4.7999999999999996E-3</v>
      </c>
      <c r="E124">
        <v>0.21779999999999999</v>
      </c>
      <c r="F124">
        <v>2.2999999999999998</v>
      </c>
      <c r="G124">
        <v>10</v>
      </c>
      <c r="H124">
        <v>-4.5999999999999996</v>
      </c>
      <c r="I124">
        <v>1</v>
      </c>
      <c r="J124">
        <v>2.2000000000000002</v>
      </c>
      <c r="L124" t="str">
        <f t="shared" si="9"/>
        <v xml:space="preserve">    -  0.300</v>
      </c>
      <c r="N124" t="str">
        <f t="shared" si="8"/>
        <v xml:space="preserve">    - [1.457, -0.005, 0.218, 2.30, 10.0000]</v>
      </c>
    </row>
    <row r="125" spans="2:14">
      <c r="B125">
        <v>0.4</v>
      </c>
      <c r="C125">
        <v>1.9510000000000001</v>
      </c>
      <c r="D125">
        <v>-5.4999999999999997E-3</v>
      </c>
      <c r="E125">
        <v>0.14949999999999999</v>
      </c>
      <c r="F125">
        <v>5.4</v>
      </c>
      <c r="G125">
        <v>10</v>
      </c>
      <c r="H125">
        <v>-4</v>
      </c>
      <c r="I125">
        <v>1</v>
      </c>
      <c r="J125">
        <v>3.2</v>
      </c>
      <c r="L125" t="str">
        <f t="shared" si="9"/>
        <v xml:space="preserve">    -  0.400</v>
      </c>
      <c r="N125" t="str">
        <f t="shared" si="8"/>
        <v xml:space="preserve">    - [1.951, -0.006, 0.150, 5.40, 10.0000]</v>
      </c>
    </row>
    <row r="126" spans="2:14">
      <c r="B126">
        <v>0.5</v>
      </c>
      <c r="C126">
        <v>2.266</v>
      </c>
      <c r="D126">
        <v>-1.06E-2</v>
      </c>
      <c r="E126">
        <v>0.13139999999999999</v>
      </c>
      <c r="F126">
        <v>4.3</v>
      </c>
      <c r="G126">
        <v>40</v>
      </c>
      <c r="H126">
        <v>-4.8</v>
      </c>
      <c r="I126">
        <v>1</v>
      </c>
      <c r="J126">
        <v>3.2</v>
      </c>
      <c r="L126" t="str">
        <f t="shared" si="9"/>
        <v xml:space="preserve">    -  0.500</v>
      </c>
      <c r="N126" t="str">
        <f t="shared" si="8"/>
        <v xml:space="preserve">    - [2.266, -0.011, 0.131, 4.30, 40.0000]</v>
      </c>
    </row>
    <row r="127" spans="2:14">
      <c r="B127">
        <v>0.6</v>
      </c>
      <c r="C127">
        <v>2.4</v>
      </c>
      <c r="D127">
        <v>-1.3899999999999999E-2</v>
      </c>
      <c r="E127">
        <v>0.14199999999999999</v>
      </c>
      <c r="F127">
        <v>4.0999999999999996</v>
      </c>
      <c r="G127">
        <v>40</v>
      </c>
      <c r="H127">
        <v>-4.5</v>
      </c>
      <c r="I127">
        <v>1</v>
      </c>
      <c r="J127">
        <v>2.2000000000000002</v>
      </c>
      <c r="L127" t="str">
        <f t="shared" si="9"/>
        <v xml:space="preserve">    -  0.600</v>
      </c>
      <c r="N127" t="str">
        <f t="shared" si="8"/>
        <v xml:space="preserve">    - [2.400, -0.014, 0.142, 4.10, 40.0000]</v>
      </c>
    </row>
    <row r="128" spans="2:14">
      <c r="B128">
        <v>0.8</v>
      </c>
      <c r="C128">
        <v>3.149</v>
      </c>
      <c r="D128">
        <v>-1.5900000000000001E-2</v>
      </c>
      <c r="E128">
        <v>0.121</v>
      </c>
      <c r="F128">
        <v>2.6</v>
      </c>
      <c r="G128">
        <v>8</v>
      </c>
      <c r="H128">
        <v>-3.3</v>
      </c>
      <c r="I128">
        <v>1</v>
      </c>
      <c r="J128">
        <v>2</v>
      </c>
      <c r="L128" t="str">
        <f t="shared" si="9"/>
        <v xml:space="preserve">    -  0.800</v>
      </c>
      <c r="N128" t="str">
        <f t="shared" si="8"/>
        <v xml:space="preserve">    - [3.149, -0.016, 0.121, 2.60, 8.0000]</v>
      </c>
    </row>
    <row r="129" spans="2:14">
      <c r="B129">
        <v>1</v>
      </c>
      <c r="C129">
        <v>6</v>
      </c>
      <c r="D129">
        <v>-9.1000000000000004E-3</v>
      </c>
      <c r="E129">
        <v>5.2900000000000003E-2</v>
      </c>
      <c r="F129">
        <v>3.7</v>
      </c>
      <c r="G129">
        <v>15</v>
      </c>
      <c r="H129">
        <v>-4.8</v>
      </c>
      <c r="I129">
        <v>1</v>
      </c>
      <c r="J129">
        <v>3.1</v>
      </c>
      <c r="L129" t="str">
        <f t="shared" si="9"/>
        <v xml:space="preserve">    -  1.000</v>
      </c>
      <c r="N129" t="str">
        <f t="shared" si="8"/>
        <v xml:space="preserve">    - [6.000, -0.009, 0.053, 3.70, 15.0000]</v>
      </c>
    </row>
    <row r="130" spans="2:14">
      <c r="B130">
        <v>1.5</v>
      </c>
      <c r="C130">
        <v>6</v>
      </c>
      <c r="D130">
        <v>-2.3800000000000002E-2</v>
      </c>
      <c r="E130">
        <v>5.1299999999999998E-2</v>
      </c>
      <c r="F130">
        <v>5.4</v>
      </c>
      <c r="G130">
        <v>5</v>
      </c>
      <c r="H130">
        <v>-4.5</v>
      </c>
      <c r="I130">
        <v>25</v>
      </c>
      <c r="J130">
        <v>3.8</v>
      </c>
      <c r="L130" t="str">
        <f t="shared" si="9"/>
        <v xml:space="preserve">    -  1.500</v>
      </c>
      <c r="N130" t="str">
        <f t="shared" si="8"/>
        <v xml:space="preserve">    - [6.000, -0.024, 0.051, 5.40, 5.0000]</v>
      </c>
    </row>
    <row r="131" spans="2:14">
      <c r="B131">
        <v>2</v>
      </c>
      <c r="C131">
        <v>11.66</v>
      </c>
      <c r="D131">
        <v>-2.06E-2</v>
      </c>
      <c r="E131">
        <v>1.49E-2</v>
      </c>
      <c r="F131">
        <v>4.0999999999999996</v>
      </c>
      <c r="G131">
        <v>5</v>
      </c>
      <c r="H131">
        <v>-3.7</v>
      </c>
      <c r="I131">
        <v>25</v>
      </c>
      <c r="J131">
        <v>2.9</v>
      </c>
      <c r="L131" t="str">
        <f t="shared" si="9"/>
        <v xml:space="preserve">    -  2.000</v>
      </c>
      <c r="N131" t="str">
        <f t="shared" si="8"/>
        <v xml:space="preserve">    - [11.660, -0.021, 0.015, 4.10, 5.0000]</v>
      </c>
    </row>
    <row r="132" spans="2:14">
      <c r="B132">
        <v>3</v>
      </c>
      <c r="C132">
        <v>10.85</v>
      </c>
      <c r="D132">
        <v>-3.5499999999999997E-2</v>
      </c>
      <c r="E132">
        <v>1.1999999999999999E-3</v>
      </c>
      <c r="F132">
        <v>8.1</v>
      </c>
      <c r="G132">
        <v>4</v>
      </c>
      <c r="H132">
        <v>-3.9</v>
      </c>
      <c r="I132">
        <v>25</v>
      </c>
      <c r="J132">
        <v>5</v>
      </c>
      <c r="L132" t="str">
        <f t="shared" si="9"/>
        <v xml:space="preserve">    -  3.000</v>
      </c>
      <c r="N132" t="str">
        <f t="shared" si="8"/>
        <v xml:space="preserve">    - [10.850, -0.036, 0.001, 8.10, 4.0000]</v>
      </c>
    </row>
    <row r="133" spans="2:14">
      <c r="B133">
        <v>4</v>
      </c>
      <c r="C133">
        <v>6.29</v>
      </c>
      <c r="D133">
        <v>-6.0400000000000002E-2</v>
      </c>
      <c r="E133">
        <v>-7.4000000000000003E-3</v>
      </c>
      <c r="F133">
        <v>1.2</v>
      </c>
      <c r="G133">
        <v>5</v>
      </c>
      <c r="H133">
        <v>-3.8</v>
      </c>
      <c r="I133">
        <v>25</v>
      </c>
      <c r="J133">
        <v>4.8</v>
      </c>
      <c r="L133" t="str">
        <f t="shared" si="9"/>
        <v xml:space="preserve">    -  4.000</v>
      </c>
      <c r="N133" t="str">
        <f t="shared" si="8"/>
        <v xml:space="preserve">    - [6.290, -0.060, -0.007, 1.20, 5.0000]</v>
      </c>
    </row>
    <row r="134" spans="2:14">
      <c r="B134">
        <v>5</v>
      </c>
      <c r="C134">
        <v>3.39</v>
      </c>
      <c r="D134">
        <v>-9.2399999999999996E-2</v>
      </c>
      <c r="E134">
        <v>0</v>
      </c>
      <c r="F134">
        <v>12.9</v>
      </c>
      <c r="G134">
        <v>40</v>
      </c>
      <c r="H134">
        <v>-7.3</v>
      </c>
      <c r="I134">
        <v>0.5</v>
      </c>
      <c r="J134">
        <v>4.9000000000000004</v>
      </c>
      <c r="L134" t="str">
        <f t="shared" si="9"/>
        <v xml:space="preserve">    -  5.000</v>
      </c>
      <c r="N134" t="str">
        <f t="shared" si="8"/>
        <v xml:space="preserve">    - [3.390, -0.092, 0.000, 12.90, 40.0000]</v>
      </c>
    </row>
    <row r="135" spans="2:14">
      <c r="B135">
        <v>6</v>
      </c>
      <c r="C135">
        <v>3.5</v>
      </c>
      <c r="D135">
        <v>-0.108</v>
      </c>
      <c r="E135">
        <v>-0.03</v>
      </c>
      <c r="F135">
        <v>5.8</v>
      </c>
      <c r="G135">
        <v>8</v>
      </c>
      <c r="H135">
        <v>-1.9</v>
      </c>
      <c r="I135">
        <v>0.5</v>
      </c>
      <c r="J135">
        <v>5</v>
      </c>
      <c r="L135" t="str">
        <f t="shared" si="9"/>
        <v xml:space="preserve">    -  6.000</v>
      </c>
      <c r="N135" t="str">
        <f t="shared" si="8"/>
        <v xml:space="preserve">    - [3.500, -0.108, -0.030, 5.80, 8.0000]</v>
      </c>
    </row>
    <row r="136" spans="2:14">
      <c r="B136">
        <v>8</v>
      </c>
      <c r="C136">
        <v>3.5</v>
      </c>
      <c r="D136">
        <v>-0.1573</v>
      </c>
      <c r="E136">
        <v>-0.1</v>
      </c>
      <c r="F136">
        <v>3.5</v>
      </c>
      <c r="G136">
        <v>10</v>
      </c>
      <c r="H136">
        <v>-11.6</v>
      </c>
      <c r="I136">
        <v>1</v>
      </c>
      <c r="J136">
        <v>5</v>
      </c>
      <c r="L136" t="str">
        <f t="shared" si="9"/>
        <v xml:space="preserve">    -  8.000</v>
      </c>
      <c r="N136" t="str">
        <f t="shared" si="8"/>
        <v xml:space="preserve">    - [3.500, -0.157, -0.100, 3.50, 10.0000]</v>
      </c>
    </row>
    <row r="137" spans="2:14">
      <c r="B137">
        <v>10</v>
      </c>
      <c r="C137">
        <v>2.391</v>
      </c>
      <c r="D137">
        <v>-0.214</v>
      </c>
      <c r="E137">
        <v>-9.1999999999999998E-2</v>
      </c>
      <c r="F137">
        <v>9.5</v>
      </c>
      <c r="G137">
        <v>8</v>
      </c>
      <c r="H137">
        <v>-5.7</v>
      </c>
      <c r="I137">
        <v>0.5</v>
      </c>
      <c r="J137">
        <v>5.7</v>
      </c>
      <c r="L137" t="str">
        <f t="shared" si="9"/>
        <v xml:space="preserve">    -  10.000</v>
      </c>
      <c r="N137" t="str">
        <f t="shared" si="8"/>
        <v xml:space="preserve">    - [2.391, -0.214, -0.092, 9.50, 8.0000]</v>
      </c>
    </row>
    <row r="138" spans="2:14">
      <c r="B138">
        <v>15</v>
      </c>
      <c r="C138">
        <v>3.9449999999999998</v>
      </c>
      <c r="D138">
        <v>-0.29160000000000003</v>
      </c>
      <c r="E138">
        <v>-0.24279999999999999</v>
      </c>
      <c r="F138">
        <v>13.8</v>
      </c>
      <c r="G138">
        <v>8</v>
      </c>
      <c r="H138">
        <v>-4.5999999999999996</v>
      </c>
      <c r="I138">
        <v>0.5</v>
      </c>
      <c r="J138">
        <v>8.4</v>
      </c>
      <c r="L138" t="str">
        <f t="shared" si="9"/>
        <v xml:space="preserve">    -  15.000</v>
      </c>
      <c r="N138" t="str">
        <f t="shared" si="8"/>
        <v xml:space="preserve">    - [3.945, -0.292, -0.243, 13.80, 8.0000]</v>
      </c>
    </row>
    <row r="140" spans="2:14">
      <c r="C140" s="5" t="s">
        <v>56</v>
      </c>
    </row>
    <row r="141" spans="2:14">
      <c r="B141" t="s">
        <v>1</v>
      </c>
      <c r="C141" t="s">
        <v>87</v>
      </c>
      <c r="D141" t="s">
        <v>88</v>
      </c>
      <c r="E141" t="s">
        <v>89</v>
      </c>
      <c r="F141" t="s">
        <v>17</v>
      </c>
      <c r="G141" t="s">
        <v>18</v>
      </c>
      <c r="H141" t="s">
        <v>17</v>
      </c>
      <c r="I141" t="s">
        <v>18</v>
      </c>
      <c r="J141" t="s">
        <v>15</v>
      </c>
    </row>
    <row r="142" spans="2:14">
      <c r="B142">
        <v>0.03</v>
      </c>
      <c r="C142">
        <v>0.98</v>
      </c>
      <c r="D142">
        <v>-1E-3</v>
      </c>
      <c r="E142">
        <v>2.1999999999999999E-2</v>
      </c>
      <c r="F142">
        <v>1.1000000000000001</v>
      </c>
      <c r="G142">
        <v>40</v>
      </c>
      <c r="H142">
        <v>-0.7</v>
      </c>
      <c r="I142">
        <v>4</v>
      </c>
      <c r="J142">
        <v>0.6</v>
      </c>
      <c r="L142" t="str">
        <f>CONCATENATE("    -  ",TEXT(B142,"0.000"))</f>
        <v xml:space="preserve">    -  0.030</v>
      </c>
      <c r="N142" t="str">
        <f t="shared" ref="N142:N164" si="10">CONCATENATE("    - [",TEXT(C142,$N$2),", ",TEXT(D142,$N$2),", ",TEXT(E142,$N$2),", ",TEXT(F142,$O$2),", ",TEXT(G142,$P$2),"]")</f>
        <v xml:space="preserve">    - [0.980, -0.001, 0.022, 1.10, 40.0000]</v>
      </c>
    </row>
    <row r="143" spans="2:14">
      <c r="B143">
        <v>0.04</v>
      </c>
      <c r="C143">
        <v>1.05</v>
      </c>
      <c r="D143">
        <v>0</v>
      </c>
      <c r="E143">
        <v>3.5999999999999997E-2</v>
      </c>
      <c r="F143">
        <v>0.4</v>
      </c>
      <c r="G143">
        <v>40</v>
      </c>
      <c r="H143">
        <v>-1</v>
      </c>
      <c r="I143">
        <v>4</v>
      </c>
      <c r="J143">
        <v>0.7</v>
      </c>
      <c r="L143" t="str">
        <f t="shared" ref="L143:L164" si="11">CONCATENATE("    -  ",TEXT(B143,"0.000"))</f>
        <v xml:space="preserve">    -  0.040</v>
      </c>
      <c r="N143" t="str">
        <f t="shared" si="10"/>
        <v xml:space="preserve">    - [1.050, 0.000, 0.036, 0.40, 40.0000]</v>
      </c>
    </row>
    <row r="144" spans="2:14">
      <c r="B144">
        <v>0.05</v>
      </c>
      <c r="C144">
        <v>1.07</v>
      </c>
      <c r="D144">
        <v>0</v>
      </c>
      <c r="E144">
        <v>7.0999999999999994E-2</v>
      </c>
      <c r="F144">
        <v>1.2</v>
      </c>
      <c r="G144">
        <v>30</v>
      </c>
      <c r="H144">
        <v>-1.2</v>
      </c>
      <c r="I144">
        <v>2</v>
      </c>
      <c r="J144">
        <v>0.9</v>
      </c>
      <c r="L144" t="str">
        <f t="shared" si="11"/>
        <v xml:space="preserve">    -  0.050</v>
      </c>
      <c r="N144" t="str">
        <f t="shared" si="10"/>
        <v xml:space="preserve">    - [1.070, 0.000, 0.071, 1.20, 30.0000]</v>
      </c>
    </row>
    <row r="145" spans="2:14">
      <c r="B145">
        <v>0.06</v>
      </c>
      <c r="C145">
        <v>1.06</v>
      </c>
      <c r="D145">
        <v>-8.9999999999999998E-4</v>
      </c>
      <c r="E145">
        <v>0.17499999999999999</v>
      </c>
      <c r="F145">
        <v>1.6</v>
      </c>
      <c r="G145">
        <v>40</v>
      </c>
      <c r="H145">
        <v>-1.1000000000000001</v>
      </c>
      <c r="I145">
        <v>1</v>
      </c>
      <c r="J145">
        <v>0.9</v>
      </c>
      <c r="L145" t="str">
        <f t="shared" si="11"/>
        <v xml:space="preserve">    -  0.060</v>
      </c>
      <c r="N145" t="str">
        <f t="shared" si="10"/>
        <v xml:space="preserve">    - [1.060, -0.001, 0.175, 1.60, 40.0000]</v>
      </c>
    </row>
    <row r="146" spans="2:14">
      <c r="B146">
        <v>0.08</v>
      </c>
      <c r="C146">
        <v>1.08</v>
      </c>
      <c r="D146">
        <v>-2E-3</v>
      </c>
      <c r="E146">
        <v>0.72199999999999998</v>
      </c>
      <c r="F146">
        <v>1.3</v>
      </c>
      <c r="G146">
        <v>3</v>
      </c>
      <c r="H146">
        <v>-0.3</v>
      </c>
      <c r="I146">
        <v>20</v>
      </c>
      <c r="J146">
        <v>0.7</v>
      </c>
      <c r="L146" t="str">
        <f t="shared" si="11"/>
        <v xml:space="preserve">    -  0.080</v>
      </c>
      <c r="N146" t="str">
        <f t="shared" si="10"/>
        <v xml:space="preserve">    - [1.080, -0.002, 0.722, 1.30, 3.0000]</v>
      </c>
    </row>
    <row r="147" spans="2:14">
      <c r="B147">
        <v>0.1</v>
      </c>
      <c r="C147">
        <v>1.1759999999999999</v>
      </c>
      <c r="D147">
        <v>-1.5E-3</v>
      </c>
      <c r="E147">
        <v>0.2</v>
      </c>
      <c r="F147">
        <v>1.1000000000000001</v>
      </c>
      <c r="G147">
        <v>10</v>
      </c>
      <c r="H147">
        <v>-2.2999999999999998</v>
      </c>
      <c r="I147">
        <v>1</v>
      </c>
      <c r="J147">
        <v>1.1000000000000001</v>
      </c>
      <c r="L147" t="str">
        <f t="shared" si="11"/>
        <v xml:space="preserve">    -  0.100</v>
      </c>
      <c r="N147" t="str">
        <f t="shared" si="10"/>
        <v xml:space="preserve">    - [1.176, -0.002, 0.200, 1.10, 10.0000]</v>
      </c>
    </row>
    <row r="148" spans="2:14">
      <c r="B148">
        <v>0.15</v>
      </c>
      <c r="C148">
        <v>0.82</v>
      </c>
      <c r="D148">
        <v>-0.31</v>
      </c>
      <c r="E148">
        <v>-0.47799999999999998</v>
      </c>
      <c r="F148">
        <v>12.4</v>
      </c>
      <c r="G148">
        <v>15</v>
      </c>
      <c r="H148">
        <v>-15.4</v>
      </c>
      <c r="I148">
        <v>1</v>
      </c>
      <c r="J148">
        <v>8.1</v>
      </c>
      <c r="L148" t="str">
        <f t="shared" si="11"/>
        <v xml:space="preserve">    -  0.150</v>
      </c>
      <c r="N148" t="str">
        <f t="shared" si="10"/>
        <v xml:space="preserve">    - [0.820, -0.310, -0.478, 12.40, 15.0000]</v>
      </c>
    </row>
    <row r="149" spans="2:14">
      <c r="B149">
        <v>0.2</v>
      </c>
      <c r="C149">
        <v>2.1120000000000001</v>
      </c>
      <c r="D149">
        <v>3.3E-3</v>
      </c>
      <c r="E149">
        <v>0.29409999999999997</v>
      </c>
      <c r="F149">
        <v>17.100000000000001</v>
      </c>
      <c r="G149">
        <v>8</v>
      </c>
      <c r="H149">
        <v>-4.7</v>
      </c>
      <c r="I149">
        <v>0.5</v>
      </c>
      <c r="J149">
        <v>10.9</v>
      </c>
      <c r="L149" t="str">
        <f t="shared" si="11"/>
        <v xml:space="preserve">    -  0.200</v>
      </c>
      <c r="N149" t="str">
        <f t="shared" si="10"/>
        <v xml:space="preserve">    - [2.112, 0.003, 0.294, 17.10, 8.0000]</v>
      </c>
    </row>
    <row r="150" spans="2:14">
      <c r="B150">
        <v>0.3</v>
      </c>
      <c r="C150">
        <v>1.4610000000000001</v>
      </c>
      <c r="D150">
        <v>-1.9E-3</v>
      </c>
      <c r="E150">
        <v>0.27739999999999998</v>
      </c>
      <c r="F150">
        <v>6.7</v>
      </c>
      <c r="G150">
        <v>8</v>
      </c>
      <c r="H150">
        <v>-5</v>
      </c>
      <c r="I150">
        <v>0.5</v>
      </c>
      <c r="J150">
        <v>4.4000000000000004</v>
      </c>
      <c r="L150" t="str">
        <f t="shared" si="11"/>
        <v xml:space="preserve">    -  0.300</v>
      </c>
      <c r="N150" t="str">
        <f t="shared" si="10"/>
        <v xml:space="preserve">    - [1.461, -0.002, 0.277, 6.70, 8.0000]</v>
      </c>
    </row>
    <row r="151" spans="2:14">
      <c r="B151">
        <v>0.4</v>
      </c>
      <c r="C151">
        <v>1.4179999999999999</v>
      </c>
      <c r="D151">
        <v>-9.4000000000000004E-3</v>
      </c>
      <c r="E151">
        <v>0.27750000000000002</v>
      </c>
      <c r="F151">
        <v>3.5</v>
      </c>
      <c r="G151">
        <v>40</v>
      </c>
      <c r="H151">
        <v>-4.0999999999999996</v>
      </c>
      <c r="I151">
        <v>1</v>
      </c>
      <c r="J151">
        <v>2.2000000000000002</v>
      </c>
      <c r="L151" t="str">
        <f t="shared" si="11"/>
        <v xml:space="preserve">    -  0.400</v>
      </c>
      <c r="N151" t="str">
        <f t="shared" si="10"/>
        <v xml:space="preserve">    - [1.418, -0.009, 0.278, 3.50, 40.0000]</v>
      </c>
    </row>
    <row r="152" spans="2:14">
      <c r="B152">
        <v>0.5</v>
      </c>
      <c r="C152">
        <v>1.9470000000000001</v>
      </c>
      <c r="D152">
        <v>-6.3E-3</v>
      </c>
      <c r="E152">
        <v>0.1346</v>
      </c>
      <c r="F152">
        <v>3.2</v>
      </c>
      <c r="G152">
        <v>10</v>
      </c>
      <c r="H152">
        <v>-4.9000000000000004</v>
      </c>
      <c r="I152">
        <v>1</v>
      </c>
      <c r="J152">
        <v>2.5</v>
      </c>
      <c r="L152" t="str">
        <f t="shared" si="11"/>
        <v xml:space="preserve">    -  0.500</v>
      </c>
      <c r="N152" t="str">
        <f t="shared" si="10"/>
        <v xml:space="preserve">    - [1.947, -0.006, 0.135, 3.20, 10.0000]</v>
      </c>
    </row>
    <row r="153" spans="2:14">
      <c r="B153">
        <v>0.6</v>
      </c>
      <c r="C153">
        <v>2.1829999999999998</v>
      </c>
      <c r="D153">
        <v>-7.7000000000000002E-3</v>
      </c>
      <c r="E153">
        <v>0.1227</v>
      </c>
      <c r="F153">
        <v>2.7</v>
      </c>
      <c r="G153">
        <v>15</v>
      </c>
      <c r="H153">
        <v>-5</v>
      </c>
      <c r="I153">
        <v>1</v>
      </c>
      <c r="J153">
        <v>2.6</v>
      </c>
      <c r="L153" t="str">
        <f t="shared" si="11"/>
        <v xml:space="preserve">    -  0.600</v>
      </c>
      <c r="N153" t="str">
        <f t="shared" si="10"/>
        <v xml:space="preserve">    - [2.183, -0.008, 0.123, 2.70, 15.0000]</v>
      </c>
    </row>
    <row r="154" spans="2:14">
      <c r="B154">
        <v>0.8</v>
      </c>
      <c r="C154">
        <v>2.6549999999999998</v>
      </c>
      <c r="D154">
        <v>-1.04E-2</v>
      </c>
      <c r="E154">
        <v>0.1215</v>
      </c>
      <c r="F154">
        <v>2.9</v>
      </c>
      <c r="G154">
        <v>10</v>
      </c>
      <c r="H154">
        <v>-4.2</v>
      </c>
      <c r="I154">
        <v>1</v>
      </c>
      <c r="J154">
        <v>2.1</v>
      </c>
      <c r="L154" t="str">
        <f t="shared" si="11"/>
        <v xml:space="preserve">    -  0.800</v>
      </c>
      <c r="N154" t="str">
        <f t="shared" si="10"/>
        <v xml:space="preserve">    - [2.655, -0.010, 0.122, 2.90, 10.0000]</v>
      </c>
    </row>
    <row r="155" spans="2:14">
      <c r="B155">
        <v>1</v>
      </c>
      <c r="C155">
        <v>3.06</v>
      </c>
      <c r="D155">
        <v>-1.4200000000000001E-2</v>
      </c>
      <c r="E155">
        <v>0.10299999999999999</v>
      </c>
      <c r="F155">
        <v>3</v>
      </c>
      <c r="G155">
        <v>40</v>
      </c>
      <c r="H155">
        <v>-4.7</v>
      </c>
      <c r="I155">
        <v>1</v>
      </c>
      <c r="J155">
        <v>2.2000000000000002</v>
      </c>
      <c r="L155" t="str">
        <f t="shared" si="11"/>
        <v xml:space="preserve">    -  1.000</v>
      </c>
      <c r="N155" t="str">
        <f t="shared" si="10"/>
        <v xml:space="preserve">    - [3.060, -0.014, 0.103, 3.00, 40.0000]</v>
      </c>
    </row>
    <row r="156" spans="2:14">
      <c r="B156">
        <v>1.5</v>
      </c>
      <c r="C156">
        <v>3.52</v>
      </c>
      <c r="D156">
        <v>-2.7300000000000001E-2</v>
      </c>
      <c r="E156">
        <v>0.1</v>
      </c>
      <c r="F156">
        <v>5.5</v>
      </c>
      <c r="G156">
        <v>5</v>
      </c>
      <c r="H156">
        <v>-5.0999999999999996</v>
      </c>
      <c r="I156">
        <v>25</v>
      </c>
      <c r="J156">
        <v>3.8</v>
      </c>
      <c r="L156" t="str">
        <f t="shared" si="11"/>
        <v xml:space="preserve">    -  1.500</v>
      </c>
      <c r="N156" t="str">
        <f t="shared" si="10"/>
        <v xml:space="preserve">    - [3.520, -0.027, 0.100, 5.50, 5.0000]</v>
      </c>
    </row>
    <row r="157" spans="2:14">
      <c r="B157">
        <v>2</v>
      </c>
      <c r="C157">
        <v>3.94</v>
      </c>
      <c r="D157">
        <v>-3.3799999999999997E-2</v>
      </c>
      <c r="E157">
        <v>8.6199999999999999E-2</v>
      </c>
      <c r="F157">
        <v>7.7</v>
      </c>
      <c r="G157">
        <v>4</v>
      </c>
      <c r="H157">
        <v>-4.7</v>
      </c>
      <c r="I157">
        <v>25</v>
      </c>
      <c r="J157">
        <v>4.9000000000000004</v>
      </c>
      <c r="L157" t="str">
        <f t="shared" si="11"/>
        <v xml:space="preserve">    -  2.000</v>
      </c>
      <c r="N157" t="str">
        <f t="shared" si="10"/>
        <v xml:space="preserve">    - [3.940, -0.034, 0.086, 7.70, 4.0000]</v>
      </c>
    </row>
    <row r="158" spans="2:14">
      <c r="B158">
        <v>3</v>
      </c>
      <c r="C158">
        <v>9.43</v>
      </c>
      <c r="D158">
        <v>-0.03</v>
      </c>
      <c r="E158">
        <v>5.0000000000000001E-3</v>
      </c>
      <c r="F158">
        <v>6.4</v>
      </c>
      <c r="G158">
        <v>40</v>
      </c>
      <c r="H158">
        <v>-3.3</v>
      </c>
      <c r="I158">
        <v>0.5</v>
      </c>
      <c r="J158">
        <v>3.1</v>
      </c>
      <c r="L158" t="str">
        <f t="shared" si="11"/>
        <v xml:space="preserve">    -  3.000</v>
      </c>
      <c r="N158" t="str">
        <f t="shared" si="10"/>
        <v xml:space="preserve">    - [9.430, -0.030, 0.005, 6.40, 40.0000]</v>
      </c>
    </row>
    <row r="159" spans="2:14">
      <c r="B159">
        <v>4</v>
      </c>
      <c r="C159">
        <v>6.92</v>
      </c>
      <c r="D159">
        <v>-0.05</v>
      </c>
      <c r="E159">
        <v>-1.0999999999999999E-2</v>
      </c>
      <c r="F159">
        <v>9.8000000000000007</v>
      </c>
      <c r="G159">
        <v>40</v>
      </c>
      <c r="H159">
        <v>-4.2</v>
      </c>
      <c r="I159">
        <v>0.5</v>
      </c>
      <c r="J159">
        <v>3.5</v>
      </c>
      <c r="L159" t="str">
        <f t="shared" si="11"/>
        <v xml:space="preserve">    -  4.000</v>
      </c>
      <c r="N159" t="str">
        <f t="shared" si="10"/>
        <v xml:space="preserve">    - [6.920, -0.050, -0.011, 9.80, 40.0000]</v>
      </c>
    </row>
    <row r="160" spans="2:14">
      <c r="B160">
        <v>5</v>
      </c>
      <c r="C160">
        <v>3.75</v>
      </c>
      <c r="D160">
        <v>-7.8200000000000006E-2</v>
      </c>
      <c r="E160">
        <v>-7.0000000000000001E-3</v>
      </c>
      <c r="F160">
        <v>8.1999999999999993</v>
      </c>
      <c r="G160">
        <v>40</v>
      </c>
      <c r="H160">
        <v>-7.3</v>
      </c>
      <c r="I160">
        <v>0.5</v>
      </c>
      <c r="J160">
        <v>3.7</v>
      </c>
      <c r="L160" t="str">
        <f t="shared" si="11"/>
        <v xml:space="preserve">    -  5.000</v>
      </c>
      <c r="N160" t="str">
        <f t="shared" si="10"/>
        <v xml:space="preserve">    - [3.750, -0.078, -0.007, 8.20, 40.0000]</v>
      </c>
    </row>
    <row r="161" spans="2:16">
      <c r="B161">
        <v>6</v>
      </c>
      <c r="C161">
        <v>3.4</v>
      </c>
      <c r="D161">
        <v>-9.7000000000000003E-2</v>
      </c>
      <c r="E161">
        <v>-0.02</v>
      </c>
      <c r="F161">
        <v>6.7</v>
      </c>
      <c r="G161">
        <v>8</v>
      </c>
      <c r="H161">
        <v>-7.4</v>
      </c>
      <c r="I161">
        <v>0.5</v>
      </c>
      <c r="J161">
        <v>4.5999999999999996</v>
      </c>
      <c r="L161" t="str">
        <f t="shared" si="11"/>
        <v xml:space="preserve">    -  6.000</v>
      </c>
      <c r="N161" t="str">
        <f t="shared" si="10"/>
        <v xml:space="preserve">    - [3.400, -0.097, -0.020, 6.70, 8.0000]</v>
      </c>
    </row>
    <row r="162" spans="2:16">
      <c r="B162">
        <v>8</v>
      </c>
      <c r="C162">
        <v>2.54</v>
      </c>
      <c r="D162">
        <v>-0.151</v>
      </c>
      <c r="E162">
        <v>-8.0000000000000002E-3</v>
      </c>
      <c r="F162">
        <v>14.8</v>
      </c>
      <c r="G162">
        <v>8</v>
      </c>
      <c r="H162">
        <v>-6.9</v>
      </c>
      <c r="I162">
        <v>0.5</v>
      </c>
      <c r="J162">
        <v>9.1999999999999993</v>
      </c>
      <c r="L162" t="str">
        <f t="shared" si="11"/>
        <v xml:space="preserve">    -  8.000</v>
      </c>
      <c r="N162" t="str">
        <f t="shared" si="10"/>
        <v xml:space="preserve">    - [2.540, -0.151, -0.008, 14.80, 8.0000]</v>
      </c>
    </row>
    <row r="163" spans="2:16">
      <c r="B163">
        <v>10</v>
      </c>
      <c r="C163">
        <v>2.57</v>
      </c>
      <c r="D163">
        <v>-0.20200000000000001</v>
      </c>
      <c r="E163">
        <v>-8.3799999999999999E-2</v>
      </c>
      <c r="F163">
        <v>13.1</v>
      </c>
      <c r="G163">
        <v>10</v>
      </c>
      <c r="H163">
        <v>-4.8</v>
      </c>
      <c r="I163">
        <v>0.5</v>
      </c>
      <c r="J163">
        <v>7.8</v>
      </c>
      <c r="L163" t="str">
        <f t="shared" si="11"/>
        <v xml:space="preserve">    -  10.000</v>
      </c>
      <c r="N163" t="str">
        <f t="shared" si="10"/>
        <v xml:space="preserve">    - [2.570, -0.202, -0.084, 13.10, 10.0000]</v>
      </c>
    </row>
    <row r="164" spans="2:16">
      <c r="B164">
        <v>15</v>
      </c>
      <c r="C164">
        <v>7.0839999999999996</v>
      </c>
      <c r="D164">
        <v>-0.28770000000000001</v>
      </c>
      <c r="E164">
        <v>-0.26840000000000003</v>
      </c>
      <c r="F164">
        <v>3.6</v>
      </c>
      <c r="G164">
        <v>15</v>
      </c>
      <c r="H164">
        <v>-7.6</v>
      </c>
      <c r="I164">
        <v>1</v>
      </c>
      <c r="J164">
        <v>3.4</v>
      </c>
      <c r="L164" t="str">
        <f t="shared" si="11"/>
        <v xml:space="preserve">    -  15.000</v>
      </c>
      <c r="N164" t="str">
        <f t="shared" si="10"/>
        <v xml:space="preserve">    - [7.084, -0.288, -0.268, 3.60, 15.0000]</v>
      </c>
    </row>
    <row r="166" spans="2:16">
      <c r="C166" s="5" t="s">
        <v>57</v>
      </c>
    </row>
    <row r="167" spans="2:16">
      <c r="B167" t="s">
        <v>1</v>
      </c>
      <c r="C167" t="s">
        <v>87</v>
      </c>
      <c r="D167" t="s">
        <v>88</v>
      </c>
      <c r="E167" t="s">
        <v>89</v>
      </c>
      <c r="F167" t="s">
        <v>17</v>
      </c>
      <c r="G167" t="s">
        <v>18</v>
      </c>
      <c r="H167" t="s">
        <v>17</v>
      </c>
      <c r="I167" t="s">
        <v>18</v>
      </c>
      <c r="J167" t="s">
        <v>15</v>
      </c>
      <c r="O167" s="8"/>
      <c r="P167" s="8"/>
    </row>
    <row r="168" spans="2:16">
      <c r="B168">
        <v>1.4999999999999999E-2</v>
      </c>
      <c r="C168">
        <v>1.675</v>
      </c>
      <c r="D168">
        <v>-3.0000000000000001E-3</v>
      </c>
      <c r="E168">
        <v>0.22409999999999999</v>
      </c>
      <c r="F168">
        <v>4.8</v>
      </c>
      <c r="G168">
        <v>8</v>
      </c>
      <c r="H168">
        <v>-4.9000000000000004</v>
      </c>
      <c r="I168">
        <v>0.5</v>
      </c>
      <c r="J168">
        <v>3.3</v>
      </c>
      <c r="L168" t="str">
        <f>CONCATENATE("    -  ",TEXT(B168,"0.000"))</f>
        <v xml:space="preserve">    -  0.015</v>
      </c>
      <c r="N168" t="str">
        <f t="shared" ref="N168:N192" si="12">CONCATENATE("    - [",TEXT(C168,$N$2),", ",TEXT(D168,$N$2),", ",TEXT(E168,$N$2),", ",TEXT(F168,$O$2),", ",TEXT(G168,$P$2),"]")</f>
        <v xml:space="preserve">    - [1.675, -0.003, 0.224, 4.80, 8.0000]</v>
      </c>
    </row>
    <row r="169" spans="2:16">
      <c r="B169">
        <v>0.02</v>
      </c>
      <c r="C169">
        <v>2473</v>
      </c>
      <c r="D169">
        <v>-1.43E-2</v>
      </c>
      <c r="E169">
        <v>0.29060000000000002</v>
      </c>
      <c r="F169">
        <v>7</v>
      </c>
      <c r="G169">
        <v>5</v>
      </c>
      <c r="H169">
        <v>-4.9000000000000004</v>
      </c>
      <c r="I169">
        <v>0.5</v>
      </c>
      <c r="J169">
        <v>4.7</v>
      </c>
      <c r="L169" t="str">
        <f t="shared" ref="L169:L192" si="13">CONCATENATE("    -  ",TEXT(B169,"0.000"))</f>
        <v xml:space="preserve">    -  0.020</v>
      </c>
      <c r="N169" t="str">
        <f t="shared" si="12"/>
        <v xml:space="preserve">    - [2473.000, -0.014, 0.291, 7.00, 5.0000]</v>
      </c>
    </row>
    <row r="170" spans="2:16">
      <c r="B170">
        <v>0.03</v>
      </c>
      <c r="C170">
        <v>7.524</v>
      </c>
      <c r="D170">
        <v>-4.0599999999999997E-2</v>
      </c>
      <c r="E170">
        <v>0.17549999999999999</v>
      </c>
      <c r="F170">
        <v>10.8</v>
      </c>
      <c r="G170">
        <v>4</v>
      </c>
      <c r="H170">
        <v>-3.8</v>
      </c>
      <c r="I170">
        <v>0.5</v>
      </c>
      <c r="J170">
        <v>6.6</v>
      </c>
      <c r="L170" t="str">
        <f t="shared" si="13"/>
        <v xml:space="preserve">    -  0.030</v>
      </c>
      <c r="N170" t="str">
        <f t="shared" si="12"/>
        <v xml:space="preserve">    - [7.524, -0.041, 0.176, 10.80, 4.0000]</v>
      </c>
    </row>
    <row r="171" spans="2:16">
      <c r="B171">
        <v>0.04</v>
      </c>
      <c r="C171">
        <v>83.292000000000002</v>
      </c>
      <c r="D171">
        <v>-3.8199999999999998E-2</v>
      </c>
      <c r="E171">
        <v>-6.6E-3</v>
      </c>
      <c r="F171">
        <v>6.8</v>
      </c>
      <c r="G171">
        <v>40</v>
      </c>
      <c r="H171">
        <v>-4.0999999999999996</v>
      </c>
      <c r="I171">
        <v>20</v>
      </c>
      <c r="J171">
        <v>3.7</v>
      </c>
      <c r="L171" t="str">
        <f t="shared" si="13"/>
        <v xml:space="preserve">    -  0.040</v>
      </c>
      <c r="N171" t="str">
        <f t="shared" si="12"/>
        <v xml:space="preserve">    - [83.292, -0.038, -0.007, 6.80, 40.0000]</v>
      </c>
    </row>
    <row r="172" spans="2:16">
      <c r="B172">
        <v>0.05</v>
      </c>
      <c r="C172">
        <v>98.191000000000003</v>
      </c>
      <c r="D172">
        <v>-8.0100000000000005E-2</v>
      </c>
      <c r="E172">
        <v>-2.8199999999999999E-2</v>
      </c>
      <c r="F172">
        <v>44.9</v>
      </c>
      <c r="G172">
        <v>1</v>
      </c>
      <c r="H172">
        <v>-3.8</v>
      </c>
      <c r="I172">
        <v>15</v>
      </c>
      <c r="J172">
        <v>23.8</v>
      </c>
      <c r="L172" t="str">
        <f t="shared" si="13"/>
        <v xml:space="preserve">    -  0.050</v>
      </c>
      <c r="N172" t="str">
        <f t="shared" si="12"/>
        <v xml:space="preserve">    - [98.191, -0.080, -0.028, 44.90, 1.0000]</v>
      </c>
    </row>
    <row r="173" spans="2:16">
      <c r="B173">
        <v>0.06</v>
      </c>
      <c r="C173">
        <v>247.5</v>
      </c>
      <c r="D173">
        <v>-9.1499999999999998E-2</v>
      </c>
      <c r="E173">
        <v>-7.1300000000000002E-2</v>
      </c>
      <c r="F173">
        <v>68.900000000000006</v>
      </c>
      <c r="G173">
        <v>0.5</v>
      </c>
      <c r="H173">
        <v>-9.1999999999999993</v>
      </c>
      <c r="I173">
        <v>15</v>
      </c>
      <c r="J173">
        <v>34.700000000000003</v>
      </c>
      <c r="L173" t="str">
        <f t="shared" si="13"/>
        <v xml:space="preserve">    -  0.060</v>
      </c>
      <c r="N173" t="str">
        <f t="shared" si="12"/>
        <v xml:space="preserve">    - [247.500, -0.092, -0.071, 68.90, 0.5000]</v>
      </c>
    </row>
    <row r="174" spans="2:16">
      <c r="B174">
        <v>0.08</v>
      </c>
      <c r="C174">
        <v>352500</v>
      </c>
      <c r="D174">
        <v>-0.1237</v>
      </c>
      <c r="E174">
        <v>-9.1499999999999998E-2</v>
      </c>
      <c r="F174">
        <v>1329</v>
      </c>
      <c r="G174">
        <v>0.5</v>
      </c>
      <c r="H174">
        <v>-3.1</v>
      </c>
      <c r="I174">
        <v>15</v>
      </c>
      <c r="J174">
        <v>67.599999999999994</v>
      </c>
      <c r="L174" t="str">
        <f t="shared" si="13"/>
        <v xml:space="preserve">    -  0.080</v>
      </c>
      <c r="N174" t="str">
        <f t="shared" si="12"/>
        <v xml:space="preserve">    - [352500.000, -0.124, -0.092, 1329.00, 0.5000]</v>
      </c>
    </row>
    <row r="175" spans="2:16">
      <c r="B175">
        <v>0.1</v>
      </c>
      <c r="C175">
        <v>253.06200000000001</v>
      </c>
      <c r="D175">
        <v>-0.1406</v>
      </c>
      <c r="E175">
        <v>-0.10349999999999999</v>
      </c>
      <c r="F175">
        <v>158</v>
      </c>
      <c r="G175">
        <v>1</v>
      </c>
      <c r="H175">
        <v>-4.4000000000000004</v>
      </c>
      <c r="I175">
        <v>15</v>
      </c>
      <c r="J175">
        <v>821</v>
      </c>
      <c r="L175" t="str">
        <f t="shared" si="13"/>
        <v xml:space="preserve">    -  0.100</v>
      </c>
      <c r="N175" t="str">
        <f t="shared" si="12"/>
        <v xml:space="preserve">    - [253.062, -0.141, -0.104, 158.00, 1.0000]</v>
      </c>
    </row>
    <row r="176" spans="2:16">
      <c r="B176">
        <v>0.15</v>
      </c>
      <c r="C176">
        <v>142.5</v>
      </c>
      <c r="D176">
        <v>-0.15</v>
      </c>
      <c r="E176">
        <v>-9.7500000000000003E-2</v>
      </c>
      <c r="F176">
        <v>148.80000000000001</v>
      </c>
      <c r="G176">
        <v>40</v>
      </c>
      <c r="H176">
        <v>-11.1</v>
      </c>
      <c r="I176">
        <v>15</v>
      </c>
      <c r="J176">
        <v>77.599999999999994</v>
      </c>
      <c r="L176" t="str">
        <f t="shared" si="13"/>
        <v xml:space="preserve">    -  0.150</v>
      </c>
      <c r="N176" t="str">
        <f t="shared" si="12"/>
        <v xml:space="preserve">    - [142.500, -0.150, -0.098, 148.80, 40.0000]</v>
      </c>
    </row>
    <row r="177" spans="2:14">
      <c r="B177">
        <v>0.2</v>
      </c>
      <c r="C177">
        <v>90</v>
      </c>
      <c r="D177">
        <v>-0.15</v>
      </c>
      <c r="E177">
        <v>-7.1300000000000002E-2</v>
      </c>
      <c r="F177">
        <v>162.9</v>
      </c>
      <c r="G177">
        <v>1</v>
      </c>
      <c r="H177">
        <v>-0.9</v>
      </c>
      <c r="I177">
        <v>15</v>
      </c>
      <c r="J177">
        <v>87.3</v>
      </c>
      <c r="L177" t="str">
        <f t="shared" si="13"/>
        <v xml:space="preserve">    -  0.200</v>
      </c>
      <c r="N177" t="str">
        <f t="shared" si="12"/>
        <v xml:space="preserve">    - [90.000, -0.150, -0.071, 162.90, 1.0000]</v>
      </c>
    </row>
    <row r="178" spans="2:14">
      <c r="B178">
        <v>0.3</v>
      </c>
      <c r="C178">
        <v>226.726</v>
      </c>
      <c r="D178">
        <v>-0.1084</v>
      </c>
      <c r="E178">
        <v>-8.7099999999999997E-2</v>
      </c>
      <c r="F178">
        <v>125.6</v>
      </c>
      <c r="G178">
        <v>40</v>
      </c>
      <c r="H178">
        <v>-2.7</v>
      </c>
      <c r="I178">
        <v>15</v>
      </c>
      <c r="J178">
        <v>67.2</v>
      </c>
      <c r="L178" t="str">
        <f t="shared" si="13"/>
        <v xml:space="preserve">    -  0.300</v>
      </c>
      <c r="N178" t="str">
        <f t="shared" si="12"/>
        <v xml:space="preserve">    - [226.726, -0.108, -0.087, 125.60, 40.0000]</v>
      </c>
    </row>
    <row r="179" spans="2:14">
      <c r="B179">
        <v>0.4</v>
      </c>
      <c r="C179">
        <v>103.797</v>
      </c>
      <c r="D179">
        <v>-9.1499999999999998E-2</v>
      </c>
      <c r="E179">
        <v>-6.0499999999999998E-2</v>
      </c>
      <c r="F179">
        <v>100.1</v>
      </c>
      <c r="G179">
        <v>1</v>
      </c>
      <c r="H179">
        <v>-4.2</v>
      </c>
      <c r="I179">
        <v>15</v>
      </c>
      <c r="J179">
        <v>54.2</v>
      </c>
      <c r="L179" t="str">
        <f t="shared" si="13"/>
        <v xml:space="preserve">    -  0.400</v>
      </c>
      <c r="N179" t="str">
        <f t="shared" si="12"/>
        <v xml:space="preserve">    - [103.797, -0.092, -0.061, 100.10, 1.0000]</v>
      </c>
    </row>
    <row r="180" spans="2:14">
      <c r="B180">
        <v>0.5</v>
      </c>
      <c r="C180">
        <v>203.62299999999999</v>
      </c>
      <c r="D180">
        <v>-7.51E-2</v>
      </c>
      <c r="E180">
        <v>-5.9700000000000003E-2</v>
      </c>
      <c r="F180">
        <v>81.099999999999994</v>
      </c>
      <c r="G180">
        <v>1</v>
      </c>
      <c r="H180">
        <v>-5</v>
      </c>
      <c r="I180">
        <v>15</v>
      </c>
      <c r="J180">
        <v>424</v>
      </c>
      <c r="L180" t="str">
        <f t="shared" si="13"/>
        <v xml:space="preserve">    -  0.500</v>
      </c>
      <c r="N180" t="str">
        <f t="shared" si="12"/>
        <v xml:space="preserve">    - [203.623, -0.075, -0.060, 81.10, 1.0000]</v>
      </c>
    </row>
    <row r="181" spans="2:14">
      <c r="B181">
        <v>0.6</v>
      </c>
      <c r="C181">
        <v>72516</v>
      </c>
      <c r="D181">
        <v>-7.6300000000000007E-2</v>
      </c>
      <c r="E181">
        <v>-3.8600000000000002E-2</v>
      </c>
      <c r="F181">
        <v>72.3</v>
      </c>
      <c r="G181">
        <v>40</v>
      </c>
      <c r="H181">
        <v>-3.8</v>
      </c>
      <c r="I181">
        <v>15</v>
      </c>
      <c r="J181">
        <v>38.4</v>
      </c>
      <c r="L181" t="str">
        <f t="shared" si="13"/>
        <v xml:space="preserve">    -  0.600</v>
      </c>
      <c r="N181" t="str">
        <f t="shared" si="12"/>
        <v xml:space="preserve">    - [72516.000, -0.076, -0.039, 72.30, 40.0000]</v>
      </c>
    </row>
    <row r="182" spans="2:14">
      <c r="B182">
        <v>0.8</v>
      </c>
      <c r="C182">
        <v>104.93600000000001</v>
      </c>
      <c r="D182">
        <v>-5.4800000000000001E-2</v>
      </c>
      <c r="E182">
        <v>-3.5000000000000003E-2</v>
      </c>
      <c r="F182">
        <v>48.1</v>
      </c>
      <c r="G182">
        <v>1</v>
      </c>
      <c r="H182">
        <v>-4.8</v>
      </c>
      <c r="I182">
        <v>15</v>
      </c>
      <c r="J182">
        <v>26.1</v>
      </c>
      <c r="L182" t="str">
        <f t="shared" si="13"/>
        <v xml:space="preserve">    -  0.800</v>
      </c>
      <c r="N182" t="str">
        <f t="shared" si="12"/>
        <v xml:space="preserve">    - [104.936, -0.055, -0.035, 48.10, 1.0000]</v>
      </c>
    </row>
    <row r="183" spans="2:14">
      <c r="B183">
        <v>1</v>
      </c>
      <c r="C183">
        <v>54.277999999999999</v>
      </c>
      <c r="D183">
        <v>-5.0599999999999999E-2</v>
      </c>
      <c r="E183">
        <v>-1.8200000000000001E-2</v>
      </c>
      <c r="F183">
        <v>37.700000000000003</v>
      </c>
      <c r="G183">
        <v>40</v>
      </c>
      <c r="H183">
        <v>-3.7</v>
      </c>
      <c r="I183">
        <v>15</v>
      </c>
      <c r="J183">
        <v>20.6</v>
      </c>
      <c r="L183" t="str">
        <f t="shared" si="13"/>
        <v xml:space="preserve">    -  1.000</v>
      </c>
      <c r="N183" t="str">
        <f t="shared" si="12"/>
        <v xml:space="preserve">    - [54.278, -0.051, -0.018, 37.70, 40.0000]</v>
      </c>
    </row>
    <row r="184" spans="2:14">
      <c r="B184">
        <v>1.5</v>
      </c>
      <c r="C184">
        <v>39.009</v>
      </c>
      <c r="D184">
        <v>-3.5700000000000003E-2</v>
      </c>
      <c r="E184">
        <v>-3.5999999999999999E-3</v>
      </c>
      <c r="F184">
        <v>19</v>
      </c>
      <c r="G184">
        <v>1</v>
      </c>
      <c r="H184">
        <v>-4.4000000000000004</v>
      </c>
      <c r="I184">
        <v>15</v>
      </c>
      <c r="J184">
        <v>10.4</v>
      </c>
      <c r="L184" t="str">
        <f t="shared" si="13"/>
        <v xml:space="preserve">    -  1.500</v>
      </c>
      <c r="N184" t="str">
        <f t="shared" si="12"/>
        <v xml:space="preserve">    - [39.009, -0.036, -0.004, 19.00, 1.0000]</v>
      </c>
    </row>
    <row r="185" spans="2:14">
      <c r="B185">
        <v>2</v>
      </c>
      <c r="C185">
        <v>32.003</v>
      </c>
      <c r="D185">
        <v>-2.7400000000000001E-2</v>
      </c>
      <c r="E185">
        <v>4.1000000000000003E-3</v>
      </c>
      <c r="F185">
        <v>10.199999999999999</v>
      </c>
      <c r="G185">
        <v>1</v>
      </c>
      <c r="H185">
        <v>-4.8</v>
      </c>
      <c r="I185">
        <v>15</v>
      </c>
      <c r="J185">
        <v>5.6</v>
      </c>
      <c r="L185" t="str">
        <f t="shared" si="13"/>
        <v xml:space="preserve">    -  2.000</v>
      </c>
      <c r="N185" t="str">
        <f t="shared" si="12"/>
        <v xml:space="preserve">    - [32.003, -0.027, 0.004, 10.20, 1.0000]</v>
      </c>
    </row>
    <row r="186" spans="2:14">
      <c r="B186">
        <v>3</v>
      </c>
      <c r="C186">
        <v>22.738</v>
      </c>
      <c r="D186">
        <v>-1.9400000000000001E-2</v>
      </c>
      <c r="E186">
        <v>1.5100000000000001E-2</v>
      </c>
      <c r="F186">
        <v>3.5</v>
      </c>
      <c r="G186">
        <v>1</v>
      </c>
      <c r="H186">
        <v>-22</v>
      </c>
      <c r="I186">
        <v>20</v>
      </c>
      <c r="J186">
        <v>22</v>
      </c>
      <c r="L186" t="str">
        <f t="shared" si="13"/>
        <v xml:space="preserve">    -  3.000</v>
      </c>
      <c r="N186" t="str">
        <f t="shared" si="12"/>
        <v xml:space="preserve">    - [22.738, -0.019, 0.015, 3.50, 1.0000]</v>
      </c>
    </row>
    <row r="187" spans="2:14">
      <c r="B187">
        <v>4</v>
      </c>
      <c r="C187">
        <v>11.702999999999999</v>
      </c>
      <c r="D187">
        <v>-2.2599999999999999E-2</v>
      </c>
      <c r="E187">
        <v>3.6600000000000001E-2</v>
      </c>
      <c r="F187">
        <v>3</v>
      </c>
      <c r="G187">
        <v>4</v>
      </c>
      <c r="H187">
        <v>-1.3</v>
      </c>
      <c r="I187">
        <v>25</v>
      </c>
      <c r="J187">
        <v>20</v>
      </c>
      <c r="L187" t="str">
        <f t="shared" si="13"/>
        <v xml:space="preserve">    -  4.000</v>
      </c>
      <c r="N187" t="str">
        <f t="shared" si="12"/>
        <v xml:space="preserve">    - [11.703, -0.023, 0.037, 3.00, 4.0000]</v>
      </c>
    </row>
    <row r="188" spans="2:14">
      <c r="B188">
        <v>5</v>
      </c>
      <c r="C188">
        <v>9.6609999999999996</v>
      </c>
      <c r="D188">
        <v>-2.1600000000000001E-2</v>
      </c>
      <c r="E188">
        <v>3.6700000000000003E-2</v>
      </c>
      <c r="F188">
        <v>26</v>
      </c>
      <c r="G188">
        <v>40</v>
      </c>
      <c r="H188">
        <v>-24</v>
      </c>
      <c r="I188">
        <v>1</v>
      </c>
      <c r="J188">
        <v>1.4</v>
      </c>
      <c r="L188" t="str">
        <f t="shared" si="13"/>
        <v xml:space="preserve">    -  5.000</v>
      </c>
      <c r="N188" t="str">
        <f t="shared" si="12"/>
        <v xml:space="preserve">    - [9.661, -0.022, 0.037, 26.00, 40.0000]</v>
      </c>
    </row>
    <row r="189" spans="2:14">
      <c r="B189">
        <v>6</v>
      </c>
      <c r="C189">
        <v>13.638999999999999</v>
      </c>
      <c r="D189">
        <v>-1.0699999999999999E-2</v>
      </c>
      <c r="E189">
        <v>2.53E-2</v>
      </c>
      <c r="F189">
        <v>0</v>
      </c>
      <c r="G189">
        <v>10</v>
      </c>
      <c r="H189">
        <v>-3.1</v>
      </c>
      <c r="I189">
        <v>1</v>
      </c>
      <c r="J189">
        <v>1.8</v>
      </c>
      <c r="L189" t="str">
        <f t="shared" si="13"/>
        <v xml:space="preserve">    -  6.000</v>
      </c>
      <c r="N189" t="str">
        <f t="shared" si="12"/>
        <v xml:space="preserve">    - [13.639, -0.011, 0.025, 0.00, 10.0000]</v>
      </c>
    </row>
    <row r="190" spans="2:14">
      <c r="B190">
        <v>8</v>
      </c>
      <c r="C190">
        <v>4.8620000000000001</v>
      </c>
      <c r="D190">
        <v>-2.53E-2</v>
      </c>
      <c r="E190">
        <v>7.8299999999999995E-2</v>
      </c>
      <c r="F190">
        <v>3.1</v>
      </c>
      <c r="G190">
        <v>5</v>
      </c>
      <c r="H190">
        <v>-3.8</v>
      </c>
      <c r="I190">
        <v>25</v>
      </c>
      <c r="J190">
        <v>2.5</v>
      </c>
      <c r="L190" t="str">
        <f t="shared" si="13"/>
        <v xml:space="preserve">    -  8.000</v>
      </c>
      <c r="N190" t="str">
        <f t="shared" si="12"/>
        <v xml:space="preserve">    - [4.862, -0.025, 0.078, 3.10, 5.0000]</v>
      </c>
    </row>
    <row r="191" spans="2:14">
      <c r="B191">
        <v>10</v>
      </c>
      <c r="C191">
        <v>6.8209999999999997</v>
      </c>
      <c r="D191">
        <v>-1.5100000000000001E-2</v>
      </c>
      <c r="E191">
        <v>3.5799999999999998E-2</v>
      </c>
      <c r="F191">
        <v>0.3</v>
      </c>
      <c r="G191">
        <v>15</v>
      </c>
      <c r="H191">
        <v>-4.5</v>
      </c>
      <c r="I191">
        <v>1</v>
      </c>
      <c r="J191">
        <v>21</v>
      </c>
      <c r="L191" t="str">
        <f t="shared" si="13"/>
        <v xml:space="preserve">    -  10.000</v>
      </c>
      <c r="N191" t="str">
        <f t="shared" si="12"/>
        <v xml:space="preserve">    - [6.821, -0.015, 0.036, 0.30, 15.0000]</v>
      </c>
    </row>
    <row r="192" spans="2:14">
      <c r="B192">
        <v>15</v>
      </c>
      <c r="C192">
        <v>5.5339999999999998</v>
      </c>
      <c r="D192">
        <v>-1.2699999999999999E-2</v>
      </c>
      <c r="E192">
        <v>3.6999999999999998E-2</v>
      </c>
      <c r="F192">
        <v>3.2</v>
      </c>
      <c r="G192">
        <v>10</v>
      </c>
      <c r="H192">
        <v>-3.5</v>
      </c>
      <c r="I192">
        <v>1</v>
      </c>
      <c r="J192">
        <v>2.2999999999999998</v>
      </c>
      <c r="L192" t="str">
        <f t="shared" si="13"/>
        <v xml:space="preserve">    -  15.000</v>
      </c>
      <c r="N192" t="str">
        <f t="shared" si="12"/>
        <v xml:space="preserve">    - [5.534, -0.013, 0.037, 3.20, 10.0000]</v>
      </c>
    </row>
    <row r="194" spans="2:14">
      <c r="C194" s="5" t="s">
        <v>58</v>
      </c>
    </row>
    <row r="195" spans="2:14">
      <c r="B195" t="s">
        <v>1</v>
      </c>
      <c r="C195" t="s">
        <v>87</v>
      </c>
      <c r="D195" t="s">
        <v>88</v>
      </c>
      <c r="E195" t="s">
        <v>89</v>
      </c>
      <c r="F195" t="s">
        <v>17</v>
      </c>
      <c r="G195" t="s">
        <v>18</v>
      </c>
      <c r="H195" t="s">
        <v>17</v>
      </c>
      <c r="I195" t="s">
        <v>18</v>
      </c>
      <c r="J195" t="s">
        <v>15</v>
      </c>
    </row>
    <row r="196" spans="2:14">
      <c r="B196">
        <v>1.4999999999999999E-2</v>
      </c>
      <c r="C196">
        <v>1.585</v>
      </c>
      <c r="D196">
        <v>-3.2000000000000002E-3</v>
      </c>
      <c r="E196">
        <v>0.2387</v>
      </c>
      <c r="F196">
        <v>4</v>
      </c>
      <c r="G196">
        <v>8</v>
      </c>
      <c r="H196">
        <v>-4.5999999999999996</v>
      </c>
      <c r="I196">
        <v>0.5</v>
      </c>
      <c r="J196">
        <v>2.8</v>
      </c>
      <c r="L196" t="str">
        <f>CONCATENATE("    -  ",TEXT(B196,"0.000"))</f>
        <v xml:space="preserve">    -  0.015</v>
      </c>
      <c r="N196" t="str">
        <f t="shared" ref="N196:N220" si="14">CONCATENATE("    - [",TEXT(C196,$N$2),", ",TEXT(D196,$N$2),", ",TEXT(E196,$N$2),", ",TEXT(F196,$O$2),", ",TEXT(G196,$P$2),"]")</f>
        <v xml:space="preserve">    - [1.585, -0.003, 0.239, 4.00, 8.0000]</v>
      </c>
    </row>
    <row r="197" spans="2:14">
      <c r="B197">
        <v>0.02</v>
      </c>
      <c r="C197">
        <v>2.2690000000000001</v>
      </c>
      <c r="D197">
        <v>-1.46E-2</v>
      </c>
      <c r="E197">
        <v>0.32469999999999999</v>
      </c>
      <c r="F197">
        <v>7.4</v>
      </c>
      <c r="G197">
        <v>5</v>
      </c>
      <c r="H197">
        <v>-5</v>
      </c>
      <c r="I197">
        <v>0.5</v>
      </c>
      <c r="J197">
        <v>4.5</v>
      </c>
      <c r="L197" t="str">
        <f t="shared" ref="L197:L220" si="15">CONCATENATE("    -  ",TEXT(B197,"0.000"))</f>
        <v xml:space="preserve">    -  0.020</v>
      </c>
      <c r="N197" t="str">
        <f t="shared" si="14"/>
        <v xml:space="preserve">    - [2.269, -0.015, 0.325, 7.40, 5.0000]</v>
      </c>
    </row>
    <row r="198" spans="2:14">
      <c r="B198">
        <v>0.03</v>
      </c>
      <c r="C198">
        <v>6.7290000000000001</v>
      </c>
      <c r="D198">
        <v>-3.7999999999999999E-2</v>
      </c>
      <c r="E198">
        <v>0.21909999999999999</v>
      </c>
      <c r="F198">
        <v>14.7</v>
      </c>
      <c r="G198">
        <v>4</v>
      </c>
      <c r="H198">
        <v>-3.6</v>
      </c>
      <c r="I198">
        <v>25</v>
      </c>
      <c r="J198">
        <v>8.6999999999999993</v>
      </c>
      <c r="L198" t="str">
        <f t="shared" si="15"/>
        <v xml:space="preserve">    -  0.030</v>
      </c>
      <c r="N198" t="str">
        <f t="shared" si="14"/>
        <v xml:space="preserve">    - [6.729, -0.038, 0.219, 14.70, 4.0000]</v>
      </c>
    </row>
    <row r="199" spans="2:14">
      <c r="B199">
        <v>0.04</v>
      </c>
      <c r="C199">
        <v>77.572999999999993</v>
      </c>
      <c r="D199">
        <v>-3.1600000000000003E-2</v>
      </c>
      <c r="E199">
        <v>1E-4</v>
      </c>
      <c r="F199">
        <v>3.7</v>
      </c>
      <c r="G199">
        <v>2</v>
      </c>
      <c r="H199">
        <v>-2.9</v>
      </c>
      <c r="I199">
        <v>25</v>
      </c>
      <c r="J199">
        <v>2.1</v>
      </c>
      <c r="L199" t="str">
        <f t="shared" si="15"/>
        <v xml:space="preserve">    -  0.040</v>
      </c>
      <c r="N199" t="str">
        <f t="shared" si="14"/>
        <v xml:space="preserve">    - [77.573, -0.032, 0.000, 3.70, 2.0000]</v>
      </c>
    </row>
    <row r="200" spans="2:14">
      <c r="B200">
        <v>0.05</v>
      </c>
      <c r="C200">
        <v>179.36199999999999</v>
      </c>
      <c r="D200">
        <v>-6.2399999999999997E-2</v>
      </c>
      <c r="E200">
        <v>-3.7400000000000003E-2</v>
      </c>
      <c r="F200">
        <v>34.6</v>
      </c>
      <c r="G200">
        <v>1</v>
      </c>
      <c r="H200">
        <v>-4</v>
      </c>
      <c r="I200">
        <v>15</v>
      </c>
      <c r="J200">
        <v>17.5</v>
      </c>
      <c r="L200" t="str">
        <f t="shared" si="15"/>
        <v xml:space="preserve">    -  0.050</v>
      </c>
      <c r="N200" t="str">
        <f t="shared" si="14"/>
        <v xml:space="preserve">    - [179.362, -0.062, -0.037, 34.60, 1.0000]</v>
      </c>
    </row>
    <row r="201" spans="2:14">
      <c r="B201">
        <v>0.06</v>
      </c>
      <c r="C201">
        <v>142.5</v>
      </c>
      <c r="D201">
        <v>-9.7500000000000003E-2</v>
      </c>
      <c r="E201">
        <v>-5.0599999999999999E-2</v>
      </c>
      <c r="F201">
        <v>74.2</v>
      </c>
      <c r="G201">
        <v>0.5</v>
      </c>
      <c r="H201">
        <v>-1</v>
      </c>
      <c r="I201">
        <v>15</v>
      </c>
      <c r="J201">
        <v>39.299999999999997</v>
      </c>
      <c r="L201" t="str">
        <f t="shared" si="15"/>
        <v xml:space="preserve">    -  0.060</v>
      </c>
      <c r="N201" t="str">
        <f t="shared" si="14"/>
        <v xml:space="preserve">    - [142.500, -0.098, -0.051, 74.20, 0.5000]</v>
      </c>
    </row>
    <row r="202" spans="2:14">
      <c r="B202">
        <v>0.08</v>
      </c>
      <c r="C202">
        <v>218.51</v>
      </c>
      <c r="D202">
        <v>-0.1237</v>
      </c>
      <c r="E202">
        <v>-8.5400000000000004E-2</v>
      </c>
      <c r="F202">
        <v>118.3</v>
      </c>
      <c r="G202">
        <v>40</v>
      </c>
      <c r="H202">
        <v>-3.2</v>
      </c>
      <c r="I202">
        <v>15</v>
      </c>
      <c r="J202">
        <v>61.5</v>
      </c>
      <c r="L202" t="str">
        <f t="shared" si="15"/>
        <v xml:space="preserve">    -  0.080</v>
      </c>
      <c r="N202" t="str">
        <f t="shared" si="14"/>
        <v xml:space="preserve">    - [218.510, -0.124, -0.085, 118.30, 40.0000]</v>
      </c>
    </row>
    <row r="203" spans="2:14">
      <c r="B203">
        <v>0.1</v>
      </c>
      <c r="C203">
        <v>615</v>
      </c>
      <c r="D203">
        <v>-0.1237</v>
      </c>
      <c r="E203">
        <v>-0.1096</v>
      </c>
      <c r="F203">
        <v>144.30000000000001</v>
      </c>
      <c r="G203">
        <v>1</v>
      </c>
      <c r="H203">
        <v>-5.3</v>
      </c>
      <c r="I203">
        <v>15</v>
      </c>
      <c r="J203">
        <v>73.7</v>
      </c>
      <c r="L203" t="str">
        <f t="shared" si="15"/>
        <v xml:space="preserve">    -  0.100</v>
      </c>
      <c r="N203" t="str">
        <f t="shared" si="14"/>
        <v xml:space="preserve">    - [615.000, -0.124, -0.110, 144.30, 1.0000]</v>
      </c>
    </row>
    <row r="204" spans="2:14">
      <c r="B204">
        <v>0.15</v>
      </c>
      <c r="C204">
        <v>148.12200000000001</v>
      </c>
      <c r="D204">
        <v>-0.14499999999999999</v>
      </c>
      <c r="E204">
        <v>-9.4E-2</v>
      </c>
      <c r="F204">
        <v>151.19999999999999</v>
      </c>
      <c r="G204">
        <v>1</v>
      </c>
      <c r="H204">
        <v>-4.5</v>
      </c>
      <c r="I204">
        <v>15</v>
      </c>
      <c r="J204">
        <v>80.099999999999994</v>
      </c>
      <c r="L204" t="str">
        <f t="shared" si="15"/>
        <v xml:space="preserve">    -  0.150</v>
      </c>
      <c r="N204" t="str">
        <f t="shared" si="14"/>
        <v xml:space="preserve">    - [148.122, -0.145, -0.094, 151.20, 1.0000]</v>
      </c>
    </row>
    <row r="205" spans="2:14">
      <c r="B205">
        <v>0.2</v>
      </c>
      <c r="C205">
        <v>401.09</v>
      </c>
      <c r="D205">
        <v>-0.1237</v>
      </c>
      <c r="E205">
        <v>-0.1096</v>
      </c>
      <c r="F205">
        <v>133.80000000000001</v>
      </c>
      <c r="G205">
        <v>40</v>
      </c>
      <c r="H205">
        <v>-9</v>
      </c>
      <c r="I205">
        <v>15</v>
      </c>
      <c r="J205">
        <v>68</v>
      </c>
      <c r="L205" t="str">
        <f t="shared" si="15"/>
        <v xml:space="preserve">    -  0.200</v>
      </c>
      <c r="N205" t="str">
        <f t="shared" si="14"/>
        <v xml:space="preserve">    - [401.090, -0.124, -0.110, 133.80, 40.0000]</v>
      </c>
    </row>
    <row r="206" spans="2:14">
      <c r="B206">
        <v>0.3</v>
      </c>
      <c r="C206">
        <v>159.5</v>
      </c>
      <c r="D206">
        <v>-0.1096</v>
      </c>
      <c r="E206">
        <v>-8.0100000000000005E-2</v>
      </c>
      <c r="F206">
        <v>121.5</v>
      </c>
      <c r="G206">
        <v>40</v>
      </c>
      <c r="H206">
        <v>-1.8</v>
      </c>
      <c r="I206">
        <v>15</v>
      </c>
      <c r="J206">
        <v>65.5</v>
      </c>
      <c r="L206" t="str">
        <f t="shared" si="15"/>
        <v xml:space="preserve">    -  0.300</v>
      </c>
      <c r="N206" t="str">
        <f t="shared" si="14"/>
        <v xml:space="preserve">    - [159.500, -0.110, -0.080, 121.50, 40.0000]</v>
      </c>
    </row>
    <row r="207" spans="2:14">
      <c r="B207">
        <v>0.4</v>
      </c>
      <c r="C207">
        <v>90</v>
      </c>
      <c r="D207">
        <v>-9.7500000000000003E-2</v>
      </c>
      <c r="E207">
        <v>-5.62E-2</v>
      </c>
      <c r="F207">
        <v>95.9</v>
      </c>
      <c r="G207">
        <v>1</v>
      </c>
      <c r="H207">
        <v>-4.8</v>
      </c>
      <c r="I207">
        <v>15</v>
      </c>
      <c r="J207">
        <v>51.4</v>
      </c>
      <c r="L207" t="str">
        <f t="shared" si="15"/>
        <v xml:space="preserve">    -  0.400</v>
      </c>
      <c r="N207" t="str">
        <f t="shared" si="14"/>
        <v xml:space="preserve">    - [90.000, -0.098, -0.056, 95.90, 1.0000]</v>
      </c>
    </row>
    <row r="208" spans="2:14">
      <c r="B208">
        <v>0.5</v>
      </c>
      <c r="C208">
        <v>69.409000000000006</v>
      </c>
      <c r="D208">
        <v>-8.7099999999999997E-2</v>
      </c>
      <c r="E208">
        <v>-4.1700000000000001E-2</v>
      </c>
      <c r="F208">
        <v>81.3</v>
      </c>
      <c r="G208">
        <v>40</v>
      </c>
      <c r="H208">
        <v>-4</v>
      </c>
      <c r="I208">
        <v>15</v>
      </c>
      <c r="J208">
        <v>44.4</v>
      </c>
      <c r="L208" t="str">
        <f t="shared" si="15"/>
        <v xml:space="preserve">    -  0.500</v>
      </c>
      <c r="N208" t="str">
        <f t="shared" si="14"/>
        <v xml:space="preserve">    - [69.409, -0.087, -0.042, 81.30, 40.0000]</v>
      </c>
    </row>
    <row r="209" spans="2:14">
      <c r="B209">
        <v>0.6</v>
      </c>
      <c r="C209">
        <v>70.16</v>
      </c>
      <c r="D209">
        <v>-7.5899999999999995E-2</v>
      </c>
      <c r="E209">
        <v>-3.8699999999999998E-2</v>
      </c>
      <c r="F209">
        <v>70.8</v>
      </c>
      <c r="G209">
        <v>40</v>
      </c>
      <c r="H209">
        <v>-4.5999999999999996</v>
      </c>
      <c r="I209">
        <v>15</v>
      </c>
      <c r="J209">
        <v>36</v>
      </c>
      <c r="L209" t="str">
        <f t="shared" si="15"/>
        <v xml:space="preserve">    -  0.600</v>
      </c>
      <c r="N209" t="str">
        <f t="shared" si="14"/>
        <v xml:space="preserve">    - [70.160, -0.076, -0.039, 70.80, 40.0000]</v>
      </c>
    </row>
    <row r="210" spans="2:14">
      <c r="B210">
        <v>0.8</v>
      </c>
      <c r="C210">
        <v>109.83199999999999</v>
      </c>
      <c r="D210">
        <v>-5.3199999999999997E-2</v>
      </c>
      <c r="E210">
        <v>-3.4099999999999998E-2</v>
      </c>
      <c r="F210">
        <v>48.8</v>
      </c>
      <c r="G210">
        <v>1</v>
      </c>
      <c r="H210">
        <v>-3.7</v>
      </c>
      <c r="I210">
        <v>15</v>
      </c>
      <c r="J210">
        <v>26.5</v>
      </c>
      <c r="L210" t="str">
        <f t="shared" si="15"/>
        <v xml:space="preserve">    -  0.800</v>
      </c>
      <c r="N210" t="str">
        <f t="shared" si="14"/>
        <v xml:space="preserve">    - [109.832, -0.053, -0.034, 48.80, 1.0000]</v>
      </c>
    </row>
    <row r="211" spans="2:14">
      <c r="B211">
        <v>1</v>
      </c>
      <c r="C211">
        <v>86.171000000000006</v>
      </c>
      <c r="D211">
        <v>-4.4400000000000002E-2</v>
      </c>
      <c r="E211">
        <v>-2.4299999999999999E-2</v>
      </c>
      <c r="F211">
        <v>35.299999999999997</v>
      </c>
      <c r="G211">
        <v>1</v>
      </c>
      <c r="H211">
        <v>-4.2</v>
      </c>
      <c r="I211">
        <v>15</v>
      </c>
      <c r="J211">
        <v>19.5</v>
      </c>
      <c r="L211" t="str">
        <f t="shared" si="15"/>
        <v xml:space="preserve">    -  1.000</v>
      </c>
      <c r="N211" t="str">
        <f t="shared" si="14"/>
        <v xml:space="preserve">    - [86.171, -0.044, -0.024, 35.30, 1.0000]</v>
      </c>
    </row>
    <row r="212" spans="2:14">
      <c r="B212">
        <v>1.5</v>
      </c>
      <c r="C212">
        <v>59.4</v>
      </c>
      <c r="D212">
        <v>-3.1199999999999999E-2</v>
      </c>
      <c r="E212">
        <v>-1.0699999999999999E-2</v>
      </c>
      <c r="F212">
        <v>17.600000000000001</v>
      </c>
      <c r="G212">
        <v>1</v>
      </c>
      <c r="H212">
        <v>-4.9000000000000004</v>
      </c>
      <c r="I212">
        <v>15</v>
      </c>
      <c r="J212">
        <v>9.6</v>
      </c>
      <c r="L212" t="str">
        <f t="shared" si="15"/>
        <v xml:space="preserve">    -  1.500</v>
      </c>
      <c r="N212" t="str">
        <f t="shared" si="14"/>
        <v xml:space="preserve">    - [59.400, -0.031, -0.011, 17.60, 1.0000]</v>
      </c>
    </row>
    <row r="213" spans="2:14">
      <c r="B213">
        <v>2</v>
      </c>
      <c r="C213">
        <v>32.192</v>
      </c>
      <c r="D213">
        <v>-2.7099999999999999E-2</v>
      </c>
      <c r="E213">
        <v>4.1000000000000003E-3</v>
      </c>
      <c r="F213">
        <v>10.1</v>
      </c>
      <c r="G213">
        <v>1</v>
      </c>
      <c r="H213">
        <v>-4.8</v>
      </c>
      <c r="I213">
        <v>15</v>
      </c>
      <c r="J213">
        <v>5.5</v>
      </c>
      <c r="L213" t="str">
        <f t="shared" si="15"/>
        <v xml:space="preserve">    -  2.000</v>
      </c>
      <c r="N213" t="str">
        <f t="shared" si="14"/>
        <v xml:space="preserve">    - [32.192, -0.027, 0.004, 10.10, 1.0000]</v>
      </c>
    </row>
    <row r="214" spans="2:14">
      <c r="B214">
        <v>3</v>
      </c>
      <c r="C214">
        <v>22.7</v>
      </c>
      <c r="D214">
        <v>-1.95E-2</v>
      </c>
      <c r="E214">
        <v>1.5100000000000001E-2</v>
      </c>
      <c r="F214">
        <v>3.5</v>
      </c>
      <c r="G214">
        <v>1</v>
      </c>
      <c r="H214">
        <v>-2.5</v>
      </c>
      <c r="I214">
        <v>20</v>
      </c>
      <c r="J214">
        <v>2.2999999999999998</v>
      </c>
      <c r="L214" t="str">
        <f t="shared" si="15"/>
        <v xml:space="preserve">    -  3.000</v>
      </c>
      <c r="N214" t="str">
        <f t="shared" si="14"/>
        <v xml:space="preserve">    - [22.700, -0.020, 0.015, 3.50, 1.0000]</v>
      </c>
    </row>
    <row r="215" spans="2:14">
      <c r="B215">
        <v>4</v>
      </c>
      <c r="C215">
        <v>11.638</v>
      </c>
      <c r="D215">
        <v>-2.3E-2</v>
      </c>
      <c r="E215">
        <v>3.6400000000000002E-2</v>
      </c>
      <c r="F215">
        <v>3</v>
      </c>
      <c r="G215">
        <v>4</v>
      </c>
      <c r="H215">
        <v>-1.7</v>
      </c>
      <c r="I215">
        <v>25</v>
      </c>
      <c r="J215">
        <v>1.9</v>
      </c>
      <c r="L215" t="str">
        <f t="shared" si="15"/>
        <v xml:space="preserve">    -  4.000</v>
      </c>
      <c r="N215" t="str">
        <f t="shared" si="14"/>
        <v xml:space="preserve">    - [11.638, -0.023, 0.036, 3.00, 4.0000]</v>
      </c>
    </row>
    <row r="216" spans="2:14">
      <c r="B216">
        <v>5</v>
      </c>
      <c r="C216">
        <v>9.7940000000000005</v>
      </c>
      <c r="D216">
        <v>-2.1899999999999999E-2</v>
      </c>
      <c r="E216">
        <v>3.6600000000000001E-2</v>
      </c>
      <c r="F216">
        <v>2.4</v>
      </c>
      <c r="G216">
        <v>40</v>
      </c>
      <c r="H216">
        <v>-2.2999999999999998</v>
      </c>
      <c r="I216">
        <v>1</v>
      </c>
      <c r="J216">
        <v>1.2</v>
      </c>
      <c r="L216" t="str">
        <f t="shared" si="15"/>
        <v xml:space="preserve">    -  5.000</v>
      </c>
      <c r="N216" t="str">
        <f t="shared" si="14"/>
        <v xml:space="preserve">    - [9.794, -0.022, 0.037, 2.40, 40.0000]</v>
      </c>
    </row>
    <row r="217" spans="2:14">
      <c r="B217">
        <v>6</v>
      </c>
      <c r="C217">
        <v>9.5679999999999996</v>
      </c>
      <c r="D217">
        <v>-1.7899999999999999E-2</v>
      </c>
      <c r="E217">
        <v>3.7999999999999999E-2</v>
      </c>
      <c r="F217">
        <v>4.9000000000000004</v>
      </c>
      <c r="G217">
        <v>40</v>
      </c>
      <c r="H217">
        <v>-1.8</v>
      </c>
      <c r="I217">
        <v>1</v>
      </c>
      <c r="J217">
        <v>2.5</v>
      </c>
      <c r="L217" t="str">
        <f t="shared" si="15"/>
        <v xml:space="preserve">    -  6.000</v>
      </c>
      <c r="N217" t="str">
        <f t="shared" si="14"/>
        <v xml:space="preserve">    - [9.568, -0.018, 0.038, 4.90, 40.0000]</v>
      </c>
    </row>
    <row r="218" spans="2:14">
      <c r="B218">
        <v>8</v>
      </c>
      <c r="C218">
        <v>4.6760000000000002</v>
      </c>
      <c r="D218">
        <v>-2.76E-2</v>
      </c>
      <c r="E218">
        <v>7.6600000000000001E-2</v>
      </c>
      <c r="F218">
        <v>0.8</v>
      </c>
      <c r="G218">
        <v>6</v>
      </c>
      <c r="H218">
        <v>-4.3</v>
      </c>
      <c r="I218">
        <v>25</v>
      </c>
      <c r="J218">
        <v>2.1</v>
      </c>
      <c r="L218" t="str">
        <f t="shared" si="15"/>
        <v xml:space="preserve">    -  8.000</v>
      </c>
      <c r="N218" t="str">
        <f t="shared" si="14"/>
        <v xml:space="preserve">    - [4.676, -0.028, 0.077, 0.80, 6.0000]</v>
      </c>
    </row>
    <row r="219" spans="2:14">
      <c r="B219">
        <v>10</v>
      </c>
      <c r="C219">
        <v>5.0590000000000002</v>
      </c>
      <c r="D219">
        <v>-2.1499999999999998E-2</v>
      </c>
      <c r="E219">
        <v>5.4199999999999998E-2</v>
      </c>
      <c r="F219">
        <v>0.3</v>
      </c>
      <c r="G219">
        <v>8</v>
      </c>
      <c r="H219">
        <v>-3.3</v>
      </c>
      <c r="I219">
        <v>1</v>
      </c>
      <c r="J219">
        <v>1.9</v>
      </c>
      <c r="L219" t="str">
        <f t="shared" si="15"/>
        <v xml:space="preserve">    -  10.000</v>
      </c>
      <c r="N219" t="str">
        <f t="shared" si="14"/>
        <v xml:space="preserve">    - [5.059, -0.022, 0.054, 0.30, 8.0000]</v>
      </c>
    </row>
    <row r="220" spans="2:14">
      <c r="B220">
        <v>15</v>
      </c>
      <c r="C220">
        <v>5.5170000000000003</v>
      </c>
      <c r="D220">
        <v>-1.35E-2</v>
      </c>
      <c r="E220">
        <v>3.6600000000000001E-2</v>
      </c>
      <c r="F220">
        <v>3.3</v>
      </c>
      <c r="G220">
        <v>10</v>
      </c>
      <c r="H220">
        <v>-3.3</v>
      </c>
      <c r="I220">
        <v>1</v>
      </c>
      <c r="J220">
        <v>2.1</v>
      </c>
      <c r="L220" t="str">
        <f t="shared" si="15"/>
        <v xml:space="preserve">    -  15.000</v>
      </c>
      <c r="N220" t="str">
        <f t="shared" si="14"/>
        <v xml:space="preserve">    - [5.517, -0.014, 0.037, 3.30, 10.0000]</v>
      </c>
    </row>
    <row r="222" spans="2:14">
      <c r="C222" s="5" t="s">
        <v>59</v>
      </c>
    </row>
    <row r="223" spans="2:14">
      <c r="B223" t="s">
        <v>1</v>
      </c>
      <c r="C223" t="s">
        <v>87</v>
      </c>
      <c r="D223" t="s">
        <v>88</v>
      </c>
      <c r="E223" t="s">
        <v>89</v>
      </c>
      <c r="F223" t="s">
        <v>17</v>
      </c>
      <c r="G223" t="s">
        <v>18</v>
      </c>
      <c r="H223" t="s">
        <v>17</v>
      </c>
      <c r="I223" t="s">
        <v>18</v>
      </c>
      <c r="J223" t="s">
        <v>15</v>
      </c>
    </row>
    <row r="224" spans="2:14">
      <c r="B224">
        <v>1.4999999999999999E-2</v>
      </c>
      <c r="C224">
        <v>1.1100000000000001</v>
      </c>
      <c r="D224">
        <v>0</v>
      </c>
      <c r="E224">
        <v>0.1166</v>
      </c>
      <c r="F224">
        <v>0.4</v>
      </c>
      <c r="G224">
        <v>25</v>
      </c>
      <c r="H224">
        <v>-1.7</v>
      </c>
      <c r="I224">
        <v>1</v>
      </c>
      <c r="J224">
        <v>0.9</v>
      </c>
      <c r="L224" t="str">
        <f t="shared" ref="L224:L248" si="16">CONCATENATE("    -  ",TEXT(B224,"0.000"))</f>
        <v xml:space="preserve">    -  0.015</v>
      </c>
      <c r="N224" t="str">
        <f t="shared" ref="N224:N248" si="17">CONCATENATE("    - [",TEXT(C224,$N$2),", ",TEXT(D224,$N$2),", ",TEXT(E224,$N$2),", ",TEXT(F224,$O$2),", ",TEXT(G224,$P$2),"]")</f>
        <v xml:space="preserve">    - [1.110, 0.000, 0.117, 0.40, 25.0000]</v>
      </c>
    </row>
    <row r="225" spans="2:14">
      <c r="B225">
        <v>0.02</v>
      </c>
      <c r="C225">
        <v>1.1919999999999999</v>
      </c>
      <c r="D225">
        <v>-1E-3</v>
      </c>
      <c r="E225">
        <v>0.2185</v>
      </c>
      <c r="F225">
        <v>0.2</v>
      </c>
      <c r="G225">
        <v>10</v>
      </c>
      <c r="H225">
        <v>-2.9</v>
      </c>
      <c r="I225">
        <v>1</v>
      </c>
      <c r="J225">
        <v>1.5</v>
      </c>
      <c r="L225" t="str">
        <f t="shared" si="16"/>
        <v xml:space="preserve">    -  0.020</v>
      </c>
      <c r="N225" t="str">
        <f t="shared" si="17"/>
        <v xml:space="preserve">    - [1.192, -0.001, 0.219, 0.20, 10.0000]</v>
      </c>
    </row>
    <row r="226" spans="2:14">
      <c r="B226">
        <v>0.03</v>
      </c>
      <c r="C226">
        <v>1.5049999999999999</v>
      </c>
      <c r="D226">
        <v>-7.1999999999999998E-3</v>
      </c>
      <c r="E226">
        <v>0.39319999999999999</v>
      </c>
      <c r="F226">
        <v>1.4</v>
      </c>
      <c r="G226">
        <v>5</v>
      </c>
      <c r="H226">
        <v>-4.7</v>
      </c>
      <c r="I226">
        <v>0.5</v>
      </c>
      <c r="J226">
        <v>2.6</v>
      </c>
      <c r="L226" t="str">
        <f t="shared" si="16"/>
        <v xml:space="preserve">    -  0.030</v>
      </c>
      <c r="N226" t="str">
        <f t="shared" si="17"/>
        <v xml:space="preserve">    - [1.505, -0.007, 0.393, 1.40, 5.0000]</v>
      </c>
    </row>
    <row r="227" spans="2:14">
      <c r="B227">
        <v>0.04</v>
      </c>
      <c r="C227">
        <v>2.44</v>
      </c>
      <c r="D227">
        <v>-1.3100000000000001E-2</v>
      </c>
      <c r="E227">
        <v>0.33779999999999999</v>
      </c>
      <c r="F227">
        <v>9.4</v>
      </c>
      <c r="G227">
        <v>4</v>
      </c>
      <c r="H227">
        <v>-4.5999999999999996</v>
      </c>
      <c r="I227">
        <v>0.5</v>
      </c>
      <c r="J227">
        <v>5.0999999999999996</v>
      </c>
      <c r="L227" t="str">
        <f t="shared" si="16"/>
        <v xml:space="preserve">    -  0.040</v>
      </c>
      <c r="N227" t="str">
        <f t="shared" si="17"/>
        <v xml:space="preserve">    - [2.440, -0.013, 0.338, 9.40, 4.0000]</v>
      </c>
    </row>
    <row r="228" spans="2:14">
      <c r="B228">
        <v>0.05</v>
      </c>
      <c r="C228">
        <v>3.8460000000000001</v>
      </c>
      <c r="D228">
        <v>-2.41E-2</v>
      </c>
      <c r="E228">
        <v>0.22670000000000001</v>
      </c>
      <c r="F228">
        <v>7</v>
      </c>
      <c r="G228">
        <v>40</v>
      </c>
      <c r="H228">
        <v>-4.9000000000000004</v>
      </c>
      <c r="I228">
        <v>20</v>
      </c>
      <c r="J228">
        <v>4.2</v>
      </c>
      <c r="L228" t="str">
        <f t="shared" si="16"/>
        <v xml:space="preserve">    -  0.050</v>
      </c>
      <c r="N228" t="str">
        <f t="shared" si="17"/>
        <v xml:space="preserve">    - [3.846, -0.024, 0.227, 7.00, 40.0000]</v>
      </c>
    </row>
    <row r="229" spans="2:14">
      <c r="B229">
        <v>0.06</v>
      </c>
      <c r="C229">
        <v>5.1559999999999997</v>
      </c>
      <c r="D229">
        <v>-4.3200000000000002E-2</v>
      </c>
      <c r="E229">
        <v>0.24890000000000001</v>
      </c>
      <c r="F229">
        <v>10.199999999999999</v>
      </c>
      <c r="G229">
        <v>3</v>
      </c>
      <c r="H229">
        <v>-4.8</v>
      </c>
      <c r="I229">
        <v>0.5</v>
      </c>
      <c r="J229">
        <v>6.4</v>
      </c>
      <c r="L229" t="str">
        <f t="shared" si="16"/>
        <v xml:space="preserve">    -  0.060</v>
      </c>
      <c r="N229" t="str">
        <f t="shared" si="17"/>
        <v xml:space="preserve">    - [5.156, -0.043, 0.249, 10.20, 3.0000]</v>
      </c>
    </row>
    <row r="230" spans="2:14">
      <c r="B230">
        <v>0.08</v>
      </c>
      <c r="C230">
        <v>23.465</v>
      </c>
      <c r="D230">
        <v>-3.2599999999999997E-2</v>
      </c>
      <c r="E230">
        <v>3.1800000000000002E-2</v>
      </c>
      <c r="F230">
        <v>4.9000000000000004</v>
      </c>
      <c r="G230">
        <v>6</v>
      </c>
      <c r="H230">
        <v>-5.4</v>
      </c>
      <c r="I230">
        <v>0.5</v>
      </c>
      <c r="J230">
        <v>3.5</v>
      </c>
      <c r="L230" t="str">
        <f t="shared" si="16"/>
        <v xml:space="preserve">    -  0.080</v>
      </c>
      <c r="N230" t="str">
        <f t="shared" si="17"/>
        <v xml:space="preserve">    - [23.465, -0.033, 0.032, 4.90, 6.0000]</v>
      </c>
    </row>
    <row r="231" spans="2:14">
      <c r="B231">
        <v>0.1</v>
      </c>
      <c r="C231">
        <v>43.63</v>
      </c>
      <c r="D231">
        <v>-4.6100000000000002E-2</v>
      </c>
      <c r="E231">
        <v>0</v>
      </c>
      <c r="F231">
        <v>12.7</v>
      </c>
      <c r="G231">
        <v>3</v>
      </c>
      <c r="H231">
        <v>-3</v>
      </c>
      <c r="I231">
        <v>20</v>
      </c>
      <c r="J231">
        <v>8.1</v>
      </c>
      <c r="L231" t="str">
        <f t="shared" si="16"/>
        <v xml:space="preserve">    -  0.100</v>
      </c>
      <c r="N231" t="str">
        <f t="shared" si="17"/>
        <v xml:space="preserve">    - [43.630, -0.046, 0.000, 12.70, 3.0000]</v>
      </c>
    </row>
    <row r="232" spans="2:14">
      <c r="B232">
        <v>0.15</v>
      </c>
      <c r="C232">
        <v>111.791</v>
      </c>
      <c r="D232">
        <v>-6.3200000000000006E-2</v>
      </c>
      <c r="E232">
        <v>-4.0300000000000002E-2</v>
      </c>
      <c r="F232">
        <v>32.299999999999997</v>
      </c>
      <c r="G232">
        <v>1</v>
      </c>
      <c r="H232">
        <v>-3.7</v>
      </c>
      <c r="I232">
        <v>20</v>
      </c>
      <c r="J232">
        <v>19.100000000000001</v>
      </c>
      <c r="L232" t="str">
        <f t="shared" si="16"/>
        <v xml:space="preserve">    -  0.150</v>
      </c>
      <c r="N232" t="str">
        <f t="shared" si="17"/>
        <v xml:space="preserve">    - [111.791, -0.063, -0.040, 32.30, 1.0000]</v>
      </c>
    </row>
    <row r="233" spans="2:14">
      <c r="B233">
        <v>0.2</v>
      </c>
      <c r="C233">
        <v>95.634</v>
      </c>
      <c r="D233">
        <v>-7.7899999999999997E-2</v>
      </c>
      <c r="E233">
        <v>-5.0500000000000003E-2</v>
      </c>
      <c r="F233">
        <v>41.3</v>
      </c>
      <c r="G233">
        <v>40</v>
      </c>
      <c r="H233">
        <v>-3.4</v>
      </c>
      <c r="I233">
        <v>20</v>
      </c>
      <c r="J233">
        <v>24.6</v>
      </c>
      <c r="L233" t="str">
        <f t="shared" si="16"/>
        <v xml:space="preserve">    -  0.200</v>
      </c>
      <c r="N233" t="str">
        <f t="shared" si="17"/>
        <v xml:space="preserve">    - [95.634, -0.078, -0.051, 41.30, 40.0000]</v>
      </c>
    </row>
    <row r="234" spans="2:14">
      <c r="B234">
        <v>0.3</v>
      </c>
      <c r="C234">
        <v>82.701999999999998</v>
      </c>
      <c r="D234">
        <v>-8.09E-2</v>
      </c>
      <c r="E234">
        <v>-5.0599999999999999E-2</v>
      </c>
      <c r="F234">
        <v>50.6</v>
      </c>
      <c r="G234">
        <v>40</v>
      </c>
      <c r="H234">
        <v>-3.1</v>
      </c>
      <c r="I234">
        <v>15</v>
      </c>
      <c r="J234">
        <v>28.8</v>
      </c>
      <c r="L234" t="str">
        <f t="shared" si="16"/>
        <v xml:space="preserve">    -  0.300</v>
      </c>
      <c r="N234" t="str">
        <f t="shared" si="17"/>
        <v xml:space="preserve">    - [82.702, -0.081, -0.051, 50.60, 40.0000]</v>
      </c>
    </row>
    <row r="235" spans="2:14">
      <c r="B235">
        <v>0.4</v>
      </c>
      <c r="C235">
        <v>146.57900000000001</v>
      </c>
      <c r="D235">
        <v>-6.1499999999999999E-2</v>
      </c>
      <c r="E235">
        <v>-5.1900000000000002E-2</v>
      </c>
      <c r="F235">
        <v>46.7</v>
      </c>
      <c r="G235">
        <v>1</v>
      </c>
      <c r="H235">
        <v>-4.9000000000000004</v>
      </c>
      <c r="I235">
        <v>15</v>
      </c>
      <c r="J235">
        <v>26.8</v>
      </c>
      <c r="L235" t="str">
        <f t="shared" si="16"/>
        <v xml:space="preserve">    -  0.400</v>
      </c>
      <c r="N235" t="str">
        <f t="shared" si="17"/>
        <v xml:space="preserve">    - [146.579, -0.062, -0.052, 46.70, 1.0000]</v>
      </c>
    </row>
    <row r="236" spans="2:14">
      <c r="B236">
        <v>0.5</v>
      </c>
      <c r="C236">
        <v>68.605999999999995</v>
      </c>
      <c r="D236">
        <v>-6.8500000000000005E-2</v>
      </c>
      <c r="E236">
        <v>-3.78E-2</v>
      </c>
      <c r="F236">
        <v>44.3</v>
      </c>
      <c r="G236">
        <v>40</v>
      </c>
      <c r="H236">
        <v>-4.2</v>
      </c>
      <c r="I236">
        <v>15</v>
      </c>
      <c r="J236">
        <v>26</v>
      </c>
      <c r="L236" t="str">
        <f t="shared" si="16"/>
        <v xml:space="preserve">    -  0.500</v>
      </c>
      <c r="N236" t="str">
        <f t="shared" si="17"/>
        <v xml:space="preserve">    - [68.606, -0.069, -0.038, 44.30, 40.0000]</v>
      </c>
    </row>
    <row r="237" spans="2:14">
      <c r="B237">
        <v>0.6</v>
      </c>
      <c r="C237">
        <v>127.256</v>
      </c>
      <c r="D237">
        <v>-5.5599999999999997E-2</v>
      </c>
      <c r="E237">
        <v>-4.0500000000000001E-2</v>
      </c>
      <c r="F237">
        <v>40.4</v>
      </c>
      <c r="G237">
        <v>1</v>
      </c>
      <c r="H237">
        <v>-3.6</v>
      </c>
      <c r="I237">
        <v>15</v>
      </c>
      <c r="J237">
        <v>24</v>
      </c>
      <c r="L237" t="str">
        <f t="shared" si="16"/>
        <v xml:space="preserve">    -  0.600</v>
      </c>
      <c r="N237" t="str">
        <f t="shared" si="17"/>
        <v xml:space="preserve">    - [127.256, -0.056, -0.041, 40.40, 1.0000]</v>
      </c>
    </row>
    <row r="238" spans="2:14">
      <c r="B238">
        <v>0.8</v>
      </c>
      <c r="C238">
        <v>19.155000000000001</v>
      </c>
      <c r="D238">
        <v>-4.9099999999999998E-2</v>
      </c>
      <c r="E238">
        <v>-2.8799999999999999E-2</v>
      </c>
      <c r="F238">
        <v>31.7</v>
      </c>
      <c r="G238">
        <v>40</v>
      </c>
      <c r="H238">
        <v>-4.5999999999999996</v>
      </c>
      <c r="I238">
        <v>15</v>
      </c>
      <c r="J238">
        <v>18.8</v>
      </c>
      <c r="L238" t="str">
        <f t="shared" si="16"/>
        <v xml:space="preserve">    -  0.800</v>
      </c>
      <c r="N238" t="str">
        <f t="shared" si="17"/>
        <v xml:space="preserve">    - [19.155, -0.049, -0.029, 31.70, 40.0000]</v>
      </c>
    </row>
    <row r="239" spans="2:14">
      <c r="B239">
        <v>1</v>
      </c>
      <c r="C239">
        <v>53.82</v>
      </c>
      <c r="D239">
        <v>-4.3900000000000002E-2</v>
      </c>
      <c r="E239">
        <v>-1.7399999999999999E-2</v>
      </c>
      <c r="F239">
        <v>25.1</v>
      </c>
      <c r="G239">
        <v>1</v>
      </c>
      <c r="H239">
        <v>-4.9000000000000004</v>
      </c>
      <c r="I239">
        <v>15</v>
      </c>
      <c r="J239">
        <v>15.2</v>
      </c>
      <c r="L239" t="str">
        <f t="shared" si="16"/>
        <v xml:space="preserve">    -  1.000</v>
      </c>
      <c r="N239" t="str">
        <f t="shared" si="17"/>
        <v xml:space="preserve">    - [53.820, -0.044, -0.017, 25.10, 1.0000]</v>
      </c>
    </row>
    <row r="240" spans="2:14">
      <c r="B240">
        <v>1.5</v>
      </c>
      <c r="C240">
        <v>71.637</v>
      </c>
      <c r="D240">
        <v>-2.7699999999999999E-2</v>
      </c>
      <c r="E240">
        <v>-1.2800000000000001E-2</v>
      </c>
      <c r="F240">
        <v>14.1</v>
      </c>
      <c r="G240">
        <v>40</v>
      </c>
      <c r="H240">
        <v>-4.9000000000000004</v>
      </c>
      <c r="I240">
        <v>15</v>
      </c>
      <c r="J240">
        <v>8.1999999999999993</v>
      </c>
      <c r="L240" t="str">
        <f t="shared" si="16"/>
        <v xml:space="preserve">    -  1.500</v>
      </c>
      <c r="N240" t="str">
        <f t="shared" si="17"/>
        <v xml:space="preserve">    - [71.637, -0.028, -0.013, 14.10, 40.0000]</v>
      </c>
    </row>
    <row r="241" spans="2:14">
      <c r="B241">
        <v>2</v>
      </c>
      <c r="C241">
        <v>34.93</v>
      </c>
      <c r="D241">
        <v>-2.6200000000000001E-2</v>
      </c>
      <c r="E241">
        <v>0</v>
      </c>
      <c r="F241">
        <v>9.9</v>
      </c>
      <c r="G241">
        <v>40</v>
      </c>
      <c r="H241">
        <v>-4.2</v>
      </c>
      <c r="I241">
        <v>15</v>
      </c>
      <c r="J241">
        <v>5.4</v>
      </c>
      <c r="L241" t="str">
        <f t="shared" si="16"/>
        <v xml:space="preserve">    -  2.000</v>
      </c>
      <c r="N241" t="str">
        <f t="shared" si="17"/>
        <v xml:space="preserve">    - [34.930, -0.026, 0.000, 9.90, 40.0000]</v>
      </c>
    </row>
    <row r="242" spans="2:14">
      <c r="B242">
        <v>3</v>
      </c>
      <c r="C242">
        <v>38.534999999999997</v>
      </c>
      <c r="D242">
        <v>-1.52E-2</v>
      </c>
      <c r="E242">
        <v>3.8E-3</v>
      </c>
      <c r="F242">
        <v>4.3</v>
      </c>
      <c r="G242">
        <v>3</v>
      </c>
      <c r="H242">
        <v>-1.5</v>
      </c>
      <c r="I242">
        <v>20</v>
      </c>
      <c r="J242">
        <v>2.6</v>
      </c>
      <c r="L242" t="str">
        <f t="shared" si="16"/>
        <v xml:space="preserve">    -  3.000</v>
      </c>
      <c r="N242" t="str">
        <f t="shared" si="17"/>
        <v xml:space="preserve">    - [38.535, -0.015, 0.004, 4.30, 3.0000]</v>
      </c>
    </row>
    <row r="243" spans="2:14">
      <c r="B243">
        <v>4</v>
      </c>
      <c r="C243">
        <v>17.076000000000001</v>
      </c>
      <c r="D243">
        <v>-1.9900000000000001E-2</v>
      </c>
      <c r="E243">
        <v>1.4800000000000001E-2</v>
      </c>
      <c r="F243">
        <v>2.2000000000000002</v>
      </c>
      <c r="G243">
        <v>40</v>
      </c>
      <c r="H243">
        <v>-3.3</v>
      </c>
      <c r="I243">
        <v>15</v>
      </c>
      <c r="J243">
        <v>1.8</v>
      </c>
      <c r="L243" t="str">
        <f t="shared" si="16"/>
        <v xml:space="preserve">    -  4.000</v>
      </c>
      <c r="N243" t="str">
        <f t="shared" si="17"/>
        <v xml:space="preserve">    - [17.076, -0.020, 0.015, 2.20, 40.0000]</v>
      </c>
    </row>
    <row r="244" spans="2:14">
      <c r="B244">
        <v>5</v>
      </c>
      <c r="C244">
        <v>8.7880000000000003</v>
      </c>
      <c r="D244">
        <v>-2.7099999999999999E-2</v>
      </c>
      <c r="E244">
        <v>3.6400000000000002E-2</v>
      </c>
      <c r="F244">
        <v>1</v>
      </c>
      <c r="G244">
        <v>4</v>
      </c>
      <c r="H244">
        <v>-2.7</v>
      </c>
      <c r="I244">
        <v>40</v>
      </c>
      <c r="J244">
        <v>1.2</v>
      </c>
      <c r="L244" t="str">
        <f t="shared" si="16"/>
        <v xml:space="preserve">    -  5.000</v>
      </c>
      <c r="N244" t="str">
        <f t="shared" si="17"/>
        <v xml:space="preserve">    - [8.788, -0.027, 0.036, 1.00, 4.0000]</v>
      </c>
    </row>
    <row r="245" spans="2:14">
      <c r="B245">
        <v>6</v>
      </c>
      <c r="C245">
        <v>8.3650000000000002</v>
      </c>
      <c r="D245">
        <v>-2.47E-2</v>
      </c>
      <c r="E245">
        <v>3.5299999999999998E-2</v>
      </c>
      <c r="F245">
        <v>1.4</v>
      </c>
      <c r="G245">
        <v>6</v>
      </c>
      <c r="H245">
        <v>-2.2000000000000002</v>
      </c>
      <c r="I245">
        <v>0.5</v>
      </c>
      <c r="J245">
        <v>1.2</v>
      </c>
      <c r="L245" t="str">
        <f t="shared" si="16"/>
        <v xml:space="preserve">    -  6.000</v>
      </c>
      <c r="N245" t="str">
        <f t="shared" si="17"/>
        <v xml:space="preserve">    - [8.365, -0.025, 0.035, 1.40, 6.0000]</v>
      </c>
    </row>
    <row r="246" spans="2:14">
      <c r="B246">
        <v>8</v>
      </c>
      <c r="C246">
        <v>7.0339999999999998</v>
      </c>
      <c r="D246">
        <v>-2.3400000000000001E-2</v>
      </c>
      <c r="E246">
        <v>3.5400000000000001E-2</v>
      </c>
      <c r="F246">
        <v>1.9</v>
      </c>
      <c r="G246">
        <v>7</v>
      </c>
      <c r="H246">
        <v>-2.6</v>
      </c>
      <c r="I246">
        <v>0.5</v>
      </c>
      <c r="J246">
        <v>1.4</v>
      </c>
      <c r="L246" t="str">
        <f t="shared" si="16"/>
        <v xml:space="preserve">    -  8.000</v>
      </c>
      <c r="N246" t="str">
        <f t="shared" si="17"/>
        <v xml:space="preserve">    - [7.034, -0.023, 0.035, 1.90, 7.0000]</v>
      </c>
    </row>
    <row r="247" spans="2:14">
      <c r="B247">
        <v>10</v>
      </c>
      <c r="C247">
        <v>5.59</v>
      </c>
      <c r="D247">
        <v>-2.5899999999999999E-2</v>
      </c>
      <c r="E247">
        <v>3.39E-2</v>
      </c>
      <c r="F247">
        <v>0.9</v>
      </c>
      <c r="G247">
        <v>35</v>
      </c>
      <c r="H247">
        <v>-3.8</v>
      </c>
      <c r="I247">
        <v>1</v>
      </c>
      <c r="J247">
        <v>1.8</v>
      </c>
      <c r="L247" t="str">
        <f t="shared" si="16"/>
        <v xml:space="preserve">    -  10.000</v>
      </c>
      <c r="N247" t="str">
        <f t="shared" si="17"/>
        <v xml:space="preserve">    - [5.590, -0.026, 0.034, 0.90, 35.0000]</v>
      </c>
    </row>
    <row r="248" spans="2:14">
      <c r="B248">
        <v>15</v>
      </c>
      <c r="C248">
        <v>5.0910000000000002</v>
      </c>
      <c r="D248">
        <v>-2.24E-2</v>
      </c>
      <c r="E248">
        <v>2.3300000000000001E-2</v>
      </c>
      <c r="F248">
        <v>0</v>
      </c>
      <c r="G248">
        <v>0</v>
      </c>
      <c r="H248">
        <v>-4.0999999999999996</v>
      </c>
      <c r="I248">
        <v>25</v>
      </c>
      <c r="J248">
        <v>2.5</v>
      </c>
      <c r="L248" t="str">
        <f t="shared" si="16"/>
        <v xml:space="preserve">    -  15.000</v>
      </c>
      <c r="N248" t="str">
        <f t="shared" si="17"/>
        <v xml:space="preserve">    - [5.091, -0.022, 0.023, 0.00, 0.0000]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E9BE7-8872-43EF-9EBB-7652E62617D1}">
  <sheetPr codeName="Sheet8"/>
  <dimension ref="A1:L53"/>
  <sheetViews>
    <sheetView workbookViewId="0"/>
  </sheetViews>
  <sheetFormatPr baseColWidth="10" defaultColWidth="8.83203125" defaultRowHeight="15"/>
  <cols>
    <col min="7" max="7" width="12.1640625" bestFit="1" customWidth="1"/>
    <col min="9" max="9" width="9.1640625" customWidth="1"/>
  </cols>
  <sheetData>
    <row r="1" spans="1:9">
      <c r="B1" t="s">
        <v>97</v>
      </c>
    </row>
    <row r="3" spans="1:9">
      <c r="B3" t="s">
        <v>21</v>
      </c>
    </row>
    <row r="4" spans="1:9">
      <c r="B4">
        <v>0.1</v>
      </c>
      <c r="C4" t="s">
        <v>90</v>
      </c>
    </row>
    <row r="6" spans="1:9">
      <c r="B6" t="s">
        <v>98</v>
      </c>
    </row>
    <row r="7" spans="1:9">
      <c r="B7" t="s">
        <v>1</v>
      </c>
      <c r="C7" t="s">
        <v>11</v>
      </c>
      <c r="D7" t="s">
        <v>12</v>
      </c>
      <c r="E7" t="s">
        <v>13</v>
      </c>
      <c r="F7" t="s">
        <v>16</v>
      </c>
      <c r="G7" t="s">
        <v>14</v>
      </c>
    </row>
    <row r="8" spans="1:9">
      <c r="B8" s="4">
        <v>0.1</v>
      </c>
      <c r="C8" s="4">
        <v>4.6630000000000003</v>
      </c>
      <c r="D8" s="4">
        <v>2.2210000000000001</v>
      </c>
      <c r="E8" s="4">
        <v>-0.186</v>
      </c>
      <c r="F8" s="7">
        <v>13.33</v>
      </c>
      <c r="G8" s="6">
        <v>8.2600000000000007E-2</v>
      </c>
    </row>
    <row r="9" spans="1:9">
      <c r="B9" t="s">
        <v>99</v>
      </c>
    </row>
    <row r="10" spans="1:9">
      <c r="B10" t="s">
        <v>1</v>
      </c>
      <c r="C10" t="s">
        <v>87</v>
      </c>
      <c r="D10" t="s">
        <v>88</v>
      </c>
      <c r="E10" t="s">
        <v>95</v>
      </c>
      <c r="F10" t="s">
        <v>89</v>
      </c>
    </row>
    <row r="11" spans="1:9">
      <c r="B11">
        <v>0.1</v>
      </c>
      <c r="C11">
        <v>253.06200000000001</v>
      </c>
      <c r="D11">
        <v>-0.1406</v>
      </c>
      <c r="E11">
        <f>1-C11</f>
        <v>-252.06200000000001</v>
      </c>
      <c r="F11">
        <v>-0.10349999999999999</v>
      </c>
    </row>
    <row r="12" spans="1:9" ht="16" thickBot="1">
      <c r="H12" s="14" t="s">
        <v>100</v>
      </c>
      <c r="I12" s="14"/>
    </row>
    <row r="13" spans="1:9" ht="16" thickTop="1">
      <c r="B13" t="s">
        <v>91</v>
      </c>
      <c r="C13" t="s">
        <v>92</v>
      </c>
      <c r="D13" t="s">
        <v>93</v>
      </c>
      <c r="E13" t="s">
        <v>94</v>
      </c>
      <c r="F13" t="s">
        <v>101</v>
      </c>
      <c r="G13" t="s">
        <v>102</v>
      </c>
      <c r="H13" t="s">
        <v>96</v>
      </c>
      <c r="I13" t="s">
        <v>92</v>
      </c>
    </row>
    <row r="14" spans="1:9">
      <c r="A14" s="1"/>
      <c r="B14">
        <v>0.5</v>
      </c>
      <c r="C14" s="1">
        <f>I14</f>
        <v>2.414519869549296</v>
      </c>
      <c r="D14" s="1">
        <f t="shared" ref="D14:D47" si="0">$C$11*EXP(-$D$11*B14)+$E$11*EXP(-$F$11*B14)</f>
        <v>6.0428751918984176</v>
      </c>
      <c r="E14">
        <v>2.37</v>
      </c>
      <c r="F14" s="12">
        <f>(C14-E14)/E14</f>
        <v>1.8784755084091085E-2</v>
      </c>
      <c r="G14" s="13">
        <f t="shared" ref="G14:G29" si="1">(D14-E14)/E14</f>
        <v>1.5497363678896277</v>
      </c>
      <c r="H14" s="7">
        <f t="shared" ref="H14:H47" si="2">$D$8*B14^$E$8+$G$8*(TANH(B14/$F$8-2)-TANH(-2))/(1-TANH(-2))</f>
        <v>2.526736788631629</v>
      </c>
      <c r="I14" s="7">
        <f>IF(H14=1,1+($C$8-1)*B14,1+($C$8-1)*(H14^B14-1)/(H14-1))</f>
        <v>2.414519869549296</v>
      </c>
    </row>
    <row r="15" spans="1:9">
      <c r="A15" s="1"/>
      <c r="B15">
        <v>1</v>
      </c>
      <c r="C15" s="1">
        <f t="shared" ref="C15:C47" si="3">I15</f>
        <v>4.6630000000000003</v>
      </c>
      <c r="D15" s="1">
        <f t="shared" si="0"/>
        <v>11.716994078860466</v>
      </c>
      <c r="E15">
        <v>4.55</v>
      </c>
      <c r="F15" s="12">
        <f t="shared" ref="F15:F29" si="4">(C15-E15)/E15</f>
        <v>2.483516483516493E-2</v>
      </c>
      <c r="G15" s="13">
        <f t="shared" si="1"/>
        <v>1.5751635338154872</v>
      </c>
      <c r="H15" s="7">
        <f t="shared" si="2"/>
        <v>2.2212397973729998</v>
      </c>
      <c r="I15" s="7">
        <f t="shared" ref="I15:I47" si="5">IF(H15=1,1+($C$8-1)*B15,1+($C$8-1)*(H15^B15-1)/(H15-1))</f>
        <v>4.6630000000000003</v>
      </c>
    </row>
    <row r="16" spans="1:9">
      <c r="A16" s="1"/>
      <c r="B16">
        <v>2</v>
      </c>
      <c r="C16" s="1">
        <f t="shared" si="3"/>
        <v>11.816339127409414</v>
      </c>
      <c r="D16" s="1">
        <f t="shared" si="0"/>
        <v>25.204051390272241</v>
      </c>
      <c r="E16" s="1">
        <v>11.8</v>
      </c>
      <c r="F16" s="12">
        <f t="shared" si="4"/>
        <v>1.3846718143570443E-3</v>
      </c>
      <c r="G16" s="13">
        <f t="shared" si="1"/>
        <v>1.1359365584976475</v>
      </c>
      <c r="H16" s="7">
        <f t="shared" si="2"/>
        <v>1.9528635346463041</v>
      </c>
      <c r="I16" s="7">
        <f t="shared" si="5"/>
        <v>11.816339127409414</v>
      </c>
    </row>
    <row r="17" spans="1:9">
      <c r="A17" s="1"/>
      <c r="B17">
        <v>3</v>
      </c>
      <c r="C17" s="1">
        <f t="shared" si="3"/>
        <v>23.316387162693282</v>
      </c>
      <c r="D17" s="1">
        <f t="shared" si="0"/>
        <v>42.004992735302551</v>
      </c>
      <c r="E17" s="1">
        <v>23.8</v>
      </c>
      <c r="F17" s="12">
        <f t="shared" si="4"/>
        <v>-2.0319867113727689E-2</v>
      </c>
      <c r="G17" s="13">
        <f t="shared" si="1"/>
        <v>0.76491566114716592</v>
      </c>
      <c r="H17" s="7">
        <f t="shared" si="2"/>
        <v>1.8113588617510381</v>
      </c>
      <c r="I17" s="7">
        <f t="shared" si="5"/>
        <v>23.316387162693282</v>
      </c>
    </row>
    <row r="18" spans="1:9">
      <c r="A18" s="1"/>
      <c r="B18">
        <v>4</v>
      </c>
      <c r="C18" s="1">
        <f t="shared" si="3"/>
        <v>40.312019181412069</v>
      </c>
      <c r="D18" s="1">
        <f t="shared" si="0"/>
        <v>62.759436939407067</v>
      </c>
      <c r="E18" s="1">
        <v>41.3</v>
      </c>
      <c r="F18" s="12">
        <f t="shared" si="4"/>
        <v>-2.3922053718836041E-2</v>
      </c>
      <c r="G18" s="13">
        <f t="shared" si="1"/>
        <v>0.51959895737063122</v>
      </c>
      <c r="H18" s="7">
        <f t="shared" si="2"/>
        <v>1.7173941177134762</v>
      </c>
      <c r="I18" s="7">
        <f t="shared" si="5"/>
        <v>40.312019181412069</v>
      </c>
    </row>
    <row r="19" spans="1:9">
      <c r="A19" s="1"/>
      <c r="B19">
        <v>5</v>
      </c>
      <c r="C19" s="1">
        <f t="shared" si="3"/>
        <v>64.066709197452269</v>
      </c>
      <c r="D19" s="1">
        <f t="shared" si="0"/>
        <v>88.218756911043045</v>
      </c>
      <c r="E19" s="1">
        <v>65.2</v>
      </c>
      <c r="F19" s="12">
        <f t="shared" si="4"/>
        <v>-1.7381760775271989E-2</v>
      </c>
      <c r="G19" s="13">
        <f t="shared" si="1"/>
        <v>0.35304841888102823</v>
      </c>
      <c r="H19" s="7">
        <f t="shared" si="2"/>
        <v>1.6480454890143659</v>
      </c>
      <c r="I19" s="7">
        <f t="shared" si="5"/>
        <v>64.066709197452269</v>
      </c>
    </row>
    <row r="20" spans="1:9">
      <c r="A20" s="1"/>
      <c r="B20">
        <v>6</v>
      </c>
      <c r="C20" s="1">
        <f t="shared" si="3"/>
        <v>95.906125219015536</v>
      </c>
      <c r="D20" s="1">
        <f t="shared" si="0"/>
        <v>119.26460740668347</v>
      </c>
      <c r="E20" s="1">
        <v>96.7</v>
      </c>
      <c r="F20" s="12">
        <f t="shared" si="4"/>
        <v>-8.2096668147307872E-3</v>
      </c>
      <c r="G20" s="13">
        <f t="shared" si="1"/>
        <v>0.23334650885918784</v>
      </c>
      <c r="H20" s="7">
        <f t="shared" si="2"/>
        <v>1.5936349765540079</v>
      </c>
      <c r="I20" s="7">
        <f t="shared" si="5"/>
        <v>95.906125219015536</v>
      </c>
    </row>
    <row r="21" spans="1:9">
      <c r="A21" s="1"/>
      <c r="B21">
        <v>7</v>
      </c>
      <c r="C21" s="1">
        <f t="shared" si="3"/>
        <v>137.17669916062795</v>
      </c>
      <c r="D21" s="1">
        <f t="shared" si="0"/>
        <v>156.93043050276367</v>
      </c>
      <c r="E21" s="1">
        <v>137</v>
      </c>
      <c r="F21" s="12">
        <f t="shared" si="4"/>
        <v>1.2897748950945077E-3</v>
      </c>
      <c r="G21" s="13">
        <f t="shared" si="1"/>
        <v>0.14547759491068371</v>
      </c>
      <c r="H21" s="7">
        <f t="shared" si="2"/>
        <v>1.5492086828850946</v>
      </c>
      <c r="I21" s="7">
        <f t="shared" si="5"/>
        <v>137.17669916062795</v>
      </c>
    </row>
    <row r="22" spans="1:9">
      <c r="A22" s="1"/>
      <c r="B22">
        <v>8</v>
      </c>
      <c r="C22" s="1">
        <f t="shared" si="3"/>
        <v>189.21074698663642</v>
      </c>
      <c r="D22" s="1">
        <f t="shared" si="0"/>
        <v>202.42640800381741</v>
      </c>
      <c r="E22" s="1">
        <v>187</v>
      </c>
      <c r="F22" s="12">
        <f t="shared" si="4"/>
        <v>1.1822176399125256E-2</v>
      </c>
      <c r="G22" s="13">
        <f t="shared" si="1"/>
        <v>8.2494160448221471E-2</v>
      </c>
      <c r="H22" s="7">
        <f t="shared" si="2"/>
        <v>1.5119092123887041</v>
      </c>
      <c r="I22" s="7">
        <f t="shared" si="5"/>
        <v>189.21074698663642</v>
      </c>
    </row>
    <row r="23" spans="1:9">
      <c r="A23" s="1"/>
      <c r="B23">
        <v>10</v>
      </c>
      <c r="C23" s="1">
        <f t="shared" si="3"/>
        <v>330.68480345626637</v>
      </c>
      <c r="D23" s="1">
        <f t="shared" si="0"/>
        <v>322.81151703537932</v>
      </c>
      <c r="E23" s="1">
        <v>321</v>
      </c>
      <c r="F23" s="12">
        <f t="shared" si="4"/>
        <v>3.0170727278088366E-2</v>
      </c>
      <c r="G23" s="13">
        <f t="shared" si="1"/>
        <v>5.6433552504028808E-3</v>
      </c>
      <c r="H23" s="7">
        <f t="shared" si="2"/>
        <v>1.4521366529451241</v>
      </c>
      <c r="I23" s="7">
        <f t="shared" si="5"/>
        <v>330.68480345626637</v>
      </c>
    </row>
    <row r="24" spans="1:9">
      <c r="A24" s="1"/>
      <c r="B24">
        <v>15</v>
      </c>
      <c r="C24" s="1">
        <f t="shared" si="3"/>
        <v>958.48401254518967</v>
      </c>
      <c r="D24" s="1">
        <f t="shared" si="0"/>
        <v>894.67489489732975</v>
      </c>
      <c r="E24" s="1">
        <v>938</v>
      </c>
      <c r="F24" s="12">
        <f t="shared" si="4"/>
        <v>2.1837966466087069E-2</v>
      </c>
      <c r="G24" s="13">
        <f t="shared" si="1"/>
        <v>-4.6188811410096217E-2</v>
      </c>
      <c r="H24" s="7">
        <f t="shared" si="2"/>
        <v>1.3530788648408285</v>
      </c>
      <c r="I24" s="7">
        <f t="shared" si="5"/>
        <v>958.48401254518967</v>
      </c>
    </row>
    <row r="25" spans="1:9">
      <c r="A25" s="1"/>
      <c r="B25">
        <v>20</v>
      </c>
      <c r="C25" s="1">
        <f t="shared" si="3"/>
        <v>2129.6496742888444</v>
      </c>
      <c r="D25" s="1">
        <f t="shared" si="0"/>
        <v>2214.2074500852932</v>
      </c>
      <c r="E25" s="1">
        <v>2170</v>
      </c>
      <c r="F25" s="12">
        <f t="shared" si="4"/>
        <v>-1.8594620143389685E-2</v>
      </c>
      <c r="G25" s="13">
        <f t="shared" si="1"/>
        <v>2.0372096813499174E-2</v>
      </c>
      <c r="H25" s="7">
        <f t="shared" si="2"/>
        <v>1.2933256241149291</v>
      </c>
      <c r="I25" s="7">
        <f t="shared" si="5"/>
        <v>2129.6496742888444</v>
      </c>
    </row>
    <row r="26" spans="1:9">
      <c r="A26" s="1"/>
      <c r="B26">
        <v>25</v>
      </c>
      <c r="C26" s="1">
        <f t="shared" si="3"/>
        <v>4243.2543504619562</v>
      </c>
      <c r="D26" s="1">
        <f t="shared" si="0"/>
        <v>5155.3743936301944</v>
      </c>
      <c r="E26" s="1">
        <v>4360</v>
      </c>
      <c r="F26" s="12">
        <f t="shared" si="4"/>
        <v>-2.6776525123404549E-2</v>
      </c>
      <c r="G26" s="13">
        <f t="shared" si="1"/>
        <v>0.18242531963995284</v>
      </c>
      <c r="H26" s="7">
        <f t="shared" si="2"/>
        <v>1.2558160856661993</v>
      </c>
      <c r="I26" s="7">
        <f t="shared" si="5"/>
        <v>4243.2543504619562</v>
      </c>
    </row>
    <row r="27" spans="1:9">
      <c r="A27" s="1"/>
      <c r="B27">
        <v>30</v>
      </c>
      <c r="C27" s="1">
        <f t="shared" si="3"/>
        <v>8019.5942529856702</v>
      </c>
      <c r="D27" s="1">
        <f t="shared" si="0"/>
        <v>11558.984279135737</v>
      </c>
      <c r="E27" s="1">
        <v>7970</v>
      </c>
      <c r="F27" s="12">
        <f t="shared" si="4"/>
        <v>6.2226164348394243E-3</v>
      </c>
      <c r="G27" s="13">
        <f t="shared" si="1"/>
        <v>0.45031170378114643</v>
      </c>
      <c r="H27" s="7">
        <f t="shared" si="2"/>
        <v>1.2306542936192189</v>
      </c>
      <c r="I27" s="7">
        <f t="shared" si="5"/>
        <v>8019.5942529856702</v>
      </c>
    </row>
    <row r="28" spans="1:9">
      <c r="A28" s="1"/>
      <c r="B28">
        <v>35</v>
      </c>
      <c r="C28" s="1">
        <f t="shared" si="3"/>
        <v>13868.865287192761</v>
      </c>
      <c r="D28" s="1">
        <f t="shared" si="0"/>
        <v>25269.902883843541</v>
      </c>
      <c r="E28" s="1">
        <v>13500</v>
      </c>
      <c r="F28" s="12">
        <f t="shared" si="4"/>
        <v>2.7323354606871159E-2</v>
      </c>
      <c r="G28" s="13">
        <f t="shared" si="1"/>
        <v>0.87184465806248446</v>
      </c>
      <c r="H28" s="7">
        <f t="shared" si="2"/>
        <v>1.2103286695841595</v>
      </c>
      <c r="I28" s="7">
        <f t="shared" si="5"/>
        <v>13868.865287192761</v>
      </c>
    </row>
    <row r="29" spans="1:9">
      <c r="A29" s="1"/>
      <c r="B29">
        <v>40</v>
      </c>
      <c r="C29" s="1">
        <f t="shared" si="3"/>
        <v>20783.754694027441</v>
      </c>
      <c r="D29" s="1">
        <f t="shared" si="0"/>
        <v>54266.742078846553</v>
      </c>
      <c r="E29" s="1">
        <v>21100</v>
      </c>
      <c r="F29" s="12">
        <f t="shared" si="4"/>
        <v>-1.4987929193012296E-2</v>
      </c>
      <c r="G29" s="13">
        <f t="shared" si="1"/>
        <v>1.5718835108458082</v>
      </c>
      <c r="H29" s="7">
        <f t="shared" si="2"/>
        <v>1.1909049614326117</v>
      </c>
      <c r="I29" s="7">
        <f t="shared" si="5"/>
        <v>20783.754694027441</v>
      </c>
    </row>
    <row r="30" spans="1:9">
      <c r="A30" s="1"/>
      <c r="B30">
        <v>50</v>
      </c>
      <c r="C30" s="1">
        <f t="shared" si="3"/>
        <v>29521.705867783032</v>
      </c>
      <c r="D30" s="1">
        <f t="shared" si="0"/>
        <v>241404.09808723725</v>
      </c>
      <c r="H30" s="7">
        <f t="shared" si="2"/>
        <v>1.1529917455452376</v>
      </c>
      <c r="I30" s="7">
        <f t="shared" si="5"/>
        <v>29521.705867783032</v>
      </c>
    </row>
    <row r="31" spans="1:9">
      <c r="A31" s="1"/>
      <c r="B31">
        <v>60</v>
      </c>
      <c r="C31" s="1">
        <f t="shared" si="3"/>
        <v>26298.751263819682</v>
      </c>
      <c r="D31" s="1">
        <f t="shared" si="0"/>
        <v>1041183.9211840802</v>
      </c>
      <c r="H31" s="7">
        <f t="shared" si="2"/>
        <v>1.1191187008884</v>
      </c>
      <c r="I31" s="7">
        <f t="shared" si="5"/>
        <v>26298.751263819682</v>
      </c>
    </row>
    <row r="32" spans="1:9">
      <c r="A32" s="1"/>
      <c r="B32">
        <v>70</v>
      </c>
      <c r="C32" s="1">
        <f t="shared" si="3"/>
        <v>17140.297434069838</v>
      </c>
      <c r="D32" s="1">
        <f t="shared" si="0"/>
        <v>4406251.6804609522</v>
      </c>
      <c r="H32" s="7">
        <f t="shared" si="2"/>
        <v>1.0902415030122559</v>
      </c>
      <c r="I32" s="7">
        <f t="shared" si="5"/>
        <v>17140.297434069838</v>
      </c>
    </row>
    <row r="33" spans="1:12">
      <c r="A33" s="1"/>
      <c r="B33">
        <v>80</v>
      </c>
      <c r="C33" s="1">
        <f t="shared" si="3"/>
        <v>8959.5061208307288</v>
      </c>
      <c r="D33" s="1">
        <f t="shared" si="0"/>
        <v>18422332.84351217</v>
      </c>
      <c r="H33" s="7">
        <f t="shared" si="2"/>
        <v>1.0656178332525599</v>
      </c>
      <c r="I33" s="7">
        <f t="shared" si="5"/>
        <v>8959.5061208307288</v>
      </c>
    </row>
    <row r="34" spans="1:12">
      <c r="A34" s="1"/>
      <c r="B34">
        <v>90</v>
      </c>
      <c r="C34" s="1">
        <f t="shared" si="3"/>
        <v>4018.0497154700752</v>
      </c>
      <c r="D34" s="1">
        <f t="shared" si="0"/>
        <v>76412969.022819981</v>
      </c>
      <c r="H34" s="7">
        <f t="shared" si="2"/>
        <v>1.0443376508869997</v>
      </c>
      <c r="I34" s="7">
        <f t="shared" si="5"/>
        <v>4018.0497154700752</v>
      </c>
    </row>
    <row r="35" spans="1:12">
      <c r="A35" s="1"/>
      <c r="B35">
        <v>100</v>
      </c>
      <c r="C35" s="1">
        <f t="shared" si="3"/>
        <v>1658.8656387466765</v>
      </c>
      <c r="D35" s="1">
        <f t="shared" si="0"/>
        <v>315273661.89138085</v>
      </c>
      <c r="H35" s="7">
        <f t="shared" si="2"/>
        <v>1.0256786519795831</v>
      </c>
      <c r="I35" s="7">
        <f t="shared" si="5"/>
        <v>1658.8656387466765</v>
      </c>
    </row>
    <row r="36" spans="1:12">
      <c r="A36" s="1"/>
      <c r="B36">
        <v>150</v>
      </c>
      <c r="C36" s="1">
        <f t="shared" si="3"/>
        <v>86.407824116154231</v>
      </c>
      <c r="D36" s="1">
        <f t="shared" si="0"/>
        <v>363779145338.38037</v>
      </c>
      <c r="H36" s="7">
        <f t="shared" si="2"/>
        <v>0.95717203015350105</v>
      </c>
      <c r="I36" s="7">
        <f t="shared" si="5"/>
        <v>86.407824116154231</v>
      </c>
    </row>
    <row r="37" spans="1:12">
      <c r="A37" s="1"/>
      <c r="B37">
        <v>200</v>
      </c>
      <c r="C37" s="1">
        <f t="shared" si="3"/>
        <v>42.438842399036112</v>
      </c>
      <c r="D37" s="1">
        <f t="shared" si="0"/>
        <v>412409357557146.38</v>
      </c>
      <c r="H37" s="7">
        <f t="shared" si="2"/>
        <v>0.91160467439656501</v>
      </c>
      <c r="I37" s="7">
        <f t="shared" si="5"/>
        <v>42.438842399036112</v>
      </c>
    </row>
    <row r="38" spans="1:12">
      <c r="A38" s="1"/>
      <c r="B38">
        <v>250</v>
      </c>
      <c r="C38" s="1">
        <f t="shared" si="3"/>
        <v>31.00033047529211</v>
      </c>
      <c r="D38" s="1">
        <f t="shared" si="0"/>
        <v>4.6626994638574074E+17</v>
      </c>
      <c r="H38" s="7">
        <f t="shared" si="2"/>
        <v>0.87790134501962325</v>
      </c>
      <c r="I38" s="7">
        <f t="shared" si="5"/>
        <v>31.00033047529211</v>
      </c>
    </row>
    <row r="39" spans="1:12">
      <c r="A39" s="1"/>
      <c r="B39">
        <v>300</v>
      </c>
      <c r="C39" s="1">
        <f t="shared" si="3"/>
        <v>25.647316291183554</v>
      </c>
      <c r="D39" s="1">
        <f t="shared" si="0"/>
        <v>5.269408147515084E+20</v>
      </c>
      <c r="H39" s="7">
        <f t="shared" si="2"/>
        <v>0.85138341405103524</v>
      </c>
      <c r="I39" s="7">
        <f t="shared" si="5"/>
        <v>25.647316291183554</v>
      </c>
    </row>
    <row r="40" spans="1:12">
      <c r="A40" s="1"/>
      <c r="B40">
        <v>350</v>
      </c>
      <c r="C40" s="1">
        <f t="shared" si="3"/>
        <v>22.503273067693343</v>
      </c>
      <c r="D40" s="1">
        <f t="shared" si="0"/>
        <v>5.9546658796713146E+23</v>
      </c>
      <c r="H40" s="7">
        <f t="shared" si="2"/>
        <v>0.82965383974482865</v>
      </c>
      <c r="I40" s="7">
        <f t="shared" si="5"/>
        <v>22.503273067693343</v>
      </c>
    </row>
    <row r="41" spans="1:12">
      <c r="A41" s="1"/>
      <c r="B41">
        <v>400</v>
      </c>
      <c r="C41" s="1">
        <f t="shared" si="3"/>
        <v>20.414635744248255</v>
      </c>
      <c r="D41" s="1">
        <f t="shared" si="0"/>
        <v>6.7289676899856763E+26</v>
      </c>
      <c r="H41" s="7">
        <f t="shared" si="2"/>
        <v>0.81132790497575036</v>
      </c>
      <c r="I41" s="7">
        <f t="shared" si="5"/>
        <v>20.414635744248255</v>
      </c>
      <c r="J41" s="1"/>
      <c r="K41" s="1"/>
      <c r="L41" s="1"/>
    </row>
    <row r="42" spans="1:12">
      <c r="A42" s="1"/>
      <c r="B42">
        <v>500</v>
      </c>
      <c r="C42" s="1">
        <f t="shared" si="3"/>
        <v>17.779764410321889</v>
      </c>
      <c r="D42" s="1">
        <f t="shared" si="0"/>
        <v>8.592687350252277E+32</v>
      </c>
      <c r="H42" s="7">
        <f t="shared" si="2"/>
        <v>0.78170134511860334</v>
      </c>
      <c r="I42" s="7">
        <f t="shared" si="5"/>
        <v>17.779764410321889</v>
      </c>
      <c r="J42" s="1"/>
      <c r="K42" s="1"/>
      <c r="L42" s="1"/>
    </row>
    <row r="43" spans="1:12">
      <c r="A43" s="1"/>
      <c r="B43">
        <v>600</v>
      </c>
      <c r="C43" s="1">
        <f t="shared" si="3"/>
        <v>16.160861252854808</v>
      </c>
      <c r="D43" s="1">
        <f t="shared" si="0"/>
        <v>1.0972597012972513E+39</v>
      </c>
      <c r="G43" s="1"/>
      <c r="H43" s="7">
        <f t="shared" si="2"/>
        <v>0.75839103472368674</v>
      </c>
      <c r="I43" s="7">
        <f t="shared" si="5"/>
        <v>16.160861252854808</v>
      </c>
      <c r="J43" s="1"/>
      <c r="K43" s="1"/>
      <c r="L43" s="1"/>
    </row>
    <row r="44" spans="1:12">
      <c r="A44" s="1"/>
      <c r="B44">
        <v>700</v>
      </c>
      <c r="C44" s="1">
        <f t="shared" si="3"/>
        <v>15.050087467636065</v>
      </c>
      <c r="D44" s="1">
        <f t="shared" si="0"/>
        <v>1.4011668212595405E+45</v>
      </c>
      <c r="G44" s="1"/>
      <c r="H44" s="7">
        <f t="shared" si="2"/>
        <v>0.7392898792667586</v>
      </c>
      <c r="I44" s="7">
        <f t="shared" si="5"/>
        <v>15.050087467636065</v>
      </c>
      <c r="J44" s="1"/>
      <c r="K44" s="1"/>
      <c r="L44" s="1"/>
    </row>
    <row r="45" spans="1:12">
      <c r="A45" s="1"/>
      <c r="B45">
        <v>800</v>
      </c>
      <c r="C45" s="1">
        <f t="shared" si="3"/>
        <v>14.232456837835171</v>
      </c>
      <c r="D45" s="1">
        <f t="shared" si="0"/>
        <v>1.7892468467375636E+51</v>
      </c>
      <c r="G45" s="1"/>
      <c r="H45" s="7">
        <f t="shared" si="2"/>
        <v>0.72318065761404993</v>
      </c>
      <c r="I45" s="7">
        <f t="shared" si="5"/>
        <v>14.232456837835171</v>
      </c>
      <c r="J45" s="1"/>
      <c r="K45" s="1"/>
      <c r="L45" s="1"/>
    </row>
    <row r="46" spans="1:12">
      <c r="A46" s="1"/>
      <c r="B46">
        <v>900</v>
      </c>
      <c r="C46" s="1">
        <f t="shared" si="3"/>
        <v>13.600604001400498</v>
      </c>
      <c r="D46" s="1">
        <f t="shared" si="0"/>
        <v>2.2848130786215184E+57</v>
      </c>
      <c r="G46" s="1"/>
      <c r="H46" s="7">
        <f t="shared" si="2"/>
        <v>0.70929964947768576</v>
      </c>
      <c r="I46" s="7">
        <f t="shared" si="5"/>
        <v>13.600604001400498</v>
      </c>
      <c r="J46" s="1"/>
      <c r="K46" s="1"/>
      <c r="L46" s="1"/>
    </row>
    <row r="47" spans="1:12">
      <c r="A47" s="1"/>
      <c r="B47">
        <v>1000</v>
      </c>
      <c r="C47" s="1">
        <f t="shared" si="3"/>
        <v>13.094606945409245</v>
      </c>
      <c r="D47" s="1">
        <f t="shared" si="0"/>
        <v>2.9176358833650216E+63</v>
      </c>
      <c r="G47" s="1"/>
      <c r="H47" s="7">
        <f t="shared" si="2"/>
        <v>0.69713773944589685</v>
      </c>
      <c r="I47" s="7">
        <f t="shared" si="5"/>
        <v>13.094606945409245</v>
      </c>
      <c r="J47" s="1"/>
      <c r="K47" s="1"/>
      <c r="L47" s="1"/>
    </row>
    <row r="48" spans="1:12">
      <c r="G48" s="1"/>
      <c r="H48" s="1"/>
      <c r="I48" s="1"/>
      <c r="J48" s="1"/>
      <c r="K48" s="1"/>
      <c r="L48" s="1"/>
    </row>
    <row r="49" spans="7:12">
      <c r="G49" s="1"/>
      <c r="H49" s="1"/>
      <c r="I49" s="1"/>
      <c r="J49" s="1"/>
      <c r="K49" s="1"/>
      <c r="L49" s="1"/>
    </row>
    <row r="50" spans="7:12">
      <c r="G50" s="1"/>
      <c r="H50" s="1"/>
      <c r="I50" s="1"/>
      <c r="J50" s="1"/>
      <c r="K50" s="1"/>
      <c r="L50" s="1"/>
    </row>
    <row r="51" spans="7:12">
      <c r="G51" s="1"/>
      <c r="H51" s="1"/>
      <c r="I51" s="1"/>
      <c r="J51" s="1"/>
      <c r="K51" s="1"/>
      <c r="L51" s="1"/>
    </row>
    <row r="52" spans="7:12">
      <c r="G52" s="1"/>
      <c r="H52" s="1"/>
      <c r="I52" s="1"/>
      <c r="J52" s="1"/>
      <c r="K52" s="1"/>
      <c r="L52" s="1"/>
    </row>
    <row r="53" spans="7:12">
      <c r="G53" s="1"/>
      <c r="H53" s="1"/>
      <c r="I53" s="1"/>
      <c r="J53" s="1"/>
      <c r="K53" s="1"/>
      <c r="L53" s="1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A1D15-AB0D-C846-B589-E86113407F03}">
  <sheetPr codeName="Sheet5"/>
  <dimension ref="A1:AF269"/>
  <sheetViews>
    <sheetView tabSelected="1" topLeftCell="A127" zoomScale="140" zoomScaleNormal="140" workbookViewId="0">
      <selection activeCell="H2" sqref="H2"/>
    </sheetView>
  </sheetViews>
  <sheetFormatPr baseColWidth="10" defaultRowHeight="15"/>
  <cols>
    <col min="1" max="11" width="6.1640625" customWidth="1"/>
    <col min="12" max="12" width="7.1640625" customWidth="1"/>
    <col min="13" max="14" width="6.1640625" customWidth="1"/>
    <col min="15" max="15" width="9.5" customWidth="1"/>
    <col min="16" max="16" width="7" customWidth="1"/>
    <col min="17" max="18" width="6.1640625" customWidth="1"/>
  </cols>
  <sheetData>
    <row r="1" spans="1:32">
      <c r="A1" t="s">
        <v>103</v>
      </c>
    </row>
    <row r="3" spans="1:32">
      <c r="A3" t="s">
        <v>103</v>
      </c>
      <c r="K3" t="s">
        <v>103</v>
      </c>
    </row>
    <row r="4" spans="1:32">
      <c r="A4" s="15" t="s">
        <v>1</v>
      </c>
      <c r="B4" s="15" t="s">
        <v>11</v>
      </c>
      <c r="C4" s="15" t="s">
        <v>12</v>
      </c>
      <c r="D4" s="15" t="s">
        <v>13</v>
      </c>
      <c r="E4" s="15" t="s">
        <v>16</v>
      </c>
      <c r="F4" s="15" t="s">
        <v>14</v>
      </c>
      <c r="G4" s="15" t="s">
        <v>17</v>
      </c>
      <c r="H4" s="15" t="s">
        <v>18</v>
      </c>
      <c r="I4" s="15" t="s">
        <v>15</v>
      </c>
      <c r="K4" s="15" t="s">
        <v>1</v>
      </c>
      <c r="L4" s="15" t="s">
        <v>11</v>
      </c>
      <c r="M4" s="15" t="s">
        <v>12</v>
      </c>
      <c r="N4" s="15" t="s">
        <v>13</v>
      </c>
      <c r="O4" s="15" t="s">
        <v>16</v>
      </c>
      <c r="P4" s="15" t="s">
        <v>14</v>
      </c>
      <c r="Q4" s="15" t="s">
        <v>17</v>
      </c>
      <c r="R4" s="15" t="s">
        <v>18</v>
      </c>
      <c r="S4" s="15" t="s">
        <v>15</v>
      </c>
      <c r="U4" s="15" t="s">
        <v>1</v>
      </c>
      <c r="V4" s="15" t="s">
        <v>11</v>
      </c>
      <c r="W4" s="15" t="s">
        <v>12</v>
      </c>
      <c r="X4" s="15" t="s">
        <v>13</v>
      </c>
      <c r="Y4" s="15" t="s">
        <v>16</v>
      </c>
      <c r="Z4" s="15" t="s">
        <v>14</v>
      </c>
      <c r="AA4" s="15" t="s">
        <v>17</v>
      </c>
      <c r="AB4" s="15" t="s">
        <v>18</v>
      </c>
      <c r="AC4" s="15" t="s">
        <v>15</v>
      </c>
    </row>
    <row r="5" spans="1:32">
      <c r="A5">
        <v>1.4999999999999999E-2</v>
      </c>
      <c r="B5">
        <v>1.004</v>
      </c>
      <c r="C5">
        <v>1.5609999999999999</v>
      </c>
      <c r="D5">
        <v>-0.55400000000000005</v>
      </c>
      <c r="E5">
        <v>5.6</v>
      </c>
      <c r="F5">
        <v>0.35239999999999999</v>
      </c>
      <c r="G5" s="2">
        <v>4.0000000000000001E-3</v>
      </c>
      <c r="H5">
        <v>1</v>
      </c>
      <c r="I5" s="2">
        <v>1.2899999999999999E-3</v>
      </c>
      <c r="K5" s="15">
        <f>'G-P Exposure BF Coeff'!B4</f>
        <v>1.4999999999999999E-2</v>
      </c>
      <c r="L5" s="19">
        <f>'G-P Exposure BF Coeff'!C4</f>
        <v>1.004</v>
      </c>
      <c r="M5" s="19">
        <f>'G-P Exposure BF Coeff'!D4</f>
        <v>1.5609999999999999</v>
      </c>
      <c r="N5" s="19">
        <f>'G-P Exposure BF Coeff'!E4</f>
        <v>-0.55400000000000005</v>
      </c>
      <c r="O5" s="21">
        <f>'G-P Exposure BF Coeff'!F4</f>
        <v>5.6</v>
      </c>
      <c r="P5" s="17">
        <f>'G-P Exposure BF Coeff'!G4</f>
        <v>0.35239999999999999</v>
      </c>
      <c r="Q5" s="24">
        <f>'G-P Exposure BF Coeff'!H4</f>
        <v>4.0000000000000001E-3</v>
      </c>
      <c r="R5" s="15">
        <f>'G-P Exposure BF Coeff'!I4</f>
        <v>1</v>
      </c>
      <c r="S5" s="24">
        <f>'G-P Exposure BF Coeff'!J4</f>
        <v>1.2899999999999999E-3</v>
      </c>
      <c r="T5" s="15"/>
      <c r="U5" s="13">
        <f>(K5-A5)/K5</f>
        <v>0</v>
      </c>
      <c r="V5" s="13">
        <f t="shared" ref="V5:AC20" si="0">(L5-B5)/L5</f>
        <v>0</v>
      </c>
      <c r="W5" s="13">
        <f t="shared" si="0"/>
        <v>0</v>
      </c>
      <c r="X5" s="13">
        <f t="shared" si="0"/>
        <v>0</v>
      </c>
      <c r="Y5" s="13">
        <f t="shared" si="0"/>
        <v>0</v>
      </c>
      <c r="Z5" s="13">
        <f t="shared" si="0"/>
        <v>0</v>
      </c>
      <c r="AA5" s="13">
        <f t="shared" si="0"/>
        <v>0</v>
      </c>
      <c r="AB5" s="13">
        <f t="shared" si="0"/>
        <v>0</v>
      </c>
      <c r="AC5" s="13">
        <f t="shared" si="0"/>
        <v>0</v>
      </c>
      <c r="AD5" s="13"/>
      <c r="AE5" s="13"/>
      <c r="AF5" s="13"/>
    </row>
    <row r="6" spans="1:32">
      <c r="A6">
        <v>0.02</v>
      </c>
      <c r="B6">
        <v>1.012</v>
      </c>
      <c r="C6">
        <v>0.13</v>
      </c>
      <c r="D6">
        <v>0.62</v>
      </c>
      <c r="E6">
        <v>11.39</v>
      </c>
      <c r="F6">
        <v>-0.61619999999999997</v>
      </c>
      <c r="G6" s="2">
        <v>4.3E-3</v>
      </c>
      <c r="H6">
        <v>2</v>
      </c>
      <c r="I6" s="2">
        <v>2.1900000000000001E-3</v>
      </c>
      <c r="K6" s="15">
        <f>'G-P Exposure BF Coeff'!B5</f>
        <v>0.02</v>
      </c>
      <c r="L6" s="19">
        <f>'G-P Exposure BF Coeff'!C5</f>
        <v>1.012</v>
      </c>
      <c r="M6" s="19">
        <f>'G-P Exposure BF Coeff'!D5</f>
        <v>0.13</v>
      </c>
      <c r="N6" s="19">
        <f>'G-P Exposure BF Coeff'!E5</f>
        <v>0.62</v>
      </c>
      <c r="O6" s="21">
        <f>'G-P Exposure BF Coeff'!F5</f>
        <v>11.39</v>
      </c>
      <c r="P6" s="17">
        <f>'G-P Exposure BF Coeff'!G5</f>
        <v>-0.61619999999999997</v>
      </c>
      <c r="Q6" s="24">
        <f>'G-P Exposure BF Coeff'!H5</f>
        <v>4.3E-3</v>
      </c>
      <c r="R6" s="15">
        <f>'G-P Exposure BF Coeff'!I5</f>
        <v>2</v>
      </c>
      <c r="S6" s="24">
        <f>'G-P Exposure BF Coeff'!J5</f>
        <v>2.1900000000000001E-3</v>
      </c>
      <c r="T6" s="15"/>
      <c r="U6" s="13">
        <f t="shared" ref="U6:U27" si="1">(K6-A6)/K6</f>
        <v>0</v>
      </c>
      <c r="V6" s="13">
        <f t="shared" si="0"/>
        <v>0</v>
      </c>
      <c r="W6" s="13">
        <f t="shared" si="0"/>
        <v>0</v>
      </c>
      <c r="X6" s="13">
        <f t="shared" si="0"/>
        <v>0</v>
      </c>
      <c r="Y6" s="13">
        <f t="shared" si="0"/>
        <v>0</v>
      </c>
      <c r="Z6" s="13">
        <f t="shared" si="0"/>
        <v>0</v>
      </c>
      <c r="AA6" s="13">
        <f t="shared" si="0"/>
        <v>0</v>
      </c>
      <c r="AB6" s="13">
        <f t="shared" si="0"/>
        <v>0</v>
      </c>
      <c r="AC6" s="13">
        <f t="shared" si="0"/>
        <v>0</v>
      </c>
      <c r="AD6" s="13"/>
      <c r="AE6" s="13"/>
      <c r="AF6" s="13"/>
    </row>
    <row r="7" spans="1:32">
      <c r="A7">
        <v>0.03</v>
      </c>
      <c r="B7">
        <v>1.028</v>
      </c>
      <c r="C7">
        <v>0.374</v>
      </c>
      <c r="D7">
        <v>0.19</v>
      </c>
      <c r="E7">
        <v>29.34</v>
      </c>
      <c r="F7">
        <v>-0.317</v>
      </c>
      <c r="G7" s="2">
        <v>6.4999999999999997E-3</v>
      </c>
      <c r="H7">
        <v>3</v>
      </c>
      <c r="I7" s="2">
        <v>2.81E-3</v>
      </c>
      <c r="K7" s="15">
        <f>'G-P Exposure BF Coeff'!B6</f>
        <v>0.03</v>
      </c>
      <c r="L7" s="19">
        <f>'G-P Exposure BF Coeff'!C6</f>
        <v>1.028</v>
      </c>
      <c r="M7" s="19">
        <f>'G-P Exposure BF Coeff'!D6</f>
        <v>0.374</v>
      </c>
      <c r="N7" s="19">
        <f>'G-P Exposure BF Coeff'!E6</f>
        <v>0.19</v>
      </c>
      <c r="O7" s="21">
        <f>'G-P Exposure BF Coeff'!F6</f>
        <v>29.34</v>
      </c>
      <c r="P7" s="17">
        <f>'G-P Exposure BF Coeff'!G6</f>
        <v>-0.317</v>
      </c>
      <c r="Q7" s="24">
        <f>'G-P Exposure BF Coeff'!H6</f>
        <v>6.4999999999999997E-3</v>
      </c>
      <c r="R7" s="15">
        <f>'G-P Exposure BF Coeff'!I6</f>
        <v>3</v>
      </c>
      <c r="S7" s="24">
        <f>'G-P Exposure BF Coeff'!J6</f>
        <v>2.81E-3</v>
      </c>
      <c r="T7" s="15"/>
      <c r="U7" s="13">
        <f t="shared" si="1"/>
        <v>0</v>
      </c>
      <c r="V7" s="13">
        <f t="shared" si="0"/>
        <v>0</v>
      </c>
      <c r="W7" s="13">
        <f t="shared" si="0"/>
        <v>0</v>
      </c>
      <c r="X7" s="13">
        <f t="shared" si="0"/>
        <v>0</v>
      </c>
      <c r="Y7" s="13">
        <f t="shared" si="0"/>
        <v>0</v>
      </c>
      <c r="Z7" s="13">
        <f t="shared" si="0"/>
        <v>0</v>
      </c>
      <c r="AA7" s="13">
        <f t="shared" si="0"/>
        <v>0</v>
      </c>
      <c r="AB7" s="13">
        <f t="shared" si="0"/>
        <v>0</v>
      </c>
      <c r="AC7" s="13">
        <f t="shared" si="0"/>
        <v>0</v>
      </c>
      <c r="AD7" s="13"/>
      <c r="AE7" s="13"/>
      <c r="AF7" s="13"/>
    </row>
    <row r="8" spans="1:32">
      <c r="A8">
        <v>0.04</v>
      </c>
      <c r="B8">
        <v>1.0580000000000001</v>
      </c>
      <c r="C8">
        <v>0.33600000000000002</v>
      </c>
      <c r="D8">
        <v>0.248</v>
      </c>
      <c r="E8">
        <v>11.65</v>
      </c>
      <c r="F8">
        <v>-0.1188</v>
      </c>
      <c r="G8" s="2">
        <v>5.0000000000000001E-3</v>
      </c>
      <c r="H8">
        <v>7</v>
      </c>
      <c r="I8" s="2">
        <v>2.3800000000000002E-3</v>
      </c>
      <c r="K8" s="15">
        <f>'G-P Exposure BF Coeff'!B7</f>
        <v>0.04</v>
      </c>
      <c r="L8" s="19">
        <f>'G-P Exposure BF Coeff'!C7</f>
        <v>1.0580000000000001</v>
      </c>
      <c r="M8" s="19">
        <f>'G-P Exposure BF Coeff'!D7</f>
        <v>0.33600000000000002</v>
      </c>
      <c r="N8" s="19">
        <f>'G-P Exposure BF Coeff'!E7</f>
        <v>0.248</v>
      </c>
      <c r="O8" s="21">
        <f>'G-P Exposure BF Coeff'!F7</f>
        <v>11.65</v>
      </c>
      <c r="P8" s="17">
        <f>'G-P Exposure BF Coeff'!G7</f>
        <v>-0.1188</v>
      </c>
      <c r="Q8" s="24">
        <f>'G-P Exposure BF Coeff'!H7</f>
        <v>5.0000000000000001E-3</v>
      </c>
      <c r="R8" s="15">
        <f>'G-P Exposure BF Coeff'!I7</f>
        <v>7</v>
      </c>
      <c r="S8" s="24">
        <f>'G-P Exposure BF Coeff'!J7</f>
        <v>2.3800000000000002E-3</v>
      </c>
      <c r="T8" s="15"/>
      <c r="U8" s="13">
        <f t="shared" si="1"/>
        <v>0</v>
      </c>
      <c r="V8" s="13">
        <f t="shared" si="0"/>
        <v>0</v>
      </c>
      <c r="W8" s="13">
        <f t="shared" si="0"/>
        <v>0</v>
      </c>
      <c r="X8" s="13">
        <f t="shared" si="0"/>
        <v>0</v>
      </c>
      <c r="Y8" s="13">
        <f t="shared" si="0"/>
        <v>0</v>
      </c>
      <c r="Z8" s="13">
        <f t="shared" si="0"/>
        <v>0</v>
      </c>
      <c r="AA8" s="13">
        <f t="shared" si="0"/>
        <v>0</v>
      </c>
      <c r="AB8" s="13">
        <f t="shared" si="0"/>
        <v>0</v>
      </c>
      <c r="AC8" s="13">
        <f t="shared" si="0"/>
        <v>0</v>
      </c>
      <c r="AD8" s="13"/>
      <c r="AE8" s="13"/>
      <c r="AF8" s="13"/>
    </row>
    <row r="9" spans="1:32">
      <c r="A9">
        <v>0.05</v>
      </c>
      <c r="B9">
        <v>1.099</v>
      </c>
      <c r="C9">
        <v>0.36599999999999999</v>
      </c>
      <c r="D9">
        <v>0.23200000000000001</v>
      </c>
      <c r="E9">
        <v>14.01</v>
      </c>
      <c r="F9">
        <v>-0.13539999999999999</v>
      </c>
      <c r="G9" s="2">
        <v>6.4999999999999997E-3</v>
      </c>
      <c r="H9">
        <v>3</v>
      </c>
      <c r="I9" s="2">
        <v>3.4299999999999999E-3</v>
      </c>
      <c r="K9" s="15">
        <f>'G-P Exposure BF Coeff'!B8</f>
        <v>0.05</v>
      </c>
      <c r="L9" s="19">
        <f>'G-P Exposure BF Coeff'!C8</f>
        <v>1.099</v>
      </c>
      <c r="M9" s="19">
        <f>'G-P Exposure BF Coeff'!D8</f>
        <v>0.36599999999999999</v>
      </c>
      <c r="N9" s="19">
        <f>'G-P Exposure BF Coeff'!E8</f>
        <v>0.23200000000000001</v>
      </c>
      <c r="O9" s="21">
        <f>'G-P Exposure BF Coeff'!F8</f>
        <v>14.01</v>
      </c>
      <c r="P9" s="17">
        <f>'G-P Exposure BF Coeff'!G8</f>
        <v>-0.13539999999999999</v>
      </c>
      <c r="Q9" s="24">
        <f>'G-P Exposure BF Coeff'!H8</f>
        <v>6.4999999999999997E-3</v>
      </c>
      <c r="R9" s="15">
        <f>'G-P Exposure BF Coeff'!I8</f>
        <v>3</v>
      </c>
      <c r="S9" s="24">
        <f>'G-P Exposure BF Coeff'!J8</f>
        <v>3.4299999999999999E-3</v>
      </c>
      <c r="T9" s="15"/>
      <c r="U9" s="13">
        <f t="shared" si="1"/>
        <v>0</v>
      </c>
      <c r="V9" s="13">
        <f t="shared" si="0"/>
        <v>0</v>
      </c>
      <c r="W9" s="13">
        <f t="shared" si="0"/>
        <v>0</v>
      </c>
      <c r="X9" s="13">
        <f t="shared" si="0"/>
        <v>0</v>
      </c>
      <c r="Y9" s="13">
        <f t="shared" si="0"/>
        <v>0</v>
      </c>
      <c r="Z9" s="13">
        <f t="shared" si="0"/>
        <v>0</v>
      </c>
      <c r="AA9" s="13">
        <f t="shared" si="0"/>
        <v>0</v>
      </c>
      <c r="AB9" s="13">
        <f t="shared" si="0"/>
        <v>0</v>
      </c>
      <c r="AC9" s="13">
        <f t="shared" si="0"/>
        <v>0</v>
      </c>
      <c r="AD9" s="13"/>
      <c r="AE9" s="13"/>
      <c r="AF9" s="13"/>
    </row>
    <row r="10" spans="1:32">
      <c r="A10">
        <v>0.06</v>
      </c>
      <c r="B10">
        <v>1.1479999999999999</v>
      </c>
      <c r="C10">
        <v>0.40500000000000003</v>
      </c>
      <c r="D10">
        <v>0.20799999999999999</v>
      </c>
      <c r="E10">
        <v>14.17</v>
      </c>
      <c r="F10">
        <v>-0.1142</v>
      </c>
      <c r="G10" s="2">
        <v>1.5299999999999999E-2</v>
      </c>
      <c r="H10">
        <v>0.5</v>
      </c>
      <c r="I10" s="2">
        <v>5.77E-3</v>
      </c>
      <c r="K10" s="15">
        <f>'G-P Exposure BF Coeff'!B9</f>
        <v>0.06</v>
      </c>
      <c r="L10" s="19">
        <f>'G-P Exposure BF Coeff'!C9</f>
        <v>1.1479999999999999</v>
      </c>
      <c r="M10" s="19">
        <f>'G-P Exposure BF Coeff'!D9</f>
        <v>0.40500000000000003</v>
      </c>
      <c r="N10" s="19">
        <f>'G-P Exposure BF Coeff'!E9</f>
        <v>0.20799999999999999</v>
      </c>
      <c r="O10" s="21">
        <f>'G-P Exposure BF Coeff'!F9</f>
        <v>14.17</v>
      </c>
      <c r="P10" s="17">
        <f>'G-P Exposure BF Coeff'!G9</f>
        <v>-0.1142</v>
      </c>
      <c r="Q10" s="24">
        <f>'G-P Exposure BF Coeff'!H9</f>
        <v>1.5299999999999999E-2</v>
      </c>
      <c r="R10" s="15">
        <f>'G-P Exposure BF Coeff'!I9</f>
        <v>0.5</v>
      </c>
      <c r="S10" s="24">
        <f>'G-P Exposure BF Coeff'!J9</f>
        <v>5.77E-3</v>
      </c>
      <c r="T10" s="15"/>
      <c r="U10" s="13">
        <f t="shared" si="1"/>
        <v>0</v>
      </c>
      <c r="V10" s="13">
        <f t="shared" si="0"/>
        <v>0</v>
      </c>
      <c r="W10" s="13">
        <f t="shared" si="0"/>
        <v>0</v>
      </c>
      <c r="X10" s="13">
        <f t="shared" si="0"/>
        <v>0</v>
      </c>
      <c r="Y10" s="13">
        <f t="shared" si="0"/>
        <v>0</v>
      </c>
      <c r="Z10" s="13">
        <f t="shared" si="0"/>
        <v>0</v>
      </c>
      <c r="AA10" s="13">
        <f t="shared" si="0"/>
        <v>0</v>
      </c>
      <c r="AB10" s="13">
        <f t="shared" si="0"/>
        <v>0</v>
      </c>
      <c r="AC10" s="13">
        <f t="shared" si="0"/>
        <v>0</v>
      </c>
      <c r="AD10" s="13"/>
      <c r="AE10" s="13"/>
      <c r="AF10" s="13"/>
    </row>
    <row r="11" spans="1:32">
      <c r="A11">
        <v>0.08</v>
      </c>
      <c r="B11">
        <v>1.2669999999999999</v>
      </c>
      <c r="C11">
        <v>0.47</v>
      </c>
      <c r="D11">
        <v>0.18</v>
      </c>
      <c r="E11">
        <v>14.48</v>
      </c>
      <c r="F11">
        <v>-9.74E-2</v>
      </c>
      <c r="G11" s="2">
        <v>2.3199999999999998E-2</v>
      </c>
      <c r="H11">
        <v>0.5</v>
      </c>
      <c r="I11" s="2">
        <v>8.9200000000000008E-3</v>
      </c>
      <c r="K11" s="15">
        <f>'G-P Exposure BF Coeff'!B10</f>
        <v>0.08</v>
      </c>
      <c r="L11" s="19">
        <f>'G-P Exposure BF Coeff'!C10</f>
        <v>1.2669999999999999</v>
      </c>
      <c r="M11" s="19">
        <f>'G-P Exposure BF Coeff'!D10</f>
        <v>0.47</v>
      </c>
      <c r="N11" s="19">
        <f>'G-P Exposure BF Coeff'!E10</f>
        <v>0.18</v>
      </c>
      <c r="O11" s="21">
        <f>'G-P Exposure BF Coeff'!F10</f>
        <v>14.48</v>
      </c>
      <c r="P11" s="17">
        <f>'G-P Exposure BF Coeff'!G10</f>
        <v>-9.74E-2</v>
      </c>
      <c r="Q11" s="24">
        <f>'G-P Exposure BF Coeff'!H10</f>
        <v>2.3199999999999998E-2</v>
      </c>
      <c r="R11" s="15">
        <f>'G-P Exposure BF Coeff'!I10</f>
        <v>0.5</v>
      </c>
      <c r="S11" s="24">
        <f>'G-P Exposure BF Coeff'!J10</f>
        <v>8.9200000000000008E-3</v>
      </c>
      <c r="T11" s="15"/>
      <c r="U11" s="13">
        <f t="shared" si="1"/>
        <v>0</v>
      </c>
      <c r="V11" s="13">
        <f t="shared" si="0"/>
        <v>0</v>
      </c>
      <c r="W11" s="13">
        <f t="shared" si="0"/>
        <v>0</v>
      </c>
      <c r="X11" s="13">
        <f t="shared" si="0"/>
        <v>0</v>
      </c>
      <c r="Y11" s="13">
        <f t="shared" si="0"/>
        <v>0</v>
      </c>
      <c r="Z11" s="13">
        <f t="shared" si="0"/>
        <v>0</v>
      </c>
      <c r="AA11" s="13">
        <f t="shared" si="0"/>
        <v>0</v>
      </c>
      <c r="AB11" s="13">
        <f t="shared" si="0"/>
        <v>0</v>
      </c>
      <c r="AC11" s="13">
        <f t="shared" si="0"/>
        <v>0</v>
      </c>
      <c r="AD11" s="13"/>
      <c r="AE11" s="13"/>
      <c r="AF11" s="13"/>
    </row>
    <row r="12" spans="1:32">
      <c r="A12">
        <v>0.1</v>
      </c>
      <c r="B12">
        <v>1.389</v>
      </c>
      <c r="C12">
        <v>0.55700000000000005</v>
      </c>
      <c r="D12">
        <v>0.14399999999999999</v>
      </c>
      <c r="E12">
        <v>14.11</v>
      </c>
      <c r="F12">
        <v>-7.9100000000000004E-2</v>
      </c>
      <c r="G12" s="2">
        <v>2.58E-2</v>
      </c>
      <c r="H12">
        <v>0.5</v>
      </c>
      <c r="I12" s="2">
        <v>1.04E-2</v>
      </c>
      <c r="K12" s="15">
        <f>'G-P Exposure BF Coeff'!B11</f>
        <v>0.1</v>
      </c>
      <c r="L12" s="19">
        <f>'G-P Exposure BF Coeff'!C11</f>
        <v>1.389</v>
      </c>
      <c r="M12" s="19">
        <f>'G-P Exposure BF Coeff'!D11</f>
        <v>0.55700000000000005</v>
      </c>
      <c r="N12" s="19">
        <f>'G-P Exposure BF Coeff'!E11</f>
        <v>0.14399999999999999</v>
      </c>
      <c r="O12" s="21">
        <f>'G-P Exposure BF Coeff'!F11</f>
        <v>14.11</v>
      </c>
      <c r="P12" s="17">
        <f>'G-P Exposure BF Coeff'!G11</f>
        <v>-7.9100000000000004E-2</v>
      </c>
      <c r="Q12" s="24">
        <f>'G-P Exposure BF Coeff'!H11</f>
        <v>2.58E-2</v>
      </c>
      <c r="R12" s="15">
        <f>'G-P Exposure BF Coeff'!I11</f>
        <v>0.5</v>
      </c>
      <c r="S12" s="24">
        <f>'G-P Exposure BF Coeff'!J11</f>
        <v>1.04E-2</v>
      </c>
      <c r="T12" s="15"/>
      <c r="U12" s="13">
        <f t="shared" si="1"/>
        <v>0</v>
      </c>
      <c r="V12" s="13">
        <f t="shared" si="0"/>
        <v>0</v>
      </c>
      <c r="W12" s="13">
        <f t="shared" si="0"/>
        <v>0</v>
      </c>
      <c r="X12" s="13">
        <f t="shared" si="0"/>
        <v>0</v>
      </c>
      <c r="Y12" s="13">
        <f t="shared" si="0"/>
        <v>0</v>
      </c>
      <c r="Z12" s="13">
        <f t="shared" si="0"/>
        <v>0</v>
      </c>
      <c r="AA12" s="13">
        <f t="shared" si="0"/>
        <v>0</v>
      </c>
      <c r="AB12" s="13">
        <f t="shared" si="0"/>
        <v>0</v>
      </c>
      <c r="AC12" s="13">
        <f t="shared" si="0"/>
        <v>0</v>
      </c>
      <c r="AD12" s="13"/>
      <c r="AE12" s="13"/>
      <c r="AF12" s="13"/>
    </row>
    <row r="13" spans="1:32">
      <c r="A13">
        <v>0.15</v>
      </c>
      <c r="B13">
        <v>1.66</v>
      </c>
      <c r="C13">
        <v>0.74299999999999999</v>
      </c>
      <c r="D13">
        <v>7.9000000000000001E-2</v>
      </c>
      <c r="E13">
        <v>14.12</v>
      </c>
      <c r="F13">
        <v>-4.7600000000000003E-2</v>
      </c>
      <c r="G13" s="2">
        <v>2.93E-2</v>
      </c>
      <c r="H13">
        <v>0.5</v>
      </c>
      <c r="I13" s="2">
        <v>1.1429999999999999E-2</v>
      </c>
      <c r="K13" s="15">
        <f>'G-P Exposure BF Coeff'!B12</f>
        <v>0.15</v>
      </c>
      <c r="L13" s="19">
        <f>'G-P Exposure BF Coeff'!C12</f>
        <v>1.66</v>
      </c>
      <c r="M13" s="19">
        <f>'G-P Exposure BF Coeff'!D12</f>
        <v>0.74299999999999999</v>
      </c>
      <c r="N13" s="19">
        <f>'G-P Exposure BF Coeff'!E12</f>
        <v>7.9000000000000001E-2</v>
      </c>
      <c r="O13" s="21">
        <f>'G-P Exposure BF Coeff'!F12</f>
        <v>14.12</v>
      </c>
      <c r="P13" s="17">
        <f>'G-P Exposure BF Coeff'!G12</f>
        <v>-4.7600000000000003E-2</v>
      </c>
      <c r="Q13" s="24">
        <f>'G-P Exposure BF Coeff'!H12</f>
        <v>2.93E-2</v>
      </c>
      <c r="R13" s="15">
        <f>'G-P Exposure BF Coeff'!I12</f>
        <v>0.5</v>
      </c>
      <c r="S13" s="24">
        <f>'G-P Exposure BF Coeff'!J12</f>
        <v>1.1429999999999999E-2</v>
      </c>
      <c r="T13" s="15"/>
      <c r="U13" s="13">
        <f t="shared" si="1"/>
        <v>0</v>
      </c>
      <c r="V13" s="13">
        <f t="shared" si="0"/>
        <v>0</v>
      </c>
      <c r="W13" s="13">
        <f t="shared" si="0"/>
        <v>0</v>
      </c>
      <c r="X13" s="13">
        <f t="shared" si="0"/>
        <v>0</v>
      </c>
      <c r="Y13" s="13">
        <f t="shared" si="0"/>
        <v>0</v>
      </c>
      <c r="Z13" s="13">
        <f t="shared" si="0"/>
        <v>0</v>
      </c>
      <c r="AA13" s="13">
        <f t="shared" si="0"/>
        <v>0</v>
      </c>
      <c r="AB13" s="13">
        <f t="shared" si="0"/>
        <v>0</v>
      </c>
      <c r="AC13" s="13">
        <f t="shared" si="0"/>
        <v>0</v>
      </c>
      <c r="AD13" s="13"/>
      <c r="AE13" s="13"/>
      <c r="AF13" s="13"/>
    </row>
    <row r="14" spans="1:32">
      <c r="A14">
        <v>0.2</v>
      </c>
      <c r="B14">
        <v>1.839</v>
      </c>
      <c r="C14">
        <v>0.91100000000000003</v>
      </c>
      <c r="D14">
        <v>3.4000000000000002E-2</v>
      </c>
      <c r="E14">
        <v>13.23</v>
      </c>
      <c r="F14">
        <v>-3.3399999999999999E-2</v>
      </c>
      <c r="G14" s="2">
        <v>2.5999999999999999E-2</v>
      </c>
      <c r="H14">
        <v>0.5</v>
      </c>
      <c r="I14" s="2">
        <v>1.1690000000000001E-2</v>
      </c>
      <c r="K14" s="15">
        <f>'G-P Exposure BF Coeff'!B13</f>
        <v>0.2</v>
      </c>
      <c r="L14" s="19">
        <f>'G-P Exposure BF Coeff'!C13</f>
        <v>1.839</v>
      </c>
      <c r="M14" s="19">
        <f>'G-P Exposure BF Coeff'!D13</f>
        <v>0.91100000000000003</v>
      </c>
      <c r="N14" s="19">
        <f>'G-P Exposure BF Coeff'!E13</f>
        <v>3.4000000000000002E-2</v>
      </c>
      <c r="O14" s="21">
        <f>'G-P Exposure BF Coeff'!F13</f>
        <v>13.23</v>
      </c>
      <c r="P14" s="17">
        <f>'G-P Exposure BF Coeff'!G13</f>
        <v>-3.3399999999999999E-2</v>
      </c>
      <c r="Q14" s="24">
        <f>'G-P Exposure BF Coeff'!H13</f>
        <v>2.5999999999999999E-2</v>
      </c>
      <c r="R14" s="15">
        <f>'G-P Exposure BF Coeff'!I13</f>
        <v>0.5</v>
      </c>
      <c r="S14" s="24">
        <f>'G-P Exposure BF Coeff'!J13</f>
        <v>1.1690000000000001E-2</v>
      </c>
      <c r="T14" s="15"/>
      <c r="U14" s="13">
        <f t="shared" si="1"/>
        <v>0</v>
      </c>
      <c r="V14" s="13">
        <f t="shared" si="0"/>
        <v>0</v>
      </c>
      <c r="W14" s="13">
        <f t="shared" si="0"/>
        <v>0</v>
      </c>
      <c r="X14" s="13">
        <f t="shared" si="0"/>
        <v>0</v>
      </c>
      <c r="Y14" s="13">
        <f t="shared" si="0"/>
        <v>0</v>
      </c>
      <c r="Z14" s="13">
        <f t="shared" si="0"/>
        <v>0</v>
      </c>
      <c r="AA14" s="13">
        <f t="shared" si="0"/>
        <v>0</v>
      </c>
      <c r="AB14" s="13">
        <f t="shared" si="0"/>
        <v>0</v>
      </c>
      <c r="AC14" s="13">
        <f t="shared" si="0"/>
        <v>0</v>
      </c>
      <c r="AD14" s="13"/>
      <c r="AE14" s="13"/>
      <c r="AF14" s="13"/>
    </row>
    <row r="15" spans="1:32">
      <c r="A15">
        <v>0.3</v>
      </c>
      <c r="B15">
        <v>1.9730000000000001</v>
      </c>
      <c r="C15">
        <v>1.095</v>
      </c>
      <c r="D15">
        <v>-8.9999999999999993E-3</v>
      </c>
      <c r="E15">
        <v>11.86</v>
      </c>
      <c r="F15">
        <v>-1.83E-2</v>
      </c>
      <c r="G15" s="2">
        <v>2.3400000000000001E-2</v>
      </c>
      <c r="H15">
        <v>0.5</v>
      </c>
      <c r="I15" s="2">
        <v>9.5499999999999995E-3</v>
      </c>
      <c r="K15" s="15">
        <f>'G-P Exposure BF Coeff'!B14</f>
        <v>0.3</v>
      </c>
      <c r="L15" s="19">
        <f>'G-P Exposure BF Coeff'!C14</f>
        <v>1.9730000000000001</v>
      </c>
      <c r="M15" s="19">
        <f>'G-P Exposure BF Coeff'!D14</f>
        <v>1.095</v>
      </c>
      <c r="N15" s="19">
        <f>'G-P Exposure BF Coeff'!E14</f>
        <v>-8.9999999999999993E-3</v>
      </c>
      <c r="O15" s="21">
        <f>'G-P Exposure BF Coeff'!F14</f>
        <v>11.86</v>
      </c>
      <c r="P15" s="17">
        <f>'G-P Exposure BF Coeff'!G14</f>
        <v>-1.83E-2</v>
      </c>
      <c r="Q15" s="24">
        <f>'G-P Exposure BF Coeff'!H14</f>
        <v>2.3400000000000001E-2</v>
      </c>
      <c r="R15" s="15">
        <f>'G-P Exposure BF Coeff'!I14</f>
        <v>0.5</v>
      </c>
      <c r="S15" s="24">
        <f>'G-P Exposure BF Coeff'!J14</f>
        <v>9.5499999999999995E-3</v>
      </c>
      <c r="T15" s="15"/>
      <c r="U15" s="13">
        <f t="shared" si="1"/>
        <v>0</v>
      </c>
      <c r="V15" s="13">
        <f t="shared" si="0"/>
        <v>0</v>
      </c>
      <c r="W15" s="13">
        <f t="shared" si="0"/>
        <v>0</v>
      </c>
      <c r="X15" s="13">
        <f t="shared" si="0"/>
        <v>0</v>
      </c>
      <c r="Y15" s="13">
        <f t="shared" si="0"/>
        <v>0</v>
      </c>
      <c r="Z15" s="13">
        <f t="shared" si="0"/>
        <v>0</v>
      </c>
      <c r="AA15" s="13">
        <f t="shared" si="0"/>
        <v>0</v>
      </c>
      <c r="AB15" s="13">
        <f t="shared" si="0"/>
        <v>0</v>
      </c>
      <c r="AC15" s="13">
        <f t="shared" si="0"/>
        <v>0</v>
      </c>
      <c r="AD15" s="13"/>
      <c r="AE15" s="13"/>
      <c r="AF15" s="13"/>
    </row>
    <row r="16" spans="1:32">
      <c r="A16">
        <v>0.4</v>
      </c>
      <c r="B16">
        <v>1.992</v>
      </c>
      <c r="C16">
        <v>1.1870000000000001</v>
      </c>
      <c r="D16">
        <v>-2.7E-2</v>
      </c>
      <c r="E16">
        <v>10.72</v>
      </c>
      <c r="F16">
        <v>-1.4E-2</v>
      </c>
      <c r="G16" s="2">
        <v>1.84E-2</v>
      </c>
      <c r="H16">
        <v>0.5</v>
      </c>
      <c r="I16" s="2">
        <v>7.77E-3</v>
      </c>
      <c r="K16" s="15">
        <f>'G-P Exposure BF Coeff'!B15</f>
        <v>0.4</v>
      </c>
      <c r="L16" s="19">
        <f>'G-P Exposure BF Coeff'!C15</f>
        <v>1.992</v>
      </c>
      <c r="M16" s="19">
        <f>'G-P Exposure BF Coeff'!D15</f>
        <v>1.1870000000000001</v>
      </c>
      <c r="N16" s="19">
        <f>'G-P Exposure BF Coeff'!E15</f>
        <v>-2.7E-2</v>
      </c>
      <c r="O16" s="21">
        <f>'G-P Exposure BF Coeff'!F15</f>
        <v>10.72</v>
      </c>
      <c r="P16" s="17">
        <f>'G-P Exposure BF Coeff'!G15</f>
        <v>-1.4E-2</v>
      </c>
      <c r="Q16" s="24">
        <f>'G-P Exposure BF Coeff'!H15</f>
        <v>1.84E-2</v>
      </c>
      <c r="R16" s="15">
        <f>'G-P Exposure BF Coeff'!I15</f>
        <v>0.5</v>
      </c>
      <c r="S16" s="24">
        <f>'G-P Exposure BF Coeff'!J15</f>
        <v>7.77E-3</v>
      </c>
      <c r="T16" s="15"/>
      <c r="U16" s="13">
        <f t="shared" si="1"/>
        <v>0</v>
      </c>
      <c r="V16" s="13">
        <f t="shared" si="0"/>
        <v>0</v>
      </c>
      <c r="W16" s="13">
        <f t="shared" si="0"/>
        <v>0</v>
      </c>
      <c r="X16" s="13">
        <f t="shared" si="0"/>
        <v>0</v>
      </c>
      <c r="Y16" s="13">
        <f t="shared" si="0"/>
        <v>0</v>
      </c>
      <c r="Z16" s="13">
        <f t="shared" si="0"/>
        <v>0</v>
      </c>
      <c r="AA16" s="13">
        <f t="shared" si="0"/>
        <v>0</v>
      </c>
      <c r="AB16" s="13">
        <f t="shared" si="0"/>
        <v>0</v>
      </c>
      <c r="AC16" s="13">
        <f t="shared" si="0"/>
        <v>0</v>
      </c>
      <c r="AD16" s="13"/>
      <c r="AE16" s="13"/>
      <c r="AF16" s="13"/>
    </row>
    <row r="17" spans="1:32">
      <c r="A17">
        <v>0.5</v>
      </c>
      <c r="B17">
        <v>1.9570000000000001</v>
      </c>
      <c r="C17">
        <v>1.2609999999999999</v>
      </c>
      <c r="D17">
        <v>-4.5999999999999999E-2</v>
      </c>
      <c r="E17">
        <v>24.77</v>
      </c>
      <c r="F17">
        <v>8.3999999999999995E-3</v>
      </c>
      <c r="G17" s="2">
        <v>2.23E-2</v>
      </c>
      <c r="H17">
        <v>0.5</v>
      </c>
      <c r="I17" s="2">
        <v>8.3700000000000007E-3</v>
      </c>
      <c r="K17" s="15">
        <f>'G-P Exposure BF Coeff'!B16</f>
        <v>0.5</v>
      </c>
      <c r="L17" s="20">
        <f>'G-P Exposure BF Coeff'!C16</f>
        <v>1.9670000000000001</v>
      </c>
      <c r="M17" s="20">
        <f>'G-P Exposure BF Coeff'!D16</f>
        <v>1.24</v>
      </c>
      <c r="N17" s="20">
        <f>'G-P Exposure BF Coeff'!E16</f>
        <v>-3.9E-2</v>
      </c>
      <c r="O17" s="22">
        <f>'G-P Exposure BF Coeff'!F16</f>
        <v>8.34</v>
      </c>
      <c r="P17" s="18">
        <f>'G-P Exposure BF Coeff'!G16</f>
        <v>-7.4000000000000003E-3</v>
      </c>
      <c r="Q17" s="24">
        <f>'G-P Exposure BF Coeff'!H16</f>
        <v>1.7399999999999999E-2</v>
      </c>
      <c r="R17" s="15">
        <f>'G-P Exposure BF Coeff'!I16</f>
        <v>0.5</v>
      </c>
      <c r="S17" s="24">
        <f>'G-P Exposure BF Coeff'!J16</f>
        <v>6.6E-3</v>
      </c>
      <c r="T17" s="15"/>
      <c r="U17" s="13">
        <f t="shared" si="1"/>
        <v>0</v>
      </c>
      <c r="V17" s="13">
        <f t="shared" si="0"/>
        <v>5.0838840874428103E-3</v>
      </c>
      <c r="W17" s="13">
        <f t="shared" si="0"/>
        <v>-1.6935483870967667E-2</v>
      </c>
      <c r="X17" s="13">
        <f t="shared" si="0"/>
        <v>-0.17948717948717946</v>
      </c>
      <c r="Y17" s="13">
        <f t="shared" si="0"/>
        <v>-1.9700239808153477</v>
      </c>
      <c r="Z17" s="13">
        <f t="shared" si="0"/>
        <v>2.1351351351351351</v>
      </c>
      <c r="AA17" s="13">
        <f t="shared" si="0"/>
        <v>-0.28160919540229895</v>
      </c>
      <c r="AB17" s="13">
        <f t="shared" si="0"/>
        <v>0</v>
      </c>
      <c r="AC17" s="13">
        <f t="shared" si="0"/>
        <v>-0.2681818181818183</v>
      </c>
      <c r="AD17" s="13"/>
      <c r="AE17" s="13"/>
      <c r="AF17" s="13"/>
    </row>
    <row r="18" spans="1:32">
      <c r="A18">
        <v>0.6</v>
      </c>
      <c r="B18">
        <v>1.9319999999999999</v>
      </c>
      <c r="C18">
        <v>1.274</v>
      </c>
      <c r="D18">
        <v>-4.9000000000000002E-2</v>
      </c>
      <c r="E18">
        <v>22.82</v>
      </c>
      <c r="F18">
        <v>9.7000000000000003E-3</v>
      </c>
      <c r="G18" s="2">
        <v>1.7899999999999999E-2</v>
      </c>
      <c r="H18">
        <v>0.5</v>
      </c>
      <c r="I18" s="2">
        <v>6.7400000000000003E-3</v>
      </c>
      <c r="K18" s="15">
        <f>'G-P Exposure BF Coeff'!B17</f>
        <v>0.6</v>
      </c>
      <c r="L18" s="20">
        <f>'G-P Exposure BF Coeff'!C17</f>
        <v>1.9470000000000001</v>
      </c>
      <c r="M18" s="20">
        <f>'G-P Exposure BF Coeff'!D17</f>
        <v>1.2470000000000001</v>
      </c>
      <c r="N18" s="20">
        <f>'G-P Exposure BF Coeff'!E17</f>
        <v>-0.04</v>
      </c>
      <c r="O18" s="22">
        <f>'G-P Exposure BF Coeff'!F17</f>
        <v>8.1999999999999993</v>
      </c>
      <c r="P18" s="18">
        <f>'G-P Exposure BF Coeff'!G17</f>
        <v>-9.5999999999999992E-3</v>
      </c>
      <c r="Q18" s="24">
        <f>'G-P Exposure BF Coeff'!H17</f>
        <v>1.09E-2</v>
      </c>
      <c r="R18" s="15">
        <f>'G-P Exposure BF Coeff'!I17</f>
        <v>0.5</v>
      </c>
      <c r="S18" s="24">
        <f>'G-P Exposure BF Coeff'!J17</f>
        <v>5.1200000000000004E-3</v>
      </c>
      <c r="T18" s="15"/>
      <c r="U18" s="13">
        <f t="shared" si="1"/>
        <v>0</v>
      </c>
      <c r="V18" s="13">
        <f t="shared" si="0"/>
        <v>7.7041602465331913E-3</v>
      </c>
      <c r="W18" s="13">
        <f t="shared" si="0"/>
        <v>-2.1651964715316687E-2</v>
      </c>
      <c r="X18" s="13">
        <f t="shared" si="0"/>
        <v>-0.22500000000000003</v>
      </c>
      <c r="Y18" s="13">
        <f t="shared" si="0"/>
        <v>-1.7829268292682929</v>
      </c>
      <c r="Z18" s="13">
        <f t="shared" si="0"/>
        <v>2.0104166666666665</v>
      </c>
      <c r="AA18" s="13">
        <f t="shared" si="0"/>
        <v>-0.64220183486238525</v>
      </c>
      <c r="AB18" s="13">
        <f t="shared" si="0"/>
        <v>0</v>
      </c>
      <c r="AC18" s="13">
        <f t="shared" si="0"/>
        <v>-0.31640624999999994</v>
      </c>
      <c r="AD18" s="13"/>
      <c r="AE18" s="13"/>
      <c r="AF18" s="13"/>
    </row>
    <row r="19" spans="1:32">
      <c r="A19">
        <v>0.8</v>
      </c>
      <c r="B19">
        <v>1.8839999999999999</v>
      </c>
      <c r="C19">
        <v>1.27</v>
      </c>
      <c r="D19">
        <v>-0.05</v>
      </c>
      <c r="E19">
        <v>20.3</v>
      </c>
      <c r="F19">
        <v>1.2E-2</v>
      </c>
      <c r="G19" s="2">
        <v>1.2699999999999999E-2</v>
      </c>
      <c r="H19">
        <v>0.5</v>
      </c>
      <c r="I19" s="2">
        <v>5.13E-3</v>
      </c>
      <c r="K19" s="15">
        <f>'G-P Exposure BF Coeff'!B18</f>
        <v>0.8</v>
      </c>
      <c r="L19" s="20">
        <f>'G-P Exposure BF Coeff'!C18</f>
        <v>1.9059999999999999</v>
      </c>
      <c r="M19" s="20">
        <f>'G-P Exposure BF Coeff'!D18</f>
        <v>1.2330000000000001</v>
      </c>
      <c r="N19" s="20">
        <f>'G-P Exposure BF Coeff'!E18</f>
        <v>-3.7999999999999999E-2</v>
      </c>
      <c r="O19" s="22">
        <f>'G-P Exposure BF Coeff'!F18</f>
        <v>7.93</v>
      </c>
      <c r="P19" s="18">
        <f>'G-P Exposure BF Coeff'!G18</f>
        <v>-1.0999999999999999E-2</v>
      </c>
      <c r="Q19" s="24">
        <f>'G-P Exposure BF Coeff'!H18</f>
        <v>1.15E-2</v>
      </c>
      <c r="R19" s="15">
        <f>'G-P Exposure BF Coeff'!I18</f>
        <v>2</v>
      </c>
      <c r="S19" s="24">
        <f>'G-P Exposure BF Coeff'!J18</f>
        <v>5.1599999999999997E-3</v>
      </c>
      <c r="T19" s="15"/>
      <c r="U19" s="13">
        <f t="shared" si="1"/>
        <v>0</v>
      </c>
      <c r="V19" s="13">
        <f t="shared" si="0"/>
        <v>1.1542497376705152E-2</v>
      </c>
      <c r="W19" s="13">
        <f t="shared" si="0"/>
        <v>-3.0008110300081037E-2</v>
      </c>
      <c r="X19" s="13">
        <f t="shared" si="0"/>
        <v>-0.31578947368421062</v>
      </c>
      <c r="Y19" s="13">
        <f t="shared" si="0"/>
        <v>-1.5598991172761667</v>
      </c>
      <c r="Z19" s="13">
        <f t="shared" si="0"/>
        <v>2.0909090909090908</v>
      </c>
      <c r="AA19" s="13">
        <f t="shared" si="0"/>
        <v>-0.1043478260869565</v>
      </c>
      <c r="AB19" s="13">
        <f t="shared" si="0"/>
        <v>0.75</v>
      </c>
      <c r="AC19" s="13">
        <f t="shared" si="0"/>
        <v>5.8139534883720244E-3</v>
      </c>
      <c r="AD19" s="13"/>
      <c r="AE19" s="13"/>
      <c r="AF19" s="13"/>
    </row>
    <row r="20" spans="1:32">
      <c r="A20">
        <v>1</v>
      </c>
      <c r="B20">
        <v>1.841</v>
      </c>
      <c r="C20">
        <v>1.25</v>
      </c>
      <c r="D20">
        <v>-4.8000000000000001E-2</v>
      </c>
      <c r="E20">
        <v>19.489999999999998</v>
      </c>
      <c r="F20">
        <v>1.4E-2</v>
      </c>
      <c r="G20" s="2">
        <v>1.1599999999999999E-2</v>
      </c>
      <c r="H20">
        <v>0.5</v>
      </c>
      <c r="I20" s="2">
        <v>4.0000000000000001E-3</v>
      </c>
      <c r="K20" s="15">
        <f>'G-P Exposure BF Coeff'!B19</f>
        <v>1</v>
      </c>
      <c r="L20" s="19">
        <f>'G-P Exposure BF Coeff'!C19</f>
        <v>1.841</v>
      </c>
      <c r="M20" s="19">
        <f>'G-P Exposure BF Coeff'!D19</f>
        <v>1.25</v>
      </c>
      <c r="N20" s="19">
        <f>'G-P Exposure BF Coeff'!E19</f>
        <v>-4.8000000000000001E-2</v>
      </c>
      <c r="O20" s="21">
        <f>'G-P Exposure BF Coeff'!F19</f>
        <v>19.489999999999998</v>
      </c>
      <c r="P20" s="17">
        <f>'G-P Exposure BF Coeff'!G19</f>
        <v>1.4E-2</v>
      </c>
      <c r="Q20" s="24">
        <f>'G-P Exposure BF Coeff'!H19</f>
        <v>1.1599999999999999E-2</v>
      </c>
      <c r="R20" s="15">
        <f>'G-P Exposure BF Coeff'!I19</f>
        <v>0.5</v>
      </c>
      <c r="S20" s="24">
        <f>'G-P Exposure BF Coeff'!J19</f>
        <v>4.0000000000000001E-3</v>
      </c>
      <c r="T20" s="15"/>
      <c r="U20" s="13">
        <f t="shared" si="1"/>
        <v>0</v>
      </c>
      <c r="V20" s="13">
        <f t="shared" si="0"/>
        <v>0</v>
      </c>
      <c r="W20" s="13">
        <f t="shared" si="0"/>
        <v>0</v>
      </c>
      <c r="X20" s="13">
        <f t="shared" si="0"/>
        <v>0</v>
      </c>
      <c r="Y20" s="13">
        <f t="shared" si="0"/>
        <v>0</v>
      </c>
      <c r="Z20" s="13">
        <f t="shared" si="0"/>
        <v>0</v>
      </c>
      <c r="AA20" s="13">
        <f t="shared" si="0"/>
        <v>0</v>
      </c>
      <c r="AB20" s="13">
        <f t="shared" si="0"/>
        <v>0</v>
      </c>
      <c r="AC20" s="13">
        <f t="shared" si="0"/>
        <v>0</v>
      </c>
      <c r="AD20" s="13"/>
      <c r="AE20" s="13"/>
      <c r="AF20" s="13"/>
    </row>
    <row r="21" spans="1:32">
      <c r="A21">
        <v>1.5</v>
      </c>
      <c r="B21">
        <v>1.75</v>
      </c>
      <c r="C21">
        <v>1.1970000000000001</v>
      </c>
      <c r="D21">
        <v>-0.04</v>
      </c>
      <c r="E21">
        <v>15.9</v>
      </c>
      <c r="F21">
        <v>1.0999999999999999E-2</v>
      </c>
      <c r="G21" s="2">
        <v>1.0500000000000001E-2</v>
      </c>
      <c r="H21">
        <v>0.5</v>
      </c>
      <c r="I21" s="2">
        <v>3.1800000000000001E-3</v>
      </c>
      <c r="K21" s="15">
        <f>'G-P Exposure BF Coeff'!B20</f>
        <v>1.5</v>
      </c>
      <c r="L21" s="19">
        <f>'G-P Exposure BF Coeff'!C20</f>
        <v>1.75</v>
      </c>
      <c r="M21" s="19">
        <f>'G-P Exposure BF Coeff'!D20</f>
        <v>1.1970000000000001</v>
      </c>
      <c r="N21" s="19">
        <f>'G-P Exposure BF Coeff'!E20</f>
        <v>-0.04</v>
      </c>
      <c r="O21" s="21">
        <f>'G-P Exposure BF Coeff'!F20</f>
        <v>15.9</v>
      </c>
      <c r="P21" s="17">
        <f>'G-P Exposure BF Coeff'!G20</f>
        <v>1.0999999999999999E-2</v>
      </c>
      <c r="Q21" s="24">
        <f>'G-P Exposure BF Coeff'!H20</f>
        <v>1.0500000000000001E-2</v>
      </c>
      <c r="R21" s="15">
        <f>'G-P Exposure BF Coeff'!I20</f>
        <v>0.5</v>
      </c>
      <c r="S21" s="24">
        <f>'G-P Exposure BF Coeff'!J20</f>
        <v>3.1800000000000001E-3</v>
      </c>
      <c r="T21" s="15"/>
      <c r="U21" s="13">
        <f t="shared" si="1"/>
        <v>0</v>
      </c>
      <c r="V21" s="13">
        <f t="shared" ref="V21:V29" si="2">(L21-B21)/L21</f>
        <v>0</v>
      </c>
      <c r="W21" s="13">
        <f t="shared" ref="W21:W29" si="3">(M21-C21)/M21</f>
        <v>0</v>
      </c>
      <c r="X21" s="13">
        <f t="shared" ref="X21:X29" si="4">(N21-D21)/N21</f>
        <v>0</v>
      </c>
      <c r="Y21" s="13">
        <f t="shared" ref="Y21:Y29" si="5">(O21-E21)/O21</f>
        <v>0</v>
      </c>
      <c r="Z21" s="13">
        <f t="shared" ref="Z21:Z29" si="6">(P21-F21)/P21</f>
        <v>0</v>
      </c>
      <c r="AA21" s="13">
        <f t="shared" ref="AA21:AA29" si="7">(Q21-G21)/Q21</f>
        <v>0</v>
      </c>
      <c r="AB21" s="13">
        <f t="shared" ref="AB21:AB29" si="8">(R21-H21)/R21</f>
        <v>0</v>
      </c>
      <c r="AC21" s="13">
        <f t="shared" ref="AC21:AC29" si="9">(S21-I21)/S21</f>
        <v>0</v>
      </c>
      <c r="AD21" s="13"/>
      <c r="AE21" s="13"/>
      <c r="AF21" s="13"/>
    </row>
    <row r="22" spans="1:32">
      <c r="A22">
        <v>2</v>
      </c>
      <c r="B22">
        <v>1.7030000000000001</v>
      </c>
      <c r="C22">
        <v>1.143</v>
      </c>
      <c r="D22">
        <v>-2.8000000000000001E-2</v>
      </c>
      <c r="E22">
        <v>20.420000000000002</v>
      </c>
      <c r="F22">
        <v>7.0000000000000001E-3</v>
      </c>
      <c r="G22" s="2">
        <v>8.8000000000000005E-3</v>
      </c>
      <c r="H22">
        <v>0.5</v>
      </c>
      <c r="I22" s="2">
        <v>3.0899999999999999E-3</v>
      </c>
      <c r="K22" s="15">
        <f>'G-P Exposure BF Coeff'!B21</f>
        <v>2</v>
      </c>
      <c r="L22" s="20">
        <f>'G-P Exposure BF Coeff'!C21</f>
        <v>1.712</v>
      </c>
      <c r="M22" s="20">
        <f>'G-P Exposure BF Coeff'!D21</f>
        <v>1.123</v>
      </c>
      <c r="N22" s="20">
        <f>'G-P Exposure BF Coeff'!E21</f>
        <v>-2.1000000000000001E-2</v>
      </c>
      <c r="O22" s="22">
        <f>'G-P Exposure BF Coeff'!F21</f>
        <v>7.97</v>
      </c>
      <c r="P22" s="18">
        <f>'G-P Exposure BF Coeff'!G21</f>
        <v>-5.7000000000000002E-3</v>
      </c>
      <c r="Q22" s="24">
        <f>'G-P Exposure BF Coeff'!H21</f>
        <v>4.1999999999999997E-3</v>
      </c>
      <c r="R22" s="15">
        <f>'G-P Exposure BF Coeff'!I21</f>
        <v>0.5</v>
      </c>
      <c r="S22" s="24">
        <f>'G-P Exposure BF Coeff'!J21</f>
        <v>2.5000000000000001E-3</v>
      </c>
      <c r="T22" s="15"/>
      <c r="U22" s="13">
        <f t="shared" si="1"/>
        <v>0</v>
      </c>
      <c r="V22" s="13">
        <f t="shared" si="2"/>
        <v>5.2570093457943324E-3</v>
      </c>
      <c r="W22" s="13">
        <f t="shared" si="3"/>
        <v>-1.7809439002671432E-2</v>
      </c>
      <c r="X22" s="13">
        <f t="shared" si="4"/>
        <v>-0.33333333333333326</v>
      </c>
      <c r="Y22" s="13">
        <f t="shared" si="5"/>
        <v>-1.5621079046424093</v>
      </c>
      <c r="Z22" s="13">
        <f t="shared" si="6"/>
        <v>2.2280701754385963</v>
      </c>
      <c r="AA22" s="13">
        <f t="shared" si="7"/>
        <v>-1.0952380952380956</v>
      </c>
      <c r="AB22" s="13">
        <f t="shared" si="8"/>
        <v>0</v>
      </c>
      <c r="AC22" s="13">
        <f t="shared" si="9"/>
        <v>-0.23599999999999993</v>
      </c>
      <c r="AD22" s="13"/>
      <c r="AE22" s="13"/>
      <c r="AF22" s="13"/>
    </row>
    <row r="23" spans="1:32">
      <c r="A23">
        <v>3</v>
      </c>
      <c r="B23">
        <v>1.627</v>
      </c>
      <c r="C23">
        <v>1.0589999999999999</v>
      </c>
      <c r="D23">
        <v>-5.0000000000000001E-3</v>
      </c>
      <c r="E23">
        <v>11.99</v>
      </c>
      <c r="F23">
        <v>-1.32E-2</v>
      </c>
      <c r="G23" s="2">
        <v>8.5000000000000006E-3</v>
      </c>
      <c r="H23">
        <v>0.5</v>
      </c>
      <c r="I23" s="2">
        <v>5.0699999999999999E-3</v>
      </c>
      <c r="K23" s="15">
        <f>'G-P Exposure BF Coeff'!B22</f>
        <v>3</v>
      </c>
      <c r="L23" s="19">
        <f>'G-P Exposure BF Coeff'!C22</f>
        <v>1.627</v>
      </c>
      <c r="M23" s="19">
        <f>'G-P Exposure BF Coeff'!D22</f>
        <v>1.0589999999999999</v>
      </c>
      <c r="N23" s="19">
        <f>'G-P Exposure BF Coeff'!E22</f>
        <v>-5.0000000000000001E-3</v>
      </c>
      <c r="O23" s="21">
        <f>'G-P Exposure BF Coeff'!F22</f>
        <v>11.99</v>
      </c>
      <c r="P23" s="17">
        <f>'G-P Exposure BF Coeff'!G22</f>
        <v>-1.32E-2</v>
      </c>
      <c r="Q23" s="24">
        <f>'G-P Exposure BF Coeff'!H22</f>
        <v>8.5000000000000006E-3</v>
      </c>
      <c r="R23" s="15">
        <f>'G-P Exposure BF Coeff'!I22</f>
        <v>0.5</v>
      </c>
      <c r="S23" s="24">
        <f>'G-P Exposure BF Coeff'!J22</f>
        <v>5.0699999999999999E-3</v>
      </c>
      <c r="T23" s="15"/>
      <c r="U23" s="13">
        <f t="shared" si="1"/>
        <v>0</v>
      </c>
      <c r="V23" s="13">
        <f t="shared" si="2"/>
        <v>0</v>
      </c>
      <c r="W23" s="13">
        <f t="shared" si="3"/>
        <v>0</v>
      </c>
      <c r="X23" s="13">
        <f t="shared" si="4"/>
        <v>0</v>
      </c>
      <c r="Y23" s="13">
        <f t="shared" si="5"/>
        <v>0</v>
      </c>
      <c r="Z23" s="13">
        <f t="shared" si="6"/>
        <v>0</v>
      </c>
      <c r="AA23" s="13">
        <f t="shared" si="7"/>
        <v>0</v>
      </c>
      <c r="AB23" s="13">
        <f t="shared" si="8"/>
        <v>0</v>
      </c>
      <c r="AC23" s="13">
        <f t="shared" si="9"/>
        <v>0</v>
      </c>
      <c r="AD23" s="13"/>
      <c r="AE23" s="13"/>
      <c r="AF23" s="13"/>
    </row>
    <row r="24" spans="1:32">
      <c r="A24">
        <v>4</v>
      </c>
      <c r="B24">
        <v>1.5529999999999999</v>
      </c>
      <c r="C24">
        <v>1.026</v>
      </c>
      <c r="D24">
        <v>5.0000000000000001E-3</v>
      </c>
      <c r="E24">
        <v>12.93</v>
      </c>
      <c r="F24">
        <v>-1.9099999999999999E-2</v>
      </c>
      <c r="G24" s="2">
        <v>1.9300000000000001E-2</v>
      </c>
      <c r="H24">
        <v>0.5</v>
      </c>
      <c r="I24" s="2">
        <v>7.9100000000000004E-3</v>
      </c>
      <c r="K24" s="15">
        <f>'G-P Exposure BF Coeff'!B23</f>
        <v>4</v>
      </c>
      <c r="L24" s="19">
        <f>'G-P Exposure BF Coeff'!C23</f>
        <v>1.5529999999999999</v>
      </c>
      <c r="M24" s="19">
        <f>'G-P Exposure BF Coeff'!D23</f>
        <v>1.026</v>
      </c>
      <c r="N24" s="19">
        <f>'G-P Exposure BF Coeff'!E23</f>
        <v>5.0000000000000001E-3</v>
      </c>
      <c r="O24" s="21">
        <f>'G-P Exposure BF Coeff'!F23</f>
        <v>12.93</v>
      </c>
      <c r="P24" s="17">
        <f>'G-P Exposure BF Coeff'!G23</f>
        <v>-1.9099999999999999E-2</v>
      </c>
      <c r="Q24" s="24">
        <f>'G-P Exposure BF Coeff'!H23</f>
        <v>1.9300000000000001E-2</v>
      </c>
      <c r="R24" s="15">
        <f>'G-P Exposure BF Coeff'!I23</f>
        <v>0.5</v>
      </c>
      <c r="S24" s="24">
        <f>'G-P Exposure BF Coeff'!J23</f>
        <v>7.9100000000000004E-3</v>
      </c>
      <c r="T24" s="15"/>
      <c r="U24" s="13">
        <f t="shared" si="1"/>
        <v>0</v>
      </c>
      <c r="V24" s="13">
        <f t="shared" si="2"/>
        <v>0</v>
      </c>
      <c r="W24" s="13">
        <f t="shared" si="3"/>
        <v>0</v>
      </c>
      <c r="X24" s="13">
        <f t="shared" si="4"/>
        <v>0</v>
      </c>
      <c r="Y24" s="13">
        <f t="shared" si="5"/>
        <v>0</v>
      </c>
      <c r="Z24" s="13">
        <f t="shared" si="6"/>
        <v>0</v>
      </c>
      <c r="AA24" s="13">
        <f t="shared" si="7"/>
        <v>0</v>
      </c>
      <c r="AB24" s="13">
        <f t="shared" si="8"/>
        <v>0</v>
      </c>
      <c r="AC24" s="13">
        <f t="shared" si="9"/>
        <v>0</v>
      </c>
      <c r="AD24" s="13"/>
      <c r="AE24" s="13"/>
      <c r="AF24" s="13"/>
    </row>
    <row r="25" spans="1:32">
      <c r="A25">
        <v>5</v>
      </c>
      <c r="B25">
        <v>1.4830000000000001</v>
      </c>
      <c r="C25">
        <v>1.0089999999999999</v>
      </c>
      <c r="D25">
        <v>1.2E-2</v>
      </c>
      <c r="E25">
        <v>13.12</v>
      </c>
      <c r="F25">
        <v>-2.58E-2</v>
      </c>
      <c r="G25" s="2">
        <v>2.24E-2</v>
      </c>
      <c r="H25">
        <v>0.5</v>
      </c>
      <c r="I25" s="2">
        <v>9.3900000000000008E-3</v>
      </c>
      <c r="K25" s="15">
        <f>'G-P Exposure BF Coeff'!B24</f>
        <v>5</v>
      </c>
      <c r="L25" s="19">
        <f>'G-P Exposure BF Coeff'!C24</f>
        <v>1.4830000000000001</v>
      </c>
      <c r="M25" s="19">
        <f>'G-P Exposure BF Coeff'!D24</f>
        <v>1.0089999999999999</v>
      </c>
      <c r="N25" s="19">
        <f>'G-P Exposure BF Coeff'!E24</f>
        <v>1.2E-2</v>
      </c>
      <c r="O25" s="21">
        <f>'G-P Exposure BF Coeff'!F24</f>
        <v>13.12</v>
      </c>
      <c r="P25" s="17">
        <f>'G-P Exposure BF Coeff'!G24</f>
        <v>-2.58E-2</v>
      </c>
      <c r="Q25" s="24">
        <f>'G-P Exposure BF Coeff'!H24</f>
        <v>2.24E-2</v>
      </c>
      <c r="R25" s="15">
        <f>'G-P Exposure BF Coeff'!I24</f>
        <v>0.5</v>
      </c>
      <c r="S25" s="24">
        <f>'G-P Exposure BF Coeff'!J24</f>
        <v>9.3900000000000008E-3</v>
      </c>
      <c r="T25" s="15"/>
      <c r="U25" s="13">
        <f t="shared" si="1"/>
        <v>0</v>
      </c>
      <c r="V25" s="13">
        <f t="shared" si="2"/>
        <v>0</v>
      </c>
      <c r="W25" s="13">
        <f t="shared" si="3"/>
        <v>0</v>
      </c>
      <c r="X25" s="13">
        <f t="shared" si="4"/>
        <v>0</v>
      </c>
      <c r="Y25" s="13">
        <f t="shared" si="5"/>
        <v>0</v>
      </c>
      <c r="Z25" s="13">
        <f t="shared" si="6"/>
        <v>0</v>
      </c>
      <c r="AA25" s="13">
        <f t="shared" si="7"/>
        <v>0</v>
      </c>
      <c r="AB25" s="13">
        <f t="shared" si="8"/>
        <v>0</v>
      </c>
      <c r="AC25" s="13">
        <f t="shared" si="9"/>
        <v>0</v>
      </c>
      <c r="AD25" s="13"/>
      <c r="AE25" s="13"/>
      <c r="AF25" s="13"/>
    </row>
    <row r="26" spans="1:32">
      <c r="A26">
        <v>6</v>
      </c>
      <c r="B26">
        <v>1.4419999999999999</v>
      </c>
      <c r="C26">
        <v>0.98</v>
      </c>
      <c r="D26">
        <v>2.3E-2</v>
      </c>
      <c r="E26">
        <v>13.37</v>
      </c>
      <c r="F26">
        <v>-3.5499999999999997E-2</v>
      </c>
      <c r="G26" s="2">
        <v>2.1600000000000001E-2</v>
      </c>
      <c r="H26">
        <v>0.5</v>
      </c>
      <c r="I26" s="2">
        <v>1.12E-2</v>
      </c>
      <c r="K26" s="15">
        <f>'G-P Exposure BF Coeff'!B25</f>
        <v>6</v>
      </c>
      <c r="L26" s="19">
        <f>'G-P Exposure BF Coeff'!C25</f>
        <v>1.4419999999999999</v>
      </c>
      <c r="M26" s="19">
        <f>'G-P Exposure BF Coeff'!D25</f>
        <v>0.98</v>
      </c>
      <c r="N26" s="19">
        <f>'G-P Exposure BF Coeff'!E25</f>
        <v>2.3E-2</v>
      </c>
      <c r="O26" s="21">
        <f>'G-P Exposure BF Coeff'!F25</f>
        <v>13.37</v>
      </c>
      <c r="P26" s="17">
        <f>'G-P Exposure BF Coeff'!G25</f>
        <v>-3.5499999999999997E-2</v>
      </c>
      <c r="Q26" s="24">
        <f>'G-P Exposure BF Coeff'!H25</f>
        <v>2.1600000000000001E-2</v>
      </c>
      <c r="R26" s="15">
        <f>'G-P Exposure BF Coeff'!I25</f>
        <v>0.5</v>
      </c>
      <c r="S26" s="24">
        <f>'G-P Exposure BF Coeff'!J25</f>
        <v>1.12E-2</v>
      </c>
      <c r="T26" s="15"/>
      <c r="U26" s="13">
        <f t="shared" si="1"/>
        <v>0</v>
      </c>
      <c r="V26" s="13">
        <f t="shared" si="2"/>
        <v>0</v>
      </c>
      <c r="W26" s="13">
        <f t="shared" si="3"/>
        <v>0</v>
      </c>
      <c r="X26" s="13">
        <f t="shared" si="4"/>
        <v>0</v>
      </c>
      <c r="Y26" s="13">
        <f t="shared" si="5"/>
        <v>0</v>
      </c>
      <c r="Z26" s="13">
        <f t="shared" si="6"/>
        <v>0</v>
      </c>
      <c r="AA26" s="13">
        <f t="shared" si="7"/>
        <v>0</v>
      </c>
      <c r="AB26" s="13">
        <f t="shared" si="8"/>
        <v>0</v>
      </c>
      <c r="AC26" s="13">
        <f t="shared" si="9"/>
        <v>0</v>
      </c>
      <c r="AD26" s="13"/>
      <c r="AE26" s="13"/>
      <c r="AF26" s="13"/>
    </row>
    <row r="27" spans="1:32">
      <c r="A27">
        <v>8</v>
      </c>
      <c r="B27">
        <v>1.3540000000000001</v>
      </c>
      <c r="C27">
        <v>0.97399999999999998</v>
      </c>
      <c r="D27">
        <v>2.9000000000000001E-2</v>
      </c>
      <c r="E27">
        <v>13.65</v>
      </c>
      <c r="F27">
        <v>-4.24E-2</v>
      </c>
      <c r="G27" s="2">
        <v>3.3599999999999998E-2</v>
      </c>
      <c r="H27">
        <v>0.5</v>
      </c>
      <c r="I27" s="2">
        <v>1.37E-2</v>
      </c>
      <c r="K27" s="15">
        <f>'G-P Exposure BF Coeff'!B26</f>
        <v>8</v>
      </c>
      <c r="L27" s="15">
        <f>'G-P Exposure BF Coeff'!C26</f>
        <v>1.3540000000000001</v>
      </c>
      <c r="M27" s="15">
        <f>'G-P Exposure BF Coeff'!D26</f>
        <v>0.97399999999999998</v>
      </c>
      <c r="N27" s="15">
        <f>'G-P Exposure BF Coeff'!E26</f>
        <v>2.9000000000000001E-2</v>
      </c>
      <c r="O27" s="21">
        <f>'G-P Exposure BF Coeff'!F26</f>
        <v>13.65</v>
      </c>
      <c r="P27" s="15">
        <f>'G-P Exposure BF Coeff'!G26</f>
        <v>-4.24E-2</v>
      </c>
      <c r="Q27" s="24">
        <f>'G-P Exposure BF Coeff'!H26</f>
        <v>3.3599999999999998E-2</v>
      </c>
      <c r="R27" s="15">
        <f>'G-P Exposure BF Coeff'!I26</f>
        <v>0.5</v>
      </c>
      <c r="S27" s="24">
        <f>'G-P Exposure BF Coeff'!J26</f>
        <v>1.37E-2</v>
      </c>
      <c r="T27" s="15"/>
      <c r="U27" s="13">
        <f t="shared" si="1"/>
        <v>0</v>
      </c>
      <c r="V27" s="13">
        <f t="shared" si="2"/>
        <v>0</v>
      </c>
      <c r="W27" s="13">
        <f t="shared" si="3"/>
        <v>0</v>
      </c>
      <c r="X27" s="13">
        <f t="shared" si="4"/>
        <v>0</v>
      </c>
      <c r="Y27" s="13">
        <f t="shared" si="5"/>
        <v>0</v>
      </c>
      <c r="Z27" s="13">
        <f t="shared" si="6"/>
        <v>0</v>
      </c>
      <c r="AA27" s="13">
        <f t="shared" si="7"/>
        <v>0</v>
      </c>
      <c r="AB27" s="13">
        <f t="shared" si="8"/>
        <v>0</v>
      </c>
      <c r="AC27" s="13">
        <f t="shared" si="9"/>
        <v>0</v>
      </c>
      <c r="AD27" s="13"/>
      <c r="AE27" s="13"/>
      <c r="AF27" s="13"/>
    </row>
    <row r="28" spans="1:32">
      <c r="A28">
        <v>10</v>
      </c>
      <c r="B28">
        <v>1.2969999999999999</v>
      </c>
      <c r="C28">
        <v>0.94899999999999995</v>
      </c>
      <c r="D28">
        <v>4.2000000000000003E-2</v>
      </c>
      <c r="E28">
        <v>13.97</v>
      </c>
      <c r="F28">
        <v>-5.6099999999999997E-2</v>
      </c>
      <c r="G28" s="2">
        <v>3.2300000000000002E-2</v>
      </c>
      <c r="H28">
        <v>0.5</v>
      </c>
      <c r="I28" s="2">
        <v>1.4999999999999999E-2</v>
      </c>
      <c r="K28" s="15">
        <f>'G-P Exposure BF Coeff'!B27</f>
        <v>10</v>
      </c>
      <c r="L28" s="15">
        <f>'G-P Exposure BF Coeff'!C27</f>
        <v>1.2969999999999999</v>
      </c>
      <c r="M28" s="15">
        <f>'G-P Exposure BF Coeff'!D27</f>
        <v>0.94899999999999995</v>
      </c>
      <c r="N28" s="15">
        <f>'G-P Exposure BF Coeff'!E27</f>
        <v>4.2000000000000003E-2</v>
      </c>
      <c r="O28" s="21">
        <f>'G-P Exposure BF Coeff'!F27</f>
        <v>13.97</v>
      </c>
      <c r="P28" s="15">
        <f>'G-P Exposure BF Coeff'!G27</f>
        <v>-5.6099999999999997E-2</v>
      </c>
      <c r="Q28" s="24">
        <f>'G-P Exposure BF Coeff'!H27</f>
        <v>3.2300000000000002E-2</v>
      </c>
      <c r="R28" s="15">
        <f>'G-P Exposure BF Coeff'!I27</f>
        <v>0.5</v>
      </c>
      <c r="S28" s="24">
        <f>'G-P Exposure BF Coeff'!J27</f>
        <v>1.4999999999999999E-2</v>
      </c>
      <c r="T28" s="15"/>
      <c r="U28" s="13">
        <f>(K28-A28)/K28</f>
        <v>0</v>
      </c>
      <c r="V28" s="13">
        <f t="shared" si="2"/>
        <v>0</v>
      </c>
      <c r="W28" s="13">
        <f t="shared" si="3"/>
        <v>0</v>
      </c>
      <c r="X28" s="13">
        <f t="shared" si="4"/>
        <v>0</v>
      </c>
      <c r="Y28" s="13">
        <f t="shared" si="5"/>
        <v>0</v>
      </c>
      <c r="Z28" s="13">
        <f t="shared" si="6"/>
        <v>0</v>
      </c>
      <c r="AA28" s="13">
        <f t="shared" si="7"/>
        <v>0</v>
      </c>
      <c r="AB28" s="13">
        <f t="shared" si="8"/>
        <v>0</v>
      </c>
      <c r="AC28" s="13">
        <f t="shared" si="9"/>
        <v>0</v>
      </c>
      <c r="AD28" s="13"/>
      <c r="AE28" s="13"/>
      <c r="AF28" s="13"/>
    </row>
    <row r="29" spans="1:32">
      <c r="A29">
        <v>15</v>
      </c>
      <c r="B29">
        <v>1.1990000000000001</v>
      </c>
      <c r="C29">
        <v>0.95699999999999996</v>
      </c>
      <c r="D29">
        <v>4.9000000000000002E-2</v>
      </c>
      <c r="E29">
        <v>14.37</v>
      </c>
      <c r="F29">
        <v>-5.9400000000000001E-2</v>
      </c>
      <c r="G29" s="2">
        <v>3.3799999999999997E-2</v>
      </c>
      <c r="H29">
        <v>0.5</v>
      </c>
      <c r="I29" s="2">
        <v>1.553E-2</v>
      </c>
      <c r="K29" s="15">
        <f>'G-P Exposure BF Coeff'!B28</f>
        <v>15</v>
      </c>
      <c r="L29" s="15">
        <f>'G-P Exposure BF Coeff'!C28</f>
        <v>1.1990000000000001</v>
      </c>
      <c r="M29" s="15">
        <f>'G-P Exposure BF Coeff'!D28</f>
        <v>0.95699999999999996</v>
      </c>
      <c r="N29" s="15">
        <f>'G-P Exposure BF Coeff'!E28</f>
        <v>4.9000000000000002E-2</v>
      </c>
      <c r="O29" s="21">
        <f>'G-P Exposure BF Coeff'!F28</f>
        <v>14.37</v>
      </c>
      <c r="P29" s="15">
        <f>'G-P Exposure BF Coeff'!G28</f>
        <v>-5.9400000000000001E-2</v>
      </c>
      <c r="Q29" s="24">
        <f>'G-P Exposure BF Coeff'!H28</f>
        <v>3.3799999999999997E-2</v>
      </c>
      <c r="R29" s="15">
        <f>'G-P Exposure BF Coeff'!I28</f>
        <v>0.5</v>
      </c>
      <c r="S29" s="24">
        <f>'G-P Exposure BF Coeff'!J28</f>
        <v>1.553E-2</v>
      </c>
      <c r="T29" s="15"/>
      <c r="U29" s="13">
        <f t="shared" ref="U29" si="10">(K29-A29)/K29</f>
        <v>0</v>
      </c>
      <c r="V29" s="13">
        <f t="shared" si="2"/>
        <v>0</v>
      </c>
      <c r="W29" s="13">
        <f t="shared" si="3"/>
        <v>0</v>
      </c>
      <c r="X29" s="13">
        <f t="shared" si="4"/>
        <v>0</v>
      </c>
      <c r="Y29" s="13">
        <f t="shared" si="5"/>
        <v>0</v>
      </c>
      <c r="Z29" s="13">
        <f t="shared" si="6"/>
        <v>0</v>
      </c>
      <c r="AA29" s="13">
        <f t="shared" si="7"/>
        <v>0</v>
      </c>
      <c r="AB29" s="13">
        <f t="shared" si="8"/>
        <v>0</v>
      </c>
      <c r="AC29" s="13">
        <f t="shared" si="9"/>
        <v>0</v>
      </c>
      <c r="AD29" s="13"/>
      <c r="AE29" s="13"/>
      <c r="AF29" s="13"/>
    </row>
    <row r="30" spans="1:32">
      <c r="K30" s="15"/>
    </row>
    <row r="31" spans="1:32">
      <c r="A31" t="s">
        <v>104</v>
      </c>
    </row>
    <row r="33" spans="1:29">
      <c r="K33" t="s">
        <v>104</v>
      </c>
    </row>
    <row r="34" spans="1:29">
      <c r="A34" s="15" t="s">
        <v>1</v>
      </c>
      <c r="B34" s="15" t="s">
        <v>11</v>
      </c>
      <c r="C34" s="15" t="s">
        <v>12</v>
      </c>
      <c r="D34" s="15" t="s">
        <v>13</v>
      </c>
      <c r="E34" s="15" t="s">
        <v>16</v>
      </c>
      <c r="F34" s="15" t="s">
        <v>14</v>
      </c>
      <c r="G34" s="15" t="s">
        <v>17</v>
      </c>
      <c r="H34" s="15" t="s">
        <v>18</v>
      </c>
      <c r="I34" s="15" t="s">
        <v>15</v>
      </c>
      <c r="K34" s="15" t="s">
        <v>1</v>
      </c>
      <c r="L34" s="15" t="s">
        <v>11</v>
      </c>
      <c r="M34" s="15" t="s">
        <v>12</v>
      </c>
      <c r="N34" s="15" t="s">
        <v>13</v>
      </c>
      <c r="O34" s="15" t="s">
        <v>16</v>
      </c>
      <c r="P34" s="15" t="s">
        <v>14</v>
      </c>
      <c r="Q34" s="15" t="s">
        <v>17</v>
      </c>
      <c r="R34" s="15" t="s">
        <v>18</v>
      </c>
      <c r="S34" s="15" t="s">
        <v>15</v>
      </c>
      <c r="U34" s="15" t="s">
        <v>1</v>
      </c>
      <c r="V34" s="15" t="s">
        <v>11</v>
      </c>
      <c r="W34" s="15" t="s">
        <v>12</v>
      </c>
      <c r="X34" s="15" t="s">
        <v>13</v>
      </c>
      <c r="Y34" s="15" t="s">
        <v>16</v>
      </c>
      <c r="Z34" s="15" t="s">
        <v>14</v>
      </c>
      <c r="AA34" s="15" t="s">
        <v>17</v>
      </c>
      <c r="AB34" s="15" t="s">
        <v>18</v>
      </c>
      <c r="AC34" s="15" t="s">
        <v>15</v>
      </c>
    </row>
    <row r="35" spans="1:29">
      <c r="A35">
        <v>1.4999999999999999E-2</v>
      </c>
      <c r="B35">
        <v>1.0289999999999999</v>
      </c>
      <c r="C35">
        <v>0.39400000000000002</v>
      </c>
      <c r="D35">
        <v>0.20599999999999999</v>
      </c>
      <c r="E35">
        <v>15.51</v>
      </c>
      <c r="F35">
        <v>-0.13880000000000001</v>
      </c>
      <c r="G35" s="2">
        <v>4.4999999999999997E-3</v>
      </c>
      <c r="H35">
        <v>6</v>
      </c>
      <c r="I35" s="2">
        <v>2.2300000000000002E-3</v>
      </c>
      <c r="K35">
        <f>'G-P Exposure BF Coeff'!B32</f>
        <v>1.4999999999999999E-2</v>
      </c>
      <c r="L35">
        <f>'G-P Exposure BF Coeff'!C32</f>
        <v>1.0289999999999999</v>
      </c>
      <c r="M35">
        <f>'G-P Exposure BF Coeff'!D32</f>
        <v>0.39400000000000002</v>
      </c>
      <c r="N35">
        <f>'G-P Exposure BF Coeff'!E32</f>
        <v>0.20599999999999999</v>
      </c>
      <c r="O35">
        <f>'G-P Exposure BF Coeff'!F32</f>
        <v>15.51</v>
      </c>
      <c r="P35">
        <f>'G-P Exposure BF Coeff'!G32</f>
        <v>-0.13880000000000001</v>
      </c>
      <c r="Q35">
        <f>'G-P Exposure BF Coeff'!H32</f>
        <v>4.4999999999999997E-3</v>
      </c>
      <c r="R35">
        <f>'G-P Exposure BF Coeff'!I32</f>
        <v>6</v>
      </c>
      <c r="S35">
        <f>'G-P Exposure BF Coeff'!J32</f>
        <v>2.2300000000000002E-3</v>
      </c>
      <c r="U35" s="13">
        <f>(K35-A35)/K35</f>
        <v>0</v>
      </c>
      <c r="V35" s="13">
        <f t="shared" ref="V35:V59" si="11">(L35-B35)/L35</f>
        <v>0</v>
      </c>
      <c r="W35" s="13">
        <f t="shared" ref="W35:W59" si="12">(M35-C35)/M35</f>
        <v>0</v>
      </c>
      <c r="X35" s="13">
        <f t="shared" ref="X35:X59" si="13">(N35-D35)/N35</f>
        <v>0</v>
      </c>
      <c r="Y35" s="13">
        <f t="shared" ref="Y35:Y59" si="14">(O35-E35)/O35</f>
        <v>0</v>
      </c>
      <c r="Z35" s="13">
        <f t="shared" ref="Z35:Z59" si="15">(P35-F35)/P35</f>
        <v>0</v>
      </c>
      <c r="AA35" s="13">
        <f t="shared" ref="AA35:AA59" si="16">(Q35-G35)/Q35</f>
        <v>0</v>
      </c>
      <c r="AB35" s="13">
        <f t="shared" ref="AB35:AB59" si="17">(R35-H35)/R35</f>
        <v>0</v>
      </c>
      <c r="AC35" s="13">
        <f t="shared" ref="AC35:AC59" si="18">(S35-I35)/S35</f>
        <v>0</v>
      </c>
    </row>
    <row r="36" spans="1:29">
      <c r="A36">
        <v>0.02</v>
      </c>
      <c r="B36">
        <v>1.0669999999999999</v>
      </c>
      <c r="C36">
        <v>0.38400000000000001</v>
      </c>
      <c r="D36">
        <v>0.22</v>
      </c>
      <c r="E36">
        <v>13.81</v>
      </c>
      <c r="F36">
        <v>-0.12039999999999999</v>
      </c>
      <c r="G36" s="2">
        <v>7.1000000000000004E-3</v>
      </c>
      <c r="H36">
        <v>0.5</v>
      </c>
      <c r="I36" s="2">
        <v>3.1199999999999999E-3</v>
      </c>
      <c r="K36">
        <f>'G-P Exposure BF Coeff'!B33</f>
        <v>0.02</v>
      </c>
      <c r="L36">
        <f>'G-P Exposure BF Coeff'!C33</f>
        <v>1.0669999999999999</v>
      </c>
      <c r="M36">
        <f>'G-P Exposure BF Coeff'!D33</f>
        <v>0.38400000000000001</v>
      </c>
      <c r="N36">
        <f>'G-P Exposure BF Coeff'!E33</f>
        <v>0.22</v>
      </c>
      <c r="O36">
        <f>'G-P Exposure BF Coeff'!F33</f>
        <v>13.81</v>
      </c>
      <c r="P36">
        <f>'G-P Exposure BF Coeff'!G33</f>
        <v>-0.12039999999999999</v>
      </c>
      <c r="Q36">
        <f>'G-P Exposure BF Coeff'!H33</f>
        <v>7.1000000000000004E-3</v>
      </c>
      <c r="R36">
        <f>'G-P Exposure BF Coeff'!I33</f>
        <v>0.5</v>
      </c>
      <c r="S36">
        <f>'G-P Exposure BF Coeff'!J33</f>
        <v>3.1199999999999999E-3</v>
      </c>
      <c r="U36" s="13">
        <f t="shared" ref="U36:U57" si="19">(K36-A36)/K36</f>
        <v>0</v>
      </c>
      <c r="V36" s="13">
        <f t="shared" si="11"/>
        <v>0</v>
      </c>
      <c r="W36" s="13">
        <f t="shared" si="12"/>
        <v>0</v>
      </c>
      <c r="X36" s="13">
        <f t="shared" si="13"/>
        <v>0</v>
      </c>
      <c r="Y36" s="13">
        <f t="shared" si="14"/>
        <v>0</v>
      </c>
      <c r="Z36" s="13">
        <f t="shared" si="15"/>
        <v>0</v>
      </c>
      <c r="AA36" s="13">
        <f t="shared" si="16"/>
        <v>0</v>
      </c>
      <c r="AB36" s="13">
        <f t="shared" si="17"/>
        <v>0</v>
      </c>
      <c r="AC36" s="13">
        <f t="shared" si="18"/>
        <v>0</v>
      </c>
    </row>
    <row r="37" spans="1:29">
      <c r="A37">
        <v>0.03</v>
      </c>
      <c r="B37">
        <v>1.2230000000000001</v>
      </c>
      <c r="C37">
        <v>0.42199999999999999</v>
      </c>
      <c r="D37">
        <v>0.19800000000000001</v>
      </c>
      <c r="E37">
        <v>15.1</v>
      </c>
      <c r="F37">
        <v>-0.1042</v>
      </c>
      <c r="G37" s="2">
        <v>1.83E-2</v>
      </c>
      <c r="H37">
        <v>0.5</v>
      </c>
      <c r="I37" s="2">
        <v>6.3499999999999997E-3</v>
      </c>
      <c r="K37">
        <f>'G-P Exposure BF Coeff'!B34</f>
        <v>0.03</v>
      </c>
      <c r="L37">
        <f>'G-P Exposure BF Coeff'!C34</f>
        <v>1.2230000000000001</v>
      </c>
      <c r="M37">
        <f>'G-P Exposure BF Coeff'!D34</f>
        <v>0.42199999999999999</v>
      </c>
      <c r="N37">
        <f>'G-P Exposure BF Coeff'!E34</f>
        <v>0.19800000000000001</v>
      </c>
      <c r="O37">
        <f>'G-P Exposure BF Coeff'!F34</f>
        <v>15.1</v>
      </c>
      <c r="P37">
        <f>'G-P Exposure BF Coeff'!G34</f>
        <v>-0.1042</v>
      </c>
      <c r="Q37">
        <f>'G-P Exposure BF Coeff'!H34</f>
        <v>1.83E-2</v>
      </c>
      <c r="R37">
        <f>'G-P Exposure BF Coeff'!I34</f>
        <v>0.5</v>
      </c>
      <c r="S37">
        <f>'G-P Exposure BF Coeff'!J34</f>
        <v>6.3499999999999997E-3</v>
      </c>
      <c r="U37" s="13">
        <f t="shared" si="19"/>
        <v>0</v>
      </c>
      <c r="V37" s="13">
        <f t="shared" si="11"/>
        <v>0</v>
      </c>
      <c r="W37" s="13">
        <f t="shared" si="12"/>
        <v>0</v>
      </c>
      <c r="X37" s="13">
        <f t="shared" si="13"/>
        <v>0</v>
      </c>
      <c r="Y37" s="13">
        <f t="shared" si="14"/>
        <v>0</v>
      </c>
      <c r="Z37" s="13">
        <f t="shared" si="15"/>
        <v>0</v>
      </c>
      <c r="AA37" s="13">
        <f t="shared" si="16"/>
        <v>0</v>
      </c>
      <c r="AB37" s="13">
        <f t="shared" si="17"/>
        <v>0</v>
      </c>
      <c r="AC37" s="13">
        <f t="shared" si="18"/>
        <v>0</v>
      </c>
    </row>
    <row r="38" spans="1:29">
      <c r="A38">
        <v>0.04</v>
      </c>
      <c r="B38">
        <v>1.48</v>
      </c>
      <c r="C38">
        <v>0.503</v>
      </c>
      <c r="D38">
        <v>0.16600000000000001</v>
      </c>
      <c r="E38">
        <v>14.78</v>
      </c>
      <c r="F38">
        <v>-8.9300000000000004E-2</v>
      </c>
      <c r="G38" s="2">
        <v>1.72E-2</v>
      </c>
      <c r="H38">
        <v>0.5</v>
      </c>
      <c r="I38" s="2">
        <v>6.9699999999999996E-3</v>
      </c>
      <c r="K38">
        <f>'G-P Exposure BF Coeff'!B35</f>
        <v>0.04</v>
      </c>
      <c r="L38">
        <f>'G-P Exposure BF Coeff'!C35</f>
        <v>1.48</v>
      </c>
      <c r="M38">
        <f>'G-P Exposure BF Coeff'!D35</f>
        <v>0.503</v>
      </c>
      <c r="N38">
        <f>'G-P Exposure BF Coeff'!E35</f>
        <v>0.16600000000000001</v>
      </c>
      <c r="O38">
        <f>'G-P Exposure BF Coeff'!F35</f>
        <v>14.78</v>
      </c>
      <c r="P38">
        <f>'G-P Exposure BF Coeff'!G35</f>
        <v>-8.9300000000000004E-2</v>
      </c>
      <c r="Q38">
        <f>'G-P Exposure BF Coeff'!H35</f>
        <v>1.72E-2</v>
      </c>
      <c r="R38">
        <f>'G-P Exposure BF Coeff'!I35</f>
        <v>0.5</v>
      </c>
      <c r="S38">
        <f>'G-P Exposure BF Coeff'!J35</f>
        <v>6.9699999999999996E-3</v>
      </c>
      <c r="U38" s="13">
        <f t="shared" si="19"/>
        <v>0</v>
      </c>
      <c r="V38" s="13">
        <f t="shared" si="11"/>
        <v>0</v>
      </c>
      <c r="W38" s="13">
        <f t="shared" si="12"/>
        <v>0</v>
      </c>
      <c r="X38" s="13">
        <f t="shared" si="13"/>
        <v>0</v>
      </c>
      <c r="Y38" s="13">
        <f t="shared" si="14"/>
        <v>0</v>
      </c>
      <c r="Z38" s="13">
        <f t="shared" si="15"/>
        <v>0</v>
      </c>
      <c r="AA38" s="13">
        <f t="shared" si="16"/>
        <v>0</v>
      </c>
      <c r="AB38" s="13">
        <f t="shared" si="17"/>
        <v>0</v>
      </c>
      <c r="AC38" s="13">
        <f t="shared" si="18"/>
        <v>0</v>
      </c>
    </row>
    <row r="39" spans="1:29">
      <c r="A39">
        <v>0.05</v>
      </c>
      <c r="B39">
        <v>1.7649999999999999</v>
      </c>
      <c r="C39">
        <v>0.66600000000000004</v>
      </c>
      <c r="D39">
        <v>9.9000000000000005E-2</v>
      </c>
      <c r="E39">
        <v>16.34</v>
      </c>
      <c r="F39">
        <v>-4.9299999999999997E-2</v>
      </c>
      <c r="G39" s="2">
        <v>2.1000000000000001E-2</v>
      </c>
      <c r="H39">
        <v>2</v>
      </c>
      <c r="I39" s="2">
        <v>7.2199999999999999E-3</v>
      </c>
      <c r="K39">
        <f>'G-P Exposure BF Coeff'!B36</f>
        <v>0.05</v>
      </c>
      <c r="L39">
        <f>'G-P Exposure BF Coeff'!C36</f>
        <v>1.7649999999999999</v>
      </c>
      <c r="M39">
        <f>'G-P Exposure BF Coeff'!D36</f>
        <v>0.66600000000000004</v>
      </c>
      <c r="N39">
        <f>'G-P Exposure BF Coeff'!E36</f>
        <v>9.9000000000000005E-2</v>
      </c>
      <c r="O39">
        <f>'G-P Exposure BF Coeff'!F36</f>
        <v>16.34</v>
      </c>
      <c r="P39">
        <f>'G-P Exposure BF Coeff'!G36</f>
        <v>-4.9299999999999997E-2</v>
      </c>
      <c r="Q39">
        <f>'G-P Exposure BF Coeff'!H36</f>
        <v>2.1000000000000001E-2</v>
      </c>
      <c r="R39">
        <f>'G-P Exposure BF Coeff'!I36</f>
        <v>2</v>
      </c>
      <c r="S39">
        <f>'G-P Exposure BF Coeff'!J36</f>
        <v>7.2199999999999999E-3</v>
      </c>
      <c r="U39" s="13">
        <f t="shared" si="19"/>
        <v>0</v>
      </c>
      <c r="V39" s="13">
        <f t="shared" si="11"/>
        <v>0</v>
      </c>
      <c r="W39" s="13">
        <f t="shared" si="12"/>
        <v>0</v>
      </c>
      <c r="X39" s="13">
        <f t="shared" si="13"/>
        <v>0</v>
      </c>
      <c r="Y39" s="13">
        <f t="shared" si="14"/>
        <v>0</v>
      </c>
      <c r="Z39" s="13">
        <f t="shared" si="15"/>
        <v>0</v>
      </c>
      <c r="AA39" s="13">
        <f t="shared" si="16"/>
        <v>0</v>
      </c>
      <c r="AB39" s="13">
        <f t="shared" si="17"/>
        <v>0</v>
      </c>
      <c r="AC39" s="13">
        <f t="shared" si="18"/>
        <v>0</v>
      </c>
    </row>
    <row r="40" spans="1:29">
      <c r="A40">
        <v>0.06</v>
      </c>
      <c r="B40">
        <v>2.1890000000000001</v>
      </c>
      <c r="C40">
        <v>0.69699999999999995</v>
      </c>
      <c r="D40">
        <v>0.104</v>
      </c>
      <c r="E40">
        <v>12.9</v>
      </c>
      <c r="F40">
        <v>-5.8000000000000003E-2</v>
      </c>
      <c r="G40" s="2">
        <v>0.03</v>
      </c>
      <c r="H40">
        <v>0.5</v>
      </c>
      <c r="I40" s="2">
        <v>1.3559999999999999E-2</v>
      </c>
      <c r="K40">
        <f>'G-P Exposure BF Coeff'!B37</f>
        <v>0.06</v>
      </c>
      <c r="L40">
        <f>'G-P Exposure BF Coeff'!C37</f>
        <v>2.1890000000000001</v>
      </c>
      <c r="M40">
        <f>'G-P Exposure BF Coeff'!D37</f>
        <v>0.69699999999999995</v>
      </c>
      <c r="N40">
        <f>'G-P Exposure BF Coeff'!E37</f>
        <v>0.104</v>
      </c>
      <c r="O40">
        <f>'G-P Exposure BF Coeff'!F37</f>
        <v>12.9</v>
      </c>
      <c r="P40">
        <f>'G-P Exposure BF Coeff'!G37</f>
        <v>-5.8000000000000003E-2</v>
      </c>
      <c r="Q40">
        <f>'G-P Exposure BF Coeff'!H37</f>
        <v>0.03</v>
      </c>
      <c r="R40">
        <f>'G-P Exposure BF Coeff'!I37</f>
        <v>0.5</v>
      </c>
      <c r="S40">
        <f>'G-P Exposure BF Coeff'!J37</f>
        <v>1.3559999999999999E-2</v>
      </c>
      <c r="U40" s="13">
        <f t="shared" si="19"/>
        <v>0</v>
      </c>
      <c r="V40" s="13">
        <f t="shared" si="11"/>
        <v>0</v>
      </c>
      <c r="W40" s="13">
        <f t="shared" si="12"/>
        <v>0</v>
      </c>
      <c r="X40" s="13">
        <f t="shared" si="13"/>
        <v>0</v>
      </c>
      <c r="Y40" s="13">
        <f t="shared" si="14"/>
        <v>0</v>
      </c>
      <c r="Z40" s="13">
        <f t="shared" si="15"/>
        <v>0</v>
      </c>
      <c r="AA40" s="13">
        <f t="shared" si="16"/>
        <v>0</v>
      </c>
      <c r="AB40" s="13">
        <f t="shared" si="17"/>
        <v>0</v>
      </c>
      <c r="AC40" s="13">
        <f t="shared" si="18"/>
        <v>0</v>
      </c>
    </row>
    <row r="41" spans="1:29">
      <c r="A41">
        <v>0.08</v>
      </c>
      <c r="B41">
        <v>2.64</v>
      </c>
      <c r="C41">
        <v>0.92400000000000004</v>
      </c>
      <c r="D41">
        <v>3.5000000000000003E-2</v>
      </c>
      <c r="E41">
        <v>12.99</v>
      </c>
      <c r="F41">
        <v>-3.5099999999999999E-2</v>
      </c>
      <c r="G41" s="2">
        <v>1.54E-2</v>
      </c>
      <c r="H41">
        <v>0.5</v>
      </c>
      <c r="I41" s="2">
        <v>6.6600000000000001E-3</v>
      </c>
      <c r="K41">
        <f>'G-P Exposure BF Coeff'!B38</f>
        <v>0.08</v>
      </c>
      <c r="L41">
        <f>'G-P Exposure BF Coeff'!C38</f>
        <v>2.64</v>
      </c>
      <c r="M41">
        <f>'G-P Exposure BF Coeff'!D38</f>
        <v>0.92400000000000004</v>
      </c>
      <c r="N41">
        <f>'G-P Exposure BF Coeff'!E38</f>
        <v>3.5000000000000003E-2</v>
      </c>
      <c r="O41">
        <f>'G-P Exposure BF Coeff'!F38</f>
        <v>12.99</v>
      </c>
      <c r="P41">
        <f>'G-P Exposure BF Coeff'!G38</f>
        <v>-3.5099999999999999E-2</v>
      </c>
      <c r="Q41">
        <f>'G-P Exposure BF Coeff'!H38</f>
        <v>1.54E-2</v>
      </c>
      <c r="R41">
        <f>'G-P Exposure BF Coeff'!I38</f>
        <v>0.5</v>
      </c>
      <c r="S41">
        <f>'G-P Exposure BF Coeff'!J38</f>
        <v>6.6600000000000001E-3</v>
      </c>
      <c r="U41" s="13">
        <f t="shared" si="19"/>
        <v>0</v>
      </c>
      <c r="V41" s="13">
        <f t="shared" si="11"/>
        <v>0</v>
      </c>
      <c r="W41" s="13">
        <f t="shared" si="12"/>
        <v>0</v>
      </c>
      <c r="X41" s="13">
        <f t="shared" si="13"/>
        <v>0</v>
      </c>
      <c r="Y41" s="13">
        <f t="shared" si="14"/>
        <v>0</v>
      </c>
      <c r="Z41" s="13">
        <f t="shared" si="15"/>
        <v>0</v>
      </c>
      <c r="AA41" s="13">
        <f t="shared" si="16"/>
        <v>0</v>
      </c>
      <c r="AB41" s="13">
        <f t="shared" si="17"/>
        <v>0</v>
      </c>
      <c r="AC41" s="13">
        <f t="shared" si="18"/>
        <v>0</v>
      </c>
    </row>
    <row r="42" spans="1:29">
      <c r="A42">
        <v>0.1</v>
      </c>
      <c r="B42">
        <v>2.847</v>
      </c>
      <c r="C42">
        <v>1.1100000000000001</v>
      </c>
      <c r="D42">
        <v>-8.9999999999999993E-3</v>
      </c>
      <c r="E42">
        <v>12.98</v>
      </c>
      <c r="F42">
        <v>-1.8700000000000001E-2</v>
      </c>
      <c r="G42" s="2">
        <v>6.3E-3</v>
      </c>
      <c r="H42">
        <v>0.5</v>
      </c>
      <c r="I42" s="2">
        <v>4.13E-3</v>
      </c>
      <c r="K42">
        <f>'G-P Exposure BF Coeff'!B39</f>
        <v>0.1</v>
      </c>
      <c r="L42">
        <f>'G-P Exposure BF Coeff'!C39</f>
        <v>2.847</v>
      </c>
      <c r="M42">
        <f>'G-P Exposure BF Coeff'!D39</f>
        <v>1.1100000000000001</v>
      </c>
      <c r="N42">
        <f>'G-P Exposure BF Coeff'!E39</f>
        <v>-8.9999999999999993E-3</v>
      </c>
      <c r="O42">
        <f>'G-P Exposure BF Coeff'!F39</f>
        <v>12.98</v>
      </c>
      <c r="P42">
        <f>'G-P Exposure BF Coeff'!G39</f>
        <v>-1.8700000000000001E-2</v>
      </c>
      <c r="Q42">
        <f>'G-P Exposure BF Coeff'!H39</f>
        <v>6.3E-3</v>
      </c>
      <c r="R42">
        <f>'G-P Exposure BF Coeff'!I39</f>
        <v>0.5</v>
      </c>
      <c r="S42">
        <f>'G-P Exposure BF Coeff'!J39</f>
        <v>4.13E-3</v>
      </c>
      <c r="U42" s="13">
        <f t="shared" si="19"/>
        <v>0</v>
      </c>
      <c r="V42" s="13">
        <f t="shared" si="11"/>
        <v>0</v>
      </c>
      <c r="W42" s="13">
        <f t="shared" si="12"/>
        <v>0</v>
      </c>
      <c r="X42" s="13">
        <f t="shared" si="13"/>
        <v>0</v>
      </c>
      <c r="Y42" s="13">
        <f t="shared" si="14"/>
        <v>0</v>
      </c>
      <c r="Z42" s="13">
        <f t="shared" si="15"/>
        <v>0</v>
      </c>
      <c r="AA42" s="13">
        <f t="shared" si="16"/>
        <v>0</v>
      </c>
      <c r="AB42" s="13">
        <f t="shared" si="17"/>
        <v>0</v>
      </c>
      <c r="AC42" s="13">
        <f t="shared" si="18"/>
        <v>0</v>
      </c>
    </row>
    <row r="43" spans="1:29">
      <c r="A43">
        <v>0.15</v>
      </c>
      <c r="B43">
        <v>2.8769999999999998</v>
      </c>
      <c r="C43">
        <v>1.357</v>
      </c>
      <c r="D43">
        <v>-5.8000000000000003E-2</v>
      </c>
      <c r="E43">
        <v>21.73</v>
      </c>
      <c r="F43">
        <v>7.1000000000000004E-3</v>
      </c>
      <c r="G43" s="2">
        <v>4.7999999999999996E-3</v>
      </c>
      <c r="H43">
        <v>4</v>
      </c>
      <c r="I43" s="2">
        <v>2.4299999999999999E-3</v>
      </c>
      <c r="K43">
        <f>'G-P Exposure BF Coeff'!B40</f>
        <v>0.15</v>
      </c>
      <c r="L43">
        <f>'G-P Exposure BF Coeff'!C40</f>
        <v>2.8769999999999998</v>
      </c>
      <c r="M43">
        <f>'G-P Exposure BF Coeff'!D40</f>
        <v>1.357</v>
      </c>
      <c r="N43">
        <f>'G-P Exposure BF Coeff'!E40</f>
        <v>-5.8000000000000003E-2</v>
      </c>
      <c r="O43">
        <f>'G-P Exposure BF Coeff'!F40</f>
        <v>21.73</v>
      </c>
      <c r="P43">
        <f>'G-P Exposure BF Coeff'!G40</f>
        <v>7.1000000000000004E-3</v>
      </c>
      <c r="Q43">
        <f>'G-P Exposure BF Coeff'!H40</f>
        <v>4.7999999999999996E-3</v>
      </c>
      <c r="R43">
        <f>'G-P Exposure BF Coeff'!I40</f>
        <v>4</v>
      </c>
      <c r="S43">
        <f>'G-P Exposure BF Coeff'!J40</f>
        <v>2.4299999999999999E-3</v>
      </c>
      <c r="U43" s="13">
        <f t="shared" si="19"/>
        <v>0</v>
      </c>
      <c r="V43" s="13">
        <f t="shared" si="11"/>
        <v>0</v>
      </c>
      <c r="W43" s="13">
        <f t="shared" si="12"/>
        <v>0</v>
      </c>
      <c r="X43" s="13">
        <f t="shared" si="13"/>
        <v>0</v>
      </c>
      <c r="Y43" s="13">
        <f t="shared" si="14"/>
        <v>0</v>
      </c>
      <c r="Z43" s="13">
        <f t="shared" si="15"/>
        <v>0</v>
      </c>
      <c r="AA43" s="13">
        <f t="shared" si="16"/>
        <v>0</v>
      </c>
      <c r="AB43" s="13">
        <f t="shared" si="17"/>
        <v>0</v>
      </c>
      <c r="AC43" s="13">
        <f t="shared" si="18"/>
        <v>0</v>
      </c>
    </row>
    <row r="44" spans="1:29">
      <c r="A44">
        <v>0.2</v>
      </c>
      <c r="B44">
        <v>2.762</v>
      </c>
      <c r="C44">
        <v>1.4550000000000001</v>
      </c>
      <c r="D44">
        <v>-7.3999999999999996E-2</v>
      </c>
      <c r="E44">
        <v>17.02</v>
      </c>
      <c r="F44">
        <v>1.14E-2</v>
      </c>
      <c r="G44" s="2">
        <v>4.4000000000000003E-3</v>
      </c>
      <c r="H44">
        <v>1</v>
      </c>
      <c r="I44" s="2">
        <v>1.9599999999999999E-3</v>
      </c>
      <c r="K44">
        <f>'G-P Exposure BF Coeff'!B41</f>
        <v>0.2</v>
      </c>
      <c r="L44">
        <f>'G-P Exposure BF Coeff'!C41</f>
        <v>2.762</v>
      </c>
      <c r="M44">
        <f>'G-P Exposure BF Coeff'!D41</f>
        <v>1.4550000000000001</v>
      </c>
      <c r="N44">
        <f>'G-P Exposure BF Coeff'!E41</f>
        <v>-7.3999999999999996E-2</v>
      </c>
      <c r="O44">
        <f>'G-P Exposure BF Coeff'!F41</f>
        <v>17.02</v>
      </c>
      <c r="P44">
        <f>'G-P Exposure BF Coeff'!G41</f>
        <v>1.14E-2</v>
      </c>
      <c r="Q44">
        <f>'G-P Exposure BF Coeff'!H41</f>
        <v>4.4000000000000003E-3</v>
      </c>
      <c r="R44">
        <f>'G-P Exposure BF Coeff'!I41</f>
        <v>1</v>
      </c>
      <c r="S44">
        <f>'G-P Exposure BF Coeff'!J41</f>
        <v>1.9599999999999999E-3</v>
      </c>
      <c r="U44" s="13">
        <f t="shared" si="19"/>
        <v>0</v>
      </c>
      <c r="V44" s="13">
        <f t="shared" si="11"/>
        <v>0</v>
      </c>
      <c r="W44" s="13">
        <f t="shared" si="12"/>
        <v>0</v>
      </c>
      <c r="X44" s="13">
        <f t="shared" si="13"/>
        <v>0</v>
      </c>
      <c r="Y44" s="13">
        <f t="shared" si="14"/>
        <v>0</v>
      </c>
      <c r="Z44" s="13">
        <f t="shared" si="15"/>
        <v>0</v>
      </c>
      <c r="AA44" s="13">
        <f t="shared" si="16"/>
        <v>0</v>
      </c>
      <c r="AB44" s="13">
        <f t="shared" si="17"/>
        <v>0</v>
      </c>
      <c r="AC44" s="13">
        <f t="shared" si="18"/>
        <v>0</v>
      </c>
    </row>
    <row r="45" spans="1:29">
      <c r="A45">
        <v>0.3</v>
      </c>
      <c r="B45">
        <v>2.5459999999999998</v>
      </c>
      <c r="C45">
        <v>1.51</v>
      </c>
      <c r="D45">
        <v>-8.5000000000000006E-2</v>
      </c>
      <c r="E45">
        <v>16.22</v>
      </c>
      <c r="F45">
        <v>1.72E-2</v>
      </c>
      <c r="G45" s="2">
        <v>4.7999999999999996E-3</v>
      </c>
      <c r="H45">
        <v>4</v>
      </c>
      <c r="I45" s="2">
        <v>2.15E-3</v>
      </c>
      <c r="K45">
        <f>'G-P Exposure BF Coeff'!B42</f>
        <v>0.3</v>
      </c>
      <c r="L45">
        <f>'G-P Exposure BF Coeff'!C42</f>
        <v>2.5459999999999998</v>
      </c>
      <c r="M45">
        <f>'G-P Exposure BF Coeff'!D42</f>
        <v>1.51</v>
      </c>
      <c r="N45">
        <f>'G-P Exposure BF Coeff'!E42</f>
        <v>-8.5000000000000006E-2</v>
      </c>
      <c r="O45">
        <f>'G-P Exposure BF Coeff'!F42</f>
        <v>16.22</v>
      </c>
      <c r="P45">
        <f>'G-P Exposure BF Coeff'!G42</f>
        <v>1.72E-2</v>
      </c>
      <c r="Q45">
        <f>'G-P Exposure BF Coeff'!H42</f>
        <v>4.7999999999999996E-3</v>
      </c>
      <c r="R45">
        <f>'G-P Exposure BF Coeff'!I42</f>
        <v>4</v>
      </c>
      <c r="S45">
        <f>'G-P Exposure BF Coeff'!J42</f>
        <v>2.15E-3</v>
      </c>
      <c r="U45" s="13">
        <f t="shared" si="19"/>
        <v>0</v>
      </c>
      <c r="V45" s="13">
        <f t="shared" si="11"/>
        <v>0</v>
      </c>
      <c r="W45" s="13">
        <f t="shared" si="12"/>
        <v>0</v>
      </c>
      <c r="X45" s="13">
        <f t="shared" si="13"/>
        <v>0</v>
      </c>
      <c r="Y45" s="13">
        <f t="shared" si="14"/>
        <v>0</v>
      </c>
      <c r="Z45" s="13">
        <f t="shared" si="15"/>
        <v>0</v>
      </c>
      <c r="AA45" s="13">
        <f t="shared" si="16"/>
        <v>0</v>
      </c>
      <c r="AB45" s="13">
        <f t="shared" si="17"/>
        <v>0</v>
      </c>
      <c r="AC45" s="13">
        <f t="shared" si="18"/>
        <v>0</v>
      </c>
    </row>
    <row r="46" spans="1:29">
      <c r="A46">
        <v>0.4</v>
      </c>
      <c r="B46">
        <v>2.403</v>
      </c>
      <c r="C46">
        <v>1.498</v>
      </c>
      <c r="D46">
        <v>-8.5000000000000006E-2</v>
      </c>
      <c r="E46">
        <v>16.45</v>
      </c>
      <c r="F46">
        <v>1.89E-2</v>
      </c>
      <c r="G46" s="2">
        <v>5.4000000000000003E-3</v>
      </c>
      <c r="H46">
        <v>1</v>
      </c>
      <c r="I46" s="2">
        <v>2.3700000000000001E-3</v>
      </c>
      <c r="K46">
        <f>'G-P Exposure BF Coeff'!B43</f>
        <v>0.4</v>
      </c>
      <c r="L46">
        <f>'G-P Exposure BF Coeff'!C43</f>
        <v>2.403</v>
      </c>
      <c r="M46">
        <f>'G-P Exposure BF Coeff'!D43</f>
        <v>1.498</v>
      </c>
      <c r="N46">
        <f>'G-P Exposure BF Coeff'!E43</f>
        <v>-8.5000000000000006E-2</v>
      </c>
      <c r="O46">
        <f>'G-P Exposure BF Coeff'!F43</f>
        <v>16.45</v>
      </c>
      <c r="P46">
        <f>'G-P Exposure BF Coeff'!G43</f>
        <v>1.89E-2</v>
      </c>
      <c r="Q46">
        <f>'G-P Exposure BF Coeff'!H43</f>
        <v>5.4000000000000003E-3</v>
      </c>
      <c r="R46">
        <f>'G-P Exposure BF Coeff'!I43</f>
        <v>1</v>
      </c>
      <c r="S46">
        <f>'G-P Exposure BF Coeff'!J43</f>
        <v>2.3700000000000001E-3</v>
      </c>
      <c r="U46" s="13">
        <f t="shared" si="19"/>
        <v>0</v>
      </c>
      <c r="V46" s="13">
        <f t="shared" si="11"/>
        <v>0</v>
      </c>
      <c r="W46" s="13">
        <f t="shared" si="12"/>
        <v>0</v>
      </c>
      <c r="X46" s="13">
        <f t="shared" si="13"/>
        <v>0</v>
      </c>
      <c r="Y46" s="13">
        <f t="shared" si="14"/>
        <v>0</v>
      </c>
      <c r="Z46" s="13">
        <f t="shared" si="15"/>
        <v>0</v>
      </c>
      <c r="AA46" s="13">
        <f t="shared" si="16"/>
        <v>0</v>
      </c>
      <c r="AB46" s="13">
        <f t="shared" si="17"/>
        <v>0</v>
      </c>
      <c r="AC46" s="13">
        <f t="shared" si="18"/>
        <v>0</v>
      </c>
    </row>
    <row r="47" spans="1:29">
      <c r="A47">
        <v>0.5</v>
      </c>
      <c r="B47">
        <v>2.2869999999999999</v>
      </c>
      <c r="C47">
        <v>1.474</v>
      </c>
      <c r="D47">
        <v>-8.3000000000000004E-2</v>
      </c>
      <c r="E47">
        <v>16.41</v>
      </c>
      <c r="F47">
        <v>1.9400000000000001E-2</v>
      </c>
      <c r="G47" s="2">
        <v>3.0999999999999999E-3</v>
      </c>
      <c r="H47">
        <v>1</v>
      </c>
      <c r="I47" s="2">
        <v>1.81E-3</v>
      </c>
      <c r="K47">
        <f>'G-P Exposure BF Coeff'!B44</f>
        <v>0.5</v>
      </c>
      <c r="L47">
        <f>'G-P Exposure BF Coeff'!C44</f>
        <v>2.2869999999999999</v>
      </c>
      <c r="M47">
        <f>'G-P Exposure BF Coeff'!D44</f>
        <v>1.474</v>
      </c>
      <c r="N47">
        <f>'G-P Exposure BF Coeff'!E44</f>
        <v>-8.3000000000000004E-2</v>
      </c>
      <c r="O47">
        <f>'G-P Exposure BF Coeff'!F44</f>
        <v>16.41</v>
      </c>
      <c r="P47">
        <f>'G-P Exposure BF Coeff'!G44</f>
        <v>1.9400000000000001E-2</v>
      </c>
      <c r="Q47">
        <f>'G-P Exposure BF Coeff'!H44</f>
        <v>3.0999999999999999E-3</v>
      </c>
      <c r="R47">
        <f>'G-P Exposure BF Coeff'!I44</f>
        <v>1</v>
      </c>
      <c r="S47">
        <f>'G-P Exposure BF Coeff'!J44</f>
        <v>1.81E-3</v>
      </c>
      <c r="U47" s="13">
        <f t="shared" si="19"/>
        <v>0</v>
      </c>
      <c r="V47" s="13">
        <f t="shared" si="11"/>
        <v>0</v>
      </c>
      <c r="W47" s="13">
        <f t="shared" si="12"/>
        <v>0</v>
      </c>
      <c r="X47" s="13">
        <f t="shared" si="13"/>
        <v>0</v>
      </c>
      <c r="Y47" s="13">
        <f t="shared" si="14"/>
        <v>0</v>
      </c>
      <c r="Z47" s="13">
        <f t="shared" si="15"/>
        <v>0</v>
      </c>
      <c r="AA47" s="13">
        <f t="shared" si="16"/>
        <v>0</v>
      </c>
      <c r="AB47" s="13">
        <f t="shared" si="17"/>
        <v>0</v>
      </c>
      <c r="AC47" s="13">
        <f t="shared" si="18"/>
        <v>0</v>
      </c>
    </row>
    <row r="48" spans="1:29">
      <c r="A48">
        <v>0.6</v>
      </c>
      <c r="B48">
        <v>2.1970000000000001</v>
      </c>
      <c r="C48">
        <v>1.448</v>
      </c>
      <c r="D48">
        <v>-8.1000000000000003E-2</v>
      </c>
      <c r="E48">
        <v>17.03</v>
      </c>
      <c r="F48">
        <v>2.2700000000000001E-2</v>
      </c>
      <c r="G48" s="2">
        <v>6.7000000000000002E-3</v>
      </c>
      <c r="H48">
        <v>15</v>
      </c>
      <c r="I48" s="2">
        <v>2.9299999999999999E-3</v>
      </c>
      <c r="K48">
        <f>'G-P Exposure BF Coeff'!B45</f>
        <v>0.6</v>
      </c>
      <c r="L48">
        <f>'G-P Exposure BF Coeff'!C45</f>
        <v>2.1970000000000001</v>
      </c>
      <c r="M48">
        <f>'G-P Exposure BF Coeff'!D45</f>
        <v>1.448</v>
      </c>
      <c r="N48">
        <f>'G-P Exposure BF Coeff'!E45</f>
        <v>-8.1000000000000003E-2</v>
      </c>
      <c r="O48">
        <f>'G-P Exposure BF Coeff'!F45</f>
        <v>17.03</v>
      </c>
      <c r="P48">
        <f>'G-P Exposure BF Coeff'!G45</f>
        <v>2.2700000000000001E-2</v>
      </c>
      <c r="Q48">
        <f>'G-P Exposure BF Coeff'!H45</f>
        <v>6.7000000000000002E-3</v>
      </c>
      <c r="R48">
        <f>'G-P Exposure BF Coeff'!I45</f>
        <v>15</v>
      </c>
      <c r="S48">
        <f>'G-P Exposure BF Coeff'!J45</f>
        <v>2.9299999999999999E-3</v>
      </c>
      <c r="U48" s="13">
        <f t="shared" si="19"/>
        <v>0</v>
      </c>
      <c r="V48" s="13">
        <f t="shared" si="11"/>
        <v>0</v>
      </c>
      <c r="W48" s="13">
        <f t="shared" si="12"/>
        <v>0</v>
      </c>
      <c r="X48" s="13">
        <f t="shared" si="13"/>
        <v>0</v>
      </c>
      <c r="Y48" s="13">
        <f t="shared" si="14"/>
        <v>0</v>
      </c>
      <c r="Z48" s="13">
        <f t="shared" si="15"/>
        <v>0</v>
      </c>
      <c r="AA48" s="13">
        <f t="shared" si="16"/>
        <v>0</v>
      </c>
      <c r="AB48" s="13">
        <f t="shared" si="17"/>
        <v>0</v>
      </c>
      <c r="AC48" s="13">
        <f t="shared" si="18"/>
        <v>0</v>
      </c>
    </row>
    <row r="49" spans="1:29">
      <c r="A49">
        <v>0.8</v>
      </c>
      <c r="B49">
        <v>2.08</v>
      </c>
      <c r="C49">
        <v>1.3839999999999999</v>
      </c>
      <c r="D49">
        <v>-7.1999999999999995E-2</v>
      </c>
      <c r="E49">
        <v>16.239999999999998</v>
      </c>
      <c r="F49">
        <v>2.0199999999999999E-2</v>
      </c>
      <c r="G49" s="2">
        <v>6.4000000000000003E-3</v>
      </c>
      <c r="H49">
        <v>0.5</v>
      </c>
      <c r="I49" s="2">
        <v>2.8300000000000001E-3</v>
      </c>
      <c r="K49">
        <f>'G-P Exposure BF Coeff'!B46</f>
        <v>0.8</v>
      </c>
      <c r="L49">
        <f>'G-P Exposure BF Coeff'!C46</f>
        <v>2.08</v>
      </c>
      <c r="M49">
        <f>'G-P Exposure BF Coeff'!D46</f>
        <v>1.3839999999999999</v>
      </c>
      <c r="N49">
        <f>'G-P Exposure BF Coeff'!E46</f>
        <v>-7.1999999999999995E-2</v>
      </c>
      <c r="O49">
        <f>'G-P Exposure BF Coeff'!F46</f>
        <v>16.239999999999998</v>
      </c>
      <c r="P49">
        <f>'G-P Exposure BF Coeff'!G46</f>
        <v>2.0199999999999999E-2</v>
      </c>
      <c r="Q49">
        <f>'G-P Exposure BF Coeff'!H46</f>
        <v>6.4000000000000003E-3</v>
      </c>
      <c r="R49">
        <f>'G-P Exposure BF Coeff'!I46</f>
        <v>0.5</v>
      </c>
      <c r="S49">
        <f>'G-P Exposure BF Coeff'!J46</f>
        <v>2.8300000000000001E-3</v>
      </c>
      <c r="U49" s="13">
        <f t="shared" si="19"/>
        <v>0</v>
      </c>
      <c r="V49" s="13">
        <f t="shared" si="11"/>
        <v>0</v>
      </c>
      <c r="W49" s="13">
        <f t="shared" si="12"/>
        <v>0</v>
      </c>
      <c r="X49" s="13">
        <f t="shared" si="13"/>
        <v>0</v>
      </c>
      <c r="Y49" s="13">
        <f t="shared" si="14"/>
        <v>0</v>
      </c>
      <c r="Z49" s="13">
        <f t="shared" si="15"/>
        <v>0</v>
      </c>
      <c r="AA49" s="13">
        <f t="shared" si="16"/>
        <v>0</v>
      </c>
      <c r="AB49" s="13">
        <f t="shared" si="17"/>
        <v>0</v>
      </c>
      <c r="AC49" s="13">
        <f t="shared" si="18"/>
        <v>0</v>
      </c>
    </row>
    <row r="50" spans="1:29">
      <c r="A50">
        <v>1</v>
      </c>
      <c r="B50">
        <v>1.994</v>
      </c>
      <c r="C50">
        <v>1.3360000000000001</v>
      </c>
      <c r="D50">
        <v>-6.6000000000000003E-2</v>
      </c>
      <c r="E50">
        <v>15.85</v>
      </c>
      <c r="F50">
        <v>2.1499999999999998E-2</v>
      </c>
      <c r="G50" s="2">
        <v>6.0000000000000001E-3</v>
      </c>
      <c r="H50">
        <v>6</v>
      </c>
      <c r="I50" s="2">
        <v>2.82E-3</v>
      </c>
      <c r="K50">
        <f>'G-P Exposure BF Coeff'!B47</f>
        <v>1</v>
      </c>
      <c r="L50">
        <f>'G-P Exposure BF Coeff'!C47</f>
        <v>1.994</v>
      </c>
      <c r="M50">
        <f>'G-P Exposure BF Coeff'!D47</f>
        <v>1.3360000000000001</v>
      </c>
      <c r="N50">
        <f>'G-P Exposure BF Coeff'!E47</f>
        <v>-6.6000000000000003E-2</v>
      </c>
      <c r="O50">
        <f>'G-P Exposure BF Coeff'!F47</f>
        <v>15.85</v>
      </c>
      <c r="P50">
        <f>'G-P Exposure BF Coeff'!G47</f>
        <v>2.1499999999999998E-2</v>
      </c>
      <c r="Q50">
        <f>'G-P Exposure BF Coeff'!H47</f>
        <v>6.0000000000000001E-3</v>
      </c>
      <c r="R50">
        <f>'G-P Exposure BF Coeff'!I47</f>
        <v>6</v>
      </c>
      <c r="S50">
        <f>'G-P Exposure BF Coeff'!J47</f>
        <v>2.82E-3</v>
      </c>
      <c r="U50" s="13">
        <f t="shared" si="19"/>
        <v>0</v>
      </c>
      <c r="V50" s="13">
        <f t="shared" si="11"/>
        <v>0</v>
      </c>
      <c r="W50" s="13">
        <f t="shared" si="12"/>
        <v>0</v>
      </c>
      <c r="X50" s="13">
        <f t="shared" si="13"/>
        <v>0</v>
      </c>
      <c r="Y50" s="13">
        <f t="shared" si="14"/>
        <v>0</v>
      </c>
      <c r="Z50" s="13">
        <f t="shared" si="15"/>
        <v>0</v>
      </c>
      <c r="AA50" s="13">
        <f t="shared" si="16"/>
        <v>0</v>
      </c>
      <c r="AB50" s="13">
        <f t="shared" si="17"/>
        <v>0</v>
      </c>
      <c r="AC50" s="13">
        <f t="shared" si="18"/>
        <v>0</v>
      </c>
    </row>
    <row r="51" spans="1:29">
      <c r="A51">
        <v>1.5</v>
      </c>
      <c r="B51">
        <v>1.855</v>
      </c>
      <c r="C51">
        <v>1.23</v>
      </c>
      <c r="D51">
        <v>-4.8000000000000001E-2</v>
      </c>
      <c r="E51">
        <v>16.010000000000002</v>
      </c>
      <c r="F51">
        <v>1.7100000000000001E-2</v>
      </c>
      <c r="G51" s="2">
        <v>4.4999999999999997E-3</v>
      </c>
      <c r="H51">
        <v>15</v>
      </c>
      <c r="I51" s="2">
        <v>2.2599999999999999E-3</v>
      </c>
      <c r="K51">
        <f>'G-P Exposure BF Coeff'!B48</f>
        <v>1.5</v>
      </c>
      <c r="L51">
        <f>'G-P Exposure BF Coeff'!C48</f>
        <v>1.855</v>
      </c>
      <c r="M51">
        <f>'G-P Exposure BF Coeff'!D48</f>
        <v>1.23</v>
      </c>
      <c r="N51">
        <f>'G-P Exposure BF Coeff'!E48</f>
        <v>-4.8000000000000001E-2</v>
      </c>
      <c r="O51">
        <f>'G-P Exposure BF Coeff'!F48</f>
        <v>16.010000000000002</v>
      </c>
      <c r="P51">
        <f>'G-P Exposure BF Coeff'!G48</f>
        <v>1.7100000000000001E-2</v>
      </c>
      <c r="Q51">
        <f>'G-P Exposure BF Coeff'!H48</f>
        <v>4.4999999999999997E-3</v>
      </c>
      <c r="R51">
        <f>'G-P Exposure BF Coeff'!I48</f>
        <v>15</v>
      </c>
      <c r="S51">
        <f>'G-P Exposure BF Coeff'!J48</f>
        <v>2.2599999999999999E-3</v>
      </c>
      <c r="U51" s="13">
        <f t="shared" si="19"/>
        <v>0</v>
      </c>
      <c r="V51" s="13">
        <f t="shared" si="11"/>
        <v>0</v>
      </c>
      <c r="W51" s="13">
        <f t="shared" si="12"/>
        <v>0</v>
      </c>
      <c r="X51" s="13">
        <f t="shared" si="13"/>
        <v>0</v>
      </c>
      <c r="Y51" s="13">
        <f t="shared" si="14"/>
        <v>0</v>
      </c>
      <c r="Z51" s="13">
        <f t="shared" si="15"/>
        <v>0</v>
      </c>
      <c r="AA51" s="13">
        <f t="shared" si="16"/>
        <v>0</v>
      </c>
      <c r="AB51" s="13">
        <f t="shared" si="17"/>
        <v>0</v>
      </c>
      <c r="AC51" s="13">
        <f t="shared" si="18"/>
        <v>0</v>
      </c>
    </row>
    <row r="52" spans="1:29">
      <c r="A52">
        <v>2</v>
      </c>
      <c r="B52">
        <v>1.7809999999999999</v>
      </c>
      <c r="C52">
        <v>1.153</v>
      </c>
      <c r="D52">
        <v>-3.2000000000000001E-2</v>
      </c>
      <c r="E52">
        <v>15.32</v>
      </c>
      <c r="F52">
        <v>9.1000000000000004E-3</v>
      </c>
      <c r="G52" s="2">
        <v>3.2000000000000002E-3</v>
      </c>
      <c r="H52">
        <v>0.5</v>
      </c>
      <c r="I52" s="2">
        <v>1.42E-3</v>
      </c>
      <c r="K52">
        <f>'G-P Exposure BF Coeff'!B49</f>
        <v>2</v>
      </c>
      <c r="L52">
        <f>'G-P Exposure BF Coeff'!C49</f>
        <v>1.7809999999999999</v>
      </c>
      <c r="M52">
        <f>'G-P Exposure BF Coeff'!D49</f>
        <v>1.153</v>
      </c>
      <c r="N52">
        <f>'G-P Exposure BF Coeff'!E49</f>
        <v>-3.2000000000000001E-2</v>
      </c>
      <c r="O52">
        <f>'G-P Exposure BF Coeff'!F49</f>
        <v>15.32</v>
      </c>
      <c r="P52">
        <f>'G-P Exposure BF Coeff'!G49</f>
        <v>9.1000000000000004E-3</v>
      </c>
      <c r="Q52">
        <f>'G-P Exposure BF Coeff'!H49</f>
        <v>3.2000000000000002E-3</v>
      </c>
      <c r="R52">
        <f>'G-P Exposure BF Coeff'!I49</f>
        <v>0.5</v>
      </c>
      <c r="S52">
        <f>'G-P Exposure BF Coeff'!J49</f>
        <v>1.42E-3</v>
      </c>
      <c r="U52" s="13">
        <f t="shared" si="19"/>
        <v>0</v>
      </c>
      <c r="V52" s="13">
        <f t="shared" si="11"/>
        <v>0</v>
      </c>
      <c r="W52" s="13">
        <f t="shared" si="12"/>
        <v>0</v>
      </c>
      <c r="X52" s="13">
        <f t="shared" si="13"/>
        <v>0</v>
      </c>
      <c r="Y52" s="13">
        <f t="shared" si="14"/>
        <v>0</v>
      </c>
      <c r="Z52" s="13">
        <f t="shared" si="15"/>
        <v>0</v>
      </c>
      <c r="AA52" s="13">
        <f t="shared" si="16"/>
        <v>0</v>
      </c>
      <c r="AB52" s="13">
        <f t="shared" si="17"/>
        <v>0</v>
      </c>
      <c r="AC52" s="13">
        <f t="shared" si="18"/>
        <v>0</v>
      </c>
    </row>
    <row r="53" spans="1:29">
      <c r="A53">
        <v>3</v>
      </c>
      <c r="B53">
        <v>1.673</v>
      </c>
      <c r="C53">
        <v>1.0569999999999999</v>
      </c>
      <c r="D53">
        <v>-0.01</v>
      </c>
      <c r="E53">
        <v>10.79</v>
      </c>
      <c r="F53">
        <v>-2.5000000000000001E-3</v>
      </c>
      <c r="G53" s="2">
        <v>4.1999999999999997E-3</v>
      </c>
      <c r="H53">
        <v>1</v>
      </c>
      <c r="I53" s="2">
        <v>2.0200000000000001E-3</v>
      </c>
      <c r="K53">
        <f>'G-P Exposure BF Coeff'!B50</f>
        <v>3</v>
      </c>
      <c r="L53">
        <f>'G-P Exposure BF Coeff'!C50</f>
        <v>1.673</v>
      </c>
      <c r="M53">
        <f>'G-P Exposure BF Coeff'!D50</f>
        <v>1.0569999999999999</v>
      </c>
      <c r="N53">
        <f>'G-P Exposure BF Coeff'!E50</f>
        <v>-0.01</v>
      </c>
      <c r="O53">
        <f>'G-P Exposure BF Coeff'!F50</f>
        <v>10.79</v>
      </c>
      <c r="P53">
        <f>'G-P Exposure BF Coeff'!G50</f>
        <v>-2.5000000000000001E-3</v>
      </c>
      <c r="Q53">
        <f>'G-P Exposure BF Coeff'!H50</f>
        <v>4.1999999999999997E-3</v>
      </c>
      <c r="R53">
        <f>'G-P Exposure BF Coeff'!I50</f>
        <v>1</v>
      </c>
      <c r="S53">
        <f>'G-P Exposure BF Coeff'!J50</f>
        <v>2.0200000000000001E-3</v>
      </c>
      <c r="U53" s="13">
        <f t="shared" si="19"/>
        <v>0</v>
      </c>
      <c r="V53" s="13">
        <f t="shared" si="11"/>
        <v>0</v>
      </c>
      <c r="W53" s="13">
        <f t="shared" si="12"/>
        <v>0</v>
      </c>
      <c r="X53" s="13">
        <f t="shared" si="13"/>
        <v>0</v>
      </c>
      <c r="Y53" s="13">
        <f t="shared" si="14"/>
        <v>0</v>
      </c>
      <c r="Z53" s="13">
        <f t="shared" si="15"/>
        <v>0</v>
      </c>
      <c r="AA53" s="13">
        <f t="shared" si="16"/>
        <v>0</v>
      </c>
      <c r="AB53" s="13">
        <f t="shared" si="17"/>
        <v>0</v>
      </c>
      <c r="AC53" s="13">
        <f t="shared" si="18"/>
        <v>0</v>
      </c>
    </row>
    <row r="54" spans="1:29">
      <c r="A54">
        <v>4</v>
      </c>
      <c r="B54">
        <v>1.607</v>
      </c>
      <c r="C54">
        <v>0.97399999999999998</v>
      </c>
      <c r="D54">
        <v>1.2999999999999999E-2</v>
      </c>
      <c r="E54">
        <v>12.22</v>
      </c>
      <c r="F54">
        <v>-1.6400000000000001E-2</v>
      </c>
      <c r="G54" s="2">
        <v>1.0500000000000001E-2</v>
      </c>
      <c r="H54">
        <v>0.5</v>
      </c>
      <c r="I54" s="2">
        <v>4.9800000000000001E-3</v>
      </c>
      <c r="K54">
        <f>'G-P Exposure BF Coeff'!B51</f>
        <v>4</v>
      </c>
      <c r="L54">
        <f>'G-P Exposure BF Coeff'!C51</f>
        <v>1.607</v>
      </c>
      <c r="M54">
        <f>'G-P Exposure BF Coeff'!D51</f>
        <v>0.97399999999999998</v>
      </c>
      <c r="N54">
        <f>'G-P Exposure BF Coeff'!E51</f>
        <v>1.2999999999999999E-2</v>
      </c>
      <c r="O54">
        <f>'G-P Exposure BF Coeff'!F51</f>
        <v>12.22</v>
      </c>
      <c r="P54">
        <f>'G-P Exposure BF Coeff'!G51</f>
        <v>-1.6400000000000001E-2</v>
      </c>
      <c r="Q54">
        <f>'G-P Exposure BF Coeff'!H51</f>
        <v>1.0500000000000001E-2</v>
      </c>
      <c r="R54">
        <f>'G-P Exposure BF Coeff'!I51</f>
        <v>0.5</v>
      </c>
      <c r="S54">
        <f>'G-P Exposure BF Coeff'!J51</f>
        <v>4.9800000000000001E-3</v>
      </c>
      <c r="U54" s="13">
        <f t="shared" si="19"/>
        <v>0</v>
      </c>
      <c r="V54" s="13">
        <f t="shared" si="11"/>
        <v>0</v>
      </c>
      <c r="W54" s="13">
        <f t="shared" si="12"/>
        <v>0</v>
      </c>
      <c r="X54" s="13">
        <f t="shared" si="13"/>
        <v>0</v>
      </c>
      <c r="Y54" s="13">
        <f t="shared" si="14"/>
        <v>0</v>
      </c>
      <c r="Z54" s="13">
        <f t="shared" si="15"/>
        <v>0</v>
      </c>
      <c r="AA54" s="13">
        <f t="shared" si="16"/>
        <v>0</v>
      </c>
      <c r="AB54" s="13">
        <f t="shared" si="17"/>
        <v>0</v>
      </c>
      <c r="AC54" s="13">
        <f t="shared" si="18"/>
        <v>0</v>
      </c>
    </row>
    <row r="55" spans="1:29">
      <c r="A55">
        <v>5</v>
      </c>
      <c r="B55">
        <v>1.5289999999999999</v>
      </c>
      <c r="C55">
        <v>0.95699999999999996</v>
      </c>
      <c r="D55">
        <v>1.7999999999999999E-2</v>
      </c>
      <c r="E55">
        <v>10.9</v>
      </c>
      <c r="F55">
        <v>-1.5699999999999999E-2</v>
      </c>
      <c r="G55" s="2">
        <v>9.1999999999999998E-3</v>
      </c>
      <c r="H55">
        <v>0.5</v>
      </c>
      <c r="I55" s="2">
        <v>4.13E-3</v>
      </c>
      <c r="K55">
        <f>'G-P Exposure BF Coeff'!B52</f>
        <v>5</v>
      </c>
      <c r="L55">
        <f>'G-P Exposure BF Coeff'!C52</f>
        <v>1.5289999999999999</v>
      </c>
      <c r="M55">
        <f>'G-P Exposure BF Coeff'!D52</f>
        <v>0.95699999999999996</v>
      </c>
      <c r="N55">
        <f>'G-P Exposure BF Coeff'!E52</f>
        <v>1.7999999999999999E-2</v>
      </c>
      <c r="O55">
        <f>'G-P Exposure BF Coeff'!F52</f>
        <v>10.9</v>
      </c>
      <c r="P55">
        <f>'G-P Exposure BF Coeff'!G52</f>
        <v>-1.5699999999999999E-2</v>
      </c>
      <c r="Q55">
        <f>'G-P Exposure BF Coeff'!H52</f>
        <v>9.1999999999999998E-3</v>
      </c>
      <c r="R55">
        <f>'G-P Exposure BF Coeff'!I52</f>
        <v>0.5</v>
      </c>
      <c r="S55">
        <f>'G-P Exposure BF Coeff'!J52</f>
        <v>4.13E-3</v>
      </c>
      <c r="U55" s="13">
        <f t="shared" si="19"/>
        <v>0</v>
      </c>
      <c r="V55" s="13">
        <f t="shared" si="11"/>
        <v>0</v>
      </c>
      <c r="W55" s="13">
        <f t="shared" si="12"/>
        <v>0</v>
      </c>
      <c r="X55" s="13">
        <f t="shared" si="13"/>
        <v>0</v>
      </c>
      <c r="Y55" s="13">
        <f t="shared" si="14"/>
        <v>0</v>
      </c>
      <c r="Z55" s="13">
        <f t="shared" si="15"/>
        <v>0</v>
      </c>
      <c r="AA55" s="13">
        <f t="shared" si="16"/>
        <v>0</v>
      </c>
      <c r="AB55" s="13">
        <f t="shared" si="17"/>
        <v>0</v>
      </c>
      <c r="AC55" s="13">
        <f t="shared" si="18"/>
        <v>0</v>
      </c>
    </row>
    <row r="56" spans="1:29">
      <c r="A56">
        <v>6</v>
      </c>
      <c r="B56">
        <v>1.4810000000000001</v>
      </c>
      <c r="C56">
        <v>0.93300000000000005</v>
      </c>
      <c r="D56">
        <v>2.5999999999999999E-2</v>
      </c>
      <c r="E56">
        <v>12.33</v>
      </c>
      <c r="F56">
        <v>-2.3900000000000001E-2</v>
      </c>
      <c r="G56" s="2">
        <v>1.1299999999999999E-2</v>
      </c>
      <c r="H56">
        <v>0.5</v>
      </c>
      <c r="I56" s="2">
        <v>5.2399999999999999E-3</v>
      </c>
      <c r="K56">
        <f>'G-P Exposure BF Coeff'!B53</f>
        <v>6</v>
      </c>
      <c r="L56">
        <f>'G-P Exposure BF Coeff'!C53</f>
        <v>1.4810000000000001</v>
      </c>
      <c r="M56">
        <f>'G-P Exposure BF Coeff'!D53</f>
        <v>0.93300000000000005</v>
      </c>
      <c r="N56">
        <f>'G-P Exposure BF Coeff'!E53</f>
        <v>2.5999999999999999E-2</v>
      </c>
      <c r="O56">
        <f>'G-P Exposure BF Coeff'!F53</f>
        <v>12.33</v>
      </c>
      <c r="P56">
        <f>'G-P Exposure BF Coeff'!G53</f>
        <v>-2.3900000000000001E-2</v>
      </c>
      <c r="Q56">
        <f>'G-P Exposure BF Coeff'!H53</f>
        <v>1.1299999999999999E-2</v>
      </c>
      <c r="R56">
        <f>'G-P Exposure BF Coeff'!I53</f>
        <v>0.5</v>
      </c>
      <c r="S56">
        <f>'G-P Exposure BF Coeff'!J53</f>
        <v>5.2399999999999999E-3</v>
      </c>
      <c r="U56" s="13">
        <f t="shared" si="19"/>
        <v>0</v>
      </c>
      <c r="V56" s="13">
        <f t="shared" si="11"/>
        <v>0</v>
      </c>
      <c r="W56" s="13">
        <f t="shared" si="12"/>
        <v>0</v>
      </c>
      <c r="X56" s="13">
        <f t="shared" si="13"/>
        <v>0</v>
      </c>
      <c r="Y56" s="13">
        <f t="shared" si="14"/>
        <v>0</v>
      </c>
      <c r="Z56" s="13">
        <f t="shared" si="15"/>
        <v>0</v>
      </c>
      <c r="AA56" s="13">
        <f t="shared" si="16"/>
        <v>0</v>
      </c>
      <c r="AB56" s="13">
        <f t="shared" si="17"/>
        <v>0</v>
      </c>
      <c r="AC56" s="13">
        <f t="shared" si="18"/>
        <v>0</v>
      </c>
    </row>
    <row r="57" spans="1:29">
      <c r="A57">
        <v>8</v>
      </c>
      <c r="B57">
        <v>1.3959999999999999</v>
      </c>
      <c r="C57">
        <v>0.91700000000000004</v>
      </c>
      <c r="D57">
        <v>0.03</v>
      </c>
      <c r="E57">
        <v>13.88</v>
      </c>
      <c r="F57">
        <v>-2.6200000000000001E-2</v>
      </c>
      <c r="G57" s="2">
        <v>1.37E-2</v>
      </c>
      <c r="H57">
        <v>0.5</v>
      </c>
      <c r="I57" s="2">
        <v>6.77E-3</v>
      </c>
      <c r="K57">
        <f>'G-P Exposure BF Coeff'!B54</f>
        <v>8</v>
      </c>
      <c r="L57">
        <f>'G-P Exposure BF Coeff'!C54</f>
        <v>1.3959999999999999</v>
      </c>
      <c r="M57">
        <f>'G-P Exposure BF Coeff'!D54</f>
        <v>0.91700000000000004</v>
      </c>
      <c r="N57">
        <f>'G-P Exposure BF Coeff'!E54</f>
        <v>0.03</v>
      </c>
      <c r="O57">
        <f>'G-P Exposure BF Coeff'!F54</f>
        <v>13.88</v>
      </c>
      <c r="P57">
        <f>'G-P Exposure BF Coeff'!G54</f>
        <v>-2.6200000000000001E-2</v>
      </c>
      <c r="Q57">
        <f>'G-P Exposure BF Coeff'!H54</f>
        <v>1.37E-2</v>
      </c>
      <c r="R57">
        <f>'G-P Exposure BF Coeff'!I54</f>
        <v>0.5</v>
      </c>
      <c r="S57">
        <f>'G-P Exposure BF Coeff'!J54</f>
        <v>6.77E-3</v>
      </c>
      <c r="U57" s="13">
        <f t="shared" si="19"/>
        <v>0</v>
      </c>
      <c r="V57" s="13">
        <f t="shared" si="11"/>
        <v>0</v>
      </c>
      <c r="W57" s="13">
        <f t="shared" si="12"/>
        <v>0</v>
      </c>
      <c r="X57" s="13">
        <f t="shared" si="13"/>
        <v>0</v>
      </c>
      <c r="Y57" s="13">
        <f t="shared" si="14"/>
        <v>0</v>
      </c>
      <c r="Z57" s="13">
        <f t="shared" si="15"/>
        <v>0</v>
      </c>
      <c r="AA57" s="13">
        <f t="shared" si="16"/>
        <v>0</v>
      </c>
      <c r="AB57" s="13">
        <f t="shared" si="17"/>
        <v>0</v>
      </c>
      <c r="AC57" s="13">
        <f t="shared" si="18"/>
        <v>0</v>
      </c>
    </row>
    <row r="58" spans="1:29">
      <c r="A58">
        <v>10</v>
      </c>
      <c r="B58">
        <v>1.3340000000000001</v>
      </c>
      <c r="C58">
        <v>0.90200000000000002</v>
      </c>
      <c r="D58">
        <v>3.7999999999999999E-2</v>
      </c>
      <c r="E58">
        <v>13.03</v>
      </c>
      <c r="F58">
        <v>-3.32E-2</v>
      </c>
      <c r="G58" s="2">
        <v>1.4800000000000001E-2</v>
      </c>
      <c r="H58">
        <v>0.5</v>
      </c>
      <c r="I58" s="2">
        <v>7.1900000000000002E-3</v>
      </c>
      <c r="K58">
        <f>'G-P Exposure BF Coeff'!B55</f>
        <v>10</v>
      </c>
      <c r="L58">
        <f>'G-P Exposure BF Coeff'!C55</f>
        <v>1.3340000000000001</v>
      </c>
      <c r="M58">
        <f>'G-P Exposure BF Coeff'!D55</f>
        <v>0.90200000000000002</v>
      </c>
      <c r="N58">
        <f>'G-P Exposure BF Coeff'!E55</f>
        <v>3.7999999999999999E-2</v>
      </c>
      <c r="O58">
        <f>'G-P Exposure BF Coeff'!F55</f>
        <v>13.03</v>
      </c>
      <c r="P58">
        <f>'G-P Exposure BF Coeff'!G55</f>
        <v>-3.32E-2</v>
      </c>
      <c r="Q58">
        <f>'G-P Exposure BF Coeff'!H55</f>
        <v>1.4800000000000001E-2</v>
      </c>
      <c r="R58">
        <f>'G-P Exposure BF Coeff'!I55</f>
        <v>0.5</v>
      </c>
      <c r="S58">
        <f>'G-P Exposure BF Coeff'!J55</f>
        <v>7.1900000000000002E-3</v>
      </c>
      <c r="U58" s="13">
        <f>(K58-A58)/K58</f>
        <v>0</v>
      </c>
      <c r="V58" s="13">
        <f t="shared" si="11"/>
        <v>0</v>
      </c>
      <c r="W58" s="13">
        <f t="shared" si="12"/>
        <v>0</v>
      </c>
      <c r="X58" s="13">
        <f t="shared" si="13"/>
        <v>0</v>
      </c>
      <c r="Y58" s="13">
        <f t="shared" si="14"/>
        <v>0</v>
      </c>
      <c r="Z58" s="13">
        <f t="shared" si="15"/>
        <v>0</v>
      </c>
      <c r="AA58" s="13">
        <f t="shared" si="16"/>
        <v>0</v>
      </c>
      <c r="AB58" s="13">
        <f t="shared" si="17"/>
        <v>0</v>
      </c>
      <c r="AC58" s="13">
        <f t="shared" si="18"/>
        <v>0</v>
      </c>
    </row>
    <row r="59" spans="1:29">
      <c r="A59">
        <v>15</v>
      </c>
      <c r="B59">
        <v>1.244</v>
      </c>
      <c r="C59">
        <v>0.86899999999999999</v>
      </c>
      <c r="D59">
        <v>0.05</v>
      </c>
      <c r="E59">
        <v>14.91</v>
      </c>
      <c r="F59">
        <v>-4.7600000000000003E-2</v>
      </c>
      <c r="G59" s="2">
        <v>1.9699999999999999E-2</v>
      </c>
      <c r="H59">
        <v>0.5</v>
      </c>
      <c r="I59" s="2">
        <v>1.098E-2</v>
      </c>
      <c r="K59">
        <f>'G-P Exposure BF Coeff'!B56</f>
        <v>15</v>
      </c>
      <c r="L59">
        <f>'G-P Exposure BF Coeff'!C56</f>
        <v>1.244</v>
      </c>
      <c r="M59">
        <f>'G-P Exposure BF Coeff'!D56</f>
        <v>0.86899999999999999</v>
      </c>
      <c r="N59">
        <f>'G-P Exposure BF Coeff'!E56</f>
        <v>0.05</v>
      </c>
      <c r="O59">
        <f>'G-P Exposure BF Coeff'!F56</f>
        <v>14.91</v>
      </c>
      <c r="P59">
        <f>'G-P Exposure BF Coeff'!G56</f>
        <v>-4.7600000000000003E-2</v>
      </c>
      <c r="Q59">
        <f>'G-P Exposure BF Coeff'!H56</f>
        <v>1.9699999999999999E-2</v>
      </c>
      <c r="R59">
        <f>'G-P Exposure BF Coeff'!I56</f>
        <v>0.5</v>
      </c>
      <c r="S59">
        <f>'G-P Exposure BF Coeff'!J56</f>
        <v>1.098E-2</v>
      </c>
      <c r="U59" s="13">
        <f t="shared" ref="U59" si="20">(K59-A59)/K59</f>
        <v>0</v>
      </c>
      <c r="V59" s="13">
        <f t="shared" si="11"/>
        <v>0</v>
      </c>
      <c r="W59" s="13">
        <f t="shared" si="12"/>
        <v>0</v>
      </c>
      <c r="X59" s="13">
        <f t="shared" si="13"/>
        <v>0</v>
      </c>
      <c r="Y59" s="13">
        <f t="shared" si="14"/>
        <v>0</v>
      </c>
      <c r="Z59" s="13">
        <f t="shared" si="15"/>
        <v>0</v>
      </c>
      <c r="AA59" s="13">
        <f t="shared" si="16"/>
        <v>0</v>
      </c>
      <c r="AB59" s="13">
        <f t="shared" si="17"/>
        <v>0</v>
      </c>
      <c r="AC59" s="13">
        <f t="shared" si="18"/>
        <v>0</v>
      </c>
    </row>
    <row r="61" spans="1:29">
      <c r="A61" t="s">
        <v>105</v>
      </c>
    </row>
    <row r="63" spans="1:29">
      <c r="K63" t="s">
        <v>105</v>
      </c>
    </row>
    <row r="64" spans="1:29">
      <c r="A64" s="15" t="s">
        <v>1</v>
      </c>
      <c r="B64" s="15" t="s">
        <v>11</v>
      </c>
      <c r="C64" s="15" t="s">
        <v>12</v>
      </c>
      <c r="D64" s="15" t="s">
        <v>13</v>
      </c>
      <c r="E64" s="15" t="s">
        <v>16</v>
      </c>
      <c r="F64" s="15" t="s">
        <v>14</v>
      </c>
      <c r="G64" s="15" t="s">
        <v>17</v>
      </c>
      <c r="H64" s="15" t="s">
        <v>18</v>
      </c>
      <c r="I64" s="15" t="s">
        <v>15</v>
      </c>
      <c r="K64" s="15" t="s">
        <v>1</v>
      </c>
      <c r="L64" s="15" t="s">
        <v>11</v>
      </c>
      <c r="M64" s="15" t="s">
        <v>12</v>
      </c>
      <c r="N64" s="15" t="s">
        <v>13</v>
      </c>
      <c r="O64" s="15" t="s">
        <v>16</v>
      </c>
      <c r="P64" s="15" t="s">
        <v>14</v>
      </c>
      <c r="Q64" s="15" t="s">
        <v>17</v>
      </c>
      <c r="R64" s="15" t="s">
        <v>18</v>
      </c>
      <c r="S64" s="15" t="s">
        <v>15</v>
      </c>
      <c r="U64" s="15" t="s">
        <v>1</v>
      </c>
      <c r="V64" s="15" t="s">
        <v>11</v>
      </c>
      <c r="W64" s="15" t="s">
        <v>12</v>
      </c>
      <c r="X64" s="15" t="s">
        <v>13</v>
      </c>
      <c r="Y64" s="15" t="s">
        <v>16</v>
      </c>
      <c r="Z64" s="15" t="s">
        <v>14</v>
      </c>
      <c r="AA64" s="15" t="s">
        <v>17</v>
      </c>
      <c r="AB64" s="15" t="s">
        <v>18</v>
      </c>
      <c r="AC64" s="15" t="s">
        <v>15</v>
      </c>
    </row>
    <row r="65" spans="1:29">
      <c r="A65">
        <v>1.4999999999999999E-2</v>
      </c>
      <c r="B65">
        <v>1.0009999999999999</v>
      </c>
      <c r="C65">
        <v>2.044</v>
      </c>
      <c r="D65">
        <v>-0.31</v>
      </c>
      <c r="E65">
        <v>11.15</v>
      </c>
      <c r="F65">
        <v>0.25190000000000001</v>
      </c>
      <c r="G65" s="2">
        <v>4.5999999999999999E-3</v>
      </c>
      <c r="H65">
        <v>3</v>
      </c>
      <c r="I65" s="2">
        <v>1.75E-3</v>
      </c>
      <c r="K65">
        <f>'G-P Exposure BF Coeff'!B60</f>
        <v>1.4999999999999999E-2</v>
      </c>
      <c r="L65">
        <f>'G-P Exposure BF Coeff'!C60</f>
        <v>1.0009999999999999</v>
      </c>
      <c r="M65">
        <f>'G-P Exposure BF Coeff'!D60</f>
        <v>2.044</v>
      </c>
      <c r="N65">
        <f>'G-P Exposure BF Coeff'!E60</f>
        <v>-0.31</v>
      </c>
      <c r="O65">
        <f>'G-P Exposure BF Coeff'!F60</f>
        <v>11.15</v>
      </c>
      <c r="P65">
        <f>'G-P Exposure BF Coeff'!G60</f>
        <v>0.25190000000000001</v>
      </c>
      <c r="Q65">
        <f>'G-P Exposure BF Coeff'!H60</f>
        <v>4.5999999999999999E-3</v>
      </c>
      <c r="R65">
        <f>'G-P Exposure BF Coeff'!I60</f>
        <v>3</v>
      </c>
      <c r="S65">
        <f>'G-P Exposure BF Coeff'!J60</f>
        <v>1.75E-3</v>
      </c>
      <c r="U65" s="13">
        <f>(K65-A65)/K65</f>
        <v>0</v>
      </c>
      <c r="V65" s="13">
        <f t="shared" ref="V65:V89" si="21">(L65-B65)/L65</f>
        <v>0</v>
      </c>
      <c r="W65" s="13">
        <f t="shared" ref="W65:W89" si="22">(M65-C65)/M65</f>
        <v>0</v>
      </c>
      <c r="X65" s="13">
        <f t="shared" ref="X65:X89" si="23">(N65-D65)/N65</f>
        <v>0</v>
      </c>
      <c r="Y65" s="13">
        <f t="shared" ref="Y65:Y89" si="24">(O65-E65)/O65</f>
        <v>0</v>
      </c>
      <c r="Z65" s="13">
        <f t="shared" ref="Z65:Z89" si="25">(P65-F65)/P65</f>
        <v>0</v>
      </c>
      <c r="AA65" s="13">
        <f t="shared" ref="AA65:AA89" si="26">(Q65-G65)/Q65</f>
        <v>0</v>
      </c>
      <c r="AB65" s="13">
        <f t="shared" ref="AB65:AB89" si="27">(R65-H65)/R65</f>
        <v>0</v>
      </c>
      <c r="AC65" s="13">
        <f t="shared" ref="AC65:AC89" si="28">(S65-I65)/S65</f>
        <v>0</v>
      </c>
    </row>
    <row r="66" spans="1:29">
      <c r="A66">
        <v>0.02</v>
      </c>
      <c r="B66">
        <v>1.0089999999999999</v>
      </c>
      <c r="C66">
        <v>0.10299999999999999</v>
      </c>
      <c r="D66">
        <v>0.76400000000000001</v>
      </c>
      <c r="E66">
        <v>10.78</v>
      </c>
      <c r="F66">
        <v>-1.0612999999999999</v>
      </c>
      <c r="G66" s="2">
        <v>4.7999999999999996E-3</v>
      </c>
      <c r="H66">
        <v>7</v>
      </c>
      <c r="I66" s="2">
        <v>2.4299999999999999E-3</v>
      </c>
      <c r="K66">
        <f>'G-P Exposure BF Coeff'!B61</f>
        <v>0.02</v>
      </c>
      <c r="L66">
        <f>'G-P Exposure BF Coeff'!C61</f>
        <v>1.0089999999999999</v>
      </c>
      <c r="M66">
        <f>'G-P Exposure BF Coeff'!D61</f>
        <v>0.10299999999999999</v>
      </c>
      <c r="N66">
        <f>'G-P Exposure BF Coeff'!E61</f>
        <v>0.76400000000000001</v>
      </c>
      <c r="O66">
        <f>'G-P Exposure BF Coeff'!F61</f>
        <v>10.78</v>
      </c>
      <c r="P66">
        <f>'G-P Exposure BF Coeff'!G61</f>
        <v>-1.0612999999999999</v>
      </c>
      <c r="Q66">
        <f>'G-P Exposure BF Coeff'!H61</f>
        <v>4.7999999999999996E-3</v>
      </c>
      <c r="R66">
        <f>'G-P Exposure BF Coeff'!I61</f>
        <v>7</v>
      </c>
      <c r="S66">
        <f>'G-P Exposure BF Coeff'!J61</f>
        <v>2.4299999999999999E-3</v>
      </c>
      <c r="U66" s="13">
        <f t="shared" ref="U66:U87" si="29">(K66-A66)/K66</f>
        <v>0</v>
      </c>
      <c r="V66" s="13">
        <f t="shared" si="21"/>
        <v>0</v>
      </c>
      <c r="W66" s="13">
        <f t="shared" si="22"/>
        <v>0</v>
      </c>
      <c r="X66" s="13">
        <f t="shared" si="23"/>
        <v>0</v>
      </c>
      <c r="Y66" s="13">
        <f t="shared" si="24"/>
        <v>0</v>
      </c>
      <c r="Z66" s="13">
        <f t="shared" si="25"/>
        <v>0</v>
      </c>
      <c r="AA66" s="13">
        <f t="shared" si="26"/>
        <v>0</v>
      </c>
      <c r="AB66" s="13">
        <f t="shared" si="27"/>
        <v>0</v>
      </c>
      <c r="AC66" s="13">
        <f t="shared" si="28"/>
        <v>0</v>
      </c>
    </row>
    <row r="67" spans="1:29">
      <c r="A67">
        <v>0.03</v>
      </c>
      <c r="B67">
        <v>1.02</v>
      </c>
      <c r="C67">
        <v>0.35899999999999999</v>
      </c>
      <c r="D67">
        <v>0.20499999999999999</v>
      </c>
      <c r="E67">
        <v>12</v>
      </c>
      <c r="F67">
        <v>-5.0999999999999997E-2</v>
      </c>
      <c r="G67" s="2">
        <v>3.7000000000000002E-3</v>
      </c>
      <c r="H67">
        <v>8</v>
      </c>
      <c r="I67" s="2">
        <v>2.47E-3</v>
      </c>
      <c r="K67">
        <f>'G-P Exposure BF Coeff'!B62</f>
        <v>0.03</v>
      </c>
      <c r="L67">
        <f>'G-P Exposure BF Coeff'!C62</f>
        <v>1.02</v>
      </c>
      <c r="M67">
        <f>'G-P Exposure BF Coeff'!D62</f>
        <v>0.35899999999999999</v>
      </c>
      <c r="N67">
        <f>'G-P Exposure BF Coeff'!E62</f>
        <v>0.20499999999999999</v>
      </c>
      <c r="O67">
        <f>'G-P Exposure BF Coeff'!F62</f>
        <v>12</v>
      </c>
      <c r="P67">
        <f>'G-P Exposure BF Coeff'!G62</f>
        <v>-5.0999999999999997E-2</v>
      </c>
      <c r="Q67">
        <f>'G-P Exposure BF Coeff'!H62</f>
        <v>3.7000000000000002E-3</v>
      </c>
      <c r="R67">
        <f>'G-P Exposure BF Coeff'!I62</f>
        <v>8</v>
      </c>
      <c r="S67">
        <f>'G-P Exposure BF Coeff'!J62</f>
        <v>2.47E-3</v>
      </c>
      <c r="U67" s="13">
        <f t="shared" si="29"/>
        <v>0</v>
      </c>
      <c r="V67" s="13">
        <f t="shared" si="21"/>
        <v>0</v>
      </c>
      <c r="W67" s="13">
        <f t="shared" si="22"/>
        <v>0</v>
      </c>
      <c r="X67" s="13">
        <f t="shared" si="23"/>
        <v>0</v>
      </c>
      <c r="Y67" s="13">
        <f t="shared" si="24"/>
        <v>0</v>
      </c>
      <c r="Z67" s="13">
        <f t="shared" si="25"/>
        <v>0</v>
      </c>
      <c r="AA67" s="13">
        <f t="shared" si="26"/>
        <v>0</v>
      </c>
      <c r="AB67" s="13">
        <f t="shared" si="27"/>
        <v>0</v>
      </c>
      <c r="AC67" s="13">
        <f t="shared" si="28"/>
        <v>0</v>
      </c>
    </row>
    <row r="68" spans="1:29">
      <c r="A68">
        <v>0.04</v>
      </c>
      <c r="B68">
        <v>1.042</v>
      </c>
      <c r="C68">
        <v>0.33</v>
      </c>
      <c r="D68">
        <v>0.23899999999999999</v>
      </c>
      <c r="E68">
        <v>14.45</v>
      </c>
      <c r="F68">
        <v>-9.6199999999999994E-2</v>
      </c>
      <c r="G68" s="2">
        <v>3.8E-3</v>
      </c>
      <c r="H68">
        <v>4</v>
      </c>
      <c r="I68" s="2">
        <v>2.15E-3</v>
      </c>
      <c r="K68">
        <f>'G-P Exposure BF Coeff'!B63</f>
        <v>0.04</v>
      </c>
      <c r="L68">
        <f>'G-P Exposure BF Coeff'!C63</f>
        <v>1.042</v>
      </c>
      <c r="M68">
        <f>'G-P Exposure BF Coeff'!D63</f>
        <v>0.33</v>
      </c>
      <c r="N68">
        <f>'G-P Exposure BF Coeff'!E63</f>
        <v>0.23899999999999999</v>
      </c>
      <c r="O68">
        <f>'G-P Exposure BF Coeff'!F63</f>
        <v>14.45</v>
      </c>
      <c r="P68">
        <f>'G-P Exposure BF Coeff'!G63</f>
        <v>-9.6199999999999994E-2</v>
      </c>
      <c r="Q68">
        <f>'G-P Exposure BF Coeff'!H63</f>
        <v>3.8E-3</v>
      </c>
      <c r="R68">
        <f>'G-P Exposure BF Coeff'!I63</f>
        <v>4</v>
      </c>
      <c r="S68">
        <f>'G-P Exposure BF Coeff'!J63</f>
        <v>2.15E-3</v>
      </c>
      <c r="U68" s="13">
        <f t="shared" si="29"/>
        <v>0</v>
      </c>
      <c r="V68" s="13">
        <f t="shared" si="21"/>
        <v>0</v>
      </c>
      <c r="W68" s="13">
        <f t="shared" si="22"/>
        <v>0</v>
      </c>
      <c r="X68" s="13">
        <f t="shared" si="23"/>
        <v>0</v>
      </c>
      <c r="Y68" s="13">
        <f t="shared" si="24"/>
        <v>0</v>
      </c>
      <c r="Z68" s="13">
        <f t="shared" si="25"/>
        <v>0</v>
      </c>
      <c r="AA68" s="13">
        <f t="shared" si="26"/>
        <v>0</v>
      </c>
      <c r="AB68" s="13">
        <f t="shared" si="27"/>
        <v>0</v>
      </c>
      <c r="AC68" s="13">
        <f t="shared" si="28"/>
        <v>0</v>
      </c>
    </row>
    <row r="69" spans="1:29">
      <c r="A69">
        <v>0.05</v>
      </c>
      <c r="B69">
        <v>1.071</v>
      </c>
      <c r="C69">
        <v>0.35299999999999998</v>
      </c>
      <c r="D69">
        <v>0.24299999999999999</v>
      </c>
      <c r="E69">
        <v>12.89</v>
      </c>
      <c r="F69">
        <v>-0.14069999999999999</v>
      </c>
      <c r="G69" s="2">
        <v>3.8999999999999998E-3</v>
      </c>
      <c r="H69">
        <v>0.5</v>
      </c>
      <c r="I69" s="2">
        <v>1.6299999999999999E-3</v>
      </c>
      <c r="K69">
        <f>'G-P Exposure BF Coeff'!B64</f>
        <v>0.05</v>
      </c>
      <c r="L69">
        <f>'G-P Exposure BF Coeff'!C64</f>
        <v>1.071</v>
      </c>
      <c r="M69">
        <f>'G-P Exposure BF Coeff'!D64</f>
        <v>0.35299999999999998</v>
      </c>
      <c r="N69">
        <f>'G-P Exposure BF Coeff'!E64</f>
        <v>0.24299999999999999</v>
      </c>
      <c r="O69">
        <f>'G-P Exposure BF Coeff'!F64</f>
        <v>12.89</v>
      </c>
      <c r="P69">
        <f>'G-P Exposure BF Coeff'!G64</f>
        <v>-0.14069999999999999</v>
      </c>
      <c r="Q69">
        <f>'G-P Exposure BF Coeff'!H64</f>
        <v>3.8999999999999998E-3</v>
      </c>
      <c r="R69">
        <f>'G-P Exposure BF Coeff'!I64</f>
        <v>0.5</v>
      </c>
      <c r="S69">
        <f>'G-P Exposure BF Coeff'!J64</f>
        <v>1.6299999999999999E-3</v>
      </c>
      <c r="U69" s="13">
        <f t="shared" si="29"/>
        <v>0</v>
      </c>
      <c r="V69" s="13">
        <f t="shared" si="21"/>
        <v>0</v>
      </c>
      <c r="W69" s="13">
        <f t="shared" si="22"/>
        <v>0</v>
      </c>
      <c r="X69" s="13">
        <f t="shared" si="23"/>
        <v>0</v>
      </c>
      <c r="Y69" s="13">
        <f t="shared" si="24"/>
        <v>0</v>
      </c>
      <c r="Z69" s="13">
        <f t="shared" si="25"/>
        <v>0</v>
      </c>
      <c r="AA69" s="13">
        <f t="shared" si="26"/>
        <v>0</v>
      </c>
      <c r="AB69" s="13">
        <f t="shared" si="27"/>
        <v>0</v>
      </c>
      <c r="AC69" s="13">
        <f t="shared" si="28"/>
        <v>0</v>
      </c>
    </row>
    <row r="70" spans="1:29">
      <c r="A70">
        <v>0.06</v>
      </c>
      <c r="B70">
        <v>1.109</v>
      </c>
      <c r="C70">
        <v>0.36399999999999999</v>
      </c>
      <c r="D70">
        <v>0.23699999999999999</v>
      </c>
      <c r="E70">
        <v>13.54</v>
      </c>
      <c r="F70">
        <v>-0.13489999999999999</v>
      </c>
      <c r="G70" s="2">
        <v>9.1999999999999998E-3</v>
      </c>
      <c r="H70">
        <v>0.5</v>
      </c>
      <c r="I70" s="2">
        <v>4.1000000000000003E-3</v>
      </c>
      <c r="K70">
        <f>'G-P Exposure BF Coeff'!B65</f>
        <v>0.06</v>
      </c>
      <c r="L70">
        <f>'G-P Exposure BF Coeff'!C65</f>
        <v>1.109</v>
      </c>
      <c r="M70">
        <f>'G-P Exposure BF Coeff'!D65</f>
        <v>0.36399999999999999</v>
      </c>
      <c r="N70">
        <f>'G-P Exposure BF Coeff'!E65</f>
        <v>0.23699999999999999</v>
      </c>
      <c r="O70">
        <f>'G-P Exposure BF Coeff'!F65</f>
        <v>13.54</v>
      </c>
      <c r="P70">
        <f>'G-P Exposure BF Coeff'!G65</f>
        <v>-0.13489999999999999</v>
      </c>
      <c r="Q70">
        <f>'G-P Exposure BF Coeff'!H65</f>
        <v>9.1999999999999998E-3</v>
      </c>
      <c r="R70">
        <f>'G-P Exposure BF Coeff'!I65</f>
        <v>0.5</v>
      </c>
      <c r="S70">
        <f>'G-P Exposure BF Coeff'!J65</f>
        <v>4.1000000000000003E-3</v>
      </c>
      <c r="U70" s="13">
        <f t="shared" si="29"/>
        <v>0</v>
      </c>
      <c r="V70" s="13">
        <f t="shared" si="21"/>
        <v>0</v>
      </c>
      <c r="W70" s="13">
        <f t="shared" si="22"/>
        <v>0</v>
      </c>
      <c r="X70" s="13">
        <f t="shared" si="23"/>
        <v>0</v>
      </c>
      <c r="Y70" s="13">
        <f t="shared" si="24"/>
        <v>0</v>
      </c>
      <c r="Z70" s="13">
        <f t="shared" si="25"/>
        <v>0</v>
      </c>
      <c r="AA70" s="13">
        <f t="shared" si="26"/>
        <v>0</v>
      </c>
      <c r="AB70" s="13">
        <f t="shared" si="27"/>
        <v>0</v>
      </c>
      <c r="AC70" s="13">
        <f t="shared" si="28"/>
        <v>0</v>
      </c>
    </row>
    <row r="71" spans="1:29">
      <c r="A71">
        <v>0.08</v>
      </c>
      <c r="B71">
        <v>1.1890000000000001</v>
      </c>
      <c r="C71">
        <v>0.44600000000000001</v>
      </c>
      <c r="D71">
        <v>0.192</v>
      </c>
      <c r="E71">
        <v>13.97</v>
      </c>
      <c r="F71">
        <v>-0.1094</v>
      </c>
      <c r="G71" s="2">
        <v>2.0799999999999999E-2</v>
      </c>
      <c r="H71">
        <v>0.5</v>
      </c>
      <c r="I71" s="2">
        <v>7.4799999999999997E-3</v>
      </c>
      <c r="K71">
        <f>'G-P Exposure BF Coeff'!B66</f>
        <v>0.08</v>
      </c>
      <c r="L71">
        <f>'G-P Exposure BF Coeff'!C66</f>
        <v>1.1890000000000001</v>
      </c>
      <c r="M71">
        <f>'G-P Exposure BF Coeff'!D66</f>
        <v>0.44600000000000001</v>
      </c>
      <c r="N71">
        <f>'G-P Exposure BF Coeff'!E66</f>
        <v>0.192</v>
      </c>
      <c r="O71">
        <f>'G-P Exposure BF Coeff'!F66</f>
        <v>13.97</v>
      </c>
      <c r="P71">
        <f>'G-P Exposure BF Coeff'!G66</f>
        <v>-0.1094</v>
      </c>
      <c r="Q71">
        <f>'G-P Exposure BF Coeff'!H66</f>
        <v>2.0799999999999999E-2</v>
      </c>
      <c r="R71">
        <f>'G-P Exposure BF Coeff'!I66</f>
        <v>0.5</v>
      </c>
      <c r="S71">
        <f>'G-P Exposure BF Coeff'!J66</f>
        <v>7.4799999999999997E-3</v>
      </c>
      <c r="U71" s="13">
        <f t="shared" si="29"/>
        <v>0</v>
      </c>
      <c r="V71" s="13">
        <f t="shared" si="21"/>
        <v>0</v>
      </c>
      <c r="W71" s="13">
        <f t="shared" si="22"/>
        <v>0</v>
      </c>
      <c r="X71" s="13">
        <f t="shared" si="23"/>
        <v>0</v>
      </c>
      <c r="Y71" s="13">
        <f t="shared" si="24"/>
        <v>0</v>
      </c>
      <c r="Z71" s="13">
        <f t="shared" si="25"/>
        <v>0</v>
      </c>
      <c r="AA71" s="13">
        <f t="shared" si="26"/>
        <v>0</v>
      </c>
      <c r="AB71" s="13">
        <f t="shared" si="27"/>
        <v>0</v>
      </c>
      <c r="AC71" s="13">
        <f t="shared" si="28"/>
        <v>0</v>
      </c>
    </row>
    <row r="72" spans="1:29">
      <c r="A72">
        <v>0.1</v>
      </c>
      <c r="B72">
        <v>1.2869999999999999</v>
      </c>
      <c r="C72">
        <v>0.50700000000000001</v>
      </c>
      <c r="D72">
        <v>0.16500000000000001</v>
      </c>
      <c r="E72">
        <v>13.89</v>
      </c>
      <c r="F72">
        <v>-9.2399999999999996E-2</v>
      </c>
      <c r="G72" s="2">
        <v>2.3699999999999999E-2</v>
      </c>
      <c r="H72">
        <v>0.5</v>
      </c>
      <c r="I72" s="2">
        <v>9.2099999999999994E-3</v>
      </c>
      <c r="K72">
        <f>'G-P Exposure BF Coeff'!B67</f>
        <v>0.1</v>
      </c>
      <c r="L72">
        <f>'G-P Exposure BF Coeff'!C67</f>
        <v>1.2869999999999999</v>
      </c>
      <c r="M72">
        <f>'G-P Exposure BF Coeff'!D67</f>
        <v>0.50700000000000001</v>
      </c>
      <c r="N72">
        <f>'G-P Exposure BF Coeff'!E67</f>
        <v>0.16500000000000001</v>
      </c>
      <c r="O72">
        <f>'G-P Exposure BF Coeff'!F67</f>
        <v>13.89</v>
      </c>
      <c r="P72">
        <f>'G-P Exposure BF Coeff'!G67</f>
        <v>-9.2399999999999996E-2</v>
      </c>
      <c r="Q72">
        <f>'G-P Exposure BF Coeff'!H67</f>
        <v>2.3699999999999999E-2</v>
      </c>
      <c r="R72">
        <f>'G-P Exposure BF Coeff'!I67</f>
        <v>0.5</v>
      </c>
      <c r="S72">
        <f>'G-P Exposure BF Coeff'!J67</f>
        <v>9.2099999999999994E-3</v>
      </c>
      <c r="U72" s="13">
        <f t="shared" si="29"/>
        <v>0</v>
      </c>
      <c r="V72" s="13">
        <f t="shared" si="21"/>
        <v>0</v>
      </c>
      <c r="W72" s="13">
        <f t="shared" si="22"/>
        <v>0</v>
      </c>
      <c r="X72" s="13">
        <f t="shared" si="23"/>
        <v>0</v>
      </c>
      <c r="Y72" s="13">
        <f t="shared" si="24"/>
        <v>0</v>
      </c>
      <c r="Z72" s="13">
        <f t="shared" si="25"/>
        <v>0</v>
      </c>
      <c r="AA72" s="13">
        <f t="shared" si="26"/>
        <v>0</v>
      </c>
      <c r="AB72" s="13">
        <f t="shared" si="27"/>
        <v>0</v>
      </c>
      <c r="AC72" s="13">
        <f t="shared" si="28"/>
        <v>0</v>
      </c>
    </row>
    <row r="73" spans="1:29">
      <c r="A73">
        <v>0.15</v>
      </c>
      <c r="B73">
        <v>1.518</v>
      </c>
      <c r="C73">
        <v>0.67500000000000004</v>
      </c>
      <c r="D73">
        <v>0.1</v>
      </c>
      <c r="E73">
        <v>13.99</v>
      </c>
      <c r="F73">
        <v>-5.5500000000000001E-2</v>
      </c>
      <c r="G73" s="2">
        <v>3.1E-2</v>
      </c>
      <c r="H73">
        <v>0.5</v>
      </c>
      <c r="I73" s="2">
        <v>1.1089999999999999E-2</v>
      </c>
      <c r="K73">
        <f>'G-P Exposure BF Coeff'!B68</f>
        <v>0.15</v>
      </c>
      <c r="L73">
        <f>'G-P Exposure BF Coeff'!C68</f>
        <v>1.518</v>
      </c>
      <c r="M73">
        <f>'G-P Exposure BF Coeff'!D68</f>
        <v>0.67500000000000004</v>
      </c>
      <c r="N73">
        <f>'G-P Exposure BF Coeff'!E68</f>
        <v>0.1</v>
      </c>
      <c r="O73">
        <f>'G-P Exposure BF Coeff'!F68</f>
        <v>13.99</v>
      </c>
      <c r="P73">
        <f>'G-P Exposure BF Coeff'!G68</f>
        <v>-5.5500000000000001E-2</v>
      </c>
      <c r="Q73">
        <f>'G-P Exposure BF Coeff'!H68</f>
        <v>3.1E-2</v>
      </c>
      <c r="R73">
        <f>'G-P Exposure BF Coeff'!I68</f>
        <v>0.5</v>
      </c>
      <c r="S73">
        <f>'G-P Exposure BF Coeff'!J68</f>
        <v>1.1089999999999999E-2</v>
      </c>
      <c r="U73" s="13">
        <f t="shared" si="29"/>
        <v>0</v>
      </c>
      <c r="V73" s="13">
        <f t="shared" si="21"/>
        <v>0</v>
      </c>
      <c r="W73" s="13">
        <f t="shared" si="22"/>
        <v>0</v>
      </c>
      <c r="X73" s="13">
        <f t="shared" si="23"/>
        <v>0</v>
      </c>
      <c r="Y73" s="13">
        <f t="shared" si="24"/>
        <v>0</v>
      </c>
      <c r="Z73" s="13">
        <f t="shared" si="25"/>
        <v>0</v>
      </c>
      <c r="AA73" s="13">
        <f t="shared" si="26"/>
        <v>0</v>
      </c>
      <c r="AB73" s="13">
        <f t="shared" si="27"/>
        <v>0</v>
      </c>
      <c r="AC73" s="13">
        <f t="shared" si="28"/>
        <v>0</v>
      </c>
    </row>
    <row r="74" spans="1:29">
      <c r="A74">
        <v>0.2</v>
      </c>
      <c r="B74">
        <v>1.6950000000000001</v>
      </c>
      <c r="C74">
        <v>0.83499999999999996</v>
      </c>
      <c r="D74">
        <v>5.1999999999999998E-2</v>
      </c>
      <c r="E74">
        <v>13.62</v>
      </c>
      <c r="F74">
        <v>-3.6400000000000002E-2</v>
      </c>
      <c r="G74" s="2">
        <v>3.1E-2</v>
      </c>
      <c r="H74">
        <v>0.5</v>
      </c>
      <c r="I74" s="2">
        <v>1.163E-2</v>
      </c>
      <c r="K74">
        <f>'G-P Exposure BF Coeff'!B69</f>
        <v>0.2</v>
      </c>
      <c r="L74">
        <f>'G-P Exposure BF Coeff'!C69</f>
        <v>1.6950000000000001</v>
      </c>
      <c r="M74">
        <f>'G-P Exposure BF Coeff'!D69</f>
        <v>0.83499999999999996</v>
      </c>
      <c r="N74">
        <f>'G-P Exposure BF Coeff'!E69</f>
        <v>5.1999999999999998E-2</v>
      </c>
      <c r="O74">
        <f>'G-P Exposure BF Coeff'!F69</f>
        <v>13.62</v>
      </c>
      <c r="P74">
        <f>'G-P Exposure BF Coeff'!G69</f>
        <v>-3.6400000000000002E-2</v>
      </c>
      <c r="Q74">
        <f>'G-P Exposure BF Coeff'!H69</f>
        <v>3.1E-2</v>
      </c>
      <c r="R74">
        <f>'G-P Exposure BF Coeff'!I69</f>
        <v>0.5</v>
      </c>
      <c r="S74">
        <f>'G-P Exposure BF Coeff'!J69</f>
        <v>1.163E-2</v>
      </c>
      <c r="U74" s="13">
        <f t="shared" si="29"/>
        <v>0</v>
      </c>
      <c r="V74" s="13">
        <f t="shared" si="21"/>
        <v>0</v>
      </c>
      <c r="W74" s="13">
        <f t="shared" si="22"/>
        <v>0</v>
      </c>
      <c r="X74" s="13">
        <f t="shared" si="23"/>
        <v>0</v>
      </c>
      <c r="Y74" s="13">
        <f t="shared" si="24"/>
        <v>0</v>
      </c>
      <c r="Z74" s="13">
        <f t="shared" si="25"/>
        <v>0</v>
      </c>
      <c r="AA74" s="13">
        <f t="shared" si="26"/>
        <v>0</v>
      </c>
      <c r="AB74" s="13">
        <f t="shared" si="27"/>
        <v>0</v>
      </c>
      <c r="AC74" s="13">
        <f t="shared" si="28"/>
        <v>0</v>
      </c>
    </row>
    <row r="75" spans="1:29">
      <c r="A75">
        <v>0.3</v>
      </c>
      <c r="B75">
        <v>1.865</v>
      </c>
      <c r="C75">
        <v>1.0229999999999999</v>
      </c>
      <c r="D75">
        <v>5.0000000000000001E-3</v>
      </c>
      <c r="E75">
        <v>12.51</v>
      </c>
      <c r="F75">
        <v>-1.9699999999999999E-2</v>
      </c>
      <c r="G75" s="2">
        <v>2.69E-2</v>
      </c>
      <c r="H75">
        <v>0.5</v>
      </c>
      <c r="I75" s="2">
        <v>1.004E-2</v>
      </c>
      <c r="K75">
        <f>'G-P Exposure BF Coeff'!B70</f>
        <v>0.3</v>
      </c>
      <c r="L75">
        <f>'G-P Exposure BF Coeff'!C70</f>
        <v>1.865</v>
      </c>
      <c r="M75">
        <f>'G-P Exposure BF Coeff'!D70</f>
        <v>1.0229999999999999</v>
      </c>
      <c r="N75">
        <f>'G-P Exposure BF Coeff'!E70</f>
        <v>5.0000000000000001E-3</v>
      </c>
      <c r="O75">
        <f>'G-P Exposure BF Coeff'!F70</f>
        <v>12.51</v>
      </c>
      <c r="P75">
        <f>'G-P Exposure BF Coeff'!G70</f>
        <v>-1.9699999999999999E-2</v>
      </c>
      <c r="Q75">
        <f>'G-P Exposure BF Coeff'!H70</f>
        <v>2.69E-2</v>
      </c>
      <c r="R75">
        <f>'G-P Exposure BF Coeff'!I70</f>
        <v>0.5</v>
      </c>
      <c r="S75">
        <f>'G-P Exposure BF Coeff'!J70</f>
        <v>1.004E-2</v>
      </c>
      <c r="U75" s="13">
        <f t="shared" si="29"/>
        <v>0</v>
      </c>
      <c r="V75" s="13">
        <f t="shared" si="21"/>
        <v>0</v>
      </c>
      <c r="W75" s="13">
        <f t="shared" si="22"/>
        <v>0</v>
      </c>
      <c r="X75" s="13">
        <f t="shared" si="23"/>
        <v>0</v>
      </c>
      <c r="Y75" s="13">
        <f t="shared" si="24"/>
        <v>0</v>
      </c>
      <c r="Z75" s="13">
        <f t="shared" si="25"/>
        <v>0</v>
      </c>
      <c r="AA75" s="13">
        <f t="shared" si="26"/>
        <v>0</v>
      </c>
      <c r="AB75" s="13">
        <f t="shared" si="27"/>
        <v>0</v>
      </c>
      <c r="AC75" s="13">
        <f t="shared" si="28"/>
        <v>0</v>
      </c>
    </row>
    <row r="76" spans="1:29">
      <c r="A76">
        <v>0.4</v>
      </c>
      <c r="B76">
        <v>1.9079999999999999</v>
      </c>
      <c r="C76">
        <v>1.135</v>
      </c>
      <c r="D76">
        <v>-1.7999999999999999E-2</v>
      </c>
      <c r="E76">
        <v>11.46</v>
      </c>
      <c r="F76">
        <v>-1.37E-2</v>
      </c>
      <c r="G76" s="2">
        <v>2.1600000000000001E-2</v>
      </c>
      <c r="H76">
        <v>0.5</v>
      </c>
      <c r="I76" s="2">
        <v>8.6199999999999992E-3</v>
      </c>
      <c r="K76">
        <f>'G-P Exposure BF Coeff'!B71</f>
        <v>0.4</v>
      </c>
      <c r="L76">
        <f>'G-P Exposure BF Coeff'!C71</f>
        <v>1.9079999999999999</v>
      </c>
      <c r="M76">
        <f>'G-P Exposure BF Coeff'!D71</f>
        <v>1.135</v>
      </c>
      <c r="N76">
        <f>'G-P Exposure BF Coeff'!E71</f>
        <v>-1.7999999999999999E-2</v>
      </c>
      <c r="O76">
        <f>'G-P Exposure BF Coeff'!F71</f>
        <v>11.46</v>
      </c>
      <c r="P76">
        <f>'G-P Exposure BF Coeff'!G71</f>
        <v>-1.37E-2</v>
      </c>
      <c r="Q76">
        <f>'G-P Exposure BF Coeff'!H71</f>
        <v>2.1600000000000001E-2</v>
      </c>
      <c r="R76">
        <f>'G-P Exposure BF Coeff'!I71</f>
        <v>0.5</v>
      </c>
      <c r="S76">
        <f>'G-P Exposure BF Coeff'!J71</f>
        <v>8.6199999999999992E-3</v>
      </c>
      <c r="U76" s="13">
        <f t="shared" si="29"/>
        <v>0</v>
      </c>
      <c r="V76" s="13">
        <f t="shared" si="21"/>
        <v>0</v>
      </c>
      <c r="W76" s="13">
        <f t="shared" si="22"/>
        <v>0</v>
      </c>
      <c r="X76" s="13">
        <f t="shared" si="23"/>
        <v>0</v>
      </c>
      <c r="Y76" s="13">
        <f t="shared" si="24"/>
        <v>0</v>
      </c>
      <c r="Z76" s="13">
        <f t="shared" si="25"/>
        <v>0</v>
      </c>
      <c r="AA76" s="13">
        <f t="shared" si="26"/>
        <v>0</v>
      </c>
      <c r="AB76" s="13">
        <f t="shared" si="27"/>
        <v>0</v>
      </c>
      <c r="AC76" s="13">
        <f t="shared" si="28"/>
        <v>0</v>
      </c>
    </row>
    <row r="77" spans="1:29">
      <c r="A77">
        <v>0.5</v>
      </c>
      <c r="B77">
        <v>1.899</v>
      </c>
      <c r="C77">
        <v>1.2150000000000001</v>
      </c>
      <c r="D77">
        <v>-3.7999999999999999E-2</v>
      </c>
      <c r="E77">
        <v>16.22</v>
      </c>
      <c r="F77">
        <v>2.5999999999999999E-3</v>
      </c>
      <c r="G77" s="2">
        <v>2.4199999999999999E-2</v>
      </c>
      <c r="H77">
        <v>0.5</v>
      </c>
      <c r="I77" s="2">
        <v>9.8600000000000007E-3</v>
      </c>
      <c r="K77">
        <f>'G-P Exposure BF Coeff'!B72</f>
        <v>0.5</v>
      </c>
      <c r="L77" s="16">
        <f>'G-P Exposure BF Coeff'!C72</f>
        <v>1.909</v>
      </c>
      <c r="M77" s="16">
        <f>'G-P Exposure BF Coeff'!D72</f>
        <v>1.1890000000000001</v>
      </c>
      <c r="N77" s="16">
        <f>'G-P Exposure BF Coeff'!E72</f>
        <v>-2.9000000000000001E-2</v>
      </c>
      <c r="O77" s="16">
        <f>'G-P Exposure BF Coeff'!F72</f>
        <v>9.92</v>
      </c>
      <c r="P77" s="16">
        <f>'G-P Exposure BF Coeff'!G72</f>
        <v>-1.06E-2</v>
      </c>
      <c r="Q77">
        <f>'G-P Exposure BF Coeff'!H72</f>
        <v>1.8800000000000001E-2</v>
      </c>
      <c r="R77">
        <f>'G-P Exposure BF Coeff'!I72</f>
        <v>0.5</v>
      </c>
      <c r="S77">
        <f>'G-P Exposure BF Coeff'!J72</f>
        <v>7.7299999999999999E-3</v>
      </c>
      <c r="U77" s="13">
        <f t="shared" si="29"/>
        <v>0</v>
      </c>
      <c r="V77" s="13">
        <f t="shared" si="21"/>
        <v>5.2383446830801513E-3</v>
      </c>
      <c r="W77" s="13">
        <f t="shared" si="22"/>
        <v>-2.1867115222876383E-2</v>
      </c>
      <c r="X77" s="13">
        <f t="shared" si="23"/>
        <v>-0.3103448275862068</v>
      </c>
      <c r="Y77" s="13">
        <f t="shared" si="24"/>
        <v>-0.63508064516129026</v>
      </c>
      <c r="Z77" s="13">
        <f t="shared" si="25"/>
        <v>1.2452830188679245</v>
      </c>
      <c r="AA77" s="13">
        <f t="shared" si="26"/>
        <v>-0.2872340425531914</v>
      </c>
      <c r="AB77" s="13">
        <f t="shared" si="27"/>
        <v>0</v>
      </c>
      <c r="AC77" s="13">
        <f t="shared" si="28"/>
        <v>-0.275549805950841</v>
      </c>
    </row>
    <row r="78" spans="1:29">
      <c r="A78">
        <v>0.6</v>
      </c>
      <c r="B78">
        <v>1.8819999999999999</v>
      </c>
      <c r="C78">
        <v>1.2350000000000001</v>
      </c>
      <c r="D78">
        <v>-4.2000000000000003E-2</v>
      </c>
      <c r="E78">
        <v>23.77</v>
      </c>
      <c r="F78">
        <v>6.1999999999999998E-3</v>
      </c>
      <c r="G78" s="2">
        <v>2.4400000000000002E-2</v>
      </c>
      <c r="H78">
        <v>0.5</v>
      </c>
      <c r="I78" s="2">
        <v>8.3400000000000002E-3</v>
      </c>
      <c r="K78">
        <f>'G-P Exposure BF Coeff'!B73</f>
        <v>0.6</v>
      </c>
      <c r="L78" s="16">
        <f>'G-P Exposure BF Coeff'!C73</f>
        <v>1.889</v>
      </c>
      <c r="M78" s="16">
        <f>'G-P Exposure BF Coeff'!D73</f>
        <v>1.216</v>
      </c>
      <c r="N78" s="16">
        <f>'G-P Exposure BF Coeff'!E73</f>
        <v>-3.5000000000000003E-2</v>
      </c>
      <c r="O78" s="16">
        <f>'G-P Exposure BF Coeff'!F73</f>
        <v>8.5299999999999994</v>
      </c>
      <c r="P78" s="16">
        <f>'G-P Exposure BF Coeff'!G73</f>
        <v>-9.1000000000000004E-3</v>
      </c>
      <c r="Q78">
        <f>'G-P Exposure BF Coeff'!H73</f>
        <v>2.06E-2</v>
      </c>
      <c r="R78">
        <f>'G-P Exposure BF Coeff'!I73</f>
        <v>0.5</v>
      </c>
      <c r="S78">
        <f>'G-P Exposure BF Coeff'!J73</f>
        <v>6.6100000000000004E-3</v>
      </c>
      <c r="U78" s="13">
        <f t="shared" si="29"/>
        <v>0</v>
      </c>
      <c r="V78" s="13">
        <f t="shared" si="21"/>
        <v>3.7056643726840217E-3</v>
      </c>
      <c r="W78" s="13">
        <f t="shared" si="22"/>
        <v>-1.5625000000000104E-2</v>
      </c>
      <c r="X78" s="13">
        <f t="shared" si="23"/>
        <v>-0.19999999999999996</v>
      </c>
      <c r="Y78" s="13">
        <f t="shared" si="24"/>
        <v>-1.7866354044548654</v>
      </c>
      <c r="Z78" s="13">
        <f t="shared" si="25"/>
        <v>1.6813186813186813</v>
      </c>
      <c r="AA78" s="13">
        <f t="shared" si="26"/>
        <v>-0.18446601941747579</v>
      </c>
      <c r="AB78" s="13">
        <f t="shared" si="27"/>
        <v>0</v>
      </c>
      <c r="AC78" s="13">
        <f t="shared" si="28"/>
        <v>-0.26172465960665653</v>
      </c>
    </row>
    <row r="79" spans="1:29">
      <c r="A79">
        <v>0.8</v>
      </c>
      <c r="B79">
        <v>1.8540000000000001</v>
      </c>
      <c r="C79">
        <v>1.2390000000000001</v>
      </c>
      <c r="D79">
        <v>-4.3999999999999997E-2</v>
      </c>
      <c r="E79">
        <v>17.25</v>
      </c>
      <c r="F79">
        <v>5.7000000000000002E-3</v>
      </c>
      <c r="G79" s="2">
        <v>1.35E-2</v>
      </c>
      <c r="H79">
        <v>0.5</v>
      </c>
      <c r="I79" s="2">
        <v>7.0000000000000001E-3</v>
      </c>
      <c r="K79">
        <f>'G-P Exposure BF Coeff'!B74</f>
        <v>0.8</v>
      </c>
      <c r="L79" s="16">
        <f>'G-P Exposure BF Coeff'!C74</f>
        <v>1.847</v>
      </c>
      <c r="M79" s="16">
        <f>'G-P Exposure BF Coeff'!D74</f>
        <v>1.226</v>
      </c>
      <c r="N79" s="16">
        <f>'G-P Exposure BF Coeff'!E74</f>
        <v>-3.6999999999999998E-2</v>
      </c>
      <c r="O79" s="16">
        <f>'G-P Exposure BF Coeff'!F74</f>
        <v>7.03</v>
      </c>
      <c r="P79" s="16">
        <f>'G-P Exposure BF Coeff'!G74</f>
        <v>-1.18E-2</v>
      </c>
      <c r="Q79">
        <f>'G-P Exposure BF Coeff'!H74</f>
        <v>1.46E-2</v>
      </c>
      <c r="R79">
        <f>'G-P Exposure BF Coeff'!I74</f>
        <v>0.5</v>
      </c>
      <c r="S79">
        <f>'G-P Exposure BF Coeff'!J74</f>
        <v>5.1700000000000001E-3</v>
      </c>
      <c r="U79" s="13">
        <f t="shared" si="29"/>
        <v>0</v>
      </c>
      <c r="V79" s="13">
        <f t="shared" si="21"/>
        <v>-3.789929615592917E-3</v>
      </c>
      <c r="W79" s="13">
        <f t="shared" si="22"/>
        <v>-1.0603588907014782E-2</v>
      </c>
      <c r="X79" s="13">
        <f t="shared" si="23"/>
        <v>-0.18918918918918917</v>
      </c>
      <c r="Y79" s="13">
        <f t="shared" si="24"/>
        <v>-1.4537695590327167</v>
      </c>
      <c r="Z79" s="13">
        <f t="shared" si="25"/>
        <v>1.4830508474576274</v>
      </c>
      <c r="AA79" s="13">
        <f t="shared" si="26"/>
        <v>7.5342465753424681E-2</v>
      </c>
      <c r="AB79" s="13">
        <f t="shared" si="27"/>
        <v>0</v>
      </c>
      <c r="AC79" s="13">
        <f t="shared" si="28"/>
        <v>-0.35396518375241781</v>
      </c>
    </row>
    <row r="80" spans="1:29">
      <c r="A80">
        <v>1</v>
      </c>
      <c r="B80">
        <v>1.8129999999999999</v>
      </c>
      <c r="C80">
        <v>1.226</v>
      </c>
      <c r="D80">
        <v>-4.2999999999999997E-2</v>
      </c>
      <c r="E80">
        <v>21.74</v>
      </c>
      <c r="F80">
        <v>1.2E-2</v>
      </c>
      <c r="G80" s="2">
        <v>1.23E-2</v>
      </c>
      <c r="H80">
        <v>0.5</v>
      </c>
      <c r="I80" s="2">
        <v>4.6899999999999997E-3</v>
      </c>
      <c r="K80">
        <f>'G-P Exposure BF Coeff'!B75</f>
        <v>1</v>
      </c>
      <c r="L80" s="16">
        <f>'G-P Exposure BF Coeff'!C75</f>
        <v>1.8160000000000001</v>
      </c>
      <c r="M80" s="16">
        <f>'G-P Exposure BF Coeff'!D75</f>
        <v>1.204</v>
      </c>
      <c r="N80" s="16">
        <f>'G-P Exposure BF Coeff'!E75</f>
        <v>-3.4000000000000002E-2</v>
      </c>
      <c r="O80" s="16">
        <f>'G-P Exposure BF Coeff'!F75</f>
        <v>7.47</v>
      </c>
      <c r="P80" s="16">
        <f>'G-P Exposure BF Coeff'!G75</f>
        <v>-1.14E-2</v>
      </c>
      <c r="Q80">
        <f>'G-P Exposure BF Coeff'!H75</f>
        <v>9.4999999999999998E-3</v>
      </c>
      <c r="R80">
        <f>'G-P Exposure BF Coeff'!I75</f>
        <v>0.5</v>
      </c>
      <c r="S80">
        <f>'G-P Exposure BF Coeff'!J75</f>
        <v>4.3400000000000001E-3</v>
      </c>
      <c r="U80" s="13">
        <f t="shared" si="29"/>
        <v>0</v>
      </c>
      <c r="V80" s="13">
        <f t="shared" si="21"/>
        <v>1.651982378854688E-3</v>
      </c>
      <c r="W80" s="13">
        <f t="shared" si="22"/>
        <v>-1.8272425249169451E-2</v>
      </c>
      <c r="X80" s="13">
        <f t="shared" si="23"/>
        <v>-0.26470588235294096</v>
      </c>
      <c r="Y80" s="13">
        <f t="shared" si="24"/>
        <v>-1.9103078982597055</v>
      </c>
      <c r="Z80" s="13">
        <f t="shared" si="25"/>
        <v>2.0526315789473686</v>
      </c>
      <c r="AA80" s="13">
        <f t="shared" si="26"/>
        <v>-0.29473684210526319</v>
      </c>
      <c r="AB80" s="13">
        <f t="shared" si="27"/>
        <v>0</v>
      </c>
      <c r="AC80" s="13">
        <f t="shared" si="28"/>
        <v>-8.0645161290322495E-2</v>
      </c>
    </row>
    <row r="81" spans="1:29">
      <c r="A81">
        <v>1.5</v>
      </c>
      <c r="B81">
        <v>1.7330000000000001</v>
      </c>
      <c r="C81">
        <v>1.1850000000000001</v>
      </c>
      <c r="D81">
        <v>-3.6999999999999998E-2</v>
      </c>
      <c r="E81">
        <v>18.36</v>
      </c>
      <c r="F81">
        <v>1.06E-2</v>
      </c>
      <c r="G81" s="2">
        <v>8.3999999999999995E-3</v>
      </c>
      <c r="H81">
        <v>0.5</v>
      </c>
      <c r="I81" s="2">
        <v>3.0200000000000001E-3</v>
      </c>
      <c r="K81">
        <f>'G-P Exposure BF Coeff'!B76</f>
        <v>1.5</v>
      </c>
      <c r="L81">
        <f>'G-P Exposure BF Coeff'!C76</f>
        <v>1.7330000000000001</v>
      </c>
      <c r="M81">
        <f>'G-P Exposure BF Coeff'!D76</f>
        <v>1.1850000000000001</v>
      </c>
      <c r="N81">
        <f>'G-P Exposure BF Coeff'!E76</f>
        <v>-3.6999999999999998E-2</v>
      </c>
      <c r="O81">
        <f>'G-P Exposure BF Coeff'!F76</f>
        <v>18.36</v>
      </c>
      <c r="P81">
        <f>'G-P Exposure BF Coeff'!G76</f>
        <v>1.06E-2</v>
      </c>
      <c r="Q81">
        <f>'G-P Exposure BF Coeff'!H76</f>
        <v>8.3999999999999995E-3</v>
      </c>
      <c r="R81">
        <f>'G-P Exposure BF Coeff'!I76</f>
        <v>0.5</v>
      </c>
      <c r="S81">
        <f>'G-P Exposure BF Coeff'!J76</f>
        <v>3.0200000000000001E-3</v>
      </c>
      <c r="U81" s="13">
        <f t="shared" si="29"/>
        <v>0</v>
      </c>
      <c r="V81" s="13">
        <f t="shared" si="21"/>
        <v>0</v>
      </c>
      <c r="W81" s="13">
        <f t="shared" si="22"/>
        <v>0</v>
      </c>
      <c r="X81" s="13">
        <f t="shared" si="23"/>
        <v>0</v>
      </c>
      <c r="Y81" s="13">
        <f t="shared" si="24"/>
        <v>0</v>
      </c>
      <c r="Z81" s="13">
        <f t="shared" si="25"/>
        <v>0</v>
      </c>
      <c r="AA81" s="13">
        <f t="shared" si="26"/>
        <v>0</v>
      </c>
      <c r="AB81" s="13">
        <f t="shared" si="27"/>
        <v>0</v>
      </c>
      <c r="AC81" s="13">
        <f t="shared" si="28"/>
        <v>0</v>
      </c>
    </row>
    <row r="82" spans="1:29">
      <c r="A82">
        <v>2</v>
      </c>
      <c r="B82">
        <v>1.694</v>
      </c>
      <c r="C82">
        <v>1.1279999999999999</v>
      </c>
      <c r="D82">
        <v>-2.4E-2</v>
      </c>
      <c r="E82">
        <v>24.48</v>
      </c>
      <c r="F82">
        <v>2.5999999999999999E-3</v>
      </c>
      <c r="G82" s="2">
        <v>1.0999999999999999E-2</v>
      </c>
      <c r="H82">
        <v>0.5</v>
      </c>
      <c r="I82" s="2">
        <v>4.0800000000000003E-3</v>
      </c>
      <c r="K82">
        <f>'G-P Exposure BF Coeff'!B77</f>
        <v>2</v>
      </c>
      <c r="L82" s="16">
        <f>'G-P Exposure BF Coeff'!C77</f>
        <v>1.6950000000000001</v>
      </c>
      <c r="M82" s="16">
        <f>'G-P Exposure BF Coeff'!D77</f>
        <v>1.121</v>
      </c>
      <c r="N82" s="16">
        <f>'G-P Exposure BF Coeff'!E77</f>
        <v>-2.1000000000000001E-2</v>
      </c>
      <c r="O82" s="16">
        <f>'G-P Exposure BF Coeff'!F77</f>
        <v>8.9</v>
      </c>
      <c r="P82" s="16">
        <f>'G-P Exposure BF Coeff'!G77</f>
        <v>-4.1999999999999997E-3</v>
      </c>
      <c r="Q82">
        <f>'G-P Exposure BF Coeff'!H77</f>
        <v>1.01E-2</v>
      </c>
      <c r="R82">
        <f>'G-P Exposure BF Coeff'!I77</f>
        <v>0.5</v>
      </c>
      <c r="S82">
        <f>'G-P Exposure BF Coeff'!J77</f>
        <v>3.49E-3</v>
      </c>
      <c r="U82" s="13">
        <f t="shared" si="29"/>
        <v>0</v>
      </c>
      <c r="V82" s="13">
        <f t="shared" si="21"/>
        <v>5.8997050147499227E-4</v>
      </c>
      <c r="W82" s="13">
        <f t="shared" si="22"/>
        <v>-6.2444246208741257E-3</v>
      </c>
      <c r="X82" s="13">
        <f t="shared" si="23"/>
        <v>-0.14285714285714282</v>
      </c>
      <c r="Y82" s="13">
        <f t="shared" si="24"/>
        <v>-1.750561797752809</v>
      </c>
      <c r="Z82" s="13">
        <f t="shared" si="25"/>
        <v>1.6190476190476191</v>
      </c>
      <c r="AA82" s="13">
        <f t="shared" si="26"/>
        <v>-8.9108910891089091E-2</v>
      </c>
      <c r="AB82" s="13">
        <f t="shared" si="27"/>
        <v>0</v>
      </c>
      <c r="AC82" s="13">
        <f t="shared" si="28"/>
        <v>-0.16905444126074506</v>
      </c>
    </row>
    <row r="83" spans="1:29">
      <c r="A83">
        <v>3</v>
      </c>
      <c r="B83">
        <v>1.617</v>
      </c>
      <c r="C83">
        <v>1.0589999999999999</v>
      </c>
      <c r="D83">
        <v>-4.0000000000000001E-3</v>
      </c>
      <c r="E83">
        <v>12.21</v>
      </c>
      <c r="F83">
        <v>-1.46E-2</v>
      </c>
      <c r="G83" s="2">
        <v>1.2200000000000001E-2</v>
      </c>
      <c r="H83">
        <v>0.5</v>
      </c>
      <c r="I83" s="2">
        <v>6.0800000000000003E-3</v>
      </c>
      <c r="K83">
        <f>'G-P Exposure BF Coeff'!B78</f>
        <v>3</v>
      </c>
      <c r="L83">
        <f>'G-P Exposure BF Coeff'!C78</f>
        <v>1.617</v>
      </c>
      <c r="M83">
        <f>'G-P Exposure BF Coeff'!D78</f>
        <v>1.0589999999999999</v>
      </c>
      <c r="N83">
        <f>'G-P Exposure BF Coeff'!E78</f>
        <v>-4.0000000000000001E-3</v>
      </c>
      <c r="O83">
        <f>'G-P Exposure BF Coeff'!F78</f>
        <v>12.21</v>
      </c>
      <c r="P83">
        <f>'G-P Exposure BF Coeff'!G78</f>
        <v>-1.46E-2</v>
      </c>
      <c r="Q83">
        <f>'G-P Exposure BF Coeff'!H78</f>
        <v>1.2200000000000001E-2</v>
      </c>
      <c r="R83">
        <f>'G-P Exposure BF Coeff'!I78</f>
        <v>0.5</v>
      </c>
      <c r="S83">
        <f>'G-P Exposure BF Coeff'!J78</f>
        <v>6.0800000000000003E-3</v>
      </c>
      <c r="U83" s="13">
        <f t="shared" si="29"/>
        <v>0</v>
      </c>
      <c r="V83" s="13">
        <f t="shared" si="21"/>
        <v>0</v>
      </c>
      <c r="W83" s="13">
        <f t="shared" si="22"/>
        <v>0</v>
      </c>
      <c r="X83" s="13">
        <f t="shared" si="23"/>
        <v>0</v>
      </c>
      <c r="Y83" s="13">
        <f t="shared" si="24"/>
        <v>0</v>
      </c>
      <c r="Z83" s="13">
        <f t="shared" si="25"/>
        <v>0</v>
      </c>
      <c r="AA83" s="13">
        <f t="shared" si="26"/>
        <v>0</v>
      </c>
      <c r="AB83" s="13">
        <f t="shared" si="27"/>
        <v>0</v>
      </c>
      <c r="AC83" s="13">
        <f t="shared" si="28"/>
        <v>0</v>
      </c>
    </row>
    <row r="84" spans="1:29">
      <c r="A84">
        <v>4</v>
      </c>
      <c r="B84">
        <v>1.546</v>
      </c>
      <c r="C84">
        <v>1.022</v>
      </c>
      <c r="D84">
        <v>8.9999999999999993E-3</v>
      </c>
      <c r="E84">
        <v>12.92</v>
      </c>
      <c r="F84">
        <v>-2.58E-2</v>
      </c>
      <c r="G84" s="2">
        <v>2.1600000000000001E-2</v>
      </c>
      <c r="H84">
        <v>0.5</v>
      </c>
      <c r="I84" s="2">
        <v>9.7599999999999996E-3</v>
      </c>
      <c r="K84">
        <f>'G-P Exposure BF Coeff'!B79</f>
        <v>4</v>
      </c>
      <c r="L84">
        <f>'G-P Exposure BF Coeff'!C79</f>
        <v>1.546</v>
      </c>
      <c r="M84">
        <f>'G-P Exposure BF Coeff'!D79</f>
        <v>1.022</v>
      </c>
      <c r="N84">
        <f>'G-P Exposure BF Coeff'!E79</f>
        <v>8.9999999999999993E-3</v>
      </c>
      <c r="O84">
        <f>'G-P Exposure BF Coeff'!F79</f>
        <v>12.92</v>
      </c>
      <c r="P84">
        <f>'G-P Exposure BF Coeff'!G79</f>
        <v>-2.58E-2</v>
      </c>
      <c r="Q84">
        <f>'G-P Exposure BF Coeff'!H79</f>
        <v>2.1600000000000001E-2</v>
      </c>
      <c r="R84">
        <f>'G-P Exposure BF Coeff'!I79</f>
        <v>0.5</v>
      </c>
      <c r="S84">
        <f>'G-P Exposure BF Coeff'!J79</f>
        <v>9.7599999999999996E-3</v>
      </c>
      <c r="U84" s="13">
        <f t="shared" si="29"/>
        <v>0</v>
      </c>
      <c r="V84" s="13">
        <f t="shared" si="21"/>
        <v>0</v>
      </c>
      <c r="W84" s="13">
        <f t="shared" si="22"/>
        <v>0</v>
      </c>
      <c r="X84" s="13">
        <f t="shared" si="23"/>
        <v>0</v>
      </c>
      <c r="Y84" s="13">
        <f t="shared" si="24"/>
        <v>0</v>
      </c>
      <c r="Z84" s="13">
        <f t="shared" si="25"/>
        <v>0</v>
      </c>
      <c r="AA84" s="13">
        <f t="shared" si="26"/>
        <v>0</v>
      </c>
      <c r="AB84" s="13">
        <f t="shared" si="27"/>
        <v>0</v>
      </c>
      <c r="AC84" s="13">
        <f t="shared" si="28"/>
        <v>0</v>
      </c>
    </row>
    <row r="85" spans="1:29">
      <c r="A85">
        <v>5</v>
      </c>
      <c r="B85">
        <v>1.4790000000000001</v>
      </c>
      <c r="C85">
        <v>1.008</v>
      </c>
      <c r="D85">
        <v>1.4999999999999999E-2</v>
      </c>
      <c r="E85">
        <v>13.26</v>
      </c>
      <c r="F85">
        <v>-3.1E-2</v>
      </c>
      <c r="G85" s="2">
        <v>2.3900000000000001E-2</v>
      </c>
      <c r="H85">
        <v>0.5</v>
      </c>
      <c r="I85" s="2">
        <v>1.1050000000000001E-2</v>
      </c>
      <c r="K85">
        <f>'G-P Exposure BF Coeff'!B80</f>
        <v>5</v>
      </c>
      <c r="L85">
        <f>'G-P Exposure BF Coeff'!C80</f>
        <v>1.4790000000000001</v>
      </c>
      <c r="M85">
        <f>'G-P Exposure BF Coeff'!D80</f>
        <v>1.008</v>
      </c>
      <c r="N85">
        <f>'G-P Exposure BF Coeff'!E80</f>
        <v>1.4999999999999999E-2</v>
      </c>
      <c r="O85">
        <f>'G-P Exposure BF Coeff'!F80</f>
        <v>13.26</v>
      </c>
      <c r="P85">
        <f>'G-P Exposure BF Coeff'!G80</f>
        <v>-3.1E-2</v>
      </c>
      <c r="Q85">
        <f>'G-P Exposure BF Coeff'!H80</f>
        <v>2.3900000000000001E-2</v>
      </c>
      <c r="R85">
        <f>'G-P Exposure BF Coeff'!I80</f>
        <v>0.5</v>
      </c>
      <c r="S85">
        <f>'G-P Exposure BF Coeff'!J80</f>
        <v>1.1050000000000001E-2</v>
      </c>
      <c r="U85" s="13">
        <f t="shared" si="29"/>
        <v>0</v>
      </c>
      <c r="V85" s="13">
        <f t="shared" si="21"/>
        <v>0</v>
      </c>
      <c r="W85" s="13">
        <f t="shared" si="22"/>
        <v>0</v>
      </c>
      <c r="X85" s="13">
        <f t="shared" si="23"/>
        <v>0</v>
      </c>
      <c r="Y85" s="13">
        <f t="shared" si="24"/>
        <v>0</v>
      </c>
      <c r="Z85" s="13">
        <f t="shared" si="25"/>
        <v>0</v>
      </c>
      <c r="AA85" s="13">
        <f t="shared" si="26"/>
        <v>0</v>
      </c>
      <c r="AB85" s="13">
        <f t="shared" si="27"/>
        <v>0</v>
      </c>
      <c r="AC85" s="13">
        <f t="shared" si="28"/>
        <v>0</v>
      </c>
    </row>
    <row r="86" spans="1:29">
      <c r="A86">
        <v>6</v>
      </c>
      <c r="B86">
        <v>1.4279999999999999</v>
      </c>
      <c r="C86">
        <v>0.995</v>
      </c>
      <c r="D86">
        <v>2.1000000000000001E-2</v>
      </c>
      <c r="E86">
        <v>13.23</v>
      </c>
      <c r="F86">
        <v>-3.7100000000000001E-2</v>
      </c>
      <c r="G86" s="2">
        <v>2.8000000000000001E-2</v>
      </c>
      <c r="H86">
        <v>0.5</v>
      </c>
      <c r="I86" s="2">
        <v>1.201E-2</v>
      </c>
      <c r="K86">
        <f>'G-P Exposure BF Coeff'!B81</f>
        <v>6</v>
      </c>
      <c r="L86">
        <f>'G-P Exposure BF Coeff'!C81</f>
        <v>1.4279999999999999</v>
      </c>
      <c r="M86">
        <f>'G-P Exposure BF Coeff'!D81</f>
        <v>0.995</v>
      </c>
      <c r="N86">
        <f>'G-P Exposure BF Coeff'!E81</f>
        <v>2.1000000000000001E-2</v>
      </c>
      <c r="O86">
        <f>'G-P Exposure BF Coeff'!F81</f>
        <v>13.23</v>
      </c>
      <c r="P86">
        <f>'G-P Exposure BF Coeff'!G81</f>
        <v>-3.7100000000000001E-2</v>
      </c>
      <c r="Q86">
        <f>'G-P Exposure BF Coeff'!H81</f>
        <v>2.8000000000000001E-2</v>
      </c>
      <c r="R86">
        <f>'G-P Exposure BF Coeff'!I81</f>
        <v>0.5</v>
      </c>
      <c r="S86">
        <f>'G-P Exposure BF Coeff'!J81</f>
        <v>1.201E-2</v>
      </c>
      <c r="U86" s="13">
        <f t="shared" si="29"/>
        <v>0</v>
      </c>
      <c r="V86" s="13">
        <f t="shared" si="21"/>
        <v>0</v>
      </c>
      <c r="W86" s="13">
        <f t="shared" si="22"/>
        <v>0</v>
      </c>
      <c r="X86" s="13">
        <f t="shared" si="23"/>
        <v>0</v>
      </c>
      <c r="Y86" s="13">
        <f t="shared" si="24"/>
        <v>0</v>
      </c>
      <c r="Z86" s="13">
        <f t="shared" si="25"/>
        <v>0</v>
      </c>
      <c r="AA86" s="13">
        <f t="shared" si="26"/>
        <v>0</v>
      </c>
      <c r="AB86" s="13">
        <f t="shared" si="27"/>
        <v>0</v>
      </c>
      <c r="AC86" s="13">
        <f t="shared" si="28"/>
        <v>0</v>
      </c>
    </row>
    <row r="87" spans="1:29">
      <c r="A87">
        <v>8</v>
      </c>
      <c r="B87">
        <v>1.353</v>
      </c>
      <c r="C87">
        <v>0.96</v>
      </c>
      <c r="D87">
        <v>3.7999999999999999E-2</v>
      </c>
      <c r="E87">
        <v>13.5</v>
      </c>
      <c r="F87">
        <v>-5.4699999999999999E-2</v>
      </c>
      <c r="G87" s="2">
        <v>3.32E-2</v>
      </c>
      <c r="H87">
        <v>0.5</v>
      </c>
      <c r="I87" s="2">
        <v>1.576E-2</v>
      </c>
      <c r="K87">
        <f>'G-P Exposure BF Coeff'!B82</f>
        <v>8</v>
      </c>
      <c r="L87">
        <f>'G-P Exposure BF Coeff'!C82</f>
        <v>1.353</v>
      </c>
      <c r="M87">
        <f>'G-P Exposure BF Coeff'!D82</f>
        <v>0.96</v>
      </c>
      <c r="N87">
        <f>'G-P Exposure BF Coeff'!E82</f>
        <v>3.7999999999999999E-2</v>
      </c>
      <c r="O87">
        <f>'G-P Exposure BF Coeff'!F82</f>
        <v>13.5</v>
      </c>
      <c r="P87">
        <f>'G-P Exposure BF Coeff'!G82</f>
        <v>-5.4699999999999999E-2</v>
      </c>
      <c r="Q87">
        <f>'G-P Exposure BF Coeff'!H82</f>
        <v>3.32E-2</v>
      </c>
      <c r="R87">
        <f>'G-P Exposure BF Coeff'!I82</f>
        <v>0.5</v>
      </c>
      <c r="S87">
        <f>'G-P Exposure BF Coeff'!J82</f>
        <v>1.576E-2</v>
      </c>
      <c r="U87" s="13">
        <f t="shared" si="29"/>
        <v>0</v>
      </c>
      <c r="V87" s="13">
        <f t="shared" si="21"/>
        <v>0</v>
      </c>
      <c r="W87" s="13">
        <f t="shared" si="22"/>
        <v>0</v>
      </c>
      <c r="X87" s="13">
        <f t="shared" si="23"/>
        <v>0</v>
      </c>
      <c r="Y87" s="13">
        <f t="shared" si="24"/>
        <v>0</v>
      </c>
      <c r="Z87" s="13">
        <f t="shared" si="25"/>
        <v>0</v>
      </c>
      <c r="AA87" s="13">
        <f t="shared" si="26"/>
        <v>0</v>
      </c>
      <c r="AB87" s="13">
        <f t="shared" si="27"/>
        <v>0</v>
      </c>
      <c r="AC87" s="13">
        <f t="shared" si="28"/>
        <v>0</v>
      </c>
    </row>
    <row r="88" spans="1:29">
      <c r="A88">
        <v>10</v>
      </c>
      <c r="B88">
        <v>1.2889999999999999</v>
      </c>
      <c r="C88">
        <v>0.96199999999999997</v>
      </c>
      <c r="D88">
        <v>4.2000000000000003E-2</v>
      </c>
      <c r="E88">
        <v>13.91</v>
      </c>
      <c r="F88">
        <v>-5.7700000000000001E-2</v>
      </c>
      <c r="G88" s="2">
        <v>3.6200000000000003E-2</v>
      </c>
      <c r="H88">
        <v>0.5</v>
      </c>
      <c r="I88" s="2">
        <v>1.627E-2</v>
      </c>
      <c r="K88">
        <f>'G-P Exposure BF Coeff'!B83</f>
        <v>10</v>
      </c>
      <c r="L88">
        <f>'G-P Exposure BF Coeff'!C83</f>
        <v>1.2889999999999999</v>
      </c>
      <c r="M88">
        <f>'G-P Exposure BF Coeff'!D83</f>
        <v>0.96199999999999997</v>
      </c>
      <c r="N88">
        <f>'G-P Exposure BF Coeff'!E83</f>
        <v>4.2000000000000003E-2</v>
      </c>
      <c r="O88">
        <f>'G-P Exposure BF Coeff'!F83</f>
        <v>13.91</v>
      </c>
      <c r="P88">
        <f>'G-P Exposure BF Coeff'!G83</f>
        <v>-5.7700000000000001E-2</v>
      </c>
      <c r="Q88">
        <f>'G-P Exposure BF Coeff'!H83</f>
        <v>3.6200000000000003E-2</v>
      </c>
      <c r="R88">
        <f>'G-P Exposure BF Coeff'!I83</f>
        <v>0.5</v>
      </c>
      <c r="S88">
        <f>'G-P Exposure BF Coeff'!J83</f>
        <v>1.627E-2</v>
      </c>
      <c r="U88" s="13">
        <f>(K88-A88)/K88</f>
        <v>0</v>
      </c>
      <c r="V88" s="13">
        <f t="shared" si="21"/>
        <v>0</v>
      </c>
      <c r="W88" s="13">
        <f t="shared" si="22"/>
        <v>0</v>
      </c>
      <c r="X88" s="13">
        <f t="shared" si="23"/>
        <v>0</v>
      </c>
      <c r="Y88" s="13">
        <f t="shared" si="24"/>
        <v>0</v>
      </c>
      <c r="Z88" s="13">
        <f t="shared" si="25"/>
        <v>0</v>
      </c>
      <c r="AA88" s="13">
        <f t="shared" si="26"/>
        <v>0</v>
      </c>
      <c r="AB88" s="13">
        <f t="shared" si="27"/>
        <v>0</v>
      </c>
      <c r="AC88" s="13">
        <f t="shared" si="28"/>
        <v>0</v>
      </c>
    </row>
    <row r="89" spans="1:29">
      <c r="A89">
        <v>15</v>
      </c>
      <c r="B89">
        <v>1.1910000000000001</v>
      </c>
      <c r="C89">
        <v>0.96899999999999997</v>
      </c>
      <c r="D89">
        <v>5.1999999999999998E-2</v>
      </c>
      <c r="E89">
        <v>14.48</v>
      </c>
      <c r="F89">
        <v>-6.4000000000000001E-2</v>
      </c>
      <c r="G89" s="2">
        <v>3.95E-2</v>
      </c>
      <c r="H89">
        <v>1</v>
      </c>
      <c r="I89" s="2">
        <v>1.7569999999999999E-2</v>
      </c>
      <c r="K89">
        <f>'G-P Exposure BF Coeff'!B84</f>
        <v>15</v>
      </c>
      <c r="L89">
        <f>'G-P Exposure BF Coeff'!C84</f>
        <v>1.1910000000000001</v>
      </c>
      <c r="M89">
        <f>'G-P Exposure BF Coeff'!D84</f>
        <v>0.96899999999999997</v>
      </c>
      <c r="N89">
        <f>'G-P Exposure BF Coeff'!E84</f>
        <v>5.1999999999999998E-2</v>
      </c>
      <c r="O89">
        <f>'G-P Exposure BF Coeff'!F84</f>
        <v>14.48</v>
      </c>
      <c r="P89">
        <f>'G-P Exposure BF Coeff'!G84</f>
        <v>-6.4000000000000001E-2</v>
      </c>
      <c r="Q89">
        <f>'G-P Exposure BF Coeff'!H84</f>
        <v>3.95E-2</v>
      </c>
      <c r="R89">
        <f>'G-P Exposure BF Coeff'!I84</f>
        <v>1</v>
      </c>
      <c r="S89">
        <f>'G-P Exposure BF Coeff'!J84</f>
        <v>1.7569999999999999E-2</v>
      </c>
      <c r="U89" s="13">
        <f t="shared" ref="U89" si="30">(K89-A89)/K89</f>
        <v>0</v>
      </c>
      <c r="V89" s="13">
        <f t="shared" si="21"/>
        <v>0</v>
      </c>
      <c r="W89" s="13">
        <f t="shared" si="22"/>
        <v>0</v>
      </c>
      <c r="X89" s="13">
        <f t="shared" si="23"/>
        <v>0</v>
      </c>
      <c r="Y89" s="13">
        <f t="shared" si="24"/>
        <v>0</v>
      </c>
      <c r="Z89" s="13">
        <f t="shared" si="25"/>
        <v>0</v>
      </c>
      <c r="AA89" s="13">
        <f t="shared" si="26"/>
        <v>0</v>
      </c>
      <c r="AB89" s="13">
        <f t="shared" si="27"/>
        <v>0</v>
      </c>
      <c r="AC89" s="13">
        <f t="shared" si="28"/>
        <v>0</v>
      </c>
    </row>
    <row r="91" spans="1:29">
      <c r="A91" s="16" t="s">
        <v>106</v>
      </c>
      <c r="B91" s="16"/>
      <c r="C91" s="16"/>
      <c r="D91" s="16"/>
      <c r="E91" s="16"/>
      <c r="F91" s="16"/>
      <c r="G91" s="16"/>
    </row>
    <row r="93" spans="1:29">
      <c r="K93" s="16" t="s">
        <v>106</v>
      </c>
    </row>
    <row r="94" spans="1:29">
      <c r="A94" s="15" t="s">
        <v>1</v>
      </c>
      <c r="B94" s="15" t="s">
        <v>11</v>
      </c>
      <c r="C94" s="15" t="s">
        <v>12</v>
      </c>
      <c r="D94" s="15" t="s">
        <v>13</v>
      </c>
      <c r="E94" s="15" t="s">
        <v>16</v>
      </c>
      <c r="F94" s="15" t="s">
        <v>14</v>
      </c>
      <c r="G94" s="15" t="s">
        <v>17</v>
      </c>
      <c r="H94" s="15" t="s">
        <v>18</v>
      </c>
      <c r="I94" s="15" t="s">
        <v>15</v>
      </c>
      <c r="K94" s="15" t="s">
        <v>1</v>
      </c>
      <c r="L94" s="15" t="s">
        <v>11</v>
      </c>
      <c r="M94" s="15" t="s">
        <v>12</v>
      </c>
      <c r="N94" s="15" t="s">
        <v>13</v>
      </c>
      <c r="O94" s="15" t="s">
        <v>16</v>
      </c>
      <c r="P94" s="15" t="s">
        <v>14</v>
      </c>
      <c r="Q94" s="15" t="s">
        <v>17</v>
      </c>
      <c r="R94" s="15" t="s">
        <v>18</v>
      </c>
      <c r="S94" s="15" t="s">
        <v>15</v>
      </c>
      <c r="U94" s="15" t="s">
        <v>1</v>
      </c>
      <c r="V94" s="15" t="s">
        <v>11</v>
      </c>
      <c r="W94" s="15" t="s">
        <v>12</v>
      </c>
      <c r="X94" s="15" t="s">
        <v>13</v>
      </c>
      <c r="Y94" s="15" t="s">
        <v>16</v>
      </c>
      <c r="Z94" s="15" t="s">
        <v>14</v>
      </c>
      <c r="AA94" s="15" t="s">
        <v>17</v>
      </c>
      <c r="AB94" s="15" t="s">
        <v>18</v>
      </c>
      <c r="AC94" s="15" t="s">
        <v>15</v>
      </c>
    </row>
    <row r="95" spans="1:29">
      <c r="A95">
        <v>1.4999999999999999E-2</v>
      </c>
      <c r="B95">
        <v>1.002</v>
      </c>
      <c r="C95">
        <v>0.317</v>
      </c>
      <c r="D95">
        <v>0.22800000000000001</v>
      </c>
      <c r="E95">
        <v>33.67</v>
      </c>
      <c r="F95">
        <v>-0.4556</v>
      </c>
      <c r="G95" s="2">
        <v>1E-3</v>
      </c>
      <c r="H95">
        <v>2</v>
      </c>
      <c r="I95" s="2">
        <v>3.2000000000000003E-4</v>
      </c>
      <c r="K95">
        <f>'G-P Exposure BF Coeff'!B88</f>
        <v>1.4999999999999999E-2</v>
      </c>
      <c r="L95">
        <f>'G-P Exposure BF Coeff'!C88</f>
        <v>1.002</v>
      </c>
      <c r="M95">
        <f>'G-P Exposure BF Coeff'!D88</f>
        <v>0.317</v>
      </c>
      <c r="N95">
        <f>'G-P Exposure BF Coeff'!E88</f>
        <v>0.22800000000000001</v>
      </c>
      <c r="O95">
        <f>'G-P Exposure BF Coeff'!F88</f>
        <v>33.67</v>
      </c>
      <c r="P95">
        <f>'G-P Exposure BF Coeff'!G88</f>
        <v>-0.4556</v>
      </c>
      <c r="Q95">
        <f>'G-P Exposure BF Coeff'!H88</f>
        <v>0.1</v>
      </c>
      <c r="R95">
        <f>'G-P Exposure BF Coeff'!I88</f>
        <v>2</v>
      </c>
      <c r="S95">
        <f>'G-P Exposure BF Coeff'!J88</f>
        <v>0.03</v>
      </c>
      <c r="U95" s="13">
        <f>(K95-A95)/K95</f>
        <v>0</v>
      </c>
      <c r="V95" s="13">
        <f t="shared" ref="V95:V119" si="31">(L95-B95)/L95</f>
        <v>0</v>
      </c>
      <c r="W95" s="13">
        <f t="shared" ref="W95:W119" si="32">(M95-C95)/M95</f>
        <v>0</v>
      </c>
      <c r="X95" s="13">
        <f t="shared" ref="X95:X119" si="33">(N95-D95)/N95</f>
        <v>0</v>
      </c>
      <c r="Y95" s="13">
        <f t="shared" ref="Y95:Y119" si="34">(O95-E95)/O95</f>
        <v>0</v>
      </c>
      <c r="Z95" s="13">
        <f t="shared" ref="Z95:Z119" si="35">(P95-F95)/P95</f>
        <v>0</v>
      </c>
      <c r="AA95" s="13">
        <f t="shared" ref="AA95:AA119" si="36">(Q95-G95)/Q95</f>
        <v>0.99</v>
      </c>
      <c r="AB95" s="13">
        <f t="shared" ref="AB95:AB119" si="37">(R95-H95)/R95</f>
        <v>0</v>
      </c>
      <c r="AC95" s="13">
        <f t="shared" ref="AC95:AC119" si="38">(S95-I95)/S95</f>
        <v>0.98933333333333329</v>
      </c>
    </row>
    <row r="96" spans="1:29">
      <c r="A96">
        <v>0.02</v>
      </c>
      <c r="B96">
        <v>1.0029999999999999</v>
      </c>
      <c r="C96">
        <v>0.46800000000000003</v>
      </c>
      <c r="D96">
        <v>0.13700000000000001</v>
      </c>
      <c r="E96">
        <v>25.3</v>
      </c>
      <c r="F96">
        <v>-8.2000000000000003E-2</v>
      </c>
      <c r="G96" s="2">
        <v>1E-3</v>
      </c>
      <c r="H96">
        <v>3</v>
      </c>
      <c r="I96" s="2">
        <v>2.7999999999999998E-4</v>
      </c>
      <c r="K96">
        <f>'G-P Exposure BF Coeff'!B89</f>
        <v>0.02</v>
      </c>
      <c r="L96">
        <f>'G-P Exposure BF Coeff'!C89</f>
        <v>1.0029999999999999</v>
      </c>
      <c r="M96">
        <f>'G-P Exposure BF Coeff'!D89</f>
        <v>0.46800000000000003</v>
      </c>
      <c r="N96">
        <f>'G-P Exposure BF Coeff'!E89</f>
        <v>0.13700000000000001</v>
      </c>
      <c r="O96">
        <f>'G-P Exposure BF Coeff'!F89</f>
        <v>25.3</v>
      </c>
      <c r="P96">
        <f>'G-P Exposure BF Coeff'!G89</f>
        <v>-8.2000000000000003E-2</v>
      </c>
      <c r="Q96">
        <f>'G-P Exposure BF Coeff'!H89</f>
        <v>0.1</v>
      </c>
      <c r="R96">
        <f>'G-P Exposure BF Coeff'!I89</f>
        <v>3</v>
      </c>
      <c r="S96">
        <f>'G-P Exposure BF Coeff'!J89</f>
        <v>0.03</v>
      </c>
      <c r="U96" s="13">
        <f t="shared" ref="U96:U117" si="39">(K96-A96)/K96</f>
        <v>0</v>
      </c>
      <c r="V96" s="13">
        <f t="shared" si="31"/>
        <v>0</v>
      </c>
      <c r="W96" s="13">
        <f t="shared" si="32"/>
        <v>0</v>
      </c>
      <c r="X96" s="13">
        <f t="shared" si="33"/>
        <v>0</v>
      </c>
      <c r="Y96" s="13">
        <f t="shared" si="34"/>
        <v>0</v>
      </c>
      <c r="Z96" s="13">
        <f t="shared" si="35"/>
        <v>0</v>
      </c>
      <c r="AA96" s="13">
        <f t="shared" si="36"/>
        <v>0.99</v>
      </c>
      <c r="AB96" s="13">
        <f t="shared" si="37"/>
        <v>0</v>
      </c>
      <c r="AC96" s="13">
        <f t="shared" si="38"/>
        <v>0.9906666666666667</v>
      </c>
    </row>
    <row r="97" spans="1:29">
      <c r="A97">
        <v>0.03</v>
      </c>
      <c r="B97">
        <v>1.0089999999999999</v>
      </c>
      <c r="C97">
        <v>0.38800000000000001</v>
      </c>
      <c r="D97">
        <v>0.187</v>
      </c>
      <c r="E97">
        <v>19.12</v>
      </c>
      <c r="F97">
        <v>-8.43E-2</v>
      </c>
      <c r="G97" s="2">
        <v>1E-3</v>
      </c>
      <c r="H97">
        <v>1</v>
      </c>
      <c r="I97" s="2">
        <v>3.1E-4</v>
      </c>
      <c r="K97">
        <f>'G-P Exposure BF Coeff'!B90</f>
        <v>0.03</v>
      </c>
      <c r="L97">
        <f>'G-P Exposure BF Coeff'!C90</f>
        <v>1.0089999999999999</v>
      </c>
      <c r="M97">
        <f>'G-P Exposure BF Coeff'!D90</f>
        <v>0.38800000000000001</v>
      </c>
      <c r="N97">
        <f>'G-P Exposure BF Coeff'!E90</f>
        <v>0.187</v>
      </c>
      <c r="O97">
        <f>'G-P Exposure BF Coeff'!F90</f>
        <v>19.12</v>
      </c>
      <c r="P97">
        <f>'G-P Exposure BF Coeff'!G90</f>
        <v>-8.43E-2</v>
      </c>
      <c r="Q97">
        <f>'G-P Exposure BF Coeff'!H90</f>
        <v>0.1</v>
      </c>
      <c r="R97">
        <f>'G-P Exposure BF Coeff'!I90</f>
        <v>1</v>
      </c>
      <c r="S97">
        <f>'G-P Exposure BF Coeff'!J90</f>
        <v>0.03</v>
      </c>
      <c r="U97" s="13">
        <f t="shared" si="39"/>
        <v>0</v>
      </c>
      <c r="V97" s="13">
        <f t="shared" si="31"/>
        <v>0</v>
      </c>
      <c r="W97" s="13">
        <f t="shared" si="32"/>
        <v>0</v>
      </c>
      <c r="X97" s="13">
        <f t="shared" si="33"/>
        <v>0</v>
      </c>
      <c r="Y97" s="13">
        <f t="shared" si="34"/>
        <v>0</v>
      </c>
      <c r="Z97" s="13">
        <f t="shared" si="35"/>
        <v>0</v>
      </c>
      <c r="AA97" s="13">
        <f t="shared" si="36"/>
        <v>0.99</v>
      </c>
      <c r="AB97" s="13">
        <f t="shared" si="37"/>
        <v>0</v>
      </c>
      <c r="AC97" s="13">
        <f t="shared" si="38"/>
        <v>0.98966666666666658</v>
      </c>
    </row>
    <row r="98" spans="1:29">
      <c r="A98">
        <v>0.04</v>
      </c>
      <c r="B98">
        <v>1.0189999999999999</v>
      </c>
      <c r="C98">
        <v>0.32</v>
      </c>
      <c r="D98">
        <v>0.251</v>
      </c>
      <c r="E98">
        <v>13.89</v>
      </c>
      <c r="F98">
        <v>-0.1026</v>
      </c>
      <c r="G98" s="2">
        <v>1E-3</v>
      </c>
      <c r="H98">
        <v>1</v>
      </c>
      <c r="I98" s="2">
        <v>3.8000000000000002E-4</v>
      </c>
      <c r="K98">
        <f>'G-P Exposure BF Coeff'!B91</f>
        <v>0.04</v>
      </c>
      <c r="L98">
        <f>'G-P Exposure BF Coeff'!C91</f>
        <v>1.0189999999999999</v>
      </c>
      <c r="M98">
        <f>'G-P Exposure BF Coeff'!D91</f>
        <v>0.32</v>
      </c>
      <c r="N98">
        <f>'G-P Exposure BF Coeff'!E91</f>
        <v>0.251</v>
      </c>
      <c r="O98">
        <f>'G-P Exposure BF Coeff'!F91</f>
        <v>13.89</v>
      </c>
      <c r="P98">
        <f>'G-P Exposure BF Coeff'!G91</f>
        <v>-0.1026</v>
      </c>
      <c r="Q98">
        <f>'G-P Exposure BF Coeff'!H91</f>
        <v>0.1</v>
      </c>
      <c r="R98">
        <f>'G-P Exposure BF Coeff'!I91</f>
        <v>1</v>
      </c>
      <c r="S98">
        <f>'G-P Exposure BF Coeff'!J91</f>
        <v>0.04</v>
      </c>
      <c r="U98" s="13">
        <f t="shared" si="39"/>
        <v>0</v>
      </c>
      <c r="V98" s="13">
        <f t="shared" si="31"/>
        <v>0</v>
      </c>
      <c r="W98" s="13">
        <f t="shared" si="32"/>
        <v>0</v>
      </c>
      <c r="X98" s="13">
        <f t="shared" si="33"/>
        <v>0</v>
      </c>
      <c r="Y98" s="13">
        <f t="shared" si="34"/>
        <v>0</v>
      </c>
      <c r="Z98" s="13">
        <f t="shared" si="35"/>
        <v>0</v>
      </c>
      <c r="AA98" s="13">
        <f t="shared" si="36"/>
        <v>0.99</v>
      </c>
      <c r="AB98" s="13">
        <f t="shared" si="37"/>
        <v>0</v>
      </c>
      <c r="AC98" s="13">
        <f t="shared" si="38"/>
        <v>0.99050000000000005</v>
      </c>
    </row>
    <row r="99" spans="1:29">
      <c r="A99">
        <v>0.05</v>
      </c>
      <c r="B99">
        <v>1.0329999999999999</v>
      </c>
      <c r="C99">
        <v>0.29899999999999999</v>
      </c>
      <c r="D99">
        <v>0.26400000000000001</v>
      </c>
      <c r="E99">
        <v>13.96</v>
      </c>
      <c r="F99">
        <v>-0.1066</v>
      </c>
      <c r="G99" s="2">
        <v>1E-3</v>
      </c>
      <c r="H99">
        <v>7</v>
      </c>
      <c r="I99" s="2">
        <v>5.2999999999999998E-4</v>
      </c>
      <c r="K99">
        <f>'G-P Exposure BF Coeff'!B92</f>
        <v>0.05</v>
      </c>
      <c r="L99">
        <f>'G-P Exposure BF Coeff'!C92</f>
        <v>1.0329999999999999</v>
      </c>
      <c r="M99">
        <f>'G-P Exposure BF Coeff'!D92</f>
        <v>0.29899999999999999</v>
      </c>
      <c r="N99">
        <f>'G-P Exposure BF Coeff'!E92</f>
        <v>0.26400000000000001</v>
      </c>
      <c r="O99">
        <f>'G-P Exposure BF Coeff'!F92</f>
        <v>13.96</v>
      </c>
      <c r="P99">
        <f>'G-P Exposure BF Coeff'!G92</f>
        <v>-0.1066</v>
      </c>
      <c r="Q99">
        <f>'G-P Exposure BF Coeff'!H92</f>
        <v>0.1</v>
      </c>
      <c r="R99">
        <f>'G-P Exposure BF Coeff'!I92</f>
        <v>7</v>
      </c>
      <c r="S99">
        <f>'G-P Exposure BF Coeff'!J92</f>
        <v>0.05</v>
      </c>
      <c r="U99" s="13">
        <f t="shared" si="39"/>
        <v>0</v>
      </c>
      <c r="V99" s="13">
        <f t="shared" si="31"/>
        <v>0</v>
      </c>
      <c r="W99" s="13">
        <f t="shared" si="32"/>
        <v>0</v>
      </c>
      <c r="X99" s="13">
        <f t="shared" si="33"/>
        <v>0</v>
      </c>
      <c r="Y99" s="13">
        <f t="shared" si="34"/>
        <v>0</v>
      </c>
      <c r="Z99" s="13">
        <f t="shared" si="35"/>
        <v>0</v>
      </c>
      <c r="AA99" s="13">
        <f t="shared" si="36"/>
        <v>0.99</v>
      </c>
      <c r="AB99" s="13">
        <f t="shared" si="37"/>
        <v>0</v>
      </c>
      <c r="AC99" s="13">
        <f t="shared" si="38"/>
        <v>0.98939999999999995</v>
      </c>
    </row>
    <row r="100" spans="1:29">
      <c r="A100">
        <v>0.06</v>
      </c>
      <c r="B100">
        <v>1.048</v>
      </c>
      <c r="C100">
        <v>0.314</v>
      </c>
      <c r="D100">
        <v>0.25700000000000001</v>
      </c>
      <c r="E100">
        <v>14.2</v>
      </c>
      <c r="F100">
        <v>-0.11</v>
      </c>
      <c r="G100" s="2">
        <v>1E-3</v>
      </c>
      <c r="H100">
        <v>35</v>
      </c>
      <c r="I100" s="2">
        <v>8.8000000000000003E-4</v>
      </c>
      <c r="K100">
        <f>'G-P Exposure BF Coeff'!B93</f>
        <v>0.06</v>
      </c>
      <c r="L100">
        <f>'G-P Exposure BF Coeff'!C93</f>
        <v>1.048</v>
      </c>
      <c r="M100">
        <f>'G-P Exposure BF Coeff'!D93</f>
        <v>0.314</v>
      </c>
      <c r="N100">
        <f>'G-P Exposure BF Coeff'!E93</f>
        <v>0.25700000000000001</v>
      </c>
      <c r="O100">
        <f>'G-P Exposure BF Coeff'!F93</f>
        <v>14.2</v>
      </c>
      <c r="P100">
        <f>'G-P Exposure BF Coeff'!G93</f>
        <v>-0.11</v>
      </c>
      <c r="Q100">
        <f>'G-P Exposure BF Coeff'!H93</f>
        <v>0.1</v>
      </c>
      <c r="R100">
        <f>'G-P Exposure BF Coeff'!I93</f>
        <v>35</v>
      </c>
      <c r="S100">
        <f>'G-P Exposure BF Coeff'!J93</f>
        <v>0.09</v>
      </c>
      <c r="U100" s="13">
        <f t="shared" si="39"/>
        <v>0</v>
      </c>
      <c r="V100" s="13">
        <f t="shared" si="31"/>
        <v>0</v>
      </c>
      <c r="W100" s="13">
        <f t="shared" si="32"/>
        <v>0</v>
      </c>
      <c r="X100" s="13">
        <f t="shared" si="33"/>
        <v>0</v>
      </c>
      <c r="Y100" s="13">
        <f t="shared" si="34"/>
        <v>0</v>
      </c>
      <c r="Z100" s="13">
        <f t="shared" si="35"/>
        <v>0</v>
      </c>
      <c r="AA100" s="13">
        <f t="shared" si="36"/>
        <v>0.99</v>
      </c>
      <c r="AB100" s="13">
        <f t="shared" si="37"/>
        <v>0</v>
      </c>
      <c r="AC100" s="13">
        <f t="shared" si="38"/>
        <v>0.99022222222222211</v>
      </c>
    </row>
    <row r="101" spans="1:29">
      <c r="A101">
        <v>0.08</v>
      </c>
      <c r="B101">
        <v>2.238</v>
      </c>
      <c r="C101">
        <v>1.4419999999999999</v>
      </c>
      <c r="D101">
        <v>7.9000000000000001E-2</v>
      </c>
      <c r="E101">
        <v>17.8</v>
      </c>
      <c r="F101">
        <v>-8.5800000000000001E-2</v>
      </c>
      <c r="G101" s="2">
        <v>0.109</v>
      </c>
      <c r="H101">
        <v>25</v>
      </c>
      <c r="I101" s="2">
        <v>6.2489999999999997E-2</v>
      </c>
      <c r="K101">
        <f>'G-P Exposure BF Coeff'!B97</f>
        <v>0.08</v>
      </c>
      <c r="L101">
        <f>'G-P Exposure BF Coeff'!C97</f>
        <v>2.238</v>
      </c>
      <c r="M101">
        <f>'G-P Exposure BF Coeff'!D97</f>
        <v>1.4419999999999999</v>
      </c>
      <c r="N101">
        <f>'G-P Exposure BF Coeff'!E97</f>
        <v>7.9000000000000001E-2</v>
      </c>
      <c r="O101">
        <f>'G-P Exposure BF Coeff'!F97</f>
        <v>17.8</v>
      </c>
      <c r="P101">
        <f>'G-P Exposure BF Coeff'!G97</f>
        <v>-8.5800000000000001E-2</v>
      </c>
      <c r="Q101">
        <f>'G-P Exposure BF Coeff'!H97</f>
        <v>10.9</v>
      </c>
      <c r="R101">
        <f>'G-P Exposure BF Coeff'!I97</f>
        <v>25</v>
      </c>
      <c r="S101">
        <f>'G-P Exposure BF Coeff'!J97</f>
        <v>6.25</v>
      </c>
      <c r="U101" s="13">
        <f t="shared" si="39"/>
        <v>0</v>
      </c>
      <c r="V101" s="13">
        <f t="shared" si="31"/>
        <v>0</v>
      </c>
      <c r="W101" s="13">
        <f t="shared" si="32"/>
        <v>0</v>
      </c>
      <c r="X101" s="13">
        <f t="shared" si="33"/>
        <v>0</v>
      </c>
      <c r="Y101" s="13">
        <f t="shared" si="34"/>
        <v>0</v>
      </c>
      <c r="Z101" s="13">
        <f t="shared" si="35"/>
        <v>0</v>
      </c>
      <c r="AA101" s="13">
        <f t="shared" si="36"/>
        <v>0.99</v>
      </c>
      <c r="AB101" s="13">
        <f t="shared" si="37"/>
        <v>0</v>
      </c>
      <c r="AC101" s="13">
        <f t="shared" si="38"/>
        <v>0.99000159999999993</v>
      </c>
    </row>
    <row r="102" spans="1:29">
      <c r="A102">
        <v>0.1</v>
      </c>
      <c r="B102">
        <v>1.764</v>
      </c>
      <c r="C102">
        <v>0.86699999999999999</v>
      </c>
      <c r="D102">
        <v>0.16</v>
      </c>
      <c r="E102">
        <v>15.88</v>
      </c>
      <c r="F102">
        <v>-0.1366</v>
      </c>
      <c r="G102" s="2">
        <v>2.9000000000000001E-2</v>
      </c>
      <c r="H102">
        <v>4</v>
      </c>
      <c r="I102" s="2">
        <v>1.753E-2</v>
      </c>
      <c r="K102">
        <f>'G-P Exposure BF Coeff'!B99</f>
        <v>0.1</v>
      </c>
      <c r="L102">
        <f>'G-P Exposure BF Coeff'!C99</f>
        <v>1.764</v>
      </c>
      <c r="M102">
        <f>'G-P Exposure BF Coeff'!D99</f>
        <v>0.86699999999999999</v>
      </c>
      <c r="N102">
        <f>'G-P Exposure BF Coeff'!E99</f>
        <v>0.16</v>
      </c>
      <c r="O102">
        <f>'G-P Exposure BF Coeff'!F99</f>
        <v>15.88</v>
      </c>
      <c r="P102">
        <f>'G-P Exposure BF Coeff'!G99</f>
        <v>-0.1366</v>
      </c>
      <c r="Q102">
        <f>'G-P Exposure BF Coeff'!H99</f>
        <v>2.9</v>
      </c>
      <c r="R102">
        <f>'G-P Exposure BF Coeff'!I99</f>
        <v>4</v>
      </c>
      <c r="S102">
        <f>'G-P Exposure BF Coeff'!J99</f>
        <v>1.1499999999999999</v>
      </c>
      <c r="U102" s="13">
        <f t="shared" si="39"/>
        <v>0</v>
      </c>
      <c r="V102" s="13">
        <f t="shared" si="31"/>
        <v>0</v>
      </c>
      <c r="W102" s="13">
        <f t="shared" si="32"/>
        <v>0</v>
      </c>
      <c r="X102" s="13">
        <f t="shared" si="33"/>
        <v>0</v>
      </c>
      <c r="Y102" s="13">
        <f t="shared" si="34"/>
        <v>0</v>
      </c>
      <c r="Z102" s="13">
        <f t="shared" si="35"/>
        <v>0</v>
      </c>
      <c r="AA102" s="13">
        <f t="shared" si="36"/>
        <v>0.99</v>
      </c>
      <c r="AB102" s="13">
        <f t="shared" si="37"/>
        <v>0</v>
      </c>
      <c r="AC102" s="13">
        <f t="shared" si="38"/>
        <v>0.98475652173913042</v>
      </c>
    </row>
    <row r="103" spans="1:29">
      <c r="A103">
        <v>0.15</v>
      </c>
      <c r="B103">
        <v>1.2529999999999999</v>
      </c>
      <c r="C103">
        <v>0.14499999999999999</v>
      </c>
      <c r="D103">
        <v>0.35299999999999998</v>
      </c>
      <c r="E103">
        <v>15.12</v>
      </c>
      <c r="F103">
        <v>-8.4500000000000006E-2</v>
      </c>
      <c r="G103" s="2">
        <v>4.0000000000000001E-3</v>
      </c>
      <c r="H103">
        <v>0.5</v>
      </c>
      <c r="I103" s="2">
        <v>1.5200000000000001E-3</v>
      </c>
      <c r="K103">
        <f>'G-P Exposure BF Coeff'!B104</f>
        <v>0.15</v>
      </c>
      <c r="L103">
        <f>'G-P Exposure BF Coeff'!C104</f>
        <v>1.2529999999999999</v>
      </c>
      <c r="M103">
        <f>'G-P Exposure BF Coeff'!D104</f>
        <v>0.14499999999999999</v>
      </c>
      <c r="N103">
        <f>'G-P Exposure BF Coeff'!E104</f>
        <v>0.35299999999999998</v>
      </c>
      <c r="O103">
        <f>'G-P Exposure BF Coeff'!F104</f>
        <v>15.12</v>
      </c>
      <c r="P103">
        <f>'G-P Exposure BF Coeff'!G104</f>
        <v>-8.4500000000000006E-2</v>
      </c>
      <c r="Q103">
        <f>'G-P Exposure BF Coeff'!H104</f>
        <v>0.4</v>
      </c>
      <c r="R103">
        <f>'G-P Exposure BF Coeff'!I104</f>
        <v>0.5</v>
      </c>
      <c r="S103">
        <f>'G-P Exposure BF Coeff'!J104</f>
        <v>0.15</v>
      </c>
      <c r="U103" s="13">
        <f t="shared" si="39"/>
        <v>0</v>
      </c>
      <c r="V103" s="13">
        <f t="shared" si="31"/>
        <v>0</v>
      </c>
      <c r="W103" s="13">
        <f t="shared" si="32"/>
        <v>0</v>
      </c>
      <c r="X103" s="13">
        <f t="shared" si="33"/>
        <v>0</v>
      </c>
      <c r="Y103" s="13">
        <f t="shared" si="34"/>
        <v>0</v>
      </c>
      <c r="Z103" s="13">
        <f t="shared" si="35"/>
        <v>0</v>
      </c>
      <c r="AA103" s="13">
        <f t="shared" si="36"/>
        <v>0.99</v>
      </c>
      <c r="AB103" s="13">
        <f t="shared" si="37"/>
        <v>0</v>
      </c>
      <c r="AC103" s="13">
        <f t="shared" si="38"/>
        <v>0.98986666666666667</v>
      </c>
    </row>
    <row r="104" spans="1:29">
      <c r="A104">
        <v>0.2</v>
      </c>
      <c r="B104">
        <v>1.155</v>
      </c>
      <c r="C104">
        <v>0.248</v>
      </c>
      <c r="D104">
        <v>0.34699999999999998</v>
      </c>
      <c r="E104">
        <v>13.68</v>
      </c>
      <c r="F104">
        <v>-0.1966</v>
      </c>
      <c r="G104" s="2">
        <v>8.9999999999999993E-3</v>
      </c>
      <c r="H104">
        <v>0.5</v>
      </c>
      <c r="I104" s="2">
        <v>4.6600000000000001E-3</v>
      </c>
      <c r="K104">
        <f>'G-P Exposure BF Coeff'!B105</f>
        <v>0.2</v>
      </c>
      <c r="L104">
        <f>'G-P Exposure BF Coeff'!C105</f>
        <v>1.155</v>
      </c>
      <c r="M104">
        <f>'G-P Exposure BF Coeff'!D105</f>
        <v>0.248</v>
      </c>
      <c r="N104">
        <f>'G-P Exposure BF Coeff'!E105</f>
        <v>0.34699999999999998</v>
      </c>
      <c r="O104">
        <f>'G-P Exposure BF Coeff'!F105</f>
        <v>13.68</v>
      </c>
      <c r="P104">
        <f>'G-P Exposure BF Coeff'!G105</f>
        <v>-0.1966</v>
      </c>
      <c r="Q104">
        <f>'G-P Exposure BF Coeff'!H105</f>
        <v>0.9</v>
      </c>
      <c r="R104">
        <f>'G-P Exposure BF Coeff'!I105</f>
        <v>0.5</v>
      </c>
      <c r="S104">
        <f>'G-P Exposure BF Coeff'!J105</f>
        <v>0.47</v>
      </c>
      <c r="U104" s="13">
        <f t="shared" si="39"/>
        <v>0</v>
      </c>
      <c r="V104" s="13">
        <f t="shared" si="31"/>
        <v>0</v>
      </c>
      <c r="W104" s="13">
        <f t="shared" si="32"/>
        <v>0</v>
      </c>
      <c r="X104" s="13">
        <f t="shared" si="33"/>
        <v>0</v>
      </c>
      <c r="Y104" s="13">
        <f t="shared" si="34"/>
        <v>0</v>
      </c>
      <c r="Z104" s="13">
        <f t="shared" si="35"/>
        <v>0</v>
      </c>
      <c r="AA104" s="13">
        <f t="shared" si="36"/>
        <v>0.99</v>
      </c>
      <c r="AB104" s="13">
        <f t="shared" si="37"/>
        <v>0</v>
      </c>
      <c r="AC104" s="13">
        <f t="shared" si="38"/>
        <v>0.99008510638297875</v>
      </c>
    </row>
    <row r="105" spans="1:29">
      <c r="A105">
        <v>0.3</v>
      </c>
      <c r="B105">
        <v>1.17</v>
      </c>
      <c r="C105">
        <v>0.48699999999999999</v>
      </c>
      <c r="D105">
        <v>0.16800000000000001</v>
      </c>
      <c r="E105">
        <v>13.62</v>
      </c>
      <c r="F105">
        <v>-8.1199999999999994E-2</v>
      </c>
      <c r="G105" s="2">
        <v>6.0000000000000001E-3</v>
      </c>
      <c r="H105">
        <v>0.5</v>
      </c>
      <c r="I105" s="2">
        <v>3.2599999999999999E-3</v>
      </c>
      <c r="K105">
        <f>'G-P Exposure BF Coeff'!B106</f>
        <v>0.3</v>
      </c>
      <c r="L105">
        <f>'G-P Exposure BF Coeff'!C106</f>
        <v>1.17</v>
      </c>
      <c r="M105">
        <f>'G-P Exposure BF Coeff'!D106</f>
        <v>0.48699999999999999</v>
      </c>
      <c r="N105">
        <f>'G-P Exposure BF Coeff'!E106</f>
        <v>0.16800000000000001</v>
      </c>
      <c r="O105">
        <f>'G-P Exposure BF Coeff'!F106</f>
        <v>13.62</v>
      </c>
      <c r="P105">
        <f>'G-P Exposure BF Coeff'!G106</f>
        <v>-8.1199999999999994E-2</v>
      </c>
      <c r="Q105">
        <f>'G-P Exposure BF Coeff'!H106</f>
        <v>0.6</v>
      </c>
      <c r="R105">
        <f>'G-P Exposure BF Coeff'!I106</f>
        <v>0.5</v>
      </c>
      <c r="S105">
        <f>'G-P Exposure BF Coeff'!J106</f>
        <v>0.33</v>
      </c>
      <c r="U105" s="13">
        <f t="shared" si="39"/>
        <v>0</v>
      </c>
      <c r="V105" s="13">
        <f t="shared" si="31"/>
        <v>0</v>
      </c>
      <c r="W105" s="13">
        <f t="shared" si="32"/>
        <v>0</v>
      </c>
      <c r="X105" s="13">
        <f t="shared" si="33"/>
        <v>0</v>
      </c>
      <c r="Y105" s="13">
        <f t="shared" si="34"/>
        <v>0</v>
      </c>
      <c r="Z105" s="13">
        <f t="shared" si="35"/>
        <v>0</v>
      </c>
      <c r="AA105" s="13">
        <f t="shared" si="36"/>
        <v>0.99</v>
      </c>
      <c r="AB105" s="13">
        <f t="shared" si="37"/>
        <v>0</v>
      </c>
      <c r="AC105" s="13">
        <f t="shared" si="38"/>
        <v>0.99012121212121218</v>
      </c>
    </row>
    <row r="106" spans="1:29">
      <c r="A106">
        <v>0.4</v>
      </c>
      <c r="B106">
        <v>1.234</v>
      </c>
      <c r="C106">
        <v>0.60099999999999998</v>
      </c>
      <c r="D106">
        <v>0.123</v>
      </c>
      <c r="E106">
        <v>14.14</v>
      </c>
      <c r="F106">
        <v>-6.4699999999999994E-2</v>
      </c>
      <c r="G106" s="2">
        <v>6.0000000000000001E-3</v>
      </c>
      <c r="H106">
        <v>25</v>
      </c>
      <c r="I106" s="2">
        <v>3.7799999999999999E-3</v>
      </c>
      <c r="K106">
        <f>'G-P Exposure BF Coeff'!B107</f>
        <v>0.4</v>
      </c>
      <c r="L106">
        <f>'G-P Exposure BF Coeff'!C107</f>
        <v>1.234</v>
      </c>
      <c r="M106">
        <f>'G-P Exposure BF Coeff'!D107</f>
        <v>0.60099999999999998</v>
      </c>
      <c r="N106">
        <f>'G-P Exposure BF Coeff'!E107</f>
        <v>0.123</v>
      </c>
      <c r="O106">
        <f>'G-P Exposure BF Coeff'!F107</f>
        <v>14.14</v>
      </c>
      <c r="P106">
        <f>'G-P Exposure BF Coeff'!G107</f>
        <v>-6.4699999999999994E-2</v>
      </c>
      <c r="Q106">
        <f>'G-P Exposure BF Coeff'!H107</f>
        <v>0.6</v>
      </c>
      <c r="R106">
        <f>'G-P Exposure BF Coeff'!I107</f>
        <v>25</v>
      </c>
      <c r="S106">
        <f>'G-P Exposure BF Coeff'!J107</f>
        <v>0.38</v>
      </c>
      <c r="U106" s="13">
        <f t="shared" si="39"/>
        <v>0</v>
      </c>
      <c r="V106" s="13">
        <f t="shared" si="31"/>
        <v>0</v>
      </c>
      <c r="W106" s="13">
        <f t="shared" si="32"/>
        <v>0</v>
      </c>
      <c r="X106" s="13">
        <f t="shared" si="33"/>
        <v>0</v>
      </c>
      <c r="Y106" s="13">
        <f t="shared" si="34"/>
        <v>0</v>
      </c>
      <c r="Z106" s="13">
        <f t="shared" si="35"/>
        <v>0</v>
      </c>
      <c r="AA106" s="13">
        <f t="shared" si="36"/>
        <v>0.99</v>
      </c>
      <c r="AB106" s="13">
        <f t="shared" si="37"/>
        <v>0</v>
      </c>
      <c r="AC106" s="13">
        <f t="shared" si="38"/>
        <v>0.99005263157894741</v>
      </c>
    </row>
    <row r="107" spans="1:29">
      <c r="A107">
        <v>0.5</v>
      </c>
      <c r="B107">
        <v>1.2929999999999999</v>
      </c>
      <c r="C107">
        <v>0.67200000000000004</v>
      </c>
      <c r="D107">
        <v>9.8000000000000004E-2</v>
      </c>
      <c r="E107">
        <v>14.13</v>
      </c>
      <c r="F107">
        <v>-5.3199999999999997E-2</v>
      </c>
      <c r="G107" s="2">
        <v>6.0000000000000001E-3</v>
      </c>
      <c r="H107">
        <v>25</v>
      </c>
      <c r="I107" s="2">
        <v>4.0499999999999998E-3</v>
      </c>
      <c r="K107">
        <f>'G-P Exposure BF Coeff'!B108</f>
        <v>0.5</v>
      </c>
      <c r="L107">
        <f>'G-P Exposure BF Coeff'!C108</f>
        <v>1.2929999999999999</v>
      </c>
      <c r="M107">
        <f>'G-P Exposure BF Coeff'!D108</f>
        <v>0.67200000000000004</v>
      </c>
      <c r="N107">
        <f>'G-P Exposure BF Coeff'!E108</f>
        <v>9.8000000000000004E-2</v>
      </c>
      <c r="O107">
        <f>'G-P Exposure BF Coeff'!F108</f>
        <v>14.13</v>
      </c>
      <c r="P107">
        <f>'G-P Exposure BF Coeff'!G108</f>
        <v>-5.3199999999999997E-2</v>
      </c>
      <c r="Q107">
        <f>'G-P Exposure BF Coeff'!H108</f>
        <v>0.6</v>
      </c>
      <c r="R107">
        <f>'G-P Exposure BF Coeff'!I108</f>
        <v>25</v>
      </c>
      <c r="S107">
        <f>'G-P Exposure BF Coeff'!J108</f>
        <v>0.4</v>
      </c>
      <c r="U107" s="13">
        <f t="shared" si="39"/>
        <v>0</v>
      </c>
      <c r="V107" s="13">
        <f t="shared" si="31"/>
        <v>0</v>
      </c>
      <c r="W107" s="13">
        <f t="shared" si="32"/>
        <v>0</v>
      </c>
      <c r="X107" s="13">
        <f t="shared" si="33"/>
        <v>0</v>
      </c>
      <c r="Y107" s="13">
        <f t="shared" si="34"/>
        <v>0</v>
      </c>
      <c r="Z107" s="13">
        <f t="shared" si="35"/>
        <v>0</v>
      </c>
      <c r="AA107" s="13">
        <f t="shared" si="36"/>
        <v>0.99</v>
      </c>
      <c r="AB107" s="13">
        <f t="shared" si="37"/>
        <v>0</v>
      </c>
      <c r="AC107" s="13">
        <f t="shared" si="38"/>
        <v>0.98987500000000006</v>
      </c>
    </row>
    <row r="108" spans="1:29">
      <c r="A108">
        <v>0.6</v>
      </c>
      <c r="B108">
        <v>1.3380000000000001</v>
      </c>
      <c r="C108">
        <v>0.72199999999999998</v>
      </c>
      <c r="D108">
        <v>0.08</v>
      </c>
      <c r="E108">
        <v>13.69</v>
      </c>
      <c r="F108">
        <v>-4.3799999999999999E-2</v>
      </c>
      <c r="G108" s="2">
        <v>7.0000000000000001E-3</v>
      </c>
      <c r="H108">
        <v>5</v>
      </c>
      <c r="I108" s="2">
        <v>4.15E-3</v>
      </c>
      <c r="K108">
        <f>'G-P Exposure BF Coeff'!B109</f>
        <v>0.6</v>
      </c>
      <c r="L108">
        <f>'G-P Exposure BF Coeff'!C109</f>
        <v>1.3380000000000001</v>
      </c>
      <c r="M108">
        <f>'G-P Exposure BF Coeff'!D109</f>
        <v>0.72199999999999998</v>
      </c>
      <c r="N108">
        <f>'G-P Exposure BF Coeff'!E109</f>
        <v>0.08</v>
      </c>
      <c r="O108">
        <f>'G-P Exposure BF Coeff'!F109</f>
        <v>13.69</v>
      </c>
      <c r="P108">
        <f>'G-P Exposure BF Coeff'!G109</f>
        <v>-4.3799999999999999E-2</v>
      </c>
      <c r="Q108">
        <f>'G-P Exposure BF Coeff'!H109</f>
        <v>0.7</v>
      </c>
      <c r="R108">
        <f>'G-P Exposure BF Coeff'!I109</f>
        <v>5</v>
      </c>
      <c r="S108">
        <f>'G-P Exposure BF Coeff'!J109</f>
        <v>0.42</v>
      </c>
      <c r="U108" s="13">
        <f t="shared" si="39"/>
        <v>0</v>
      </c>
      <c r="V108" s="13">
        <f t="shared" si="31"/>
        <v>0</v>
      </c>
      <c r="W108" s="13">
        <f t="shared" si="32"/>
        <v>0</v>
      </c>
      <c r="X108" s="13">
        <f t="shared" si="33"/>
        <v>0</v>
      </c>
      <c r="Y108" s="13">
        <f t="shared" si="34"/>
        <v>0</v>
      </c>
      <c r="Z108" s="13">
        <f t="shared" si="35"/>
        <v>0</v>
      </c>
      <c r="AA108" s="13">
        <f t="shared" si="36"/>
        <v>0.99</v>
      </c>
      <c r="AB108" s="13">
        <f t="shared" si="37"/>
        <v>0</v>
      </c>
      <c r="AC108" s="13">
        <f t="shared" si="38"/>
        <v>0.99011904761904768</v>
      </c>
    </row>
    <row r="109" spans="1:29">
      <c r="A109">
        <v>0.8</v>
      </c>
      <c r="B109">
        <v>1.4019999999999999</v>
      </c>
      <c r="C109">
        <v>0.79700000000000004</v>
      </c>
      <c r="D109">
        <v>5.7000000000000002E-2</v>
      </c>
      <c r="E109">
        <v>13.71</v>
      </c>
      <c r="F109">
        <v>-3.3399999999999999E-2</v>
      </c>
      <c r="G109" s="2">
        <v>7.0000000000000001E-3</v>
      </c>
      <c r="H109">
        <v>25</v>
      </c>
      <c r="I109" s="2">
        <v>4.1000000000000003E-3</v>
      </c>
      <c r="K109">
        <f>'G-P Exposure BF Coeff'!B110</f>
        <v>0.8</v>
      </c>
      <c r="L109">
        <f>'G-P Exposure BF Coeff'!C110</f>
        <v>1.4019999999999999</v>
      </c>
      <c r="M109">
        <f>'G-P Exposure BF Coeff'!D110</f>
        <v>0.79700000000000004</v>
      </c>
      <c r="N109">
        <f>'G-P Exposure BF Coeff'!E110</f>
        <v>5.7000000000000002E-2</v>
      </c>
      <c r="O109">
        <f>'G-P Exposure BF Coeff'!F110</f>
        <v>13.71</v>
      </c>
      <c r="P109">
        <f>'G-P Exposure BF Coeff'!G110</f>
        <v>-3.3399999999999999E-2</v>
      </c>
      <c r="Q109">
        <f>'G-P Exposure BF Coeff'!H110</f>
        <v>0.7</v>
      </c>
      <c r="R109">
        <f>'G-P Exposure BF Coeff'!I110</f>
        <v>25</v>
      </c>
      <c r="S109">
        <f>'G-P Exposure BF Coeff'!J110</f>
        <v>0.41</v>
      </c>
      <c r="U109" s="13">
        <f t="shared" si="39"/>
        <v>0</v>
      </c>
      <c r="V109" s="13">
        <f t="shared" si="31"/>
        <v>0</v>
      </c>
      <c r="W109" s="13">
        <f t="shared" si="32"/>
        <v>0</v>
      </c>
      <c r="X109" s="13">
        <f t="shared" si="33"/>
        <v>0</v>
      </c>
      <c r="Y109" s="13">
        <f t="shared" si="34"/>
        <v>0</v>
      </c>
      <c r="Z109" s="13">
        <f t="shared" si="35"/>
        <v>0</v>
      </c>
      <c r="AA109" s="13">
        <f t="shared" si="36"/>
        <v>0.99</v>
      </c>
      <c r="AB109" s="13">
        <f t="shared" si="37"/>
        <v>0</v>
      </c>
      <c r="AC109" s="13">
        <f t="shared" si="38"/>
        <v>0.99</v>
      </c>
    </row>
    <row r="110" spans="1:29">
      <c r="A110">
        <v>1</v>
      </c>
      <c r="B110">
        <v>1.4359999999999999</v>
      </c>
      <c r="C110">
        <v>0.85299999999999998</v>
      </c>
      <c r="D110">
        <v>4.2000000000000003E-2</v>
      </c>
      <c r="E110">
        <v>13.34</v>
      </c>
      <c r="F110">
        <v>-2.8500000000000001E-2</v>
      </c>
      <c r="G110" s="2">
        <v>8.0000000000000002E-3</v>
      </c>
      <c r="H110">
        <v>5</v>
      </c>
      <c r="I110" s="2">
        <v>4.2599999999999999E-3</v>
      </c>
      <c r="K110">
        <f>'G-P Exposure BF Coeff'!B111</f>
        <v>1</v>
      </c>
      <c r="L110">
        <f>'G-P Exposure BF Coeff'!C111</f>
        <v>1.4359999999999999</v>
      </c>
      <c r="M110">
        <f>'G-P Exposure BF Coeff'!D111</f>
        <v>0.85299999999999998</v>
      </c>
      <c r="N110">
        <f>'G-P Exposure BF Coeff'!E111</f>
        <v>4.2000000000000003E-2</v>
      </c>
      <c r="O110">
        <f>'G-P Exposure BF Coeff'!F111</f>
        <v>13.34</v>
      </c>
      <c r="P110">
        <f>'G-P Exposure BF Coeff'!G111</f>
        <v>-2.8500000000000001E-2</v>
      </c>
      <c r="Q110">
        <f>'G-P Exposure BF Coeff'!H111</f>
        <v>0.8</v>
      </c>
      <c r="R110">
        <f>'G-P Exposure BF Coeff'!I111</f>
        <v>5</v>
      </c>
      <c r="S110">
        <f>'G-P Exposure BF Coeff'!J111</f>
        <v>0.43</v>
      </c>
      <c r="U110" s="13">
        <f t="shared" si="39"/>
        <v>0</v>
      </c>
      <c r="V110" s="13">
        <f t="shared" si="31"/>
        <v>0</v>
      </c>
      <c r="W110" s="13">
        <f t="shared" si="32"/>
        <v>0</v>
      </c>
      <c r="X110" s="13">
        <f t="shared" si="33"/>
        <v>0</v>
      </c>
      <c r="Y110" s="13">
        <f t="shared" si="34"/>
        <v>0</v>
      </c>
      <c r="Z110" s="13">
        <f t="shared" si="35"/>
        <v>0</v>
      </c>
      <c r="AA110" s="13">
        <f t="shared" si="36"/>
        <v>0.99</v>
      </c>
      <c r="AB110" s="13">
        <f t="shared" si="37"/>
        <v>0</v>
      </c>
      <c r="AC110" s="13">
        <f t="shared" si="38"/>
        <v>0.99009302325581394</v>
      </c>
    </row>
    <row r="111" spans="1:29">
      <c r="A111">
        <v>1.5</v>
      </c>
      <c r="B111">
        <v>1.421</v>
      </c>
      <c r="C111">
        <v>0.97699999999999998</v>
      </c>
      <c r="D111">
        <v>1.2999999999999999E-2</v>
      </c>
      <c r="E111">
        <v>14.3</v>
      </c>
      <c r="F111">
        <v>-2.0500000000000001E-2</v>
      </c>
      <c r="G111" s="2">
        <v>5.0000000000000001E-3</v>
      </c>
      <c r="H111">
        <v>4</v>
      </c>
      <c r="I111" s="2">
        <v>2.5799999999999998E-3</v>
      </c>
      <c r="K111">
        <f>'G-P Exposure BF Coeff'!B112</f>
        <v>1.5</v>
      </c>
      <c r="L111">
        <f>'G-P Exposure BF Coeff'!C112</f>
        <v>1.421</v>
      </c>
      <c r="M111">
        <f>'G-P Exposure BF Coeff'!D112</f>
        <v>0.97699999999999998</v>
      </c>
      <c r="N111">
        <f>'G-P Exposure BF Coeff'!E112</f>
        <v>1.2999999999999999E-2</v>
      </c>
      <c r="O111">
        <f>'G-P Exposure BF Coeff'!F112</f>
        <v>14.3</v>
      </c>
      <c r="P111">
        <f>'G-P Exposure BF Coeff'!G112</f>
        <v>-2.0500000000000001E-2</v>
      </c>
      <c r="Q111">
        <f>'G-P Exposure BF Coeff'!H112</f>
        <v>0.5</v>
      </c>
      <c r="R111">
        <f>'G-P Exposure BF Coeff'!I112</f>
        <v>4</v>
      </c>
      <c r="S111">
        <f>'G-P Exposure BF Coeff'!J112</f>
        <v>0.26</v>
      </c>
      <c r="U111" s="13">
        <f t="shared" si="39"/>
        <v>0</v>
      </c>
      <c r="V111" s="13">
        <f t="shared" si="31"/>
        <v>0</v>
      </c>
      <c r="W111" s="13">
        <f t="shared" si="32"/>
        <v>0</v>
      </c>
      <c r="X111" s="13">
        <f t="shared" si="33"/>
        <v>0</v>
      </c>
      <c r="Y111" s="13">
        <f t="shared" si="34"/>
        <v>0</v>
      </c>
      <c r="Z111" s="13">
        <f t="shared" si="35"/>
        <v>0</v>
      </c>
      <c r="AA111" s="13">
        <f t="shared" si="36"/>
        <v>0.99</v>
      </c>
      <c r="AB111" s="13">
        <f t="shared" si="37"/>
        <v>0</v>
      </c>
      <c r="AC111" s="13">
        <f t="shared" si="38"/>
        <v>0.99007692307692297</v>
      </c>
    </row>
    <row r="112" spans="1:29">
      <c r="A112">
        <v>2</v>
      </c>
      <c r="B112">
        <v>1.4279999999999999</v>
      </c>
      <c r="C112">
        <v>1.012</v>
      </c>
      <c r="D112">
        <v>7.0000000000000001E-3</v>
      </c>
      <c r="E112">
        <v>13.4</v>
      </c>
      <c r="F112">
        <v>-0.02</v>
      </c>
      <c r="G112" s="2">
        <v>1.2999999999999999E-2</v>
      </c>
      <c r="H112">
        <v>0.5</v>
      </c>
      <c r="I112" s="2">
        <v>6.6499999999999997E-3</v>
      </c>
      <c r="K112">
        <f>'G-P Exposure BF Coeff'!B113</f>
        <v>2</v>
      </c>
      <c r="L112">
        <f>'G-P Exposure BF Coeff'!C113</f>
        <v>1.4279999999999999</v>
      </c>
      <c r="M112">
        <f>'G-P Exposure BF Coeff'!D113</f>
        <v>1.012</v>
      </c>
      <c r="N112">
        <f>'G-P Exposure BF Coeff'!E113</f>
        <v>7.0000000000000001E-3</v>
      </c>
      <c r="O112">
        <f>'G-P Exposure BF Coeff'!F113</f>
        <v>13.4</v>
      </c>
      <c r="P112">
        <f>'G-P Exposure BF Coeff'!G113</f>
        <v>-0.02</v>
      </c>
      <c r="Q112">
        <f>'G-P Exposure BF Coeff'!H113</f>
        <v>1.3</v>
      </c>
      <c r="R112">
        <f>'G-P Exposure BF Coeff'!I113</f>
        <v>0.5</v>
      </c>
      <c r="S112">
        <f>'G-P Exposure BF Coeff'!J113</f>
        <v>0.67</v>
      </c>
      <c r="U112" s="13">
        <f t="shared" si="39"/>
        <v>0</v>
      </c>
      <c r="V112" s="13">
        <f t="shared" si="31"/>
        <v>0</v>
      </c>
      <c r="W112" s="13">
        <f t="shared" si="32"/>
        <v>0</v>
      </c>
      <c r="X112" s="13">
        <f t="shared" si="33"/>
        <v>0</v>
      </c>
      <c r="Y112" s="13">
        <f t="shared" si="34"/>
        <v>0</v>
      </c>
      <c r="Z112" s="13">
        <f t="shared" si="35"/>
        <v>0</v>
      </c>
      <c r="AA112" s="13">
        <f t="shared" si="36"/>
        <v>0.9900000000000001</v>
      </c>
      <c r="AB112" s="13">
        <f t="shared" si="37"/>
        <v>0</v>
      </c>
      <c r="AC112" s="13">
        <f t="shared" si="38"/>
        <v>0.9900746268656716</v>
      </c>
    </row>
    <row r="113" spans="1:29">
      <c r="A113">
        <v>3</v>
      </c>
      <c r="B113">
        <v>1.4059999999999999</v>
      </c>
      <c r="C113">
        <v>1.0229999999999999</v>
      </c>
      <c r="D113">
        <v>1.4E-2</v>
      </c>
      <c r="E113">
        <v>13.42</v>
      </c>
      <c r="F113">
        <v>-3.85E-2</v>
      </c>
      <c r="G113" s="2">
        <v>3.3000000000000002E-2</v>
      </c>
      <c r="H113">
        <v>0.5</v>
      </c>
      <c r="I113" s="2">
        <v>1.3509999999999999E-2</v>
      </c>
      <c r="K113">
        <f>'G-P Exposure BF Coeff'!B114</f>
        <v>3</v>
      </c>
      <c r="L113">
        <f>'G-P Exposure BF Coeff'!C114</f>
        <v>1.4059999999999999</v>
      </c>
      <c r="M113">
        <f>'G-P Exposure BF Coeff'!D114</f>
        <v>1.0229999999999999</v>
      </c>
      <c r="N113">
        <f>'G-P Exposure BF Coeff'!E114</f>
        <v>1.4E-2</v>
      </c>
      <c r="O113">
        <f>'G-P Exposure BF Coeff'!F114</f>
        <v>13.42</v>
      </c>
      <c r="P113">
        <f>'G-P Exposure BF Coeff'!G114</f>
        <v>-3.85E-2</v>
      </c>
      <c r="Q113">
        <f>'G-P Exposure BF Coeff'!H114</f>
        <v>3.3</v>
      </c>
      <c r="R113">
        <f>'G-P Exposure BF Coeff'!I114</f>
        <v>0.5</v>
      </c>
      <c r="S113">
        <f>'G-P Exposure BF Coeff'!J114</f>
        <v>1.35</v>
      </c>
      <c r="U113" s="13">
        <f t="shared" si="39"/>
        <v>0</v>
      </c>
      <c r="V113" s="13">
        <f t="shared" si="31"/>
        <v>0</v>
      </c>
      <c r="W113" s="13">
        <f t="shared" si="32"/>
        <v>0</v>
      </c>
      <c r="X113" s="13">
        <f t="shared" si="33"/>
        <v>0</v>
      </c>
      <c r="Y113" s="13">
        <f t="shared" si="34"/>
        <v>0</v>
      </c>
      <c r="Z113" s="13">
        <f t="shared" si="35"/>
        <v>0</v>
      </c>
      <c r="AA113" s="13">
        <f t="shared" si="36"/>
        <v>0.99</v>
      </c>
      <c r="AB113" s="13">
        <f t="shared" si="37"/>
        <v>0</v>
      </c>
      <c r="AC113" s="13">
        <f t="shared" si="38"/>
        <v>0.98999259259259265</v>
      </c>
    </row>
    <row r="114" spans="1:29">
      <c r="A114">
        <v>4</v>
      </c>
      <c r="B114">
        <v>1.363</v>
      </c>
      <c r="C114">
        <v>1.0369999999999999</v>
      </c>
      <c r="D114">
        <v>1.7999999999999999E-2</v>
      </c>
      <c r="E114">
        <v>13.72</v>
      </c>
      <c r="F114">
        <v>-4.3700000000000003E-2</v>
      </c>
      <c r="G114" s="2">
        <v>4.2000000000000003E-2</v>
      </c>
      <c r="H114">
        <v>0.5</v>
      </c>
      <c r="I114" s="2">
        <v>1.555E-2</v>
      </c>
      <c r="K114">
        <f>'G-P Exposure BF Coeff'!B115</f>
        <v>4</v>
      </c>
      <c r="L114">
        <f>'G-P Exposure BF Coeff'!C115</f>
        <v>1.363</v>
      </c>
      <c r="M114">
        <f>'G-P Exposure BF Coeff'!D115</f>
        <v>1.0369999999999999</v>
      </c>
      <c r="N114">
        <f>'G-P Exposure BF Coeff'!E115</f>
        <v>1.7999999999999999E-2</v>
      </c>
      <c r="O114">
        <f>'G-P Exposure BF Coeff'!F115</f>
        <v>13.72</v>
      </c>
      <c r="P114">
        <f>'G-P Exposure BF Coeff'!G115</f>
        <v>-4.3700000000000003E-2</v>
      </c>
      <c r="Q114">
        <f>'G-P Exposure BF Coeff'!H115</f>
        <v>4.2</v>
      </c>
      <c r="R114">
        <f>'G-P Exposure BF Coeff'!I115</f>
        <v>0.5</v>
      </c>
      <c r="S114">
        <f>'G-P Exposure BF Coeff'!J115</f>
        <v>1.56</v>
      </c>
      <c r="U114" s="13">
        <f t="shared" si="39"/>
        <v>0</v>
      </c>
      <c r="V114" s="13">
        <f t="shared" si="31"/>
        <v>0</v>
      </c>
      <c r="W114" s="13">
        <f t="shared" si="32"/>
        <v>0</v>
      </c>
      <c r="X114" s="13">
        <f t="shared" si="33"/>
        <v>0</v>
      </c>
      <c r="Y114" s="13">
        <f t="shared" si="34"/>
        <v>0</v>
      </c>
      <c r="Z114" s="13">
        <f t="shared" si="35"/>
        <v>0</v>
      </c>
      <c r="AA114" s="13">
        <f t="shared" si="36"/>
        <v>0.99</v>
      </c>
      <c r="AB114" s="13">
        <f t="shared" si="37"/>
        <v>0</v>
      </c>
      <c r="AC114" s="13">
        <f t="shared" si="38"/>
        <v>0.9900320512820513</v>
      </c>
    </row>
    <row r="115" spans="1:29">
      <c r="A115">
        <v>5</v>
      </c>
      <c r="B115">
        <v>1.393</v>
      </c>
      <c r="C115">
        <v>0.96399999999999997</v>
      </c>
      <c r="D115">
        <v>4.9000000000000002E-2</v>
      </c>
      <c r="E115">
        <v>13.94</v>
      </c>
      <c r="F115">
        <v>-7.2300000000000003E-2</v>
      </c>
      <c r="G115" s="2">
        <v>5.3999999999999999E-2</v>
      </c>
      <c r="H115">
        <v>0.5</v>
      </c>
      <c r="I115" s="2">
        <v>2.2460000000000001E-2</v>
      </c>
      <c r="K115">
        <f>'G-P Exposure BF Coeff'!B116</f>
        <v>5</v>
      </c>
      <c r="L115">
        <f>'G-P Exposure BF Coeff'!C116</f>
        <v>1.393</v>
      </c>
      <c r="M115">
        <f>'G-P Exposure BF Coeff'!D116</f>
        <v>0.96399999999999997</v>
      </c>
      <c r="N115">
        <f>'G-P Exposure BF Coeff'!E116</f>
        <v>4.9000000000000002E-2</v>
      </c>
      <c r="O115">
        <f>'G-P Exposure BF Coeff'!F116</f>
        <v>13.94</v>
      </c>
      <c r="P115">
        <f>'G-P Exposure BF Coeff'!G116</f>
        <v>-7.2300000000000003E-2</v>
      </c>
      <c r="Q115">
        <f>'G-P Exposure BF Coeff'!H116</f>
        <v>5.4</v>
      </c>
      <c r="R115">
        <f>'G-P Exposure BF Coeff'!I116</f>
        <v>0.5</v>
      </c>
      <c r="S115">
        <f>'G-P Exposure BF Coeff'!J116</f>
        <v>2.25</v>
      </c>
      <c r="U115" s="13">
        <f t="shared" si="39"/>
        <v>0</v>
      </c>
      <c r="V115" s="13">
        <f t="shared" si="31"/>
        <v>0</v>
      </c>
      <c r="W115" s="13">
        <f t="shared" si="32"/>
        <v>0</v>
      </c>
      <c r="X115" s="13">
        <f t="shared" si="33"/>
        <v>0</v>
      </c>
      <c r="Y115" s="13">
        <f t="shared" si="34"/>
        <v>0</v>
      </c>
      <c r="Z115" s="13">
        <f t="shared" si="35"/>
        <v>0</v>
      </c>
      <c r="AA115" s="13">
        <f t="shared" si="36"/>
        <v>0.99</v>
      </c>
      <c r="AB115" s="13">
        <f t="shared" si="37"/>
        <v>0</v>
      </c>
      <c r="AC115" s="13">
        <f t="shared" si="38"/>
        <v>0.99001777777777766</v>
      </c>
    </row>
    <row r="116" spans="1:29">
      <c r="A116">
        <v>6</v>
      </c>
      <c r="B116">
        <v>1.397</v>
      </c>
      <c r="C116">
        <v>0.96299999999999997</v>
      </c>
      <c r="D116">
        <v>5.6000000000000001E-2</v>
      </c>
      <c r="E116">
        <v>14.34</v>
      </c>
      <c r="F116">
        <v>-7.6899999999999996E-2</v>
      </c>
      <c r="G116" s="2">
        <v>5.5E-2</v>
      </c>
      <c r="H116">
        <v>0.5</v>
      </c>
      <c r="I116" s="2">
        <v>2.3709999999999998E-2</v>
      </c>
      <c r="K116">
        <f>'G-P Exposure BF Coeff'!B117</f>
        <v>6</v>
      </c>
      <c r="L116">
        <f>'G-P Exposure BF Coeff'!C117</f>
        <v>1.397</v>
      </c>
      <c r="M116">
        <f>'G-P Exposure BF Coeff'!D117</f>
        <v>0.96299999999999997</v>
      </c>
      <c r="N116">
        <f>'G-P Exposure BF Coeff'!E117</f>
        <v>5.6000000000000001E-2</v>
      </c>
      <c r="O116">
        <f>'G-P Exposure BF Coeff'!F117</f>
        <v>14.34</v>
      </c>
      <c r="P116">
        <f>'G-P Exposure BF Coeff'!G117</f>
        <v>-7.6899999999999996E-2</v>
      </c>
      <c r="Q116">
        <f>'G-P Exposure BF Coeff'!H117</f>
        <v>5.5</v>
      </c>
      <c r="R116">
        <f>'G-P Exposure BF Coeff'!I117</f>
        <v>0.5</v>
      </c>
      <c r="S116">
        <f>'G-P Exposure BF Coeff'!J117</f>
        <v>2.37</v>
      </c>
      <c r="U116" s="13">
        <f t="shared" si="39"/>
        <v>0</v>
      </c>
      <c r="V116" s="13">
        <f t="shared" si="31"/>
        <v>0</v>
      </c>
      <c r="W116" s="13">
        <f t="shared" si="32"/>
        <v>0</v>
      </c>
      <c r="X116" s="13">
        <f t="shared" si="33"/>
        <v>0</v>
      </c>
      <c r="Y116" s="13">
        <f t="shared" si="34"/>
        <v>0</v>
      </c>
      <c r="Z116" s="13">
        <f t="shared" si="35"/>
        <v>0</v>
      </c>
      <c r="AA116" s="13">
        <f t="shared" si="36"/>
        <v>0.9900000000000001</v>
      </c>
      <c r="AB116" s="13">
        <f t="shared" si="37"/>
        <v>0</v>
      </c>
      <c r="AC116" s="13">
        <f t="shared" si="38"/>
        <v>0.98999578059071736</v>
      </c>
    </row>
    <row r="117" spans="1:29">
      <c r="A117">
        <v>8</v>
      </c>
      <c r="B117">
        <v>1.4650000000000001</v>
      </c>
      <c r="C117">
        <v>0.99</v>
      </c>
      <c r="D117">
        <v>6.3E-2</v>
      </c>
      <c r="E117">
        <v>14.15</v>
      </c>
      <c r="F117">
        <v>-8.48E-2</v>
      </c>
      <c r="G117" s="2">
        <v>5.8000000000000003E-2</v>
      </c>
      <c r="H117">
        <v>0.5</v>
      </c>
      <c r="I117" s="2">
        <v>2.5829999999999999E-2</v>
      </c>
      <c r="K117">
        <f>'G-P Exposure BF Coeff'!B118</f>
        <v>8</v>
      </c>
      <c r="L117">
        <f>'G-P Exposure BF Coeff'!C118</f>
        <v>1.4650000000000001</v>
      </c>
      <c r="M117">
        <f>'G-P Exposure BF Coeff'!D118</f>
        <v>0.99</v>
      </c>
      <c r="N117">
        <f>'G-P Exposure BF Coeff'!E118</f>
        <v>6.3E-2</v>
      </c>
      <c r="O117">
        <f>'G-P Exposure BF Coeff'!F118</f>
        <v>14.15</v>
      </c>
      <c r="P117">
        <f>'G-P Exposure BF Coeff'!G118</f>
        <v>-8.48E-2</v>
      </c>
      <c r="Q117">
        <f>'G-P Exposure BF Coeff'!H118</f>
        <v>5.8</v>
      </c>
      <c r="R117">
        <f>'G-P Exposure BF Coeff'!I118</f>
        <v>0.5</v>
      </c>
      <c r="S117">
        <f>'G-P Exposure BF Coeff'!J118</f>
        <v>2.58</v>
      </c>
      <c r="U117" s="13">
        <f t="shared" si="39"/>
        <v>0</v>
      </c>
      <c r="V117" s="13">
        <f t="shared" si="31"/>
        <v>0</v>
      </c>
      <c r="W117" s="13">
        <f t="shared" si="32"/>
        <v>0</v>
      </c>
      <c r="X117" s="13">
        <f t="shared" si="33"/>
        <v>0</v>
      </c>
      <c r="Y117" s="13">
        <f t="shared" si="34"/>
        <v>0</v>
      </c>
      <c r="Z117" s="13">
        <f t="shared" si="35"/>
        <v>0</v>
      </c>
      <c r="AA117" s="13">
        <f t="shared" si="36"/>
        <v>0.99</v>
      </c>
      <c r="AB117" s="13">
        <f t="shared" si="37"/>
        <v>0</v>
      </c>
      <c r="AC117" s="13">
        <f t="shared" si="38"/>
        <v>0.98998837209302326</v>
      </c>
    </row>
    <row r="118" spans="1:29">
      <c r="A118">
        <v>10</v>
      </c>
      <c r="B118">
        <v>1.4750000000000001</v>
      </c>
      <c r="C118">
        <v>1.151</v>
      </c>
      <c r="D118">
        <v>3.1E-2</v>
      </c>
      <c r="E118">
        <v>14.1</v>
      </c>
      <c r="F118">
        <v>-5.6099999999999997E-2</v>
      </c>
      <c r="G118" s="2">
        <v>4.4999999999999998E-2</v>
      </c>
      <c r="H118">
        <v>0.5</v>
      </c>
      <c r="I118" s="2">
        <v>1.89E-2</v>
      </c>
      <c r="K118">
        <f>'G-P Exposure BF Coeff'!B119</f>
        <v>10</v>
      </c>
      <c r="L118">
        <f>'G-P Exposure BF Coeff'!C119</f>
        <v>1.4750000000000001</v>
      </c>
      <c r="M118">
        <f>'G-P Exposure BF Coeff'!D119</f>
        <v>1.151</v>
      </c>
      <c r="N118">
        <f>'G-P Exposure BF Coeff'!E119</f>
        <v>3.1E-2</v>
      </c>
      <c r="O118">
        <f>'G-P Exposure BF Coeff'!F119</f>
        <v>14.1</v>
      </c>
      <c r="P118">
        <f>'G-P Exposure BF Coeff'!G119</f>
        <v>-5.6099999999999997E-2</v>
      </c>
      <c r="Q118">
        <f>'G-P Exposure BF Coeff'!H119</f>
        <v>4.5</v>
      </c>
      <c r="R118">
        <f>'G-P Exposure BF Coeff'!I119</f>
        <v>0.5</v>
      </c>
      <c r="S118">
        <f>'G-P Exposure BF Coeff'!J119</f>
        <v>1.89</v>
      </c>
      <c r="U118" s="13">
        <f>(K118-A118)/K118</f>
        <v>0</v>
      </c>
      <c r="V118" s="13">
        <f t="shared" si="31"/>
        <v>0</v>
      </c>
      <c r="W118" s="13">
        <f t="shared" si="32"/>
        <v>0</v>
      </c>
      <c r="X118" s="13">
        <f t="shared" si="33"/>
        <v>0</v>
      </c>
      <c r="Y118" s="13">
        <f t="shared" si="34"/>
        <v>0</v>
      </c>
      <c r="Z118" s="13">
        <f t="shared" si="35"/>
        <v>0</v>
      </c>
      <c r="AA118" s="13">
        <f t="shared" si="36"/>
        <v>0.99</v>
      </c>
      <c r="AB118" s="13">
        <f t="shared" si="37"/>
        <v>0</v>
      </c>
      <c r="AC118" s="13">
        <f t="shared" si="38"/>
        <v>0.99</v>
      </c>
    </row>
    <row r="119" spans="1:29">
      <c r="A119">
        <v>15</v>
      </c>
      <c r="B119">
        <v>1.589</v>
      </c>
      <c r="C119">
        <v>1.335</v>
      </c>
      <c r="D119">
        <v>1.6E-2</v>
      </c>
      <c r="E119">
        <v>13.6</v>
      </c>
      <c r="F119">
        <v>-4.9399999999999999E-2</v>
      </c>
      <c r="G119" s="2">
        <v>3.4000000000000002E-2</v>
      </c>
      <c r="H119">
        <v>0.5</v>
      </c>
      <c r="I119" s="2">
        <v>1.7080000000000001E-2</v>
      </c>
      <c r="K119">
        <f>'G-P Exposure BF Coeff'!B120</f>
        <v>15</v>
      </c>
      <c r="L119">
        <f>'G-P Exposure BF Coeff'!C120</f>
        <v>1.589</v>
      </c>
      <c r="M119">
        <f>'G-P Exposure BF Coeff'!D120</f>
        <v>1.335</v>
      </c>
      <c r="N119">
        <f>'G-P Exposure BF Coeff'!E120</f>
        <v>1.6E-2</v>
      </c>
      <c r="O119">
        <f>'G-P Exposure BF Coeff'!F120</f>
        <v>13.6</v>
      </c>
      <c r="P119">
        <f>'G-P Exposure BF Coeff'!G120</f>
        <v>-4.9399999999999999E-2</v>
      </c>
      <c r="Q119">
        <f>'G-P Exposure BF Coeff'!H120</f>
        <v>3.4</v>
      </c>
      <c r="R119">
        <f>'G-P Exposure BF Coeff'!I120</f>
        <v>0.5</v>
      </c>
      <c r="S119">
        <f>'G-P Exposure BF Coeff'!J120</f>
        <v>1.71</v>
      </c>
      <c r="U119" s="13">
        <f t="shared" ref="U119" si="40">(K119-A119)/K119</f>
        <v>0</v>
      </c>
      <c r="V119" s="13">
        <f t="shared" si="31"/>
        <v>0</v>
      </c>
      <c r="W119" s="13">
        <f t="shared" si="32"/>
        <v>0</v>
      </c>
      <c r="X119" s="13">
        <f t="shared" si="33"/>
        <v>0</v>
      </c>
      <c r="Y119" s="13">
        <f t="shared" si="34"/>
        <v>0</v>
      </c>
      <c r="Z119" s="13">
        <f t="shared" si="35"/>
        <v>0</v>
      </c>
      <c r="AA119" s="13">
        <f t="shared" si="36"/>
        <v>0.9900000000000001</v>
      </c>
      <c r="AB119" s="13">
        <f t="shared" si="37"/>
        <v>0</v>
      </c>
      <c r="AC119" s="13">
        <f t="shared" si="38"/>
        <v>0.99001169590643279</v>
      </c>
    </row>
    <row r="121" spans="1:29">
      <c r="A121" s="16" t="s">
        <v>107</v>
      </c>
      <c r="B121" s="16"/>
      <c r="C121" s="16"/>
      <c r="D121" s="16"/>
      <c r="E121" s="16"/>
    </row>
    <row r="123" spans="1:29">
      <c r="K123" s="16" t="s">
        <v>107</v>
      </c>
    </row>
    <row r="124" spans="1:29">
      <c r="A124" s="15" t="s">
        <v>1</v>
      </c>
      <c r="B124" s="15" t="s">
        <v>11</v>
      </c>
      <c r="C124" s="15" t="s">
        <v>12</v>
      </c>
      <c r="D124" s="15" t="s">
        <v>13</v>
      </c>
      <c r="E124" s="15" t="s">
        <v>16</v>
      </c>
      <c r="F124" s="15" t="s">
        <v>14</v>
      </c>
      <c r="G124" s="15" t="s">
        <v>17</v>
      </c>
      <c r="H124" s="15" t="s">
        <v>18</v>
      </c>
      <c r="I124" s="15" t="s">
        <v>15</v>
      </c>
      <c r="K124" s="15" t="s">
        <v>1</v>
      </c>
      <c r="L124" s="15" t="s">
        <v>11</v>
      </c>
      <c r="M124" s="15" t="s">
        <v>12</v>
      </c>
      <c r="N124" s="15" t="s">
        <v>13</v>
      </c>
      <c r="O124" s="15" t="s">
        <v>16</v>
      </c>
      <c r="P124" s="15" t="s">
        <v>14</v>
      </c>
      <c r="Q124" s="15" t="s">
        <v>17</v>
      </c>
      <c r="R124" s="15" t="s">
        <v>18</v>
      </c>
      <c r="S124" s="15" t="s">
        <v>15</v>
      </c>
      <c r="U124" s="15" t="s">
        <v>1</v>
      </c>
      <c r="V124" s="15" t="s">
        <v>11</v>
      </c>
      <c r="W124" s="15" t="s">
        <v>12</v>
      </c>
      <c r="X124" s="15" t="s">
        <v>13</v>
      </c>
      <c r="Y124" s="15" t="s">
        <v>16</v>
      </c>
      <c r="Z124" s="15" t="s">
        <v>14</v>
      </c>
      <c r="AA124" s="15" t="s">
        <v>17</v>
      </c>
      <c r="AB124" s="15" t="s">
        <v>18</v>
      </c>
      <c r="AC124" s="15" t="s">
        <v>15</v>
      </c>
    </row>
    <row r="125" spans="1:29">
      <c r="A125">
        <v>1.4999999999999999E-2</v>
      </c>
      <c r="B125">
        <v>0</v>
      </c>
      <c r="C125">
        <v>0</v>
      </c>
      <c r="D125">
        <v>0</v>
      </c>
      <c r="E125">
        <v>0</v>
      </c>
      <c r="F125">
        <v>0</v>
      </c>
      <c r="G125" s="2">
        <v>0</v>
      </c>
      <c r="H125">
        <v>0</v>
      </c>
      <c r="I125" s="2">
        <v>0</v>
      </c>
      <c r="U125" s="13" t="e">
        <f>(K125-A125)/K125</f>
        <v>#DIV/0!</v>
      </c>
      <c r="V125" s="13" t="e">
        <f t="shared" ref="V125:V149" si="41">(L125-B125)/L125</f>
        <v>#DIV/0!</v>
      </c>
      <c r="W125" s="13" t="e">
        <f t="shared" ref="W125:W149" si="42">(M125-C125)/M125</f>
        <v>#DIV/0!</v>
      </c>
      <c r="X125" s="13" t="e">
        <f t="shared" ref="X125:X149" si="43">(N125-D125)/N125</f>
        <v>#DIV/0!</v>
      </c>
      <c r="Y125" s="13" t="e">
        <f t="shared" ref="Y125:Y149" si="44">(O125-E125)/O125</f>
        <v>#DIV/0!</v>
      </c>
      <c r="Z125" s="13" t="e">
        <f t="shared" ref="Z125:Z149" si="45">(P125-F125)/P125</f>
        <v>#DIV/0!</v>
      </c>
      <c r="AA125" s="13" t="e">
        <f t="shared" ref="AA125:AA149" si="46">(Q125-G125)/Q125</f>
        <v>#DIV/0!</v>
      </c>
      <c r="AB125" s="13" t="e">
        <f t="shared" ref="AB125:AB149" si="47">(R125-H125)/R125</f>
        <v>#DIV/0!</v>
      </c>
      <c r="AC125" s="13" t="e">
        <f t="shared" ref="AC125:AC149" si="48">(S125-I125)/S125</f>
        <v>#DIV/0!</v>
      </c>
    </row>
    <row r="126" spans="1:29">
      <c r="A126">
        <v>0.02</v>
      </c>
      <c r="B126">
        <v>0</v>
      </c>
      <c r="C126">
        <v>0</v>
      </c>
      <c r="D126">
        <v>0</v>
      </c>
      <c r="E126">
        <v>0</v>
      </c>
      <c r="F126">
        <v>0</v>
      </c>
      <c r="G126" s="2">
        <v>0</v>
      </c>
      <c r="H126">
        <v>0</v>
      </c>
      <c r="I126" s="2">
        <v>0</v>
      </c>
      <c r="U126" s="13" t="e">
        <f t="shared" ref="U126:U147" si="49">(K126-A126)/K126</f>
        <v>#DIV/0!</v>
      </c>
      <c r="V126" s="13" t="e">
        <f t="shared" si="41"/>
        <v>#DIV/0!</v>
      </c>
      <c r="W126" s="13" t="e">
        <f t="shared" si="42"/>
        <v>#DIV/0!</v>
      </c>
      <c r="X126" s="13" t="e">
        <f t="shared" si="43"/>
        <v>#DIV/0!</v>
      </c>
      <c r="Y126" s="13" t="e">
        <f t="shared" si="44"/>
        <v>#DIV/0!</v>
      </c>
      <c r="Z126" s="13" t="e">
        <f t="shared" si="45"/>
        <v>#DIV/0!</v>
      </c>
      <c r="AA126" s="13" t="e">
        <f t="shared" si="46"/>
        <v>#DIV/0!</v>
      </c>
      <c r="AB126" s="13" t="e">
        <f t="shared" si="47"/>
        <v>#DIV/0!</v>
      </c>
      <c r="AC126" s="13" t="e">
        <f t="shared" si="48"/>
        <v>#DIV/0!</v>
      </c>
    </row>
    <row r="127" spans="1:29">
      <c r="A127">
        <v>0.03</v>
      </c>
      <c r="B127">
        <v>1.0069999999999999</v>
      </c>
      <c r="C127">
        <v>0.32200000000000001</v>
      </c>
      <c r="D127">
        <v>0.246</v>
      </c>
      <c r="E127">
        <v>13.67</v>
      </c>
      <c r="F127">
        <v>-0.10299999999999999</v>
      </c>
      <c r="G127" s="2">
        <v>0</v>
      </c>
      <c r="H127">
        <v>0.5</v>
      </c>
      <c r="I127" s="2">
        <v>2.0000000000000001E-4</v>
      </c>
      <c r="K127">
        <f>'G-P Exposure BF Coeff'!B124</f>
        <v>0.03</v>
      </c>
      <c r="L127">
        <f>'G-P Exposure BF Coeff'!C124</f>
        <v>1.0069999999999999</v>
      </c>
      <c r="M127">
        <f>'G-P Exposure BF Coeff'!D124</f>
        <v>0.32200000000000001</v>
      </c>
      <c r="N127">
        <f>'G-P Exposure BF Coeff'!E124</f>
        <v>0.246</v>
      </c>
      <c r="O127">
        <f>'G-P Exposure BF Coeff'!F124</f>
        <v>13.67</v>
      </c>
      <c r="P127">
        <f>'G-P Exposure BF Coeff'!G124</f>
        <v>-0.10299999999999999</v>
      </c>
      <c r="Q127">
        <f>'G-P Exposure BF Coeff'!H124</f>
        <v>0</v>
      </c>
      <c r="R127">
        <f>'G-P Exposure BF Coeff'!I124</f>
        <v>0.5</v>
      </c>
      <c r="S127">
        <f>'G-P Exposure BF Coeff'!J124</f>
        <v>0.02</v>
      </c>
      <c r="U127" s="13">
        <f t="shared" si="49"/>
        <v>0</v>
      </c>
      <c r="V127" s="13">
        <f t="shared" si="41"/>
        <v>0</v>
      </c>
      <c r="W127" s="13">
        <f t="shared" si="42"/>
        <v>0</v>
      </c>
      <c r="X127" s="13">
        <f t="shared" si="43"/>
        <v>0</v>
      </c>
      <c r="Y127" s="13">
        <f t="shared" si="44"/>
        <v>0</v>
      </c>
      <c r="Z127" s="13">
        <f t="shared" si="45"/>
        <v>0</v>
      </c>
      <c r="AA127" s="13" t="e">
        <f t="shared" si="46"/>
        <v>#DIV/0!</v>
      </c>
      <c r="AB127" s="13">
        <f t="shared" si="47"/>
        <v>0</v>
      </c>
      <c r="AC127" s="13">
        <f t="shared" si="48"/>
        <v>0.9900000000000001</v>
      </c>
    </row>
    <row r="128" spans="1:29">
      <c r="A128">
        <v>0.04</v>
      </c>
      <c r="B128">
        <v>1.014</v>
      </c>
      <c r="C128">
        <v>0.317</v>
      </c>
      <c r="D128">
        <v>0.245</v>
      </c>
      <c r="E128">
        <v>14.95</v>
      </c>
      <c r="F128">
        <v>-8.6699999999999999E-2</v>
      </c>
      <c r="G128" s="2">
        <v>1E-3</v>
      </c>
      <c r="H128">
        <v>0.5</v>
      </c>
      <c r="I128" s="2">
        <v>3.5E-4</v>
      </c>
      <c r="K128">
        <f>'G-P Exposure BF Coeff'!B125</f>
        <v>0.04</v>
      </c>
      <c r="L128">
        <f>'G-P Exposure BF Coeff'!C125</f>
        <v>1.014</v>
      </c>
      <c r="M128">
        <f>'G-P Exposure BF Coeff'!D125</f>
        <v>0.317</v>
      </c>
      <c r="N128">
        <f>'G-P Exposure BF Coeff'!E125</f>
        <v>0.245</v>
      </c>
      <c r="O128">
        <f>'G-P Exposure BF Coeff'!F125</f>
        <v>14.95</v>
      </c>
      <c r="P128">
        <f>'G-P Exposure BF Coeff'!G125</f>
        <v>-8.6699999999999999E-2</v>
      </c>
      <c r="Q128">
        <f>'G-P Exposure BF Coeff'!H125</f>
        <v>0.1</v>
      </c>
      <c r="R128">
        <f>'G-P Exposure BF Coeff'!I125</f>
        <v>0.5</v>
      </c>
      <c r="S128">
        <f>'G-P Exposure BF Coeff'!J125</f>
        <v>0.04</v>
      </c>
      <c r="U128" s="13">
        <f t="shared" si="49"/>
        <v>0</v>
      </c>
      <c r="V128" s="13">
        <f t="shared" si="41"/>
        <v>0</v>
      </c>
      <c r="W128" s="13">
        <f t="shared" si="42"/>
        <v>0</v>
      </c>
      <c r="X128" s="13">
        <f t="shared" si="43"/>
        <v>0</v>
      </c>
      <c r="Y128" s="13">
        <f t="shared" si="44"/>
        <v>0</v>
      </c>
      <c r="Z128" s="13">
        <f t="shared" si="45"/>
        <v>0</v>
      </c>
      <c r="AA128" s="13">
        <f t="shared" si="46"/>
        <v>0.99</v>
      </c>
      <c r="AB128" s="13">
        <f t="shared" si="47"/>
        <v>0</v>
      </c>
      <c r="AC128" s="13">
        <f t="shared" si="48"/>
        <v>0.99124999999999996</v>
      </c>
    </row>
    <row r="129" spans="1:29">
      <c r="A129">
        <v>0.05</v>
      </c>
      <c r="B129">
        <v>1.0229999999999999</v>
      </c>
      <c r="C129">
        <v>0.312</v>
      </c>
      <c r="D129">
        <v>0.252</v>
      </c>
      <c r="E129">
        <v>14.17</v>
      </c>
      <c r="F129">
        <v>-0.10050000000000001</v>
      </c>
      <c r="G129" s="2">
        <v>1E-3</v>
      </c>
      <c r="H129">
        <v>0.5</v>
      </c>
      <c r="I129" s="2">
        <v>4.4000000000000002E-4</v>
      </c>
      <c r="K129">
        <f>'G-P Exposure BF Coeff'!B126</f>
        <v>0.05</v>
      </c>
      <c r="L129">
        <f>'G-P Exposure BF Coeff'!C126</f>
        <v>1.0229999999999999</v>
      </c>
      <c r="M129">
        <f>'G-P Exposure BF Coeff'!D126</f>
        <v>0.312</v>
      </c>
      <c r="N129">
        <f>'G-P Exposure BF Coeff'!E126</f>
        <v>0.252</v>
      </c>
      <c r="O129">
        <f>'G-P Exposure BF Coeff'!F126</f>
        <v>14.17</v>
      </c>
      <c r="P129">
        <f>'G-P Exposure BF Coeff'!G126</f>
        <v>-0.10050000000000001</v>
      </c>
      <c r="Q129">
        <f>'G-P Exposure BF Coeff'!H126</f>
        <v>0.1</v>
      </c>
      <c r="R129">
        <f>'G-P Exposure BF Coeff'!I126</f>
        <v>0.5</v>
      </c>
      <c r="S129">
        <f>'G-P Exposure BF Coeff'!J126</f>
        <v>0.04</v>
      </c>
      <c r="U129" s="13">
        <f t="shared" si="49"/>
        <v>0</v>
      </c>
      <c r="V129" s="13">
        <f t="shared" si="41"/>
        <v>0</v>
      </c>
      <c r="W129" s="13">
        <f t="shared" si="42"/>
        <v>0</v>
      </c>
      <c r="X129" s="13">
        <f t="shared" si="43"/>
        <v>0</v>
      </c>
      <c r="Y129" s="13">
        <f t="shared" si="44"/>
        <v>0</v>
      </c>
      <c r="Z129" s="13">
        <f t="shared" si="45"/>
        <v>0</v>
      </c>
      <c r="AA129" s="13">
        <f t="shared" si="46"/>
        <v>0.99</v>
      </c>
      <c r="AB129" s="13">
        <f t="shared" si="47"/>
        <v>0</v>
      </c>
      <c r="AC129" s="13">
        <f t="shared" si="48"/>
        <v>0.98899999999999988</v>
      </c>
    </row>
    <row r="130" spans="1:29">
      <c r="A130">
        <v>0.06</v>
      </c>
      <c r="B130">
        <v>1.0329999999999999</v>
      </c>
      <c r="C130">
        <v>0.32</v>
      </c>
      <c r="D130">
        <v>0.26</v>
      </c>
      <c r="E130">
        <v>13.89</v>
      </c>
      <c r="F130">
        <v>-0.12230000000000001</v>
      </c>
      <c r="G130" s="2">
        <v>1E-3</v>
      </c>
      <c r="H130">
        <v>4</v>
      </c>
      <c r="I130" s="2">
        <v>5.8E-4</v>
      </c>
      <c r="K130">
        <f>'G-P Exposure BF Coeff'!B127</f>
        <v>0.06</v>
      </c>
      <c r="L130">
        <f>'G-P Exposure BF Coeff'!C127</f>
        <v>1.0329999999999999</v>
      </c>
      <c r="M130">
        <f>'G-P Exposure BF Coeff'!D127</f>
        <v>0.32</v>
      </c>
      <c r="N130">
        <f>'G-P Exposure BF Coeff'!E127</f>
        <v>0.26</v>
      </c>
      <c r="O130">
        <f>'G-P Exposure BF Coeff'!F127</f>
        <v>13.89</v>
      </c>
      <c r="P130">
        <f>'G-P Exposure BF Coeff'!G127</f>
        <v>-0.12230000000000001</v>
      </c>
      <c r="Q130">
        <f>'G-P Exposure BF Coeff'!H127</f>
        <v>0.1</v>
      </c>
      <c r="R130">
        <f>'G-P Exposure BF Coeff'!I127</f>
        <v>4</v>
      </c>
      <c r="S130">
        <f>'G-P Exposure BF Coeff'!J127</f>
        <v>0.06</v>
      </c>
      <c r="U130" s="13">
        <f t="shared" si="49"/>
        <v>0</v>
      </c>
      <c r="V130" s="13">
        <f t="shared" si="41"/>
        <v>0</v>
      </c>
      <c r="W130" s="13">
        <f t="shared" si="42"/>
        <v>0</v>
      </c>
      <c r="X130" s="13">
        <f t="shared" si="43"/>
        <v>0</v>
      </c>
      <c r="Y130" s="13">
        <f t="shared" si="44"/>
        <v>0</v>
      </c>
      <c r="Z130" s="13">
        <f t="shared" si="45"/>
        <v>0</v>
      </c>
      <c r="AA130" s="13">
        <f t="shared" si="46"/>
        <v>0.99</v>
      </c>
      <c r="AB130" s="13">
        <f t="shared" si="47"/>
        <v>0</v>
      </c>
      <c r="AC130" s="13">
        <f t="shared" si="48"/>
        <v>0.9903333333333334</v>
      </c>
    </row>
    <row r="131" spans="1:29">
      <c r="A131">
        <v>0.08</v>
      </c>
      <c r="B131">
        <v>1.0580000000000001</v>
      </c>
      <c r="C131">
        <v>0.36199999999999999</v>
      </c>
      <c r="D131">
        <v>0.23300000000000001</v>
      </c>
      <c r="E131">
        <v>13.91</v>
      </c>
      <c r="F131">
        <v>-0.11269999999999999</v>
      </c>
      <c r="G131" s="2">
        <v>2E-3</v>
      </c>
      <c r="H131">
        <v>0.5</v>
      </c>
      <c r="I131" s="2">
        <v>1.15E-3</v>
      </c>
      <c r="K131">
        <f>'G-P Exposure BF Coeff'!B128</f>
        <v>0.08</v>
      </c>
      <c r="L131">
        <f>'G-P Exposure BF Coeff'!C128</f>
        <v>1.0580000000000001</v>
      </c>
      <c r="M131">
        <f>'G-P Exposure BF Coeff'!D128</f>
        <v>0.36199999999999999</v>
      </c>
      <c r="N131">
        <f>'G-P Exposure BF Coeff'!E128</f>
        <v>0.23300000000000001</v>
      </c>
      <c r="O131">
        <f>'G-P Exposure BF Coeff'!F128</f>
        <v>13.91</v>
      </c>
      <c r="P131">
        <f>'G-P Exposure BF Coeff'!G128</f>
        <v>-0.11269999999999999</v>
      </c>
      <c r="Q131">
        <f>'G-P Exposure BF Coeff'!H128</f>
        <v>0.2</v>
      </c>
      <c r="R131">
        <f>'G-P Exposure BF Coeff'!I128</f>
        <v>0.5</v>
      </c>
      <c r="S131">
        <f>'G-P Exposure BF Coeff'!J128</f>
        <v>0.12</v>
      </c>
      <c r="U131" s="13">
        <f t="shared" si="49"/>
        <v>0</v>
      </c>
      <c r="V131" s="13">
        <f t="shared" si="41"/>
        <v>0</v>
      </c>
      <c r="W131" s="13">
        <f t="shared" si="42"/>
        <v>0</v>
      </c>
      <c r="X131" s="13">
        <f t="shared" si="43"/>
        <v>0</v>
      </c>
      <c r="Y131" s="13">
        <f t="shared" si="44"/>
        <v>0</v>
      </c>
      <c r="Z131" s="13">
        <f t="shared" si="45"/>
        <v>0</v>
      </c>
      <c r="AA131" s="13">
        <f t="shared" si="46"/>
        <v>0.99</v>
      </c>
      <c r="AB131" s="13">
        <f t="shared" si="47"/>
        <v>0</v>
      </c>
      <c r="AC131" s="13">
        <f t="shared" si="48"/>
        <v>0.99041666666666672</v>
      </c>
    </row>
    <row r="132" spans="1:29">
      <c r="A132">
        <v>0.1</v>
      </c>
      <c r="B132">
        <v>1.93</v>
      </c>
      <c r="C132">
        <v>1.4990000000000001</v>
      </c>
      <c r="D132">
        <v>6.0999999999999999E-2</v>
      </c>
      <c r="E132">
        <v>29.65</v>
      </c>
      <c r="F132">
        <v>-0.1162</v>
      </c>
      <c r="G132" s="2">
        <v>0.10100000000000001</v>
      </c>
      <c r="H132">
        <v>40</v>
      </c>
      <c r="I132" s="2">
        <v>4.3659999999999997E-2</v>
      </c>
      <c r="K132">
        <f>'G-P Exposure BF Coeff'!B132</f>
        <v>0.1</v>
      </c>
      <c r="L132">
        <f>'G-P Exposure BF Coeff'!C132</f>
        <v>1.93</v>
      </c>
      <c r="M132">
        <f>'G-P Exposure BF Coeff'!D132</f>
        <v>1.4990000000000001</v>
      </c>
      <c r="N132">
        <f>'G-P Exposure BF Coeff'!E132</f>
        <v>6.0999999999999999E-2</v>
      </c>
      <c r="O132">
        <f>'G-P Exposure BF Coeff'!F132</f>
        <v>29.65</v>
      </c>
      <c r="P132">
        <f>'G-P Exposure BF Coeff'!G132</f>
        <v>-0.1162</v>
      </c>
      <c r="Q132">
        <f>'G-P Exposure BF Coeff'!H132</f>
        <v>10.1</v>
      </c>
      <c r="R132">
        <f>'G-P Exposure BF Coeff'!I132</f>
        <v>40</v>
      </c>
      <c r="S132">
        <f>'G-P Exposure BF Coeff'!J132</f>
        <v>4.37</v>
      </c>
      <c r="U132" s="13">
        <f t="shared" si="49"/>
        <v>0</v>
      </c>
      <c r="V132" s="13">
        <f t="shared" si="41"/>
        <v>0</v>
      </c>
      <c r="W132" s="13">
        <f t="shared" si="42"/>
        <v>0</v>
      </c>
      <c r="X132" s="13">
        <f t="shared" si="43"/>
        <v>0</v>
      </c>
      <c r="Y132" s="13">
        <f t="shared" si="44"/>
        <v>0</v>
      </c>
      <c r="Z132" s="13">
        <f t="shared" si="45"/>
        <v>0</v>
      </c>
      <c r="AA132" s="13">
        <f t="shared" si="46"/>
        <v>0.98999999999999988</v>
      </c>
      <c r="AB132" s="13">
        <f t="shared" si="47"/>
        <v>0</v>
      </c>
      <c r="AC132" s="13">
        <f t="shared" si="48"/>
        <v>0.99000915331807782</v>
      </c>
    </row>
    <row r="133" spans="1:29">
      <c r="A133">
        <v>0.15</v>
      </c>
      <c r="B133">
        <v>1.4019999999999999</v>
      </c>
      <c r="C133">
        <v>0.35199999999999998</v>
      </c>
      <c r="D133">
        <v>0.26900000000000002</v>
      </c>
      <c r="E133">
        <v>17.09</v>
      </c>
      <c r="F133">
        <v>-2.47E-2</v>
      </c>
      <c r="G133" s="2">
        <v>1.0999999999999999E-2</v>
      </c>
      <c r="H133">
        <v>0.5</v>
      </c>
      <c r="I133" s="2">
        <v>5.8100000000000001E-3</v>
      </c>
      <c r="K133">
        <f>'G-P Exposure BF Coeff'!B137</f>
        <v>0.15</v>
      </c>
      <c r="L133">
        <f>'G-P Exposure BF Coeff'!C137</f>
        <v>1.4019999999999999</v>
      </c>
      <c r="M133">
        <f>'G-P Exposure BF Coeff'!D137</f>
        <v>0.35199999999999998</v>
      </c>
      <c r="N133">
        <f>'G-P Exposure BF Coeff'!E137</f>
        <v>0.26900000000000002</v>
      </c>
      <c r="O133">
        <f>'G-P Exposure BF Coeff'!F137</f>
        <v>17.09</v>
      </c>
      <c r="P133">
        <f>'G-P Exposure BF Coeff'!G137</f>
        <v>-2.47E-2</v>
      </c>
      <c r="Q133">
        <f>'G-P Exposure BF Coeff'!H137</f>
        <v>1.1000000000000001</v>
      </c>
      <c r="R133">
        <f>'G-P Exposure BF Coeff'!I137</f>
        <v>0.5</v>
      </c>
      <c r="S133">
        <f>'G-P Exposure BF Coeff'!J137</f>
        <v>0.57999999999999996</v>
      </c>
      <c r="U133" s="13">
        <f t="shared" si="49"/>
        <v>0</v>
      </c>
      <c r="V133" s="13">
        <f t="shared" si="41"/>
        <v>0</v>
      </c>
      <c r="W133" s="13">
        <f t="shared" si="42"/>
        <v>0</v>
      </c>
      <c r="X133" s="13">
        <f t="shared" si="43"/>
        <v>0</v>
      </c>
      <c r="Y133" s="13">
        <f t="shared" si="44"/>
        <v>0</v>
      </c>
      <c r="Z133" s="13">
        <f t="shared" si="45"/>
        <v>0</v>
      </c>
      <c r="AA133" s="13">
        <f t="shared" si="46"/>
        <v>0.9900000000000001</v>
      </c>
      <c r="AB133" s="13">
        <f t="shared" si="47"/>
        <v>0</v>
      </c>
      <c r="AC133" s="13">
        <f t="shared" si="48"/>
        <v>0.98998275862068974</v>
      </c>
    </row>
    <row r="134" spans="1:29">
      <c r="A134">
        <v>0.2</v>
      </c>
      <c r="B134">
        <v>1.2010000000000001</v>
      </c>
      <c r="C134">
        <v>0.158</v>
      </c>
      <c r="D134">
        <v>0.42599999999999999</v>
      </c>
      <c r="E134">
        <v>14.12</v>
      </c>
      <c r="F134">
        <v>-0.18729999999999999</v>
      </c>
      <c r="G134" s="2">
        <v>3.0000000000000001E-3</v>
      </c>
      <c r="H134">
        <v>10</v>
      </c>
      <c r="I134" s="2">
        <v>2.0200000000000001E-3</v>
      </c>
      <c r="K134">
        <f>'G-P Exposure BF Coeff'!B139</f>
        <v>0.2</v>
      </c>
      <c r="L134">
        <f>'G-P Exposure BF Coeff'!C139</f>
        <v>1.2010000000000001</v>
      </c>
      <c r="M134">
        <f>'G-P Exposure BF Coeff'!D139</f>
        <v>0.158</v>
      </c>
      <c r="N134">
        <f>'G-P Exposure BF Coeff'!E139</f>
        <v>0.42599999999999999</v>
      </c>
      <c r="O134">
        <f>'G-P Exposure BF Coeff'!F139</f>
        <v>14.12</v>
      </c>
      <c r="P134">
        <f>'G-P Exposure BF Coeff'!G139</f>
        <v>-0.18729999999999999</v>
      </c>
      <c r="Q134">
        <f>'G-P Exposure BF Coeff'!H139</f>
        <v>0.3</v>
      </c>
      <c r="R134">
        <f>'G-P Exposure BF Coeff'!I139</f>
        <v>10</v>
      </c>
      <c r="S134">
        <f>'G-P Exposure BF Coeff'!J139</f>
        <v>0.2</v>
      </c>
      <c r="U134" s="13">
        <f t="shared" si="49"/>
        <v>0</v>
      </c>
      <c r="V134" s="13">
        <f t="shared" si="41"/>
        <v>0</v>
      </c>
      <c r="W134" s="13">
        <f t="shared" si="42"/>
        <v>0</v>
      </c>
      <c r="X134" s="13">
        <f t="shared" si="43"/>
        <v>0</v>
      </c>
      <c r="Y134" s="13">
        <f t="shared" si="44"/>
        <v>0</v>
      </c>
      <c r="Z134" s="13">
        <f t="shared" si="45"/>
        <v>0</v>
      </c>
      <c r="AA134" s="13">
        <f t="shared" si="46"/>
        <v>0.99</v>
      </c>
      <c r="AB134" s="13">
        <f t="shared" si="47"/>
        <v>0</v>
      </c>
      <c r="AC134" s="13">
        <f t="shared" si="48"/>
        <v>0.9899</v>
      </c>
    </row>
    <row r="135" spans="1:29">
      <c r="A135">
        <v>0.3</v>
      </c>
      <c r="B135">
        <v>1.1479999999999999</v>
      </c>
      <c r="C135">
        <v>0.42199999999999999</v>
      </c>
      <c r="D135">
        <v>0.20300000000000001</v>
      </c>
      <c r="E135">
        <v>13.49</v>
      </c>
      <c r="F135">
        <v>-0.1013</v>
      </c>
      <c r="G135" s="2">
        <v>8.0000000000000002E-3</v>
      </c>
      <c r="H135">
        <v>0.5</v>
      </c>
      <c r="I135" s="2">
        <v>3.64E-3</v>
      </c>
      <c r="K135">
        <f>'G-P Exposure BF Coeff'!B140</f>
        <v>0.3</v>
      </c>
      <c r="L135">
        <f>'G-P Exposure BF Coeff'!C140</f>
        <v>1.1479999999999999</v>
      </c>
      <c r="M135">
        <f>'G-P Exposure BF Coeff'!D140</f>
        <v>0.42199999999999999</v>
      </c>
      <c r="N135">
        <f>'G-P Exposure BF Coeff'!E140</f>
        <v>0.20300000000000001</v>
      </c>
      <c r="O135">
        <f>'G-P Exposure BF Coeff'!F140</f>
        <v>13.49</v>
      </c>
      <c r="P135">
        <f>'G-P Exposure BF Coeff'!G140</f>
        <v>-0.1013</v>
      </c>
      <c r="Q135">
        <f>'G-P Exposure BF Coeff'!H140</f>
        <v>0.8</v>
      </c>
      <c r="R135">
        <f>'G-P Exposure BF Coeff'!I140</f>
        <v>0.5</v>
      </c>
      <c r="S135">
        <f>'G-P Exposure BF Coeff'!J140</f>
        <v>0.36</v>
      </c>
      <c r="U135" s="13">
        <f t="shared" si="49"/>
        <v>0</v>
      </c>
      <c r="V135" s="13">
        <f t="shared" si="41"/>
        <v>0</v>
      </c>
      <c r="W135" s="13">
        <f t="shared" si="42"/>
        <v>0</v>
      </c>
      <c r="X135" s="13">
        <f t="shared" si="43"/>
        <v>0</v>
      </c>
      <c r="Y135" s="13">
        <f t="shared" si="44"/>
        <v>0</v>
      </c>
      <c r="Z135" s="13">
        <f t="shared" si="45"/>
        <v>0</v>
      </c>
      <c r="AA135" s="13">
        <f t="shared" si="46"/>
        <v>0.99</v>
      </c>
      <c r="AB135" s="13">
        <f t="shared" si="47"/>
        <v>0</v>
      </c>
      <c r="AC135" s="13">
        <f t="shared" si="48"/>
        <v>0.98988888888888893</v>
      </c>
    </row>
    <row r="136" spans="1:29">
      <c r="A136">
        <v>0.4</v>
      </c>
      <c r="B136">
        <v>1.1870000000000001</v>
      </c>
      <c r="C136">
        <v>0.56200000000000006</v>
      </c>
      <c r="D136">
        <v>0.13700000000000001</v>
      </c>
      <c r="E136">
        <v>14.19</v>
      </c>
      <c r="F136">
        <v>-7.0599999999999996E-2</v>
      </c>
      <c r="G136" s="2">
        <v>6.0000000000000001E-3</v>
      </c>
      <c r="H136">
        <v>0.5</v>
      </c>
      <c r="I136" s="2">
        <v>3.5100000000000001E-3</v>
      </c>
      <c r="K136">
        <f>'G-P Exposure BF Coeff'!B141</f>
        <v>0.4</v>
      </c>
      <c r="L136">
        <f>'G-P Exposure BF Coeff'!C141</f>
        <v>1.1870000000000001</v>
      </c>
      <c r="M136">
        <f>'G-P Exposure BF Coeff'!D141</f>
        <v>0.56200000000000006</v>
      </c>
      <c r="N136">
        <f>'G-P Exposure BF Coeff'!E141</f>
        <v>0.13700000000000001</v>
      </c>
      <c r="O136">
        <f>'G-P Exposure BF Coeff'!F141</f>
        <v>14.19</v>
      </c>
      <c r="P136">
        <f>'G-P Exposure BF Coeff'!G141</f>
        <v>-7.0599999999999996E-2</v>
      </c>
      <c r="Q136">
        <f>'G-P Exposure BF Coeff'!H141</f>
        <v>0.6</v>
      </c>
      <c r="R136">
        <f>'G-P Exposure BF Coeff'!I141</f>
        <v>0.5</v>
      </c>
      <c r="S136">
        <f>'G-P Exposure BF Coeff'!J141</f>
        <v>0.35</v>
      </c>
      <c r="U136" s="13">
        <f t="shared" si="49"/>
        <v>0</v>
      </c>
      <c r="V136" s="13">
        <f t="shared" si="41"/>
        <v>0</v>
      </c>
      <c r="W136" s="13">
        <f t="shared" si="42"/>
        <v>0</v>
      </c>
      <c r="X136" s="13">
        <f t="shared" si="43"/>
        <v>0</v>
      </c>
      <c r="Y136" s="13">
        <f t="shared" si="44"/>
        <v>0</v>
      </c>
      <c r="Z136" s="13">
        <f t="shared" si="45"/>
        <v>0</v>
      </c>
      <c r="AA136" s="13">
        <f t="shared" si="46"/>
        <v>0.99</v>
      </c>
      <c r="AB136" s="13">
        <f t="shared" si="47"/>
        <v>0</v>
      </c>
      <c r="AC136" s="13">
        <f t="shared" si="48"/>
        <v>0.9899714285714285</v>
      </c>
    </row>
    <row r="137" spans="1:29">
      <c r="A137">
        <v>0.5</v>
      </c>
      <c r="B137">
        <v>1.2330000000000001</v>
      </c>
      <c r="C137">
        <v>0.63400000000000001</v>
      </c>
      <c r="D137">
        <v>0.109</v>
      </c>
      <c r="E137">
        <v>14.2</v>
      </c>
      <c r="F137">
        <v>-5.5599999999999997E-2</v>
      </c>
      <c r="G137" s="2">
        <v>6.0000000000000001E-3</v>
      </c>
      <c r="H137">
        <v>0.5</v>
      </c>
      <c r="I137" s="2">
        <v>3.8E-3</v>
      </c>
      <c r="K137">
        <f>'G-P Exposure BF Coeff'!B142</f>
        <v>0.5</v>
      </c>
      <c r="L137">
        <f>'G-P Exposure BF Coeff'!C142</f>
        <v>1.2330000000000001</v>
      </c>
      <c r="M137">
        <f>'G-P Exposure BF Coeff'!D142</f>
        <v>0.63400000000000001</v>
      </c>
      <c r="N137">
        <f>'G-P Exposure BF Coeff'!E142</f>
        <v>0.109</v>
      </c>
      <c r="O137">
        <f>'G-P Exposure BF Coeff'!F142</f>
        <v>14.2</v>
      </c>
      <c r="P137">
        <f>'G-P Exposure BF Coeff'!G142</f>
        <v>-5.5599999999999997E-2</v>
      </c>
      <c r="Q137">
        <f>'G-P Exposure BF Coeff'!H142</f>
        <v>0.6</v>
      </c>
      <c r="R137">
        <f>'G-P Exposure BF Coeff'!I142</f>
        <v>0.5</v>
      </c>
      <c r="S137">
        <f>'G-P Exposure BF Coeff'!J142</f>
        <v>0.38</v>
      </c>
      <c r="U137" s="13">
        <f t="shared" si="49"/>
        <v>0</v>
      </c>
      <c r="V137" s="13">
        <f t="shared" si="41"/>
        <v>0</v>
      </c>
      <c r="W137" s="13">
        <f t="shared" si="42"/>
        <v>0</v>
      </c>
      <c r="X137" s="13">
        <f t="shared" si="43"/>
        <v>0</v>
      </c>
      <c r="Y137" s="13">
        <f t="shared" si="44"/>
        <v>0</v>
      </c>
      <c r="Z137" s="13">
        <f t="shared" si="45"/>
        <v>0</v>
      </c>
      <c r="AA137" s="13">
        <f t="shared" si="46"/>
        <v>0.99</v>
      </c>
      <c r="AB137" s="13">
        <f t="shared" si="47"/>
        <v>0</v>
      </c>
      <c r="AC137" s="13">
        <f t="shared" si="48"/>
        <v>0.98999999999999988</v>
      </c>
    </row>
    <row r="138" spans="1:29">
      <c r="A138">
        <v>0.6</v>
      </c>
      <c r="B138">
        <v>1.2689999999999999</v>
      </c>
      <c r="C138">
        <v>0.68500000000000005</v>
      </c>
      <c r="D138">
        <v>8.8999999999999996E-2</v>
      </c>
      <c r="E138">
        <v>13.78</v>
      </c>
      <c r="F138">
        <v>-4.3999999999999997E-2</v>
      </c>
      <c r="G138" s="2">
        <v>6.0000000000000001E-3</v>
      </c>
      <c r="H138">
        <v>1</v>
      </c>
      <c r="I138" s="2">
        <v>3.5999999999999999E-3</v>
      </c>
      <c r="K138">
        <f>'G-P Exposure BF Coeff'!B143</f>
        <v>0.6</v>
      </c>
      <c r="L138">
        <f>'G-P Exposure BF Coeff'!C143</f>
        <v>1.2689999999999999</v>
      </c>
      <c r="M138">
        <f>'G-P Exposure BF Coeff'!D143</f>
        <v>0.68500000000000005</v>
      </c>
      <c r="N138">
        <f>'G-P Exposure BF Coeff'!E143</f>
        <v>8.8999999999999996E-2</v>
      </c>
      <c r="O138">
        <f>'G-P Exposure BF Coeff'!F143</f>
        <v>13.78</v>
      </c>
      <c r="P138">
        <f>'G-P Exposure BF Coeff'!G143</f>
        <v>-4.3999999999999997E-2</v>
      </c>
      <c r="Q138">
        <f>'G-P Exposure BF Coeff'!H143</f>
        <v>0.6</v>
      </c>
      <c r="R138">
        <f>'G-P Exposure BF Coeff'!I143</f>
        <v>1</v>
      </c>
      <c r="S138">
        <f>'G-P Exposure BF Coeff'!J143</f>
        <v>0.36</v>
      </c>
      <c r="U138" s="13">
        <f t="shared" si="49"/>
        <v>0</v>
      </c>
      <c r="V138" s="13">
        <f t="shared" si="41"/>
        <v>0</v>
      </c>
      <c r="W138" s="13">
        <f t="shared" si="42"/>
        <v>0</v>
      </c>
      <c r="X138" s="13">
        <f t="shared" si="43"/>
        <v>0</v>
      </c>
      <c r="Y138" s="13">
        <f t="shared" si="44"/>
        <v>0</v>
      </c>
      <c r="Z138" s="13">
        <f t="shared" si="45"/>
        <v>0</v>
      </c>
      <c r="AA138" s="13">
        <f t="shared" si="46"/>
        <v>0.99</v>
      </c>
      <c r="AB138" s="13">
        <f t="shared" si="47"/>
        <v>0</v>
      </c>
      <c r="AC138" s="13">
        <f t="shared" si="48"/>
        <v>0.99</v>
      </c>
    </row>
    <row r="139" spans="1:29">
      <c r="A139">
        <v>0.8</v>
      </c>
      <c r="B139">
        <v>1.329</v>
      </c>
      <c r="C139">
        <v>0.75900000000000001</v>
      </c>
      <c r="D139">
        <v>6.5000000000000002E-2</v>
      </c>
      <c r="E139">
        <v>13.69</v>
      </c>
      <c r="F139">
        <v>-3.1699999999999999E-2</v>
      </c>
      <c r="G139" s="2">
        <v>8.0000000000000002E-3</v>
      </c>
      <c r="H139">
        <v>1</v>
      </c>
      <c r="I139" s="2">
        <v>3.9399999999999999E-3</v>
      </c>
      <c r="K139">
        <f>'G-P Exposure BF Coeff'!B144</f>
        <v>0.8</v>
      </c>
      <c r="L139">
        <f>'G-P Exposure BF Coeff'!C144</f>
        <v>1.329</v>
      </c>
      <c r="M139">
        <f>'G-P Exposure BF Coeff'!D144</f>
        <v>0.75900000000000001</v>
      </c>
      <c r="N139">
        <f>'G-P Exposure BF Coeff'!E144</f>
        <v>6.5000000000000002E-2</v>
      </c>
      <c r="O139">
        <f>'G-P Exposure BF Coeff'!F144</f>
        <v>13.69</v>
      </c>
      <c r="P139">
        <f>'G-P Exposure BF Coeff'!G144</f>
        <v>-3.1699999999999999E-2</v>
      </c>
      <c r="Q139">
        <f>'G-P Exposure BF Coeff'!H144</f>
        <v>0.8</v>
      </c>
      <c r="R139">
        <f>'G-P Exposure BF Coeff'!I144</f>
        <v>1</v>
      </c>
      <c r="S139">
        <f>'G-P Exposure BF Coeff'!J144</f>
        <v>0.39</v>
      </c>
      <c r="U139" s="13">
        <f t="shared" si="49"/>
        <v>0</v>
      </c>
      <c r="V139" s="13">
        <f t="shared" si="41"/>
        <v>0</v>
      </c>
      <c r="W139" s="13">
        <f t="shared" si="42"/>
        <v>0</v>
      </c>
      <c r="X139" s="13">
        <f t="shared" si="43"/>
        <v>0</v>
      </c>
      <c r="Y139" s="13">
        <f t="shared" si="44"/>
        <v>0</v>
      </c>
      <c r="Z139" s="13">
        <f t="shared" si="45"/>
        <v>0</v>
      </c>
      <c r="AA139" s="13">
        <f t="shared" si="46"/>
        <v>0.99</v>
      </c>
      <c r="AB139" s="13">
        <f t="shared" si="47"/>
        <v>0</v>
      </c>
      <c r="AC139" s="13">
        <f t="shared" si="48"/>
        <v>0.98989743589743595</v>
      </c>
    </row>
    <row r="140" spans="1:29">
      <c r="A140">
        <v>1</v>
      </c>
      <c r="B140">
        <v>1.367</v>
      </c>
      <c r="C140">
        <v>0.81100000000000005</v>
      </c>
      <c r="D140">
        <v>5.0999999999999997E-2</v>
      </c>
      <c r="E140">
        <v>13.67</v>
      </c>
      <c r="F140">
        <v>-2.8299999999999999E-2</v>
      </c>
      <c r="G140" s="2">
        <v>8.0000000000000002E-3</v>
      </c>
      <c r="H140">
        <v>1</v>
      </c>
      <c r="I140" s="2">
        <v>4.1599999999999996E-3</v>
      </c>
      <c r="K140">
        <f>'G-P Exposure BF Coeff'!B145</f>
        <v>1</v>
      </c>
      <c r="L140">
        <f>'G-P Exposure BF Coeff'!C145</f>
        <v>1.367</v>
      </c>
      <c r="M140">
        <f>'G-P Exposure BF Coeff'!D145</f>
        <v>0.81100000000000005</v>
      </c>
      <c r="N140">
        <f>'G-P Exposure BF Coeff'!E145</f>
        <v>5.0999999999999997E-2</v>
      </c>
      <c r="O140">
        <f>'G-P Exposure BF Coeff'!F145</f>
        <v>13.67</v>
      </c>
      <c r="P140">
        <f>'G-P Exposure BF Coeff'!G145</f>
        <v>-2.8299999999999999E-2</v>
      </c>
      <c r="Q140">
        <f>'G-P Exposure BF Coeff'!H145</f>
        <v>0.8</v>
      </c>
      <c r="R140">
        <f>'G-P Exposure BF Coeff'!I145</f>
        <v>1</v>
      </c>
      <c r="S140">
        <f>'G-P Exposure BF Coeff'!J145</f>
        <v>0.42</v>
      </c>
      <c r="U140" s="13">
        <f t="shared" si="49"/>
        <v>0</v>
      </c>
      <c r="V140" s="13">
        <f t="shared" si="41"/>
        <v>0</v>
      </c>
      <c r="W140" s="13">
        <f t="shared" si="42"/>
        <v>0</v>
      </c>
      <c r="X140" s="13">
        <f t="shared" si="43"/>
        <v>0</v>
      </c>
      <c r="Y140" s="13">
        <f t="shared" si="44"/>
        <v>0</v>
      </c>
      <c r="Z140" s="13">
        <f t="shared" si="45"/>
        <v>0</v>
      </c>
      <c r="AA140" s="13">
        <f t="shared" si="46"/>
        <v>0.99</v>
      </c>
      <c r="AB140" s="13">
        <f t="shared" si="47"/>
        <v>0</v>
      </c>
      <c r="AC140" s="13">
        <f t="shared" si="48"/>
        <v>0.99009523809523814</v>
      </c>
    </row>
    <row r="141" spans="1:29">
      <c r="A141">
        <v>1.5</v>
      </c>
      <c r="B141">
        <v>1.369</v>
      </c>
      <c r="C141">
        <v>0.94199999999999995</v>
      </c>
      <c r="D141">
        <v>0.02</v>
      </c>
      <c r="E141">
        <v>14.65</v>
      </c>
      <c r="F141">
        <v>-2.07E-2</v>
      </c>
      <c r="G141" s="2">
        <v>8.9999999999999993E-3</v>
      </c>
      <c r="H141">
        <v>1</v>
      </c>
      <c r="I141" s="2">
        <v>3.3600000000000001E-3</v>
      </c>
      <c r="K141">
        <f>'G-P Exposure BF Coeff'!B146</f>
        <v>1.5</v>
      </c>
      <c r="L141">
        <f>'G-P Exposure BF Coeff'!C146</f>
        <v>1.369</v>
      </c>
      <c r="M141">
        <f>'G-P Exposure BF Coeff'!D146</f>
        <v>0.94199999999999995</v>
      </c>
      <c r="N141">
        <f>'G-P Exposure BF Coeff'!E146</f>
        <v>0.02</v>
      </c>
      <c r="O141">
        <f>'G-P Exposure BF Coeff'!F146</f>
        <v>14.65</v>
      </c>
      <c r="P141">
        <f>'G-P Exposure BF Coeff'!G146</f>
        <v>-2.07E-2</v>
      </c>
      <c r="Q141">
        <f>'G-P Exposure BF Coeff'!H146</f>
        <v>0.9</v>
      </c>
      <c r="R141">
        <f>'G-P Exposure BF Coeff'!I146</f>
        <v>1</v>
      </c>
      <c r="S141">
        <f>'G-P Exposure BF Coeff'!J146</f>
        <v>0.34</v>
      </c>
      <c r="U141" s="13">
        <f t="shared" si="49"/>
        <v>0</v>
      </c>
      <c r="V141" s="13">
        <f t="shared" si="41"/>
        <v>0</v>
      </c>
      <c r="W141" s="13">
        <f t="shared" si="42"/>
        <v>0</v>
      </c>
      <c r="X141" s="13">
        <f t="shared" si="43"/>
        <v>0</v>
      </c>
      <c r="Y141" s="13">
        <f t="shared" si="44"/>
        <v>0</v>
      </c>
      <c r="Z141" s="13">
        <f t="shared" si="45"/>
        <v>0</v>
      </c>
      <c r="AA141" s="13">
        <f t="shared" si="46"/>
        <v>0.99</v>
      </c>
      <c r="AB141" s="13">
        <f t="shared" si="47"/>
        <v>0</v>
      </c>
      <c r="AC141" s="13">
        <f t="shared" si="48"/>
        <v>0.99011764705882366</v>
      </c>
    </row>
    <row r="142" spans="1:29">
      <c r="A142">
        <v>2</v>
      </c>
      <c r="B142">
        <v>1.3839999999999999</v>
      </c>
      <c r="C142">
        <v>0.98</v>
      </c>
      <c r="D142">
        <v>1.4E-2</v>
      </c>
      <c r="E142">
        <v>13.51</v>
      </c>
      <c r="F142">
        <v>-2.1600000000000001E-2</v>
      </c>
      <c r="G142" s="2">
        <v>1.7000000000000001E-2</v>
      </c>
      <c r="H142">
        <v>0.5</v>
      </c>
      <c r="I142" s="2">
        <v>6.7499999999999999E-3</v>
      </c>
      <c r="K142">
        <f>'G-P Exposure BF Coeff'!B147</f>
        <v>2</v>
      </c>
      <c r="L142">
        <f>'G-P Exposure BF Coeff'!C147</f>
        <v>1.3839999999999999</v>
      </c>
      <c r="M142">
        <f>'G-P Exposure BF Coeff'!D147</f>
        <v>0.98</v>
      </c>
      <c r="N142">
        <f>'G-P Exposure BF Coeff'!E147</f>
        <v>1.4E-2</v>
      </c>
      <c r="O142">
        <f>'G-P Exposure BF Coeff'!F147</f>
        <v>13.51</v>
      </c>
      <c r="P142">
        <f>'G-P Exposure BF Coeff'!G147</f>
        <v>-2.1600000000000001E-2</v>
      </c>
      <c r="Q142">
        <f>'G-P Exposure BF Coeff'!H147</f>
        <v>1.7</v>
      </c>
      <c r="R142">
        <f>'G-P Exposure BF Coeff'!I147</f>
        <v>0.5</v>
      </c>
      <c r="S142">
        <f>'G-P Exposure BF Coeff'!J147</f>
        <v>0.68</v>
      </c>
      <c r="U142" s="13">
        <f t="shared" si="49"/>
        <v>0</v>
      </c>
      <c r="V142" s="13">
        <f t="shared" si="41"/>
        <v>0</v>
      </c>
      <c r="W142" s="13">
        <f t="shared" si="42"/>
        <v>0</v>
      </c>
      <c r="X142" s="13">
        <f t="shared" si="43"/>
        <v>0</v>
      </c>
      <c r="Y142" s="13">
        <f t="shared" si="44"/>
        <v>0</v>
      </c>
      <c r="Z142" s="13">
        <f t="shared" si="45"/>
        <v>0</v>
      </c>
      <c r="AA142" s="13">
        <f t="shared" si="46"/>
        <v>0.9900000000000001</v>
      </c>
      <c r="AB142" s="13">
        <f t="shared" si="47"/>
        <v>0</v>
      </c>
      <c r="AC142" s="13">
        <f t="shared" si="48"/>
        <v>0.99007352941176463</v>
      </c>
    </row>
    <row r="143" spans="1:29">
      <c r="A143">
        <v>3</v>
      </c>
      <c r="B143">
        <v>1.367</v>
      </c>
      <c r="C143">
        <v>1.006</v>
      </c>
      <c r="D143">
        <v>1.7000000000000001E-2</v>
      </c>
      <c r="E143">
        <v>13.33</v>
      </c>
      <c r="F143">
        <v>-3.7699999999999997E-2</v>
      </c>
      <c r="G143" s="2">
        <v>3.4000000000000002E-2</v>
      </c>
      <c r="H143">
        <v>0.5</v>
      </c>
      <c r="I143" s="2">
        <v>1.304E-2</v>
      </c>
      <c r="K143">
        <f>'G-P Exposure BF Coeff'!B148</f>
        <v>3</v>
      </c>
      <c r="L143">
        <f>'G-P Exposure BF Coeff'!C148</f>
        <v>1.367</v>
      </c>
      <c r="M143">
        <f>'G-P Exposure BF Coeff'!D148</f>
        <v>1.006</v>
      </c>
      <c r="N143">
        <f>'G-P Exposure BF Coeff'!E148</f>
        <v>1.7000000000000001E-2</v>
      </c>
      <c r="O143">
        <f>'G-P Exposure BF Coeff'!F148</f>
        <v>13.33</v>
      </c>
      <c r="P143">
        <f>'G-P Exposure BF Coeff'!G148</f>
        <v>-3.7699999999999997E-2</v>
      </c>
      <c r="Q143">
        <f>'G-P Exposure BF Coeff'!H148</f>
        <v>3.4</v>
      </c>
      <c r="R143">
        <f>'G-P Exposure BF Coeff'!I148</f>
        <v>0.5</v>
      </c>
      <c r="S143">
        <f>'G-P Exposure BF Coeff'!J148</f>
        <v>1.3</v>
      </c>
      <c r="U143" s="13">
        <f t="shared" si="49"/>
        <v>0</v>
      </c>
      <c r="V143" s="13">
        <f t="shared" si="41"/>
        <v>0</v>
      </c>
      <c r="W143" s="13">
        <f t="shared" si="42"/>
        <v>0</v>
      </c>
      <c r="X143" s="13">
        <f t="shared" si="43"/>
        <v>0</v>
      </c>
      <c r="Y143" s="13">
        <f t="shared" si="44"/>
        <v>0</v>
      </c>
      <c r="Z143" s="13">
        <f t="shared" si="45"/>
        <v>0</v>
      </c>
      <c r="AA143" s="13">
        <f t="shared" si="46"/>
        <v>0.9900000000000001</v>
      </c>
      <c r="AB143" s="13">
        <f t="shared" si="47"/>
        <v>0</v>
      </c>
      <c r="AC143" s="13">
        <f t="shared" si="48"/>
        <v>0.98996923076923082</v>
      </c>
    </row>
    <row r="144" spans="1:29">
      <c r="A144">
        <v>4</v>
      </c>
      <c r="B144">
        <v>1.337</v>
      </c>
      <c r="C144">
        <v>1.0089999999999999</v>
      </c>
      <c r="D144">
        <v>2.4E-2</v>
      </c>
      <c r="E144">
        <v>14.15</v>
      </c>
      <c r="F144">
        <v>-4.5499999999999999E-2</v>
      </c>
      <c r="G144" s="2">
        <v>3.6999999999999998E-2</v>
      </c>
      <c r="H144">
        <v>0.5</v>
      </c>
      <c r="I144" s="2">
        <v>1.464E-2</v>
      </c>
      <c r="K144">
        <f>'G-P Exposure BF Coeff'!B149</f>
        <v>4</v>
      </c>
      <c r="L144">
        <f>'G-P Exposure BF Coeff'!C149</f>
        <v>1.337</v>
      </c>
      <c r="M144">
        <f>'G-P Exposure BF Coeff'!D149</f>
        <v>1.0089999999999999</v>
      </c>
      <c r="N144">
        <f>'G-P Exposure BF Coeff'!E149</f>
        <v>2.4E-2</v>
      </c>
      <c r="O144">
        <f>'G-P Exposure BF Coeff'!F149</f>
        <v>14.15</v>
      </c>
      <c r="P144">
        <f>'G-P Exposure BF Coeff'!G149</f>
        <v>-4.5499999999999999E-2</v>
      </c>
      <c r="Q144">
        <f>'G-P Exposure BF Coeff'!H149</f>
        <v>3.7</v>
      </c>
      <c r="R144">
        <f>'G-P Exposure BF Coeff'!I149</f>
        <v>0.5</v>
      </c>
      <c r="S144">
        <f>'G-P Exposure BF Coeff'!J149</f>
        <v>1.46</v>
      </c>
      <c r="U144" s="13">
        <f t="shared" si="49"/>
        <v>0</v>
      </c>
      <c r="V144" s="13">
        <f t="shared" si="41"/>
        <v>0</v>
      </c>
      <c r="W144" s="13">
        <f t="shared" si="42"/>
        <v>0</v>
      </c>
      <c r="X144" s="13">
        <f t="shared" si="43"/>
        <v>0</v>
      </c>
      <c r="Y144" s="13">
        <f t="shared" si="44"/>
        <v>0</v>
      </c>
      <c r="Z144" s="13">
        <f t="shared" si="45"/>
        <v>0</v>
      </c>
      <c r="AA144" s="13">
        <f t="shared" si="46"/>
        <v>0.99</v>
      </c>
      <c r="AB144" s="13">
        <f t="shared" si="47"/>
        <v>0</v>
      </c>
      <c r="AC144" s="13">
        <f t="shared" si="48"/>
        <v>0.98997260273972598</v>
      </c>
    </row>
    <row r="145" spans="1:29">
      <c r="A145">
        <v>5</v>
      </c>
      <c r="B145">
        <v>1.36</v>
      </c>
      <c r="C145">
        <v>0.95699999999999996</v>
      </c>
      <c r="D145">
        <v>4.9000000000000002E-2</v>
      </c>
      <c r="E145">
        <v>14.04</v>
      </c>
      <c r="F145">
        <v>-6.83E-2</v>
      </c>
      <c r="G145" s="2">
        <v>5.3999999999999999E-2</v>
      </c>
      <c r="H145">
        <v>0.5</v>
      </c>
      <c r="I145" s="2">
        <v>2.1170000000000001E-2</v>
      </c>
      <c r="K145">
        <f>'G-P Exposure BF Coeff'!B150</f>
        <v>5</v>
      </c>
      <c r="L145">
        <f>'G-P Exposure BF Coeff'!C150</f>
        <v>1.36</v>
      </c>
      <c r="M145">
        <f>'G-P Exposure BF Coeff'!D150</f>
        <v>0.95699999999999996</v>
      </c>
      <c r="N145">
        <f>'G-P Exposure BF Coeff'!E150</f>
        <v>4.9000000000000002E-2</v>
      </c>
      <c r="O145">
        <f>'G-P Exposure BF Coeff'!F150</f>
        <v>14.04</v>
      </c>
      <c r="P145">
        <f>'G-P Exposure BF Coeff'!G150</f>
        <v>-6.83E-2</v>
      </c>
      <c r="Q145">
        <f>'G-P Exposure BF Coeff'!H150</f>
        <v>5.4</v>
      </c>
      <c r="R145">
        <f>'G-P Exposure BF Coeff'!I150</f>
        <v>0.5</v>
      </c>
      <c r="S145">
        <f>'G-P Exposure BF Coeff'!J150</f>
        <v>2.12</v>
      </c>
      <c r="U145" s="13">
        <f t="shared" si="49"/>
        <v>0</v>
      </c>
      <c r="V145" s="13">
        <f t="shared" si="41"/>
        <v>0</v>
      </c>
      <c r="W145" s="13">
        <f t="shared" si="42"/>
        <v>0</v>
      </c>
      <c r="X145" s="13">
        <f t="shared" si="43"/>
        <v>0</v>
      </c>
      <c r="Y145" s="13">
        <f t="shared" si="44"/>
        <v>0</v>
      </c>
      <c r="Z145" s="13">
        <f t="shared" si="45"/>
        <v>0</v>
      </c>
      <c r="AA145" s="13">
        <f t="shared" si="46"/>
        <v>0.99</v>
      </c>
      <c r="AB145" s="13">
        <f t="shared" si="47"/>
        <v>0</v>
      </c>
      <c r="AC145" s="13">
        <f t="shared" si="48"/>
        <v>0.99001415094339618</v>
      </c>
    </row>
    <row r="146" spans="1:29">
      <c r="A146">
        <v>6</v>
      </c>
      <c r="B146">
        <v>1.363</v>
      </c>
      <c r="C146">
        <v>0.96499999999999997</v>
      </c>
      <c r="D146">
        <v>5.3999999999999999E-2</v>
      </c>
      <c r="E146">
        <v>14.21</v>
      </c>
      <c r="F146">
        <v>-7.1599999999999997E-2</v>
      </c>
      <c r="G146" s="2">
        <v>5.7000000000000002E-2</v>
      </c>
      <c r="H146">
        <v>0.5</v>
      </c>
      <c r="I146" s="2">
        <v>2.2110000000000001E-2</v>
      </c>
      <c r="K146">
        <f>'G-P Exposure BF Coeff'!B151</f>
        <v>6</v>
      </c>
      <c r="L146">
        <f>'G-P Exposure BF Coeff'!C151</f>
        <v>1.363</v>
      </c>
      <c r="M146">
        <f>'G-P Exposure BF Coeff'!D151</f>
        <v>0.96499999999999997</v>
      </c>
      <c r="N146">
        <f>'G-P Exposure BF Coeff'!E151</f>
        <v>5.3999999999999999E-2</v>
      </c>
      <c r="O146">
        <f>'G-P Exposure BF Coeff'!F151</f>
        <v>14.21</v>
      </c>
      <c r="P146">
        <f>'G-P Exposure BF Coeff'!G151</f>
        <v>-7.1599999999999997E-2</v>
      </c>
      <c r="Q146">
        <f>'G-P Exposure BF Coeff'!H151</f>
        <v>5.7</v>
      </c>
      <c r="R146">
        <f>'G-P Exposure BF Coeff'!I151</f>
        <v>0.5</v>
      </c>
      <c r="S146">
        <f>'G-P Exposure BF Coeff'!J151</f>
        <v>2.21</v>
      </c>
      <c r="U146" s="13">
        <f t="shared" si="49"/>
        <v>0</v>
      </c>
      <c r="V146" s="13">
        <f t="shared" si="41"/>
        <v>0</v>
      </c>
      <c r="W146" s="13">
        <f t="shared" si="42"/>
        <v>0</v>
      </c>
      <c r="X146" s="13">
        <f t="shared" si="43"/>
        <v>0</v>
      </c>
      <c r="Y146" s="13">
        <f t="shared" si="44"/>
        <v>0</v>
      </c>
      <c r="Z146" s="13">
        <f t="shared" si="45"/>
        <v>0</v>
      </c>
      <c r="AA146" s="13">
        <f t="shared" si="46"/>
        <v>0.98999999999999988</v>
      </c>
      <c r="AB146" s="13">
        <f t="shared" si="47"/>
        <v>0</v>
      </c>
      <c r="AC146" s="13">
        <f t="shared" si="48"/>
        <v>0.98999547511312214</v>
      </c>
    </row>
    <row r="147" spans="1:29">
      <c r="A147">
        <v>8</v>
      </c>
      <c r="B147">
        <v>1.4410000000000001</v>
      </c>
      <c r="C147">
        <v>0.99399999999999999</v>
      </c>
      <c r="D147">
        <v>6.0999999999999999E-2</v>
      </c>
      <c r="E147">
        <v>14.18</v>
      </c>
      <c r="F147">
        <v>-0.08</v>
      </c>
      <c r="G147" s="2">
        <v>5.8000000000000003E-2</v>
      </c>
      <c r="H147">
        <v>0.5</v>
      </c>
      <c r="I147" s="2">
        <v>2.4500000000000001E-2</v>
      </c>
      <c r="K147">
        <f>'G-P Exposure BF Coeff'!B152</f>
        <v>8</v>
      </c>
      <c r="L147">
        <f>'G-P Exposure BF Coeff'!C152</f>
        <v>1.4410000000000001</v>
      </c>
      <c r="M147">
        <f>'G-P Exposure BF Coeff'!D152</f>
        <v>0.99399999999999999</v>
      </c>
      <c r="N147">
        <f>'G-P Exposure BF Coeff'!E152</f>
        <v>6.0999999999999999E-2</v>
      </c>
      <c r="O147">
        <f>'G-P Exposure BF Coeff'!F152</f>
        <v>14.18</v>
      </c>
      <c r="P147">
        <f>'G-P Exposure BF Coeff'!G152</f>
        <v>-0.08</v>
      </c>
      <c r="Q147">
        <f>'G-P Exposure BF Coeff'!H152</f>
        <v>5.8</v>
      </c>
      <c r="R147">
        <f>'G-P Exposure BF Coeff'!I152</f>
        <v>0.5</v>
      </c>
      <c r="S147">
        <f>'G-P Exposure BF Coeff'!J152</f>
        <v>2.4500000000000002</v>
      </c>
      <c r="U147" s="13">
        <f t="shared" si="49"/>
        <v>0</v>
      </c>
      <c r="V147" s="13">
        <f t="shared" si="41"/>
        <v>0</v>
      </c>
      <c r="W147" s="13">
        <f t="shared" si="42"/>
        <v>0</v>
      </c>
      <c r="X147" s="13">
        <f t="shared" si="43"/>
        <v>0</v>
      </c>
      <c r="Y147" s="13">
        <f t="shared" si="44"/>
        <v>0</v>
      </c>
      <c r="Z147" s="13">
        <f t="shared" si="45"/>
        <v>0</v>
      </c>
      <c r="AA147" s="13">
        <f t="shared" si="46"/>
        <v>0.99</v>
      </c>
      <c r="AB147" s="13">
        <f t="shared" si="47"/>
        <v>0</v>
      </c>
      <c r="AC147" s="13">
        <f t="shared" si="48"/>
        <v>0.98999999999999988</v>
      </c>
    </row>
    <row r="148" spans="1:29">
      <c r="A148">
        <v>10</v>
      </c>
      <c r="B148">
        <v>1.464</v>
      </c>
      <c r="C148">
        <v>1.1479999999999999</v>
      </c>
      <c r="D148">
        <v>3.2000000000000001E-2</v>
      </c>
      <c r="E148">
        <v>14.08</v>
      </c>
      <c r="F148">
        <v>-5.5399999999999998E-2</v>
      </c>
      <c r="G148" s="2">
        <v>4.1000000000000002E-2</v>
      </c>
      <c r="H148">
        <v>0.5</v>
      </c>
      <c r="I148" s="2">
        <v>1.7330000000000002E-2</v>
      </c>
      <c r="K148">
        <f>'G-P Exposure BF Coeff'!B153</f>
        <v>10</v>
      </c>
      <c r="L148">
        <f>'G-P Exposure BF Coeff'!C153</f>
        <v>1.464</v>
      </c>
      <c r="M148">
        <f>'G-P Exposure BF Coeff'!D153</f>
        <v>1.1479999999999999</v>
      </c>
      <c r="N148">
        <f>'G-P Exposure BF Coeff'!E153</f>
        <v>3.2000000000000001E-2</v>
      </c>
      <c r="O148">
        <f>'G-P Exposure BF Coeff'!F153</f>
        <v>14.08</v>
      </c>
      <c r="P148">
        <f>'G-P Exposure BF Coeff'!G153</f>
        <v>-5.5399999999999998E-2</v>
      </c>
      <c r="Q148">
        <f>'G-P Exposure BF Coeff'!H153</f>
        <v>4.0999999999999996</v>
      </c>
      <c r="R148">
        <f>'G-P Exposure BF Coeff'!I153</f>
        <v>0.5</v>
      </c>
      <c r="S148">
        <f>'G-P Exposure BF Coeff'!J153</f>
        <v>1.73</v>
      </c>
      <c r="U148" s="13">
        <f>(K148-A148)/K148</f>
        <v>0</v>
      </c>
      <c r="V148" s="13">
        <f t="shared" si="41"/>
        <v>0</v>
      </c>
      <c r="W148" s="13">
        <f t="shared" si="42"/>
        <v>0</v>
      </c>
      <c r="X148" s="13">
        <f t="shared" si="43"/>
        <v>0</v>
      </c>
      <c r="Y148" s="13">
        <f t="shared" si="44"/>
        <v>0</v>
      </c>
      <c r="Z148" s="13">
        <f t="shared" si="45"/>
        <v>0</v>
      </c>
      <c r="AA148" s="13">
        <f t="shared" si="46"/>
        <v>0.98999999999999988</v>
      </c>
      <c r="AB148" s="13">
        <f t="shared" si="47"/>
        <v>0</v>
      </c>
      <c r="AC148" s="13">
        <f t="shared" si="48"/>
        <v>0.98998265895953752</v>
      </c>
    </row>
    <row r="149" spans="1:29">
      <c r="A149">
        <v>15</v>
      </c>
      <c r="B149">
        <v>1.573</v>
      </c>
      <c r="C149">
        <v>1.337</v>
      </c>
      <c r="D149">
        <v>1.6E-2</v>
      </c>
      <c r="E149">
        <v>13.54</v>
      </c>
      <c r="F149">
        <v>-4.6300000000000001E-2</v>
      </c>
      <c r="G149" s="2">
        <v>3.5000000000000003E-2</v>
      </c>
      <c r="H149">
        <v>0.5</v>
      </c>
      <c r="I149" s="2">
        <v>1.755E-2</v>
      </c>
      <c r="K149">
        <f>'G-P Exposure BF Coeff'!B154</f>
        <v>15</v>
      </c>
      <c r="L149">
        <f>'G-P Exposure BF Coeff'!C154</f>
        <v>1.573</v>
      </c>
      <c r="M149">
        <f>'G-P Exposure BF Coeff'!D154</f>
        <v>1.337</v>
      </c>
      <c r="N149">
        <f>'G-P Exposure BF Coeff'!E154</f>
        <v>1.6E-2</v>
      </c>
      <c r="O149">
        <f>'G-P Exposure BF Coeff'!F154</f>
        <v>13.54</v>
      </c>
      <c r="P149">
        <f>'G-P Exposure BF Coeff'!G154</f>
        <v>-4.6300000000000001E-2</v>
      </c>
      <c r="Q149">
        <f>'G-P Exposure BF Coeff'!H154</f>
        <v>3.5</v>
      </c>
      <c r="R149">
        <f>'G-P Exposure BF Coeff'!I154</f>
        <v>0.5</v>
      </c>
      <c r="S149">
        <f>'G-P Exposure BF Coeff'!J154</f>
        <v>1.76</v>
      </c>
      <c r="U149" s="13">
        <f t="shared" ref="U149" si="50">(K149-A149)/K149</f>
        <v>0</v>
      </c>
      <c r="V149" s="13">
        <f t="shared" si="41"/>
        <v>0</v>
      </c>
      <c r="W149" s="13">
        <f t="shared" si="42"/>
        <v>0</v>
      </c>
      <c r="X149" s="13">
        <f t="shared" si="43"/>
        <v>0</v>
      </c>
      <c r="Y149" s="13">
        <f t="shared" si="44"/>
        <v>0</v>
      </c>
      <c r="Z149" s="13">
        <f t="shared" si="45"/>
        <v>0</v>
      </c>
      <c r="AA149" s="13">
        <f t="shared" si="46"/>
        <v>0.99</v>
      </c>
      <c r="AB149" s="13">
        <f t="shared" si="47"/>
        <v>0</v>
      </c>
      <c r="AC149" s="13">
        <f t="shared" si="48"/>
        <v>0.99002840909090917</v>
      </c>
    </row>
    <row r="151" spans="1:29">
      <c r="A151" s="16" t="s">
        <v>108</v>
      </c>
      <c r="B151" s="16"/>
      <c r="C151" s="16"/>
      <c r="D151" s="16"/>
      <c r="E151" s="16"/>
      <c r="F151" s="16"/>
    </row>
    <row r="153" spans="1:29">
      <c r="K153" s="16" t="s">
        <v>108</v>
      </c>
    </row>
    <row r="154" spans="1:29">
      <c r="A154" s="15" t="s">
        <v>1</v>
      </c>
      <c r="B154" s="15" t="s">
        <v>11</v>
      </c>
      <c r="C154" s="15" t="s">
        <v>12</v>
      </c>
      <c r="D154" s="15" t="s">
        <v>13</v>
      </c>
      <c r="E154" s="15" t="s">
        <v>16</v>
      </c>
      <c r="F154" s="15" t="s">
        <v>14</v>
      </c>
      <c r="G154" s="15" t="s">
        <v>17</v>
      </c>
      <c r="H154" s="15" t="s">
        <v>18</v>
      </c>
      <c r="I154" s="15" t="s">
        <v>15</v>
      </c>
      <c r="K154" s="15" t="s">
        <v>1</v>
      </c>
      <c r="L154" s="15" t="s">
        <v>11</v>
      </c>
      <c r="M154" s="15" t="s">
        <v>12</v>
      </c>
      <c r="N154" s="15" t="s">
        <v>13</v>
      </c>
      <c r="O154" s="15" t="s">
        <v>16</v>
      </c>
      <c r="P154" s="15" t="s">
        <v>14</v>
      </c>
      <c r="Q154" s="15" t="s">
        <v>17</v>
      </c>
      <c r="R154" s="15" t="s">
        <v>18</v>
      </c>
      <c r="S154" s="15" t="s">
        <v>15</v>
      </c>
      <c r="U154" s="15" t="s">
        <v>1</v>
      </c>
      <c r="V154" s="15" t="s">
        <v>11</v>
      </c>
      <c r="W154" s="15" t="s">
        <v>12</v>
      </c>
      <c r="X154" s="15" t="s">
        <v>13</v>
      </c>
      <c r="Y154" s="15" t="s">
        <v>16</v>
      </c>
      <c r="Z154" s="15" t="s">
        <v>14</v>
      </c>
      <c r="AA154" s="15" t="s">
        <v>17</v>
      </c>
      <c r="AB154" s="15" t="s">
        <v>18</v>
      </c>
      <c r="AC154" s="15" t="s">
        <v>15</v>
      </c>
    </row>
    <row r="155" spans="1:29">
      <c r="A155">
        <v>1.4999999999999999E-2</v>
      </c>
      <c r="B155">
        <v>0</v>
      </c>
      <c r="C155">
        <v>0</v>
      </c>
      <c r="D155">
        <v>0</v>
      </c>
      <c r="E155">
        <v>0</v>
      </c>
      <c r="F155">
        <v>0</v>
      </c>
      <c r="G155" s="2">
        <v>0</v>
      </c>
      <c r="H155">
        <v>0</v>
      </c>
      <c r="I155" s="2">
        <v>0</v>
      </c>
      <c r="U155" s="13" t="e">
        <f>(K155-A155)/K155</f>
        <v>#DIV/0!</v>
      </c>
      <c r="V155" s="13" t="e">
        <f t="shared" ref="V155:V179" si="51">(L155-B155)/L155</f>
        <v>#DIV/0!</v>
      </c>
      <c r="W155" s="13" t="e">
        <f t="shared" ref="W155:W179" si="52">(M155-C155)/M155</f>
        <v>#DIV/0!</v>
      </c>
      <c r="X155" s="13" t="e">
        <f t="shared" ref="X155:X179" si="53">(N155-D155)/N155</f>
        <v>#DIV/0!</v>
      </c>
      <c r="Y155" s="13" t="e">
        <f t="shared" ref="Y155:Y179" si="54">(O155-E155)/O155</f>
        <v>#DIV/0!</v>
      </c>
      <c r="Z155" s="13" t="e">
        <f t="shared" ref="Z155:Z179" si="55">(P155-F155)/P155</f>
        <v>#DIV/0!</v>
      </c>
      <c r="AA155" s="13" t="e">
        <f t="shared" ref="AA155:AA179" si="56">(Q155-G155)/Q155</f>
        <v>#DIV/0!</v>
      </c>
      <c r="AB155" s="13" t="e">
        <f t="shared" ref="AB155:AB179" si="57">(R155-H155)/R155</f>
        <v>#DIV/0!</v>
      </c>
      <c r="AC155" s="13" t="e">
        <f t="shared" ref="AC155:AC179" si="58">(S155-I155)/S155</f>
        <v>#DIV/0!</v>
      </c>
    </row>
    <row r="156" spans="1:29">
      <c r="A156">
        <v>0.02</v>
      </c>
      <c r="B156">
        <v>0</v>
      </c>
      <c r="C156">
        <v>0</v>
      </c>
      <c r="D156">
        <v>0</v>
      </c>
      <c r="E156">
        <v>0</v>
      </c>
      <c r="F156">
        <v>0</v>
      </c>
      <c r="G156" s="2">
        <v>0</v>
      </c>
      <c r="H156">
        <v>0</v>
      </c>
      <c r="I156" s="2">
        <v>0</v>
      </c>
      <c r="U156" s="13" t="e">
        <f t="shared" ref="U156:U177" si="59">(K156-A156)/K156</f>
        <v>#DIV/0!</v>
      </c>
      <c r="V156" s="13" t="e">
        <f t="shared" si="51"/>
        <v>#DIV/0!</v>
      </c>
      <c r="W156" s="13" t="e">
        <f t="shared" si="52"/>
        <v>#DIV/0!</v>
      </c>
      <c r="X156" s="13" t="e">
        <f t="shared" si="53"/>
        <v>#DIV/0!</v>
      </c>
      <c r="Y156" s="13" t="e">
        <f t="shared" si="54"/>
        <v>#DIV/0!</v>
      </c>
      <c r="Z156" s="13" t="e">
        <f t="shared" si="55"/>
        <v>#DIV/0!</v>
      </c>
      <c r="AA156" s="13" t="e">
        <f t="shared" si="56"/>
        <v>#DIV/0!</v>
      </c>
      <c r="AB156" s="13" t="e">
        <f t="shared" si="57"/>
        <v>#DIV/0!</v>
      </c>
      <c r="AC156" s="13" t="e">
        <f t="shared" si="58"/>
        <v>#DIV/0!</v>
      </c>
    </row>
    <row r="157" spans="1:29">
      <c r="A157">
        <v>0.03</v>
      </c>
      <c r="B157">
        <v>1.0049999999999999</v>
      </c>
      <c r="C157">
        <v>0.33600000000000002</v>
      </c>
      <c r="D157">
        <v>0.224</v>
      </c>
      <c r="E157">
        <v>25.06</v>
      </c>
      <c r="F157">
        <v>-0.2039</v>
      </c>
      <c r="G157" s="2">
        <v>0</v>
      </c>
      <c r="H157">
        <v>8</v>
      </c>
      <c r="I157" s="2">
        <v>2.1000000000000001E-4</v>
      </c>
      <c r="K157">
        <f>'G-P Exposure BF Coeff'!B158</f>
        <v>0.03</v>
      </c>
      <c r="L157">
        <f>'G-P Exposure BF Coeff'!C158</f>
        <v>1.0049999999999999</v>
      </c>
      <c r="M157">
        <f>'G-P Exposure BF Coeff'!D158</f>
        <v>0.33600000000000002</v>
      </c>
      <c r="N157">
        <f>'G-P Exposure BF Coeff'!E158</f>
        <v>0.224</v>
      </c>
      <c r="O157">
        <f>'G-P Exposure BF Coeff'!F158</f>
        <v>25.06</v>
      </c>
      <c r="P157">
        <f>'G-P Exposure BF Coeff'!G158</f>
        <v>-0.2039</v>
      </c>
      <c r="Q157">
        <f>'G-P Exposure BF Coeff'!H158</f>
        <v>0</v>
      </c>
      <c r="R157">
        <f>'G-P Exposure BF Coeff'!I158</f>
        <v>5</v>
      </c>
      <c r="S157">
        <f>'G-P Exposure BF Coeff'!J158</f>
        <v>0.02</v>
      </c>
      <c r="U157" s="13">
        <f t="shared" si="59"/>
        <v>0</v>
      </c>
      <c r="V157" s="13">
        <f t="shared" si="51"/>
        <v>0</v>
      </c>
      <c r="W157" s="13">
        <f t="shared" si="52"/>
        <v>0</v>
      </c>
      <c r="X157" s="13">
        <f t="shared" si="53"/>
        <v>0</v>
      </c>
      <c r="Y157" s="13">
        <f t="shared" si="54"/>
        <v>0</v>
      </c>
      <c r="Z157" s="13">
        <f t="shared" si="55"/>
        <v>0</v>
      </c>
      <c r="AA157" s="13" t="e">
        <f t="shared" si="56"/>
        <v>#DIV/0!</v>
      </c>
      <c r="AB157" s="13">
        <f t="shared" si="57"/>
        <v>-0.6</v>
      </c>
      <c r="AC157" s="13">
        <f t="shared" si="58"/>
        <v>0.98950000000000005</v>
      </c>
    </row>
    <row r="158" spans="1:29">
      <c r="A158">
        <v>0.04</v>
      </c>
      <c r="B158">
        <v>1.01</v>
      </c>
      <c r="C158">
        <v>0.29599999999999999</v>
      </c>
      <c r="D158">
        <v>0.27200000000000002</v>
      </c>
      <c r="E158">
        <v>14.23</v>
      </c>
      <c r="F158">
        <v>-0.11990000000000001</v>
      </c>
      <c r="G158" s="2">
        <v>1E-3</v>
      </c>
      <c r="H158">
        <v>2</v>
      </c>
      <c r="I158" s="2">
        <v>2.7999999999999998E-4</v>
      </c>
      <c r="K158">
        <f>'G-P Exposure BF Coeff'!B159</f>
        <v>0.04</v>
      </c>
      <c r="L158">
        <f>'G-P Exposure BF Coeff'!C159</f>
        <v>1.01</v>
      </c>
      <c r="M158">
        <f>'G-P Exposure BF Coeff'!D159</f>
        <v>0.29599999999999999</v>
      </c>
      <c r="N158">
        <f>'G-P Exposure BF Coeff'!E159</f>
        <v>0.27200000000000002</v>
      </c>
      <c r="O158">
        <f>'G-P Exposure BF Coeff'!F159</f>
        <v>14.23</v>
      </c>
      <c r="P158">
        <f>'G-P Exposure BF Coeff'!G159</f>
        <v>-0.11990000000000001</v>
      </c>
      <c r="Q158">
        <f>'G-P Exposure BF Coeff'!H159</f>
        <v>0.1</v>
      </c>
      <c r="R158">
        <f>'G-P Exposure BF Coeff'!I159</f>
        <v>2</v>
      </c>
      <c r="S158">
        <f>'G-P Exposure BF Coeff'!J159</f>
        <v>0.03</v>
      </c>
      <c r="U158" s="13">
        <f t="shared" si="59"/>
        <v>0</v>
      </c>
      <c r="V158" s="13">
        <f t="shared" si="51"/>
        <v>0</v>
      </c>
      <c r="W158" s="13">
        <f t="shared" si="52"/>
        <v>0</v>
      </c>
      <c r="X158" s="13">
        <f t="shared" si="53"/>
        <v>0</v>
      </c>
      <c r="Y158" s="13">
        <f t="shared" si="54"/>
        <v>0</v>
      </c>
      <c r="Z158" s="13">
        <f t="shared" si="55"/>
        <v>0</v>
      </c>
      <c r="AA158" s="13">
        <f t="shared" si="56"/>
        <v>0.99</v>
      </c>
      <c r="AB158" s="13">
        <f t="shared" si="57"/>
        <v>0</v>
      </c>
      <c r="AC158" s="13">
        <f t="shared" si="58"/>
        <v>0.9906666666666667</v>
      </c>
    </row>
    <row r="159" spans="1:29">
      <c r="A159">
        <v>0.05</v>
      </c>
      <c r="B159">
        <v>1.016</v>
      </c>
      <c r="C159">
        <v>0.313</v>
      </c>
      <c r="D159">
        <v>0.248</v>
      </c>
      <c r="E159">
        <v>13.81</v>
      </c>
      <c r="F159">
        <v>-8.9300000000000004E-2</v>
      </c>
      <c r="G159" s="2">
        <v>1E-3</v>
      </c>
      <c r="H159">
        <v>10</v>
      </c>
      <c r="I159" s="2">
        <v>2.9E-4</v>
      </c>
      <c r="K159">
        <f>'G-P Exposure BF Coeff'!B160</f>
        <v>0.05</v>
      </c>
      <c r="L159" s="16">
        <f>'G-P Exposure BF Coeff'!C160</f>
        <v>1.016</v>
      </c>
      <c r="M159" s="16">
        <f>'G-P Exposure BF Coeff'!D160</f>
        <v>0.313</v>
      </c>
      <c r="N159" s="23">
        <f>'G-P Exposure BF Coeff'!E160</f>
        <v>0.245</v>
      </c>
      <c r="O159" s="23">
        <f>'G-P Exposure BF Coeff'!F160</f>
        <v>13.51</v>
      </c>
      <c r="P159" s="23">
        <f>'G-P Exposure BF Coeff'!G160</f>
        <v>-5.9299999999999999E-2</v>
      </c>
      <c r="Q159">
        <f>'G-P Exposure BF Coeff'!H160</f>
        <v>0.1</v>
      </c>
      <c r="R159">
        <f>'G-P Exposure BF Coeff'!I160</f>
        <v>10</v>
      </c>
      <c r="S159">
        <f>'G-P Exposure BF Coeff'!J160</f>
        <v>0.03</v>
      </c>
      <c r="U159" s="13">
        <f t="shared" si="59"/>
        <v>0</v>
      </c>
      <c r="V159" s="13">
        <f t="shared" si="51"/>
        <v>0</v>
      </c>
      <c r="W159" s="13">
        <f t="shared" si="52"/>
        <v>0</v>
      </c>
      <c r="X159" s="13">
        <f t="shared" si="53"/>
        <v>-1.2244897959183685E-2</v>
      </c>
      <c r="Y159" s="13">
        <f t="shared" si="54"/>
        <v>-2.2205773501110342E-2</v>
      </c>
      <c r="Z159" s="13">
        <f t="shared" si="55"/>
        <v>-0.50590219224283317</v>
      </c>
      <c r="AA159" s="13">
        <f t="shared" si="56"/>
        <v>0.99</v>
      </c>
      <c r="AB159" s="13">
        <f t="shared" si="57"/>
        <v>0</v>
      </c>
      <c r="AC159" s="13">
        <f t="shared" si="58"/>
        <v>0.9903333333333334</v>
      </c>
    </row>
    <row r="160" spans="1:29">
      <c r="A160">
        <v>0.06</v>
      </c>
      <c r="B160">
        <v>1.022</v>
      </c>
      <c r="C160">
        <v>0.33600000000000002</v>
      </c>
      <c r="D160">
        <v>0.24399999999999999</v>
      </c>
      <c r="E160">
        <v>14.48</v>
      </c>
      <c r="F160">
        <v>-0.1157</v>
      </c>
      <c r="G160" s="2">
        <v>1E-3</v>
      </c>
      <c r="H160">
        <v>2</v>
      </c>
      <c r="I160" s="2">
        <v>3.6000000000000002E-4</v>
      </c>
      <c r="K160">
        <f>'G-P Exposure BF Coeff'!B161</f>
        <v>0.06</v>
      </c>
      <c r="L160">
        <f>'G-P Exposure BF Coeff'!C161</f>
        <v>1.022</v>
      </c>
      <c r="M160">
        <f>'G-P Exposure BF Coeff'!D161</f>
        <v>0.33600000000000002</v>
      </c>
      <c r="N160">
        <f>'G-P Exposure BF Coeff'!E161</f>
        <v>0.24399999999999999</v>
      </c>
      <c r="O160">
        <f>'G-P Exposure BF Coeff'!F161</f>
        <v>14.48</v>
      </c>
      <c r="P160">
        <f>'G-P Exposure BF Coeff'!G161</f>
        <v>-0.1157</v>
      </c>
      <c r="Q160">
        <f>'G-P Exposure BF Coeff'!H161</f>
        <v>0.1</v>
      </c>
      <c r="R160">
        <f>'G-P Exposure BF Coeff'!I161</f>
        <v>2</v>
      </c>
      <c r="S160">
        <f>'G-P Exposure BF Coeff'!J161</f>
        <v>0.04</v>
      </c>
      <c r="U160" s="13">
        <f t="shared" si="59"/>
        <v>0</v>
      </c>
      <c r="V160" s="13">
        <f t="shared" si="51"/>
        <v>0</v>
      </c>
      <c r="W160" s="13">
        <f t="shared" si="52"/>
        <v>0</v>
      </c>
      <c r="X160" s="13">
        <f t="shared" si="53"/>
        <v>0</v>
      </c>
      <c r="Y160" s="13">
        <f t="shared" si="54"/>
        <v>0</v>
      </c>
      <c r="Z160" s="13">
        <f t="shared" si="55"/>
        <v>0</v>
      </c>
      <c r="AA160" s="13">
        <f t="shared" si="56"/>
        <v>0.99</v>
      </c>
      <c r="AB160" s="13">
        <f t="shared" si="57"/>
        <v>0</v>
      </c>
      <c r="AC160" s="13">
        <f t="shared" si="58"/>
        <v>0.99099999999999999</v>
      </c>
    </row>
    <row r="161" spans="1:29">
      <c r="A161">
        <v>0.08</v>
      </c>
      <c r="B161">
        <v>1.0389999999999999</v>
      </c>
      <c r="C161">
        <v>0.35699999999999998</v>
      </c>
      <c r="D161">
        <v>0.23599999999999999</v>
      </c>
      <c r="E161">
        <v>13.87</v>
      </c>
      <c r="F161">
        <v>-0.1154</v>
      </c>
      <c r="G161" s="2">
        <v>2E-3</v>
      </c>
      <c r="H161">
        <v>0.5</v>
      </c>
      <c r="I161" s="2">
        <v>9.3000000000000005E-4</v>
      </c>
      <c r="K161">
        <f>'G-P Exposure BF Coeff'!B162</f>
        <v>0.08</v>
      </c>
      <c r="L161" s="16">
        <f>'G-P Exposure BF Coeff'!C162</f>
        <v>1.0389999999999999</v>
      </c>
      <c r="M161" s="16">
        <f>'G-P Exposure BF Coeff'!D162</f>
        <v>0.35699999999999998</v>
      </c>
      <c r="N161" s="16">
        <f>'G-P Exposure BF Coeff'!E162</f>
        <v>0.23599999999999999</v>
      </c>
      <c r="O161" s="23">
        <f>'G-P Exposure BF Coeff'!F162</f>
        <v>13.57</v>
      </c>
      <c r="P161" s="16">
        <f>'G-P Exposure BF Coeff'!G162</f>
        <v>-0.1154</v>
      </c>
      <c r="Q161">
        <f>'G-P Exposure BF Coeff'!H162</f>
        <v>0.2</v>
      </c>
      <c r="R161">
        <f>'G-P Exposure BF Coeff'!I162</f>
        <v>0.5</v>
      </c>
      <c r="S161">
        <f>'G-P Exposure BF Coeff'!J162</f>
        <v>0.09</v>
      </c>
      <c r="U161" s="13">
        <f t="shared" si="59"/>
        <v>0</v>
      </c>
      <c r="V161" s="13">
        <f t="shared" si="51"/>
        <v>0</v>
      </c>
      <c r="W161" s="13">
        <f t="shared" si="52"/>
        <v>0</v>
      </c>
      <c r="X161" s="13">
        <f t="shared" si="53"/>
        <v>0</v>
      </c>
      <c r="Y161" s="13">
        <f t="shared" si="54"/>
        <v>-2.21075902726602E-2</v>
      </c>
      <c r="Z161" s="13">
        <f t="shared" si="55"/>
        <v>0</v>
      </c>
      <c r="AA161" s="13">
        <f t="shared" si="56"/>
        <v>0.99</v>
      </c>
      <c r="AB161" s="13">
        <f t="shared" si="57"/>
        <v>0</v>
      </c>
      <c r="AC161" s="13">
        <f t="shared" si="58"/>
        <v>0.98966666666666669</v>
      </c>
    </row>
    <row r="162" spans="1:29">
      <c r="A162">
        <v>0.1</v>
      </c>
      <c r="B162">
        <v>1.0569999999999999</v>
      </c>
      <c r="C162">
        <v>0.39</v>
      </c>
      <c r="D162">
        <v>0.217</v>
      </c>
      <c r="E162">
        <v>13.78</v>
      </c>
      <c r="F162">
        <v>-0.1096</v>
      </c>
      <c r="G162" s="2">
        <v>2E-3</v>
      </c>
      <c r="H162">
        <v>3</v>
      </c>
      <c r="I162" s="2">
        <v>1.25E-3</v>
      </c>
      <c r="K162">
        <f>'G-P Exposure BF Coeff'!B163</f>
        <v>0.1</v>
      </c>
      <c r="L162" s="16">
        <f>'G-P Exposure BF Coeff'!C163</f>
        <v>1.0569999999999999</v>
      </c>
      <c r="M162" s="16">
        <f>'G-P Exposure BF Coeff'!D163</f>
        <v>0.39</v>
      </c>
      <c r="N162" s="16">
        <f>'G-P Exposure BF Coeff'!E163</f>
        <v>0.217</v>
      </c>
      <c r="O162" s="23">
        <f>'G-P Exposure BF Coeff'!F163</f>
        <v>13.75</v>
      </c>
      <c r="P162" s="16">
        <f>'G-P Exposure BF Coeff'!G163</f>
        <v>-0.1096</v>
      </c>
      <c r="Q162">
        <f>'G-P Exposure BF Coeff'!H163</f>
        <v>0.2</v>
      </c>
      <c r="R162">
        <f>'G-P Exposure BF Coeff'!I163</f>
        <v>3</v>
      </c>
      <c r="S162">
        <f>'G-P Exposure BF Coeff'!J163</f>
        <v>0.13</v>
      </c>
      <c r="U162" s="13">
        <f t="shared" si="59"/>
        <v>0</v>
      </c>
      <c r="V162" s="13">
        <f t="shared" si="51"/>
        <v>0</v>
      </c>
      <c r="W162" s="13">
        <f t="shared" si="52"/>
        <v>0</v>
      </c>
      <c r="X162" s="13">
        <f t="shared" si="53"/>
        <v>0</v>
      </c>
      <c r="Y162" s="13">
        <f t="shared" si="54"/>
        <v>-2.1818181818181355E-3</v>
      </c>
      <c r="Z162" s="13">
        <f t="shared" si="55"/>
        <v>0</v>
      </c>
      <c r="AA162" s="13">
        <f t="shared" si="56"/>
        <v>0.99</v>
      </c>
      <c r="AB162" s="13">
        <f t="shared" si="57"/>
        <v>0</v>
      </c>
      <c r="AC162" s="13">
        <f t="shared" si="58"/>
        <v>0.99038461538461542</v>
      </c>
    </row>
    <row r="163" spans="1:29">
      <c r="A163">
        <v>0.15</v>
      </c>
      <c r="B163">
        <v>1.5980000000000001</v>
      </c>
      <c r="C163">
        <v>1.03</v>
      </c>
      <c r="D163">
        <v>0.122</v>
      </c>
      <c r="E163">
        <v>16.02</v>
      </c>
      <c r="F163">
        <v>-9.9599999999999994E-2</v>
      </c>
      <c r="G163" s="2">
        <v>0.04</v>
      </c>
      <c r="H163">
        <v>1</v>
      </c>
      <c r="I163" s="2">
        <v>2.002E-2</v>
      </c>
      <c r="K163">
        <f>'G-P Exposure BF Coeff'!B169</f>
        <v>0.15</v>
      </c>
      <c r="L163" s="23">
        <f>'G-P Exposure BF Coeff'!C169</f>
        <v>1.595</v>
      </c>
      <c r="M163" s="16">
        <f>'G-P Exposure BF Coeff'!D169</f>
        <v>1.03</v>
      </c>
      <c r="N163" s="16">
        <f>'G-P Exposure BF Coeff'!E169</f>
        <v>0.122</v>
      </c>
      <c r="O163" s="16">
        <f>'G-P Exposure BF Coeff'!F169</f>
        <v>16.02</v>
      </c>
      <c r="P163" s="16">
        <f>'G-P Exposure BF Coeff'!G169</f>
        <v>-9.9599999999999994E-2</v>
      </c>
      <c r="Q163">
        <f>'G-P Exposure BF Coeff'!H169</f>
        <v>4</v>
      </c>
      <c r="R163">
        <f>'G-P Exposure BF Coeff'!I169</f>
        <v>1</v>
      </c>
      <c r="S163">
        <f>'G-P Exposure BF Coeff'!J169</f>
        <v>2</v>
      </c>
      <c r="U163" s="13">
        <f t="shared" si="59"/>
        <v>0</v>
      </c>
      <c r="V163" s="13">
        <f t="shared" si="51"/>
        <v>-1.8808777429467798E-3</v>
      </c>
      <c r="W163" s="13">
        <f t="shared" si="52"/>
        <v>0</v>
      </c>
      <c r="X163" s="13">
        <f t="shared" si="53"/>
        <v>0</v>
      </c>
      <c r="Y163" s="13">
        <f t="shared" si="54"/>
        <v>0</v>
      </c>
      <c r="Z163" s="13">
        <f t="shared" si="55"/>
        <v>0</v>
      </c>
      <c r="AA163" s="13">
        <f t="shared" si="56"/>
        <v>0.99</v>
      </c>
      <c r="AB163" s="13">
        <f t="shared" si="57"/>
        <v>0</v>
      </c>
      <c r="AC163" s="13">
        <f t="shared" si="58"/>
        <v>0.98999000000000004</v>
      </c>
    </row>
    <row r="164" spans="1:29">
      <c r="A164">
        <v>0.2</v>
      </c>
      <c r="B164">
        <v>1.3240000000000001</v>
      </c>
      <c r="C164">
        <v>0.36599999999999999</v>
      </c>
      <c r="D164">
        <v>0.16700000000000001</v>
      </c>
      <c r="E164">
        <v>13.28</v>
      </c>
      <c r="F164">
        <v>-6.5500000000000003E-2</v>
      </c>
      <c r="G164" s="2">
        <v>2E-3</v>
      </c>
      <c r="H164">
        <v>3</v>
      </c>
      <c r="I164" s="2">
        <v>1.08E-3</v>
      </c>
      <c r="K164">
        <f>'G-P Exposure BF Coeff'!B174</f>
        <v>0.2</v>
      </c>
      <c r="L164" s="16">
        <f>'G-P Exposure BF Coeff'!C174</f>
        <v>1.3240000000000001</v>
      </c>
      <c r="M164" s="16">
        <f>'G-P Exposure BF Coeff'!D174</f>
        <v>0.36599999999999999</v>
      </c>
      <c r="N164" s="16">
        <f>'G-P Exposure BF Coeff'!E174</f>
        <v>0.16700000000000001</v>
      </c>
      <c r="O164" s="23">
        <f>'G-P Exposure BF Coeff'!F174</f>
        <v>13.25</v>
      </c>
      <c r="P164" s="16">
        <f>'G-P Exposure BF Coeff'!G174</f>
        <v>-6.5500000000000003E-2</v>
      </c>
      <c r="Q164">
        <f>'G-P Exposure BF Coeff'!H174</f>
        <v>0.2</v>
      </c>
      <c r="R164">
        <f>'G-P Exposure BF Coeff'!I174</f>
        <v>3</v>
      </c>
      <c r="S164">
        <f>'G-P Exposure BF Coeff'!J174</f>
        <v>0.11</v>
      </c>
      <c r="U164" s="13">
        <f t="shared" si="59"/>
        <v>0</v>
      </c>
      <c r="V164" s="13">
        <f t="shared" si="51"/>
        <v>0</v>
      </c>
      <c r="W164" s="13">
        <f t="shared" si="52"/>
        <v>0</v>
      </c>
      <c r="X164" s="13">
        <f t="shared" si="53"/>
        <v>0</v>
      </c>
      <c r="Y164" s="13">
        <f t="shared" si="54"/>
        <v>-2.2641509433961779E-3</v>
      </c>
      <c r="Z164" s="13">
        <f t="shared" si="55"/>
        <v>0</v>
      </c>
      <c r="AA164" s="13">
        <f t="shared" si="56"/>
        <v>0.99</v>
      </c>
      <c r="AB164" s="13">
        <f t="shared" si="57"/>
        <v>0</v>
      </c>
      <c r="AC164" s="13">
        <f t="shared" si="58"/>
        <v>0.99018181818181816</v>
      </c>
    </row>
    <row r="165" spans="1:29">
      <c r="A165">
        <v>0.3</v>
      </c>
      <c r="B165">
        <v>1.1599999999999999</v>
      </c>
      <c r="C165">
        <v>0.28399999999999997</v>
      </c>
      <c r="D165">
        <v>0.30399999999999999</v>
      </c>
      <c r="E165">
        <v>13.28</v>
      </c>
      <c r="F165">
        <v>-0.1643</v>
      </c>
      <c r="G165" s="2">
        <v>8.0000000000000002E-3</v>
      </c>
      <c r="H165">
        <v>0.5</v>
      </c>
      <c r="I165" s="2">
        <v>4.1900000000000001E-3</v>
      </c>
      <c r="K165">
        <f>'G-P Exposure BF Coeff'!B176</f>
        <v>0.3</v>
      </c>
      <c r="L165" s="16">
        <f>'G-P Exposure BF Coeff'!C176</f>
        <v>1.1599999999999999</v>
      </c>
      <c r="M165" s="23">
        <f>'G-P Exposure BF Coeff'!D176</f>
        <v>0.254</v>
      </c>
      <c r="N165" s="16">
        <f>'G-P Exposure BF Coeff'!E176</f>
        <v>0.30399999999999999</v>
      </c>
      <c r="O165" s="23">
        <f>'G-P Exposure BF Coeff'!F176</f>
        <v>13.25</v>
      </c>
      <c r="P165" s="16">
        <f>'G-P Exposure BF Coeff'!G176</f>
        <v>-0.1643</v>
      </c>
      <c r="Q165">
        <f>'G-P Exposure BF Coeff'!H176</f>
        <v>0.5</v>
      </c>
      <c r="R165">
        <f>'G-P Exposure BF Coeff'!I176</f>
        <v>0.5</v>
      </c>
      <c r="S165">
        <f>'G-P Exposure BF Coeff'!J176</f>
        <v>0.42</v>
      </c>
      <c r="U165" s="13">
        <f t="shared" si="59"/>
        <v>0</v>
      </c>
      <c r="V165" s="13">
        <f t="shared" si="51"/>
        <v>0</v>
      </c>
      <c r="W165" s="13">
        <f t="shared" si="52"/>
        <v>-0.11811023622047233</v>
      </c>
      <c r="X165" s="13">
        <f t="shared" si="53"/>
        <v>0</v>
      </c>
      <c r="Y165" s="13">
        <f t="shared" si="54"/>
        <v>-2.2641509433961779E-3</v>
      </c>
      <c r="Z165" s="13">
        <f t="shared" si="55"/>
        <v>0</v>
      </c>
      <c r="AA165" s="13">
        <f t="shared" si="56"/>
        <v>0.98399999999999999</v>
      </c>
      <c r="AB165" s="13">
        <f t="shared" si="57"/>
        <v>0</v>
      </c>
      <c r="AC165" s="13">
        <f t="shared" si="58"/>
        <v>0.99002380952380942</v>
      </c>
    </row>
    <row r="166" spans="1:29">
      <c r="A166">
        <v>0.4</v>
      </c>
      <c r="B166">
        <v>1.157</v>
      </c>
      <c r="C166">
        <v>0.49</v>
      </c>
      <c r="D166">
        <v>0.17100000000000001</v>
      </c>
      <c r="E166">
        <v>13.96</v>
      </c>
      <c r="F166">
        <v>-9.11E-2</v>
      </c>
      <c r="G166" s="2">
        <v>8.9999999999999993E-3</v>
      </c>
      <c r="H166">
        <v>0.5</v>
      </c>
      <c r="I166" s="2">
        <v>4.1700000000000001E-3</v>
      </c>
      <c r="K166">
        <f>'G-P Exposure BF Coeff'!B177</f>
        <v>0.4</v>
      </c>
      <c r="L166">
        <f>'G-P Exposure BF Coeff'!C177</f>
        <v>1.157</v>
      </c>
      <c r="M166">
        <f>'G-P Exposure BF Coeff'!D177</f>
        <v>0.49</v>
      </c>
      <c r="N166">
        <f>'G-P Exposure BF Coeff'!E177</f>
        <v>0.17100000000000001</v>
      </c>
      <c r="O166">
        <f>'G-P Exposure BF Coeff'!F177</f>
        <v>13.96</v>
      </c>
      <c r="P166">
        <f>'G-P Exposure BF Coeff'!G177</f>
        <v>-9.11E-2</v>
      </c>
      <c r="Q166">
        <f>'G-P Exposure BF Coeff'!H177</f>
        <v>0.9</v>
      </c>
      <c r="R166">
        <f>'G-P Exposure BF Coeff'!I177</f>
        <v>0.5</v>
      </c>
      <c r="S166">
        <f>'G-P Exposure BF Coeff'!J177</f>
        <v>0.42</v>
      </c>
      <c r="U166" s="13">
        <f t="shared" si="59"/>
        <v>0</v>
      </c>
      <c r="V166" s="13">
        <f t="shared" si="51"/>
        <v>0</v>
      </c>
      <c r="W166" s="13">
        <f t="shared" si="52"/>
        <v>0</v>
      </c>
      <c r="X166" s="13">
        <f t="shared" si="53"/>
        <v>0</v>
      </c>
      <c r="Y166" s="13">
        <f t="shared" si="54"/>
        <v>0</v>
      </c>
      <c r="Z166" s="13">
        <f t="shared" si="55"/>
        <v>0</v>
      </c>
      <c r="AA166" s="13">
        <f t="shared" si="56"/>
        <v>0.99</v>
      </c>
      <c r="AB166" s="13">
        <f t="shared" si="57"/>
        <v>0</v>
      </c>
      <c r="AC166" s="13">
        <f t="shared" si="58"/>
        <v>0.9900714285714286</v>
      </c>
    </row>
    <row r="167" spans="1:29">
      <c r="A167">
        <v>0.5</v>
      </c>
      <c r="B167">
        <v>1.1850000000000001</v>
      </c>
      <c r="C167">
        <v>0.57699999999999996</v>
      </c>
      <c r="D167">
        <v>0.13100000000000001</v>
      </c>
      <c r="E167">
        <v>14.05</v>
      </c>
      <c r="F167">
        <v>-6.8199999999999997E-2</v>
      </c>
      <c r="G167" s="2">
        <v>7.0000000000000001E-3</v>
      </c>
      <c r="H167">
        <v>0.5</v>
      </c>
      <c r="I167" s="2">
        <v>3.8899999999999998E-3</v>
      </c>
      <c r="K167">
        <f>'G-P Exposure BF Coeff'!B178</f>
        <v>0.5</v>
      </c>
      <c r="L167" s="23">
        <f>'G-P Exposure BF Coeff'!C178</f>
        <v>1.155</v>
      </c>
      <c r="M167" s="16">
        <f>'G-P Exposure BF Coeff'!D178</f>
        <v>0.57699999999999996</v>
      </c>
      <c r="N167" s="16">
        <f>'G-P Exposure BF Coeff'!E178</f>
        <v>0.13100000000000001</v>
      </c>
      <c r="O167" s="16">
        <f>'G-P Exposure BF Coeff'!F178</f>
        <v>14.05</v>
      </c>
      <c r="P167" s="23">
        <f>'G-P Exposure BF Coeff'!G178</f>
        <v>-6.5199999999999994E-2</v>
      </c>
      <c r="Q167">
        <f>'G-P Exposure BF Coeff'!H178</f>
        <v>0.7</v>
      </c>
      <c r="R167">
        <f>'G-P Exposure BF Coeff'!I178</f>
        <v>0.5</v>
      </c>
      <c r="S167">
        <f>'G-P Exposure BF Coeff'!J178</f>
        <v>0.39</v>
      </c>
      <c r="U167" s="13">
        <f t="shared" si="59"/>
        <v>0</v>
      </c>
      <c r="V167" s="13">
        <f t="shared" si="51"/>
        <v>-2.5974025974025997E-2</v>
      </c>
      <c r="W167" s="13">
        <f t="shared" si="52"/>
        <v>0</v>
      </c>
      <c r="X167" s="13">
        <f t="shared" si="53"/>
        <v>0</v>
      </c>
      <c r="Y167" s="13">
        <f t="shared" si="54"/>
        <v>0</v>
      </c>
      <c r="Z167" s="13">
        <f t="shared" si="55"/>
        <v>-4.6012269938650353E-2</v>
      </c>
      <c r="AA167" s="13">
        <f t="shared" si="56"/>
        <v>0.99</v>
      </c>
      <c r="AB167" s="13">
        <f t="shared" si="57"/>
        <v>0</v>
      </c>
      <c r="AC167" s="13">
        <f t="shared" si="58"/>
        <v>0.99002564102564106</v>
      </c>
    </row>
    <row r="168" spans="1:29">
      <c r="A168">
        <v>0.6</v>
      </c>
      <c r="B168">
        <v>1.2070000000000001</v>
      </c>
      <c r="C168">
        <v>0.64300000000000002</v>
      </c>
      <c r="D168">
        <v>0.10100000000000001</v>
      </c>
      <c r="E168">
        <v>13.8</v>
      </c>
      <c r="F168">
        <v>-4.7300000000000002E-2</v>
      </c>
      <c r="G168" s="2">
        <v>6.0000000000000001E-3</v>
      </c>
      <c r="H168">
        <v>1</v>
      </c>
      <c r="I168" s="2">
        <v>3.32E-3</v>
      </c>
      <c r="K168">
        <f>'G-P Exposure BF Coeff'!B179</f>
        <v>0.6</v>
      </c>
      <c r="L168" s="16">
        <f>'G-P Exposure BF Coeff'!C179</f>
        <v>1.2070000000000001</v>
      </c>
      <c r="M168" s="16">
        <f>'G-P Exposure BF Coeff'!D179</f>
        <v>0.64300000000000002</v>
      </c>
      <c r="N168" s="16">
        <f>'G-P Exposure BF Coeff'!E179</f>
        <v>0.10100000000000001</v>
      </c>
      <c r="O168" s="23">
        <f>'G-P Exposure BF Coeff'!F179</f>
        <v>13.5</v>
      </c>
      <c r="P168" s="16">
        <f>'G-P Exposure BF Coeff'!G179</f>
        <v>-4.7300000000000002E-2</v>
      </c>
      <c r="Q168">
        <f>'G-P Exposure BF Coeff'!H179</f>
        <v>0.6</v>
      </c>
      <c r="R168">
        <f>'G-P Exposure BF Coeff'!I179</f>
        <v>1</v>
      </c>
      <c r="S168">
        <f>'G-P Exposure BF Coeff'!J179</f>
        <v>0.33</v>
      </c>
      <c r="U168" s="13">
        <f t="shared" si="59"/>
        <v>0</v>
      </c>
      <c r="V168" s="13">
        <f t="shared" si="51"/>
        <v>0</v>
      </c>
      <c r="W168" s="13">
        <f t="shared" si="52"/>
        <v>0</v>
      </c>
      <c r="X168" s="13">
        <f t="shared" si="53"/>
        <v>0</v>
      </c>
      <c r="Y168" s="13">
        <f t="shared" si="54"/>
        <v>-2.2222222222222275E-2</v>
      </c>
      <c r="Z168" s="13">
        <f t="shared" si="55"/>
        <v>0</v>
      </c>
      <c r="AA168" s="13">
        <f t="shared" si="56"/>
        <v>0.99</v>
      </c>
      <c r="AB168" s="13">
        <f t="shared" si="57"/>
        <v>0</v>
      </c>
      <c r="AC168" s="13">
        <f t="shared" si="58"/>
        <v>0.98993939393939401</v>
      </c>
    </row>
    <row r="169" spans="1:29">
      <c r="A169">
        <v>0.8</v>
      </c>
      <c r="B169">
        <v>1.2609999999999999</v>
      </c>
      <c r="C169">
        <v>0.70499999999999996</v>
      </c>
      <c r="D169">
        <v>0.08</v>
      </c>
      <c r="E169">
        <v>13.89</v>
      </c>
      <c r="F169">
        <v>-3.6200000000000003E-2</v>
      </c>
      <c r="G169" s="2">
        <v>7.0000000000000001E-3</v>
      </c>
      <c r="H169">
        <v>1</v>
      </c>
      <c r="I169" s="2">
        <v>3.5300000000000002E-3</v>
      </c>
      <c r="K169" s="23">
        <f>'G-P Exposure BF Coeff'!B180</f>
        <v>0.5</v>
      </c>
      <c r="L169" s="16">
        <f>'G-P Exposure BF Coeff'!C180</f>
        <v>1.2609999999999999</v>
      </c>
      <c r="M169" s="23">
        <f>'G-P Exposure BF Coeff'!D180</f>
        <v>0.105</v>
      </c>
      <c r="N169" s="16">
        <f>'G-P Exposure BF Coeff'!E180</f>
        <v>0.08</v>
      </c>
      <c r="O169" s="23">
        <f>'G-P Exposure BF Coeff'!F180</f>
        <v>13.59</v>
      </c>
      <c r="P169" s="16">
        <f>'G-P Exposure BF Coeff'!G180</f>
        <v>-3.6200000000000003E-2</v>
      </c>
      <c r="Q169">
        <f>'G-P Exposure BF Coeff'!H180</f>
        <v>0.7</v>
      </c>
      <c r="R169">
        <f>'G-P Exposure BF Coeff'!I180</f>
        <v>1</v>
      </c>
      <c r="S169">
        <f>'G-P Exposure BF Coeff'!J180</f>
        <v>0.35</v>
      </c>
      <c r="U169" s="13">
        <f t="shared" si="59"/>
        <v>-0.60000000000000009</v>
      </c>
      <c r="V169" s="13">
        <f t="shared" si="51"/>
        <v>0</v>
      </c>
      <c r="W169" s="13">
        <f t="shared" si="52"/>
        <v>-5.7142857142857144</v>
      </c>
      <c r="X169" s="13">
        <f t="shared" si="53"/>
        <v>0</v>
      </c>
      <c r="Y169" s="13">
        <f t="shared" si="54"/>
        <v>-2.2075055187638023E-2</v>
      </c>
      <c r="Z169" s="13">
        <f t="shared" si="55"/>
        <v>0</v>
      </c>
      <c r="AA169" s="13">
        <f t="shared" si="56"/>
        <v>0.99</v>
      </c>
      <c r="AB169" s="13">
        <f t="shared" si="57"/>
        <v>0</v>
      </c>
      <c r="AC169" s="13">
        <f t="shared" si="58"/>
        <v>0.98991428571428575</v>
      </c>
    </row>
    <row r="170" spans="1:29">
      <c r="A170">
        <v>1</v>
      </c>
      <c r="B170">
        <v>1.298</v>
      </c>
      <c r="C170">
        <v>0.754</v>
      </c>
      <c r="D170">
        <v>6.6000000000000003E-2</v>
      </c>
      <c r="E170">
        <v>13.69</v>
      </c>
      <c r="F170">
        <v>-3.2500000000000001E-2</v>
      </c>
      <c r="G170" s="2">
        <v>7.0000000000000001E-3</v>
      </c>
      <c r="H170">
        <v>1</v>
      </c>
      <c r="I170" s="2">
        <v>4.0400000000000002E-3</v>
      </c>
      <c r="K170">
        <f>'G-P Exposure BF Coeff'!B181</f>
        <v>1</v>
      </c>
      <c r="L170" s="23">
        <f>'G-P Exposure BF Coeff'!C181</f>
        <v>1.2949999999999999</v>
      </c>
      <c r="M170" s="16">
        <f>'G-P Exposure BF Coeff'!D181</f>
        <v>0.754</v>
      </c>
      <c r="N170" s="16">
        <f>'G-P Exposure BF Coeff'!E181</f>
        <v>6.6000000000000003E-2</v>
      </c>
      <c r="O170" s="16">
        <f>'G-P Exposure BF Coeff'!F181</f>
        <v>13.69</v>
      </c>
      <c r="P170" s="16">
        <f>'G-P Exposure BF Coeff'!G181</f>
        <v>-3.2500000000000001E-2</v>
      </c>
      <c r="Q170">
        <f>'G-P Exposure BF Coeff'!H181</f>
        <v>0.7</v>
      </c>
      <c r="R170">
        <f>'G-P Exposure BF Coeff'!I181</f>
        <v>1</v>
      </c>
      <c r="S170">
        <f>'G-P Exposure BF Coeff'!J181</f>
        <v>0.4</v>
      </c>
      <c r="U170" s="13">
        <f t="shared" si="59"/>
        <v>0</v>
      </c>
      <c r="V170" s="13">
        <f t="shared" si="51"/>
        <v>-2.3166023166024045E-3</v>
      </c>
      <c r="W170" s="13">
        <f t="shared" si="52"/>
        <v>0</v>
      </c>
      <c r="X170" s="13">
        <f t="shared" si="53"/>
        <v>0</v>
      </c>
      <c r="Y170" s="13">
        <f t="shared" si="54"/>
        <v>0</v>
      </c>
      <c r="Z170" s="13">
        <f t="shared" si="55"/>
        <v>0</v>
      </c>
      <c r="AA170" s="13">
        <f t="shared" si="56"/>
        <v>0.99</v>
      </c>
      <c r="AB170" s="13">
        <f t="shared" si="57"/>
        <v>0</v>
      </c>
      <c r="AC170" s="13">
        <f t="shared" si="58"/>
        <v>0.9899</v>
      </c>
    </row>
    <row r="171" spans="1:29">
      <c r="A171">
        <v>1.5</v>
      </c>
      <c r="B171">
        <v>1.32</v>
      </c>
      <c r="C171">
        <v>0.873</v>
      </c>
      <c r="D171">
        <v>3.7999999999999999E-2</v>
      </c>
      <c r="E171">
        <v>14.78</v>
      </c>
      <c r="F171">
        <v>-2.8199999999999999E-2</v>
      </c>
      <c r="G171" s="2">
        <v>6.0000000000000001E-3</v>
      </c>
      <c r="H171">
        <v>10</v>
      </c>
      <c r="I171" s="2">
        <v>3.4499999999999999E-3</v>
      </c>
      <c r="K171">
        <f>'G-P Exposure BF Coeff'!B182</f>
        <v>1.5</v>
      </c>
      <c r="L171" s="16">
        <f>'G-P Exposure BF Coeff'!C182</f>
        <v>1.32</v>
      </c>
      <c r="M171" s="23">
        <f>'G-P Exposure BF Coeff'!D182</f>
        <v>0.57299999999999995</v>
      </c>
      <c r="N171" s="23">
        <f>'G-P Exposure BF Coeff'!E182</f>
        <v>3.5000000000000003E-2</v>
      </c>
      <c r="O171" s="23">
        <f>'G-P Exposure BF Coeff'!F182</f>
        <v>14.75</v>
      </c>
      <c r="P171" s="23">
        <f>'G-P Exposure BF Coeff'!G182</f>
        <v>-2.52E-2</v>
      </c>
      <c r="Q171">
        <f>'G-P Exposure BF Coeff'!H182</f>
        <v>0.6</v>
      </c>
      <c r="R171">
        <f>'G-P Exposure BF Coeff'!I182</f>
        <v>10</v>
      </c>
      <c r="S171">
        <f>'G-P Exposure BF Coeff'!J182</f>
        <v>0.35</v>
      </c>
      <c r="U171" s="13">
        <f t="shared" si="59"/>
        <v>0</v>
      </c>
      <c r="V171" s="13">
        <f t="shared" si="51"/>
        <v>0</v>
      </c>
      <c r="W171" s="13">
        <f t="shared" si="52"/>
        <v>-0.52356020942408388</v>
      </c>
      <c r="X171" s="13">
        <f t="shared" si="53"/>
        <v>-8.571428571428559E-2</v>
      </c>
      <c r="Y171" s="13">
        <f t="shared" si="54"/>
        <v>-2.0338983050847024E-3</v>
      </c>
      <c r="Z171" s="13">
        <f t="shared" si="55"/>
        <v>-0.11904761904761901</v>
      </c>
      <c r="AA171" s="13">
        <f t="shared" si="56"/>
        <v>0.99</v>
      </c>
      <c r="AB171" s="13">
        <f t="shared" si="57"/>
        <v>0</v>
      </c>
      <c r="AC171" s="13">
        <f t="shared" si="58"/>
        <v>0.9901428571428571</v>
      </c>
    </row>
    <row r="172" spans="1:29">
      <c r="A172">
        <v>2</v>
      </c>
      <c r="B172">
        <v>1.3380000000000001</v>
      </c>
      <c r="C172">
        <v>0.92300000000000004</v>
      </c>
      <c r="D172">
        <v>2.8000000000000001E-2</v>
      </c>
      <c r="E172">
        <v>13.56</v>
      </c>
      <c r="F172">
        <v>-2.7400000000000001E-2</v>
      </c>
      <c r="G172" s="2">
        <v>1.6E-2</v>
      </c>
      <c r="H172">
        <v>0.5</v>
      </c>
      <c r="I172" s="2">
        <v>6.9100000000000003E-3</v>
      </c>
      <c r="K172">
        <f>'G-P Exposure BF Coeff'!B183</f>
        <v>2</v>
      </c>
      <c r="L172" s="23">
        <f>'G-P Exposure BF Coeff'!C183</f>
        <v>1.335</v>
      </c>
      <c r="M172" s="16">
        <f>'G-P Exposure BF Coeff'!D183</f>
        <v>0.92300000000000004</v>
      </c>
      <c r="N172" s="23">
        <f>'G-P Exposure BF Coeff'!E183</f>
        <v>2.5000000000000001E-2</v>
      </c>
      <c r="O172" s="16">
        <f>'G-P Exposure BF Coeff'!F183</f>
        <v>13.56</v>
      </c>
      <c r="P172" s="16">
        <f>'G-P Exposure BF Coeff'!G183</f>
        <v>-2.7400000000000001E-2</v>
      </c>
      <c r="Q172">
        <f>'G-P Exposure BF Coeff'!H183</f>
        <v>1.6</v>
      </c>
      <c r="R172">
        <f>'G-P Exposure BF Coeff'!I183</f>
        <v>0.5</v>
      </c>
      <c r="S172">
        <f>'G-P Exposure BF Coeff'!J183</f>
        <v>0.69</v>
      </c>
      <c r="U172" s="13">
        <f t="shared" si="59"/>
        <v>0</v>
      </c>
      <c r="V172" s="13">
        <f t="shared" si="51"/>
        <v>-2.2471910112360403E-3</v>
      </c>
      <c r="W172" s="13">
        <f t="shared" si="52"/>
        <v>0</v>
      </c>
      <c r="X172" s="13">
        <f t="shared" si="53"/>
        <v>-0.11999999999999997</v>
      </c>
      <c r="Y172" s="13">
        <f t="shared" si="54"/>
        <v>0</v>
      </c>
      <c r="Z172" s="13">
        <f t="shared" si="55"/>
        <v>0</v>
      </c>
      <c r="AA172" s="13">
        <f t="shared" si="56"/>
        <v>0.99</v>
      </c>
      <c r="AB172" s="13">
        <f t="shared" si="57"/>
        <v>0</v>
      </c>
      <c r="AC172" s="13">
        <f t="shared" si="58"/>
        <v>0.98998550724637691</v>
      </c>
    </row>
    <row r="173" spans="1:29">
      <c r="A173">
        <v>3</v>
      </c>
      <c r="B173">
        <v>1.3260000000000001</v>
      </c>
      <c r="C173">
        <v>0.96799999999999997</v>
      </c>
      <c r="D173">
        <v>2.4E-2</v>
      </c>
      <c r="E173">
        <v>13.45</v>
      </c>
      <c r="F173">
        <v>-3.7199999999999997E-2</v>
      </c>
      <c r="G173" s="2">
        <v>3.2000000000000001E-2</v>
      </c>
      <c r="H173">
        <v>0.5</v>
      </c>
      <c r="I173" s="2">
        <v>1.172E-2</v>
      </c>
      <c r="K173">
        <f>'G-P Exposure BF Coeff'!B184</f>
        <v>3</v>
      </c>
      <c r="L173" s="16">
        <f>'G-P Exposure BF Coeff'!C184</f>
        <v>1.3260000000000001</v>
      </c>
      <c r="M173" s="23">
        <f>'G-P Exposure BF Coeff'!D184</f>
        <v>0.96499999999999997</v>
      </c>
      <c r="N173" s="16">
        <f>'G-P Exposure BF Coeff'!E184</f>
        <v>2.4E-2</v>
      </c>
      <c r="O173" s="16">
        <f>'G-P Exposure BF Coeff'!F184</f>
        <v>13.45</v>
      </c>
      <c r="P173" s="16">
        <f>'G-P Exposure BF Coeff'!G184</f>
        <v>-3.7199999999999997E-2</v>
      </c>
      <c r="Q173">
        <f>'G-P Exposure BF Coeff'!H184</f>
        <v>3.2</v>
      </c>
      <c r="R173">
        <f>'G-P Exposure BF Coeff'!I184</f>
        <v>0.5</v>
      </c>
      <c r="S173">
        <f>'G-P Exposure BF Coeff'!J184</f>
        <v>1.17</v>
      </c>
      <c r="U173" s="13">
        <f t="shared" si="59"/>
        <v>0</v>
      </c>
      <c r="V173" s="13">
        <f t="shared" si="51"/>
        <v>0</v>
      </c>
      <c r="W173" s="13">
        <f t="shared" si="52"/>
        <v>-3.1088082901554433E-3</v>
      </c>
      <c r="X173" s="13">
        <f t="shared" si="53"/>
        <v>0</v>
      </c>
      <c r="Y173" s="13">
        <f t="shared" si="54"/>
        <v>0</v>
      </c>
      <c r="Z173" s="13">
        <f t="shared" si="55"/>
        <v>0</v>
      </c>
      <c r="AA173" s="13">
        <f t="shared" si="56"/>
        <v>0.99</v>
      </c>
      <c r="AB173" s="13">
        <f t="shared" si="57"/>
        <v>0</v>
      </c>
      <c r="AC173" s="13">
        <f t="shared" si="58"/>
        <v>0.98998290598290606</v>
      </c>
    </row>
    <row r="174" spans="1:29">
      <c r="A174">
        <v>4</v>
      </c>
      <c r="B174">
        <v>1.2989999999999999</v>
      </c>
      <c r="C174">
        <v>0.98399999999999999</v>
      </c>
      <c r="D174">
        <v>2.7E-2</v>
      </c>
      <c r="E174">
        <v>13.84</v>
      </c>
      <c r="F174">
        <v>-4.1799999999999997E-2</v>
      </c>
      <c r="G174" s="2">
        <v>3.5000000000000003E-2</v>
      </c>
      <c r="H174">
        <v>0.5</v>
      </c>
      <c r="I174" s="2">
        <v>1.2800000000000001E-2</v>
      </c>
      <c r="K174">
        <f>'G-P Exposure BF Coeff'!B185</f>
        <v>4</v>
      </c>
      <c r="L174" s="16">
        <f>'G-P Exposure BF Coeff'!C185</f>
        <v>1.2989999999999999</v>
      </c>
      <c r="M174" s="23">
        <f>'G-P Exposure BF Coeff'!D185</f>
        <v>0.95399999999999996</v>
      </c>
      <c r="N174" s="16">
        <f>'G-P Exposure BF Coeff'!E185</f>
        <v>2.7E-2</v>
      </c>
      <c r="O174" s="16">
        <f>'G-P Exposure BF Coeff'!F185</f>
        <v>13.84</v>
      </c>
      <c r="P174" s="23">
        <f>'G-P Exposure BF Coeff'!G185</f>
        <v>-4.1500000000000002E-2</v>
      </c>
      <c r="Q174">
        <f>'G-P Exposure BF Coeff'!H185</f>
        <v>3.5</v>
      </c>
      <c r="R174">
        <f>'G-P Exposure BF Coeff'!I185</f>
        <v>0.5</v>
      </c>
      <c r="S174">
        <f>'G-P Exposure BF Coeff'!J185</f>
        <v>1.25</v>
      </c>
      <c r="U174" s="13">
        <f t="shared" si="59"/>
        <v>0</v>
      </c>
      <c r="V174" s="13">
        <f t="shared" si="51"/>
        <v>0</v>
      </c>
      <c r="W174" s="13">
        <f t="shared" si="52"/>
        <v>-3.1446540880503172E-2</v>
      </c>
      <c r="X174" s="13">
        <f t="shared" si="53"/>
        <v>0</v>
      </c>
      <c r="Y174" s="13">
        <f t="shared" si="54"/>
        <v>0</v>
      </c>
      <c r="Z174" s="13">
        <f t="shared" si="55"/>
        <v>-7.2289156626504751E-3</v>
      </c>
      <c r="AA174" s="13">
        <f t="shared" si="56"/>
        <v>0.99</v>
      </c>
      <c r="AB174" s="13">
        <f t="shared" si="57"/>
        <v>0</v>
      </c>
      <c r="AC174" s="13">
        <f t="shared" si="58"/>
        <v>0.98976000000000008</v>
      </c>
    </row>
    <row r="175" spans="1:29">
      <c r="A175">
        <v>5</v>
      </c>
      <c r="B175">
        <v>1.327</v>
      </c>
      <c r="C175">
        <v>0.93200000000000005</v>
      </c>
      <c r="D175">
        <v>5.1999999999999998E-2</v>
      </c>
      <c r="E175">
        <v>14.08</v>
      </c>
      <c r="F175">
        <v>-6.3799999999999996E-2</v>
      </c>
      <c r="G175" s="2">
        <v>5.0999999999999997E-2</v>
      </c>
      <c r="H175">
        <v>0.5</v>
      </c>
      <c r="I175" s="2">
        <v>1.9029999999999998E-2</v>
      </c>
      <c r="K175">
        <f>'G-P Exposure BF Coeff'!B186</f>
        <v>5</v>
      </c>
      <c r="L175" s="16">
        <f>'G-P Exposure BF Coeff'!C186</f>
        <v>1.327</v>
      </c>
      <c r="M175" s="16">
        <f>'G-P Exposure BF Coeff'!D186</f>
        <v>0.93200000000000005</v>
      </c>
      <c r="N175" s="16">
        <f>'G-P Exposure BF Coeff'!E186</f>
        <v>5.1999999999999998E-2</v>
      </c>
      <c r="O175" s="16">
        <f>'G-P Exposure BF Coeff'!F186</f>
        <v>14.08</v>
      </c>
      <c r="P175" s="23">
        <f>'G-P Exposure BF Coeff'!G186</f>
        <v>-6.3500000000000001E-2</v>
      </c>
      <c r="Q175">
        <f>'G-P Exposure BF Coeff'!H186</f>
        <v>5.0999999999999996</v>
      </c>
      <c r="R175">
        <f>'G-P Exposure BF Coeff'!I186</f>
        <v>0.5</v>
      </c>
      <c r="S175">
        <f>'G-P Exposure BF Coeff'!J186</f>
        <v>1.9</v>
      </c>
      <c r="U175" s="13">
        <f t="shared" si="59"/>
        <v>0</v>
      </c>
      <c r="V175" s="13">
        <f t="shared" si="51"/>
        <v>0</v>
      </c>
      <c r="W175" s="13">
        <f t="shared" si="52"/>
        <v>0</v>
      </c>
      <c r="X175" s="13">
        <f t="shared" si="53"/>
        <v>0</v>
      </c>
      <c r="Y175" s="13">
        <f t="shared" si="54"/>
        <v>0</v>
      </c>
      <c r="Z175" s="13">
        <f t="shared" si="55"/>
        <v>-4.7244094488188143E-3</v>
      </c>
      <c r="AA175" s="13">
        <f t="shared" si="56"/>
        <v>0.99</v>
      </c>
      <c r="AB175" s="13">
        <f t="shared" si="57"/>
        <v>0</v>
      </c>
      <c r="AC175" s="13">
        <f t="shared" si="58"/>
        <v>0.98998421052631569</v>
      </c>
    </row>
    <row r="176" spans="1:29">
      <c r="A176">
        <v>6</v>
      </c>
      <c r="B176">
        <v>1.339</v>
      </c>
      <c r="C176">
        <v>0.93500000000000005</v>
      </c>
      <c r="D176">
        <v>5.8000000000000003E-2</v>
      </c>
      <c r="E176">
        <v>14.53</v>
      </c>
      <c r="F176">
        <v>-6.7599999999999993E-2</v>
      </c>
      <c r="G176" s="2">
        <v>5.0999999999999997E-2</v>
      </c>
      <c r="H176">
        <v>0.5</v>
      </c>
      <c r="I176" s="2">
        <v>1.9820000000000001E-2</v>
      </c>
      <c r="K176">
        <f>'G-P Exposure BF Coeff'!B187</f>
        <v>6</v>
      </c>
      <c r="L176" s="16">
        <f>'G-P Exposure BF Coeff'!C187</f>
        <v>1.339</v>
      </c>
      <c r="M176" s="16">
        <f>'G-P Exposure BF Coeff'!D187</f>
        <v>0.93500000000000005</v>
      </c>
      <c r="N176" s="23">
        <f>'G-P Exposure BF Coeff'!E187</f>
        <v>5.5E-2</v>
      </c>
      <c r="O176" s="16">
        <f>'G-P Exposure BF Coeff'!F187</f>
        <v>14.53</v>
      </c>
      <c r="P176" s="16">
        <f>'G-P Exposure BF Coeff'!G187</f>
        <v>-6.7599999999999993E-2</v>
      </c>
      <c r="Q176">
        <f>'G-P Exposure BF Coeff'!H187</f>
        <v>5.0999999999999996</v>
      </c>
      <c r="R176">
        <f>'G-P Exposure BF Coeff'!I187</f>
        <v>0.5</v>
      </c>
      <c r="S176">
        <f>'G-P Exposure BF Coeff'!J187</f>
        <v>1.95</v>
      </c>
      <c r="U176" s="13">
        <f t="shared" si="59"/>
        <v>0</v>
      </c>
      <c r="V176" s="13">
        <f t="shared" si="51"/>
        <v>0</v>
      </c>
      <c r="W176" s="13">
        <f t="shared" si="52"/>
        <v>0</v>
      </c>
      <c r="X176" s="13">
        <f t="shared" si="53"/>
        <v>-5.4545454545454591E-2</v>
      </c>
      <c r="Y176" s="13">
        <f t="shared" si="54"/>
        <v>0</v>
      </c>
      <c r="Z176" s="13">
        <f t="shared" si="55"/>
        <v>0</v>
      </c>
      <c r="AA176" s="13">
        <f t="shared" si="56"/>
        <v>0.99</v>
      </c>
      <c r="AB176" s="13">
        <f t="shared" si="57"/>
        <v>0</v>
      </c>
      <c r="AC176" s="13">
        <f t="shared" si="58"/>
        <v>0.9898358974358975</v>
      </c>
    </row>
    <row r="177" spans="1:29">
      <c r="A177">
        <v>8</v>
      </c>
      <c r="B177">
        <v>1.4219999999999999</v>
      </c>
      <c r="C177">
        <v>0.97299999999999998</v>
      </c>
      <c r="D177">
        <v>6.3E-2</v>
      </c>
      <c r="E177">
        <v>14.26</v>
      </c>
      <c r="F177">
        <v>-7.6100000000000001E-2</v>
      </c>
      <c r="G177" s="2">
        <v>5.2999999999999999E-2</v>
      </c>
      <c r="H177">
        <v>0.5</v>
      </c>
      <c r="I177" s="2">
        <v>2.1899999999999999E-2</v>
      </c>
      <c r="K177">
        <f>'G-P Exposure BF Coeff'!B188</f>
        <v>5</v>
      </c>
      <c r="L177">
        <f>'G-P Exposure BF Coeff'!C188</f>
        <v>1.4219999999999999</v>
      </c>
      <c r="M177">
        <f>'G-P Exposure BF Coeff'!D188</f>
        <v>0.97299999999999998</v>
      </c>
      <c r="N177">
        <f>'G-P Exposure BF Coeff'!E188</f>
        <v>6.3E-2</v>
      </c>
      <c r="O177">
        <f>'G-P Exposure BF Coeff'!F188</f>
        <v>14.26</v>
      </c>
      <c r="P177">
        <f>'G-P Exposure BF Coeff'!G188</f>
        <v>-7.6100000000000001E-2</v>
      </c>
      <c r="Q177">
        <f>'G-P Exposure BF Coeff'!H188</f>
        <v>5.3</v>
      </c>
      <c r="R177">
        <f>'G-P Exposure BF Coeff'!I188</f>
        <v>0.5</v>
      </c>
      <c r="S177">
        <f>'G-P Exposure BF Coeff'!J188</f>
        <v>2.19</v>
      </c>
      <c r="U177" s="13">
        <f t="shared" si="59"/>
        <v>-0.6</v>
      </c>
      <c r="V177" s="13">
        <f t="shared" si="51"/>
        <v>0</v>
      </c>
      <c r="W177" s="13">
        <f t="shared" si="52"/>
        <v>0</v>
      </c>
      <c r="X177" s="13">
        <f t="shared" si="53"/>
        <v>0</v>
      </c>
      <c r="Y177" s="13">
        <f t="shared" si="54"/>
        <v>0</v>
      </c>
      <c r="Z177" s="13">
        <f t="shared" si="55"/>
        <v>0</v>
      </c>
      <c r="AA177" s="13">
        <f t="shared" si="56"/>
        <v>0.99</v>
      </c>
      <c r="AB177" s="13">
        <f t="shared" si="57"/>
        <v>0</v>
      </c>
      <c r="AC177" s="13">
        <f t="shared" si="58"/>
        <v>0.99</v>
      </c>
    </row>
    <row r="178" spans="1:29">
      <c r="A178">
        <v>10</v>
      </c>
      <c r="B178">
        <v>1.4510000000000001</v>
      </c>
      <c r="C178">
        <v>1.133</v>
      </c>
      <c r="D178">
        <v>3.2000000000000001E-2</v>
      </c>
      <c r="E178">
        <v>14.31</v>
      </c>
      <c r="F178">
        <v>-5.0200000000000002E-2</v>
      </c>
      <c r="G178" s="2">
        <v>3.6999999999999998E-2</v>
      </c>
      <c r="H178">
        <v>0.5</v>
      </c>
      <c r="I178" s="2">
        <v>1.486E-2</v>
      </c>
      <c r="K178">
        <f>'G-P Exposure BF Coeff'!B189</f>
        <v>10</v>
      </c>
      <c r="L178">
        <f>'G-P Exposure BF Coeff'!C189</f>
        <v>1.4510000000000001</v>
      </c>
      <c r="M178">
        <f>'G-P Exposure BF Coeff'!D189</f>
        <v>1.133</v>
      </c>
      <c r="N178">
        <f>'G-P Exposure BF Coeff'!E189</f>
        <v>3.2000000000000001E-2</v>
      </c>
      <c r="O178">
        <f>'G-P Exposure BF Coeff'!F189</f>
        <v>14.31</v>
      </c>
      <c r="P178">
        <f>'G-P Exposure BF Coeff'!G189</f>
        <v>-5.0200000000000002E-2</v>
      </c>
      <c r="Q178">
        <f>'G-P Exposure BF Coeff'!H189</f>
        <v>3.7</v>
      </c>
      <c r="R178">
        <f>'G-P Exposure BF Coeff'!I189</f>
        <v>0.5</v>
      </c>
      <c r="S178">
        <f>'G-P Exposure BF Coeff'!J189</f>
        <v>1.49</v>
      </c>
      <c r="U178" s="13">
        <f>(K178-A178)/K178</f>
        <v>0</v>
      </c>
      <c r="V178" s="13">
        <f t="shared" si="51"/>
        <v>0</v>
      </c>
      <c r="W178" s="13">
        <f t="shared" si="52"/>
        <v>0</v>
      </c>
      <c r="X178" s="13">
        <f t="shared" si="53"/>
        <v>0</v>
      </c>
      <c r="Y178" s="13">
        <f t="shared" si="54"/>
        <v>0</v>
      </c>
      <c r="Z178" s="13">
        <f t="shared" si="55"/>
        <v>0</v>
      </c>
      <c r="AA178" s="13">
        <f t="shared" si="56"/>
        <v>0.99</v>
      </c>
      <c r="AB178" s="13">
        <f t="shared" si="57"/>
        <v>0</v>
      </c>
      <c r="AC178" s="13">
        <f t="shared" si="58"/>
        <v>0.99002684563758381</v>
      </c>
    </row>
    <row r="179" spans="1:29">
      <c r="A179">
        <v>15</v>
      </c>
      <c r="B179">
        <v>1.5569999999999999</v>
      </c>
      <c r="C179">
        <v>1.3280000000000001</v>
      </c>
      <c r="D179">
        <v>1.4999999999999999E-2</v>
      </c>
      <c r="E179">
        <v>13.75</v>
      </c>
      <c r="F179">
        <v>-4.0500000000000001E-2</v>
      </c>
      <c r="G179" s="2">
        <v>3.5999999999999997E-2</v>
      </c>
      <c r="H179">
        <v>0.5</v>
      </c>
      <c r="I179" s="2">
        <v>1.5730000000000001E-2</v>
      </c>
      <c r="K179">
        <f>'G-P Exposure BF Coeff'!B190</f>
        <v>15</v>
      </c>
      <c r="L179">
        <f>'G-P Exposure BF Coeff'!C190</f>
        <v>1.5569999999999999</v>
      </c>
      <c r="M179">
        <f>'G-P Exposure BF Coeff'!D190</f>
        <v>1.3280000000000001</v>
      </c>
      <c r="N179">
        <f>'G-P Exposure BF Coeff'!E190</f>
        <v>1.4999999999999999E-2</v>
      </c>
      <c r="O179">
        <f>'G-P Exposure BF Coeff'!F190</f>
        <v>13.75</v>
      </c>
      <c r="P179">
        <f>'G-P Exposure BF Coeff'!G190</f>
        <v>-4.0500000000000001E-2</v>
      </c>
      <c r="Q179">
        <f>'G-P Exposure BF Coeff'!H190</f>
        <v>3.6</v>
      </c>
      <c r="R179">
        <f>'G-P Exposure BF Coeff'!I190</f>
        <v>0.5</v>
      </c>
      <c r="S179">
        <f>'G-P Exposure BF Coeff'!J190</f>
        <v>1.57</v>
      </c>
      <c r="U179" s="13">
        <f t="shared" ref="U179" si="60">(K179-A179)/K179</f>
        <v>0</v>
      </c>
      <c r="V179" s="13">
        <f t="shared" si="51"/>
        <v>0</v>
      </c>
      <c r="W179" s="13">
        <f t="shared" si="52"/>
        <v>0</v>
      </c>
      <c r="X179" s="13">
        <f t="shared" si="53"/>
        <v>0</v>
      </c>
      <c r="Y179" s="13">
        <f t="shared" si="54"/>
        <v>0</v>
      </c>
      <c r="Z179" s="13">
        <f t="shared" si="55"/>
        <v>0</v>
      </c>
      <c r="AA179" s="13">
        <f t="shared" si="56"/>
        <v>0.99</v>
      </c>
      <c r="AB179" s="13">
        <f t="shared" si="57"/>
        <v>0</v>
      </c>
      <c r="AC179" s="13">
        <f t="shared" si="58"/>
        <v>0.98998089171974524</v>
      </c>
    </row>
    <row r="181" spans="1:29">
      <c r="A181" t="s">
        <v>109</v>
      </c>
    </row>
    <row r="183" spans="1:29">
      <c r="K183" t="s">
        <v>109</v>
      </c>
    </row>
    <row r="184" spans="1:29">
      <c r="A184" s="15" t="s">
        <v>1</v>
      </c>
      <c r="B184" s="15" t="s">
        <v>11</v>
      </c>
      <c r="C184" s="15" t="s">
        <v>12</v>
      </c>
      <c r="D184" s="15" t="s">
        <v>13</v>
      </c>
      <c r="E184" s="15" t="s">
        <v>16</v>
      </c>
      <c r="F184" s="15" t="s">
        <v>14</v>
      </c>
      <c r="G184" s="15" t="s">
        <v>17</v>
      </c>
      <c r="H184" s="15" t="s">
        <v>18</v>
      </c>
      <c r="I184" s="15" t="s">
        <v>15</v>
      </c>
      <c r="K184" s="15" t="s">
        <v>1</v>
      </c>
      <c r="L184" s="15" t="s">
        <v>11</v>
      </c>
      <c r="M184" s="15" t="s">
        <v>12</v>
      </c>
      <c r="N184" s="15" t="s">
        <v>13</v>
      </c>
      <c r="O184" s="15" t="s">
        <v>16</v>
      </c>
      <c r="P184" s="15" t="s">
        <v>14</v>
      </c>
      <c r="Q184" s="15" t="s">
        <v>17</v>
      </c>
      <c r="R184" s="15" t="s">
        <v>18</v>
      </c>
      <c r="S184" s="15" t="s">
        <v>15</v>
      </c>
      <c r="U184" s="15" t="s">
        <v>1</v>
      </c>
      <c r="V184" s="15" t="s">
        <v>11</v>
      </c>
      <c r="W184" s="15" t="s">
        <v>12</v>
      </c>
      <c r="X184" s="15" t="s">
        <v>13</v>
      </c>
      <c r="Y184" s="15" t="s">
        <v>16</v>
      </c>
      <c r="Z184" s="15" t="s">
        <v>14</v>
      </c>
      <c r="AA184" s="15" t="s">
        <v>17</v>
      </c>
      <c r="AB184" s="15" t="s">
        <v>18</v>
      </c>
      <c r="AC184" s="15" t="s">
        <v>15</v>
      </c>
    </row>
    <row r="185" spans="1:29">
      <c r="A185">
        <v>1.4999999999999999E-2</v>
      </c>
      <c r="B185">
        <v>1.1819999999999999</v>
      </c>
      <c r="C185">
        <v>0.46300000000000002</v>
      </c>
      <c r="D185">
        <v>0.17499999999999999</v>
      </c>
      <c r="E185">
        <v>14.23</v>
      </c>
      <c r="F185">
        <v>-9.0800000000000006E-2</v>
      </c>
      <c r="G185" s="2">
        <v>1.6899999999999998E-2</v>
      </c>
      <c r="H185">
        <v>0.5</v>
      </c>
      <c r="I185" s="2">
        <v>6.3400000000000001E-3</v>
      </c>
      <c r="K185">
        <f>'G-P Exposure BF Coeff'!B194</f>
        <v>1.4999999999999999E-2</v>
      </c>
      <c r="L185">
        <f>'G-P Exposure BF Coeff'!C194</f>
        <v>1.1819999999999999</v>
      </c>
      <c r="M185">
        <f>'G-P Exposure BF Coeff'!D194</f>
        <v>0.46300000000000002</v>
      </c>
      <c r="N185">
        <f>'G-P Exposure BF Coeff'!E194</f>
        <v>0.17499999999999999</v>
      </c>
      <c r="O185">
        <f>'G-P Exposure BF Coeff'!F194</f>
        <v>14.23</v>
      </c>
      <c r="P185">
        <f>'G-P Exposure BF Coeff'!G194</f>
        <v>-9.0800000000000006E-2</v>
      </c>
      <c r="Q185">
        <f>'G-P Exposure BF Coeff'!H194</f>
        <v>1.6899999999999998E-2</v>
      </c>
      <c r="R185">
        <f>'G-P Exposure BF Coeff'!I194</f>
        <v>0.5</v>
      </c>
      <c r="S185">
        <f>'G-P Exposure BF Coeff'!J194</f>
        <v>6.3400000000000001E-3</v>
      </c>
      <c r="U185" s="13">
        <f>(K185-A185)/K185</f>
        <v>0</v>
      </c>
      <c r="V185" s="13">
        <f t="shared" ref="V185:V209" si="61">(L185-B185)/L185</f>
        <v>0</v>
      </c>
      <c r="W185" s="13">
        <f t="shared" ref="W185:W209" si="62">(M185-C185)/M185</f>
        <v>0</v>
      </c>
      <c r="X185" s="13">
        <f t="shared" ref="X185:X209" si="63">(N185-D185)/N185</f>
        <v>0</v>
      </c>
      <c r="Y185" s="13">
        <f t="shared" ref="Y185:Y209" si="64">(O185-E185)/O185</f>
        <v>0</v>
      </c>
      <c r="Z185" s="13">
        <f t="shared" ref="Z185:Z209" si="65">(P185-F185)/P185</f>
        <v>0</v>
      </c>
      <c r="AA185" s="13">
        <f t="shared" ref="AA185:AA209" si="66">(Q185-G185)/Q185</f>
        <v>0</v>
      </c>
      <c r="AB185" s="13">
        <f t="shared" ref="AB185:AB209" si="67">(R185-H185)/R185</f>
        <v>0</v>
      </c>
      <c r="AC185" s="13">
        <f t="shared" ref="AC185:AC209" si="68">(S185-I185)/S185</f>
        <v>0</v>
      </c>
    </row>
    <row r="186" spans="1:29">
      <c r="A186">
        <v>0.02</v>
      </c>
      <c r="B186">
        <v>1.427</v>
      </c>
      <c r="C186">
        <v>0.54900000000000004</v>
      </c>
      <c r="D186">
        <v>0.14299999999999999</v>
      </c>
      <c r="E186">
        <v>14.86</v>
      </c>
      <c r="F186">
        <v>-7.0699999999999999E-2</v>
      </c>
      <c r="G186" s="2">
        <v>2.3099999999999999E-2</v>
      </c>
      <c r="H186">
        <v>0.5</v>
      </c>
      <c r="I186" s="2">
        <v>7.7999999999999996E-3</v>
      </c>
      <c r="K186">
        <f>'G-P Exposure BF Coeff'!B195</f>
        <v>0.02</v>
      </c>
      <c r="L186">
        <f>'G-P Exposure BF Coeff'!C195</f>
        <v>1.427</v>
      </c>
      <c r="M186">
        <f>'G-P Exposure BF Coeff'!D195</f>
        <v>0.54900000000000004</v>
      </c>
      <c r="N186">
        <f>'G-P Exposure BF Coeff'!E195</f>
        <v>0.14299999999999999</v>
      </c>
      <c r="O186">
        <f>'G-P Exposure BF Coeff'!F195</f>
        <v>14.86</v>
      </c>
      <c r="P186">
        <f>'G-P Exposure BF Coeff'!G195</f>
        <v>-7.0699999999999999E-2</v>
      </c>
      <c r="Q186">
        <f>'G-P Exposure BF Coeff'!H195</f>
        <v>2.3099999999999999E-2</v>
      </c>
      <c r="R186">
        <f>'G-P Exposure BF Coeff'!I195</f>
        <v>0.5</v>
      </c>
      <c r="S186">
        <f>'G-P Exposure BF Coeff'!J195</f>
        <v>7.7999999999999996E-3</v>
      </c>
      <c r="U186" s="13">
        <f t="shared" ref="U186:U207" si="69">(K186-A186)/K186</f>
        <v>0</v>
      </c>
      <c r="V186" s="13">
        <f t="shared" si="61"/>
        <v>0</v>
      </c>
      <c r="W186" s="13">
        <f t="shared" si="62"/>
        <v>0</v>
      </c>
      <c r="X186" s="13">
        <f t="shared" si="63"/>
        <v>0</v>
      </c>
      <c r="Y186" s="13">
        <f t="shared" si="64"/>
        <v>0</v>
      </c>
      <c r="Z186" s="13">
        <f t="shared" si="65"/>
        <v>0</v>
      </c>
      <c r="AA186" s="13">
        <f t="shared" si="66"/>
        <v>0</v>
      </c>
      <c r="AB186" s="13">
        <f t="shared" si="67"/>
        <v>0</v>
      </c>
      <c r="AC186" s="13">
        <f t="shared" si="68"/>
        <v>0</v>
      </c>
    </row>
    <row r="187" spans="1:29">
      <c r="A187">
        <v>0.03</v>
      </c>
      <c r="B187">
        <v>2.335</v>
      </c>
      <c r="C187">
        <v>0.73599999999999999</v>
      </c>
      <c r="D187">
        <v>8.6999999999999994E-2</v>
      </c>
      <c r="E187">
        <v>13.28</v>
      </c>
      <c r="F187">
        <v>-4.19E-2</v>
      </c>
      <c r="G187" s="2">
        <v>2.3400000000000001E-2</v>
      </c>
      <c r="H187">
        <v>0.5</v>
      </c>
      <c r="I187" s="2">
        <v>1.18E-2</v>
      </c>
      <c r="K187">
        <f>'G-P Exposure BF Coeff'!B196</f>
        <v>0.03</v>
      </c>
      <c r="L187">
        <f>'G-P Exposure BF Coeff'!C196</f>
        <v>2.335</v>
      </c>
      <c r="M187">
        <f>'G-P Exposure BF Coeff'!D196</f>
        <v>0.73599999999999999</v>
      </c>
      <c r="N187">
        <f>'G-P Exposure BF Coeff'!E196</f>
        <v>8.6999999999999994E-2</v>
      </c>
      <c r="O187">
        <f>'G-P Exposure BF Coeff'!F196</f>
        <v>13.28</v>
      </c>
      <c r="P187">
        <f>'G-P Exposure BF Coeff'!G196</f>
        <v>-4.19E-2</v>
      </c>
      <c r="Q187">
        <f>'G-P Exposure BF Coeff'!H196</f>
        <v>2.3400000000000001E-2</v>
      </c>
      <c r="R187">
        <f>'G-P Exposure BF Coeff'!I196</f>
        <v>0.5</v>
      </c>
      <c r="S187">
        <f>'G-P Exposure BF Coeff'!J196</f>
        <v>1.18E-2</v>
      </c>
      <c r="U187" s="13">
        <f t="shared" si="69"/>
        <v>0</v>
      </c>
      <c r="V187" s="13">
        <f t="shared" si="61"/>
        <v>0</v>
      </c>
      <c r="W187" s="13">
        <f t="shared" si="62"/>
        <v>0</v>
      </c>
      <c r="X187" s="13">
        <f t="shared" si="63"/>
        <v>0</v>
      </c>
      <c r="Y187" s="13">
        <f t="shared" si="64"/>
        <v>0</v>
      </c>
      <c r="Z187" s="13">
        <f t="shared" si="65"/>
        <v>0</v>
      </c>
      <c r="AA187" s="13">
        <f t="shared" si="66"/>
        <v>0</v>
      </c>
      <c r="AB187" s="13">
        <f t="shared" si="67"/>
        <v>0</v>
      </c>
      <c r="AC187" s="13">
        <f t="shared" si="68"/>
        <v>0</v>
      </c>
    </row>
    <row r="188" spans="1:29">
      <c r="A188">
        <v>0.04</v>
      </c>
      <c r="B188">
        <v>3.4769999999999999</v>
      </c>
      <c r="C188">
        <v>1.117</v>
      </c>
      <c r="D188">
        <v>-1.9E-2</v>
      </c>
      <c r="E188">
        <v>11.67</v>
      </c>
      <c r="F188">
        <v>2.5999999999999999E-3</v>
      </c>
      <c r="G188" s="2">
        <v>8.8999999999999999E-3</v>
      </c>
      <c r="H188">
        <v>0.5</v>
      </c>
      <c r="I188" s="2">
        <v>2.98E-3</v>
      </c>
      <c r="K188">
        <f>'G-P Exposure BF Coeff'!B197</f>
        <v>0.04</v>
      </c>
      <c r="L188">
        <f>'G-P Exposure BF Coeff'!C197</f>
        <v>3.4769999999999999</v>
      </c>
      <c r="M188">
        <f>'G-P Exposure BF Coeff'!D197</f>
        <v>1.117</v>
      </c>
      <c r="N188">
        <f>'G-P Exposure BF Coeff'!E197</f>
        <v>-1.9E-2</v>
      </c>
      <c r="O188">
        <f>'G-P Exposure BF Coeff'!F197</f>
        <v>11.67</v>
      </c>
      <c r="P188">
        <f>'G-P Exposure BF Coeff'!G197</f>
        <v>2.5999999999999999E-3</v>
      </c>
      <c r="Q188">
        <f>'G-P Exposure BF Coeff'!H197</f>
        <v>8.8999999999999999E-3</v>
      </c>
      <c r="R188">
        <f>'G-P Exposure BF Coeff'!I197</f>
        <v>0.5</v>
      </c>
      <c r="S188">
        <f>'G-P Exposure BF Coeff'!J197</f>
        <v>2.98E-3</v>
      </c>
      <c r="U188" s="13">
        <f t="shared" si="69"/>
        <v>0</v>
      </c>
      <c r="V188" s="13">
        <f t="shared" si="61"/>
        <v>0</v>
      </c>
      <c r="W188" s="13">
        <f t="shared" si="62"/>
        <v>0</v>
      </c>
      <c r="X188" s="13">
        <f t="shared" si="63"/>
        <v>0</v>
      </c>
      <c r="Y188" s="13">
        <f t="shared" si="64"/>
        <v>0</v>
      </c>
      <c r="Z188" s="13">
        <f t="shared" si="65"/>
        <v>0</v>
      </c>
      <c r="AA188" s="13">
        <f t="shared" si="66"/>
        <v>0</v>
      </c>
      <c r="AB188" s="13">
        <f t="shared" si="67"/>
        <v>0</v>
      </c>
      <c r="AC188" s="13">
        <f t="shared" si="68"/>
        <v>0</v>
      </c>
    </row>
    <row r="189" spans="1:29">
      <c r="A189">
        <v>0.05</v>
      </c>
      <c r="B189">
        <v>4.4610000000000003</v>
      </c>
      <c r="C189">
        <v>1.4570000000000001</v>
      </c>
      <c r="D189">
        <v>-8.4000000000000005E-2</v>
      </c>
      <c r="E189">
        <v>13.62</v>
      </c>
      <c r="F189">
        <v>3.4099999999999998E-2</v>
      </c>
      <c r="G189" s="2">
        <v>1.26E-2</v>
      </c>
      <c r="H189">
        <v>10</v>
      </c>
      <c r="I189" s="2">
        <v>8.5000000000000006E-3</v>
      </c>
      <c r="K189">
        <f>'G-P Exposure BF Coeff'!B198</f>
        <v>0.05</v>
      </c>
      <c r="L189">
        <f>'G-P Exposure BF Coeff'!C198</f>
        <v>4.4610000000000003</v>
      </c>
      <c r="M189">
        <f>'G-P Exposure BF Coeff'!D198</f>
        <v>1.4570000000000001</v>
      </c>
      <c r="N189">
        <f>'G-P Exposure BF Coeff'!E198</f>
        <v>-8.4000000000000005E-2</v>
      </c>
      <c r="O189">
        <f>'G-P Exposure BF Coeff'!F198</f>
        <v>13.62</v>
      </c>
      <c r="P189">
        <f>'G-P Exposure BF Coeff'!G198</f>
        <v>3.4099999999999998E-2</v>
      </c>
      <c r="Q189">
        <f>'G-P Exposure BF Coeff'!H198</f>
        <v>1.26E-2</v>
      </c>
      <c r="R189">
        <f>'G-P Exposure BF Coeff'!I198</f>
        <v>10</v>
      </c>
      <c r="S189">
        <f>'G-P Exposure BF Coeff'!J198</f>
        <v>8.5000000000000006E-3</v>
      </c>
      <c r="U189" s="13">
        <f t="shared" si="69"/>
        <v>0</v>
      </c>
      <c r="V189" s="13">
        <f t="shared" si="61"/>
        <v>0</v>
      </c>
      <c r="W189" s="13">
        <f t="shared" si="62"/>
        <v>0</v>
      </c>
      <c r="X189" s="13">
        <f t="shared" si="63"/>
        <v>0</v>
      </c>
      <c r="Y189" s="13">
        <f t="shared" si="64"/>
        <v>0</v>
      </c>
      <c r="Z189" s="13">
        <f t="shared" si="65"/>
        <v>0</v>
      </c>
      <c r="AA189" s="13">
        <f t="shared" si="66"/>
        <v>0</v>
      </c>
      <c r="AB189" s="13">
        <f t="shared" si="67"/>
        <v>0</v>
      </c>
      <c r="AC189" s="13">
        <f t="shared" si="68"/>
        <v>0</v>
      </c>
    </row>
    <row r="190" spans="1:29">
      <c r="A190">
        <v>0.06</v>
      </c>
      <c r="B190">
        <v>4.9829999999999997</v>
      </c>
      <c r="C190">
        <v>1.73</v>
      </c>
      <c r="D190">
        <v>-0.126</v>
      </c>
      <c r="E190">
        <v>13.64</v>
      </c>
      <c r="F190">
        <v>5.6099999999999997E-2</v>
      </c>
      <c r="G190" s="2">
        <v>2.2200000000000001E-2</v>
      </c>
      <c r="H190">
        <v>10</v>
      </c>
      <c r="I190" s="2">
        <v>1.5630000000000002E-2</v>
      </c>
      <c r="K190">
        <f>'G-P Exposure BF Coeff'!B199</f>
        <v>0.06</v>
      </c>
      <c r="L190">
        <f>'G-P Exposure BF Coeff'!C199</f>
        <v>4.9829999999999997</v>
      </c>
      <c r="M190">
        <f>'G-P Exposure BF Coeff'!D199</f>
        <v>1.73</v>
      </c>
      <c r="N190">
        <f>'G-P Exposure BF Coeff'!E199</f>
        <v>-0.126</v>
      </c>
      <c r="O190">
        <f>'G-P Exposure BF Coeff'!F199</f>
        <v>13.64</v>
      </c>
      <c r="P190">
        <f>'G-P Exposure BF Coeff'!G199</f>
        <v>5.6099999999999997E-2</v>
      </c>
      <c r="Q190">
        <f>'G-P Exposure BF Coeff'!H199</f>
        <v>2.2200000000000001E-2</v>
      </c>
      <c r="R190">
        <f>'G-P Exposure BF Coeff'!I199</f>
        <v>10</v>
      </c>
      <c r="S190">
        <f>'G-P Exposure BF Coeff'!J199</f>
        <v>1.5630000000000002E-2</v>
      </c>
      <c r="U190" s="13">
        <f t="shared" si="69"/>
        <v>0</v>
      </c>
      <c r="V190" s="13">
        <f t="shared" si="61"/>
        <v>0</v>
      </c>
      <c r="W190" s="13">
        <f t="shared" si="62"/>
        <v>0</v>
      </c>
      <c r="X190" s="13">
        <f t="shared" si="63"/>
        <v>0</v>
      </c>
      <c r="Y190" s="13">
        <f t="shared" si="64"/>
        <v>0</v>
      </c>
      <c r="Z190" s="13">
        <f t="shared" si="65"/>
        <v>0</v>
      </c>
      <c r="AA190" s="13">
        <f t="shared" si="66"/>
        <v>0</v>
      </c>
      <c r="AB190" s="13">
        <f t="shared" si="67"/>
        <v>0</v>
      </c>
      <c r="AC190" s="13">
        <f t="shared" si="68"/>
        <v>0</v>
      </c>
    </row>
    <row r="191" spans="1:29">
      <c r="A191">
        <v>0.08</v>
      </c>
      <c r="B191">
        <v>5.0590000000000002</v>
      </c>
      <c r="C191">
        <v>2.0590000000000002</v>
      </c>
      <c r="D191">
        <v>-0.16800000000000001</v>
      </c>
      <c r="E191">
        <v>13.67</v>
      </c>
      <c r="F191">
        <v>7.6999999999999999E-2</v>
      </c>
      <c r="G191" s="2">
        <v>2.9399999999999999E-2</v>
      </c>
      <c r="H191">
        <v>35</v>
      </c>
      <c r="I191" s="2">
        <v>1.9460000000000002E-2</v>
      </c>
      <c r="K191">
        <f>'G-P Exposure BF Coeff'!B200</f>
        <v>0.08</v>
      </c>
      <c r="L191">
        <f>'G-P Exposure BF Coeff'!C200</f>
        <v>5.0590000000000002</v>
      </c>
      <c r="M191">
        <f>'G-P Exposure BF Coeff'!D200</f>
        <v>2.0590000000000002</v>
      </c>
      <c r="N191">
        <f>'G-P Exposure BF Coeff'!E200</f>
        <v>-0.16800000000000001</v>
      </c>
      <c r="O191">
        <f>'G-P Exposure BF Coeff'!F200</f>
        <v>13.67</v>
      </c>
      <c r="P191">
        <f>'G-P Exposure BF Coeff'!G200</f>
        <v>7.6999999999999999E-2</v>
      </c>
      <c r="Q191">
        <f>'G-P Exposure BF Coeff'!H200</f>
        <v>2.9399999999999999E-2</v>
      </c>
      <c r="R191">
        <f>'G-P Exposure BF Coeff'!I200</f>
        <v>35</v>
      </c>
      <c r="S191">
        <f>'G-P Exposure BF Coeff'!J200</f>
        <v>1.9460000000000002E-2</v>
      </c>
      <c r="U191" s="13">
        <f t="shared" si="69"/>
        <v>0</v>
      </c>
      <c r="V191" s="13">
        <f t="shared" si="61"/>
        <v>0</v>
      </c>
      <c r="W191" s="13">
        <f t="shared" si="62"/>
        <v>0</v>
      </c>
      <c r="X191" s="13">
        <f t="shared" si="63"/>
        <v>0</v>
      </c>
      <c r="Y191" s="13">
        <f t="shared" si="64"/>
        <v>0</v>
      </c>
      <c r="Z191" s="13">
        <f t="shared" si="65"/>
        <v>0</v>
      </c>
      <c r="AA191" s="13">
        <f t="shared" si="66"/>
        <v>0</v>
      </c>
      <c r="AB191" s="13">
        <f t="shared" si="67"/>
        <v>0</v>
      </c>
      <c r="AC191" s="13">
        <f t="shared" si="68"/>
        <v>0</v>
      </c>
    </row>
    <row r="192" spans="1:29">
      <c r="A192">
        <v>0.1</v>
      </c>
      <c r="B192">
        <v>4.6630000000000003</v>
      </c>
      <c r="C192">
        <v>2.2210000000000001</v>
      </c>
      <c r="D192">
        <v>-0.186</v>
      </c>
      <c r="E192">
        <v>13.33</v>
      </c>
      <c r="F192">
        <v>8.2600000000000007E-2</v>
      </c>
      <c r="G192" s="2">
        <v>3.0200000000000001E-2</v>
      </c>
      <c r="H192">
        <v>10</v>
      </c>
      <c r="I192" s="2">
        <v>1.925E-2</v>
      </c>
      <c r="K192">
        <f>'G-P Exposure BF Coeff'!B201</f>
        <v>0.1</v>
      </c>
      <c r="L192">
        <f>'G-P Exposure BF Coeff'!C201</f>
        <v>4.6630000000000003</v>
      </c>
      <c r="M192">
        <f>'G-P Exposure BF Coeff'!D201</f>
        <v>2.2210000000000001</v>
      </c>
      <c r="N192">
        <f>'G-P Exposure BF Coeff'!E201</f>
        <v>-0.186</v>
      </c>
      <c r="O192">
        <f>'G-P Exposure BF Coeff'!F201</f>
        <v>13.33</v>
      </c>
      <c r="P192">
        <f>'G-P Exposure BF Coeff'!G201</f>
        <v>8.2600000000000007E-2</v>
      </c>
      <c r="Q192">
        <f>'G-P Exposure BF Coeff'!H201</f>
        <v>3.0200000000000001E-2</v>
      </c>
      <c r="R192">
        <f>'G-P Exposure BF Coeff'!I201</f>
        <v>10</v>
      </c>
      <c r="S192">
        <f>'G-P Exposure BF Coeff'!J201</f>
        <v>1.925E-2</v>
      </c>
      <c r="U192" s="13">
        <f t="shared" si="69"/>
        <v>0</v>
      </c>
      <c r="V192" s="13">
        <f t="shared" si="61"/>
        <v>0</v>
      </c>
      <c r="W192" s="13">
        <f t="shared" si="62"/>
        <v>0</v>
      </c>
      <c r="X192" s="13">
        <f t="shared" si="63"/>
        <v>0</v>
      </c>
      <c r="Y192" s="13">
        <f t="shared" si="64"/>
        <v>0</v>
      </c>
      <c r="Z192" s="13">
        <f t="shared" si="65"/>
        <v>0</v>
      </c>
      <c r="AA192" s="13">
        <f t="shared" si="66"/>
        <v>0</v>
      </c>
      <c r="AB192" s="13">
        <f t="shared" si="67"/>
        <v>0</v>
      </c>
      <c r="AC192" s="13">
        <f t="shared" si="68"/>
        <v>0</v>
      </c>
    </row>
    <row r="193" spans="1:29">
      <c r="A193">
        <v>0.15</v>
      </c>
      <c r="B193">
        <v>3.8969999999999998</v>
      </c>
      <c r="C193">
        <v>2.242</v>
      </c>
      <c r="D193">
        <v>-0.185</v>
      </c>
      <c r="E193">
        <v>14.19</v>
      </c>
      <c r="F193">
        <v>7.7700000000000005E-2</v>
      </c>
      <c r="G193" s="2">
        <v>2.5499999999999998E-2</v>
      </c>
      <c r="H193">
        <v>15</v>
      </c>
      <c r="I193" s="2">
        <v>1.584E-2</v>
      </c>
      <c r="K193">
        <f>'G-P Exposure BF Coeff'!B202</f>
        <v>0.15</v>
      </c>
      <c r="L193">
        <f>'G-P Exposure BF Coeff'!C202</f>
        <v>3.8969999999999998</v>
      </c>
      <c r="M193">
        <f>'G-P Exposure BF Coeff'!D202</f>
        <v>2.242</v>
      </c>
      <c r="N193">
        <f>'G-P Exposure BF Coeff'!E202</f>
        <v>-0.185</v>
      </c>
      <c r="O193">
        <f>'G-P Exposure BF Coeff'!F202</f>
        <v>14.19</v>
      </c>
      <c r="P193">
        <f>'G-P Exposure BF Coeff'!G202</f>
        <v>7.7700000000000005E-2</v>
      </c>
      <c r="Q193">
        <f>'G-P Exposure BF Coeff'!H202</f>
        <v>2.5499999999999998E-2</v>
      </c>
      <c r="R193">
        <f>'G-P Exposure BF Coeff'!I202</f>
        <v>15</v>
      </c>
      <c r="S193">
        <f>'G-P Exposure BF Coeff'!J202</f>
        <v>1.584E-2</v>
      </c>
      <c r="U193" s="13">
        <f t="shared" si="69"/>
        <v>0</v>
      </c>
      <c r="V193" s="13">
        <f t="shared" si="61"/>
        <v>0</v>
      </c>
      <c r="W193" s="13">
        <f t="shared" si="62"/>
        <v>0</v>
      </c>
      <c r="X193" s="13">
        <f t="shared" si="63"/>
        <v>0</v>
      </c>
      <c r="Y193" s="13">
        <f t="shared" si="64"/>
        <v>0</v>
      </c>
      <c r="Z193" s="13">
        <f t="shared" si="65"/>
        <v>0</v>
      </c>
      <c r="AA193" s="13">
        <f t="shared" si="66"/>
        <v>0</v>
      </c>
      <c r="AB193" s="13">
        <f t="shared" si="67"/>
        <v>0</v>
      </c>
      <c r="AC193" s="13">
        <f t="shared" si="68"/>
        <v>0</v>
      </c>
    </row>
    <row r="194" spans="1:29">
      <c r="A194">
        <v>0.2</v>
      </c>
      <c r="B194">
        <v>3.4780000000000002</v>
      </c>
      <c r="C194">
        <v>2.1539999999999999</v>
      </c>
      <c r="D194">
        <v>-0.17599999999999999</v>
      </c>
      <c r="E194">
        <v>14.5</v>
      </c>
      <c r="F194">
        <v>7.7399999999999997E-2</v>
      </c>
      <c r="G194" s="2">
        <v>2.5000000000000001E-2</v>
      </c>
      <c r="H194">
        <v>0.5</v>
      </c>
      <c r="I194" s="2">
        <v>1.4919999999999999E-2</v>
      </c>
      <c r="K194">
        <f>'G-P Exposure BF Coeff'!B203</f>
        <v>0.2</v>
      </c>
      <c r="L194">
        <f>'G-P Exposure BF Coeff'!C203</f>
        <v>3.4780000000000002</v>
      </c>
      <c r="M194">
        <f>'G-P Exposure BF Coeff'!D203</f>
        <v>2.1539999999999999</v>
      </c>
      <c r="N194">
        <f>'G-P Exposure BF Coeff'!E203</f>
        <v>-0.17599999999999999</v>
      </c>
      <c r="O194">
        <f>'G-P Exposure BF Coeff'!F203</f>
        <v>14.5</v>
      </c>
      <c r="P194">
        <f>'G-P Exposure BF Coeff'!G203</f>
        <v>7.7399999999999997E-2</v>
      </c>
      <c r="Q194">
        <f>'G-P Exposure BF Coeff'!H203</f>
        <v>2.5000000000000001E-2</v>
      </c>
      <c r="R194">
        <f>'G-P Exposure BF Coeff'!I203</f>
        <v>0.5</v>
      </c>
      <c r="S194">
        <f>'G-P Exposure BF Coeff'!J203</f>
        <v>1.4919999999999999E-2</v>
      </c>
      <c r="U194" s="13">
        <f t="shared" si="69"/>
        <v>0</v>
      </c>
      <c r="V194" s="13">
        <f t="shared" si="61"/>
        <v>0</v>
      </c>
      <c r="W194" s="13">
        <f t="shared" si="62"/>
        <v>0</v>
      </c>
      <c r="X194" s="13">
        <f t="shared" si="63"/>
        <v>0</v>
      </c>
      <c r="Y194" s="13">
        <f t="shared" si="64"/>
        <v>0</v>
      </c>
      <c r="Z194" s="13">
        <f t="shared" si="65"/>
        <v>0</v>
      </c>
      <c r="AA194" s="13">
        <f t="shared" si="66"/>
        <v>0</v>
      </c>
      <c r="AB194" s="13">
        <f t="shared" si="67"/>
        <v>0</v>
      </c>
      <c r="AC194" s="13">
        <f t="shared" si="68"/>
        <v>0</v>
      </c>
    </row>
    <row r="195" spans="1:29">
      <c r="A195">
        <v>0.3</v>
      </c>
      <c r="B195">
        <v>2.92</v>
      </c>
      <c r="C195">
        <v>2.0219999999999998</v>
      </c>
      <c r="D195">
        <v>-0.16400000000000001</v>
      </c>
      <c r="E195">
        <v>14.21</v>
      </c>
      <c r="F195">
        <v>6.5500000000000003E-2</v>
      </c>
      <c r="G195" s="2">
        <v>2.46E-2</v>
      </c>
      <c r="H195">
        <v>1</v>
      </c>
      <c r="I195" s="2">
        <v>1.4710000000000001E-2</v>
      </c>
      <c r="K195">
        <f>'G-P Exposure BF Coeff'!B204</f>
        <v>0.3</v>
      </c>
      <c r="L195">
        <f>'G-P Exposure BF Coeff'!C204</f>
        <v>2.92</v>
      </c>
      <c r="M195">
        <f>'G-P Exposure BF Coeff'!D204</f>
        <v>2.0219999999999998</v>
      </c>
      <c r="N195">
        <f>'G-P Exposure BF Coeff'!E204</f>
        <v>-0.16400000000000001</v>
      </c>
      <c r="O195">
        <f>'G-P Exposure BF Coeff'!F204</f>
        <v>14.21</v>
      </c>
      <c r="P195">
        <f>'G-P Exposure BF Coeff'!G204</f>
        <v>6.5500000000000003E-2</v>
      </c>
      <c r="Q195">
        <f>'G-P Exposure BF Coeff'!H204</f>
        <v>2.46E-2</v>
      </c>
      <c r="R195">
        <f>'G-P Exposure BF Coeff'!I204</f>
        <v>1</v>
      </c>
      <c r="S195">
        <f>'G-P Exposure BF Coeff'!J204</f>
        <v>1.4710000000000001E-2</v>
      </c>
      <c r="U195" s="13">
        <f t="shared" si="69"/>
        <v>0</v>
      </c>
      <c r="V195" s="13">
        <f t="shared" si="61"/>
        <v>0</v>
      </c>
      <c r="W195" s="13">
        <f t="shared" si="62"/>
        <v>0</v>
      </c>
      <c r="X195" s="13">
        <f t="shared" si="63"/>
        <v>0</v>
      </c>
      <c r="Y195" s="13">
        <f t="shared" si="64"/>
        <v>0</v>
      </c>
      <c r="Z195" s="13">
        <f t="shared" si="65"/>
        <v>0</v>
      </c>
      <c r="AA195" s="13">
        <f t="shared" si="66"/>
        <v>0</v>
      </c>
      <c r="AB195" s="13">
        <f t="shared" si="67"/>
        <v>0</v>
      </c>
      <c r="AC195" s="13">
        <f t="shared" si="68"/>
        <v>0</v>
      </c>
    </row>
    <row r="196" spans="1:29">
      <c r="A196">
        <v>0.4</v>
      </c>
      <c r="B196">
        <v>2.66</v>
      </c>
      <c r="C196">
        <v>1.8819999999999999</v>
      </c>
      <c r="D196">
        <v>-0.14899999999999999</v>
      </c>
      <c r="E196">
        <v>14.24</v>
      </c>
      <c r="F196">
        <v>5.9499999999999997E-2</v>
      </c>
      <c r="G196" s="2">
        <v>2.1700000000000001E-2</v>
      </c>
      <c r="H196">
        <v>35</v>
      </c>
      <c r="I196" s="2">
        <v>1.372E-2</v>
      </c>
      <c r="K196">
        <f>'G-P Exposure BF Coeff'!B205</f>
        <v>0.4</v>
      </c>
      <c r="L196">
        <f>'G-P Exposure BF Coeff'!C205</f>
        <v>2.66</v>
      </c>
      <c r="M196">
        <f>'G-P Exposure BF Coeff'!D205</f>
        <v>1.8819999999999999</v>
      </c>
      <c r="N196">
        <f>'G-P Exposure BF Coeff'!E205</f>
        <v>-0.14899999999999999</v>
      </c>
      <c r="O196">
        <f>'G-P Exposure BF Coeff'!F205</f>
        <v>14.24</v>
      </c>
      <c r="P196">
        <f>'G-P Exposure BF Coeff'!G205</f>
        <v>5.9499999999999997E-2</v>
      </c>
      <c r="Q196">
        <f>'G-P Exposure BF Coeff'!H205</f>
        <v>2.1700000000000001E-2</v>
      </c>
      <c r="R196">
        <f>'G-P Exposure BF Coeff'!I205</f>
        <v>35</v>
      </c>
      <c r="S196">
        <f>'G-P Exposure BF Coeff'!J205</f>
        <v>1.372E-2</v>
      </c>
      <c r="U196" s="13">
        <f t="shared" si="69"/>
        <v>0</v>
      </c>
      <c r="V196" s="13">
        <f t="shared" si="61"/>
        <v>0</v>
      </c>
      <c r="W196" s="13">
        <f t="shared" si="62"/>
        <v>0</v>
      </c>
      <c r="X196" s="13">
        <f t="shared" si="63"/>
        <v>0</v>
      </c>
      <c r="Y196" s="13">
        <f t="shared" si="64"/>
        <v>0</v>
      </c>
      <c r="Z196" s="13">
        <f t="shared" si="65"/>
        <v>0</v>
      </c>
      <c r="AA196" s="13">
        <f t="shared" si="66"/>
        <v>0</v>
      </c>
      <c r="AB196" s="13">
        <f t="shared" si="67"/>
        <v>0</v>
      </c>
      <c r="AC196" s="13">
        <f t="shared" si="68"/>
        <v>0</v>
      </c>
    </row>
    <row r="197" spans="1:29">
      <c r="A197">
        <v>0.5</v>
      </c>
      <c r="B197">
        <v>2.5</v>
      </c>
      <c r="C197">
        <v>1.766</v>
      </c>
      <c r="D197">
        <v>-0.13500000000000001</v>
      </c>
      <c r="E197">
        <v>14.33</v>
      </c>
      <c r="F197">
        <v>5.4600000000000003E-2</v>
      </c>
      <c r="G197" s="2">
        <v>2.46E-2</v>
      </c>
      <c r="H197">
        <v>1</v>
      </c>
      <c r="I197" s="2">
        <v>1.38E-2</v>
      </c>
      <c r="K197">
        <f>'G-P Exposure BF Coeff'!B206</f>
        <v>0.5</v>
      </c>
      <c r="L197">
        <f>'G-P Exposure BF Coeff'!C206</f>
        <v>2.5</v>
      </c>
      <c r="M197">
        <f>'G-P Exposure BF Coeff'!D206</f>
        <v>1.766</v>
      </c>
      <c r="N197">
        <f>'G-P Exposure BF Coeff'!E206</f>
        <v>-0.13500000000000001</v>
      </c>
      <c r="O197">
        <f>'G-P Exposure BF Coeff'!F206</f>
        <v>14.33</v>
      </c>
      <c r="P197">
        <f>'G-P Exposure BF Coeff'!G206</f>
        <v>5.4600000000000003E-2</v>
      </c>
      <c r="Q197">
        <f>'G-P Exposure BF Coeff'!H206</f>
        <v>2.46E-2</v>
      </c>
      <c r="R197">
        <f>'G-P Exposure BF Coeff'!I206</f>
        <v>1</v>
      </c>
      <c r="S197">
        <f>'G-P Exposure BF Coeff'!J206</f>
        <v>1.38E-2</v>
      </c>
      <c r="U197" s="13">
        <f t="shared" si="69"/>
        <v>0</v>
      </c>
      <c r="V197" s="13">
        <f t="shared" si="61"/>
        <v>0</v>
      </c>
      <c r="W197" s="13">
        <f t="shared" si="62"/>
        <v>0</v>
      </c>
      <c r="X197" s="13">
        <f t="shared" si="63"/>
        <v>0</v>
      </c>
      <c r="Y197" s="13">
        <f t="shared" si="64"/>
        <v>0</v>
      </c>
      <c r="Z197" s="13">
        <f t="shared" si="65"/>
        <v>0</v>
      </c>
      <c r="AA197" s="13">
        <f t="shared" si="66"/>
        <v>0</v>
      </c>
      <c r="AB197" s="13">
        <f t="shared" si="67"/>
        <v>0</v>
      </c>
      <c r="AC197" s="13">
        <f t="shared" si="68"/>
        <v>0</v>
      </c>
    </row>
    <row r="198" spans="1:29">
      <c r="A198">
        <v>0.6</v>
      </c>
      <c r="B198">
        <v>2.3769999999999998</v>
      </c>
      <c r="C198">
        <v>1.679</v>
      </c>
      <c r="D198">
        <v>-0.124</v>
      </c>
      <c r="E198">
        <v>14.23</v>
      </c>
      <c r="F198">
        <v>5.0299999999999997E-2</v>
      </c>
      <c r="G198" s="2">
        <v>2.0199999999999999E-2</v>
      </c>
      <c r="H198">
        <v>1</v>
      </c>
      <c r="I198" s="2">
        <v>1.265E-2</v>
      </c>
      <c r="K198">
        <f>'G-P Exposure BF Coeff'!B207</f>
        <v>0.6</v>
      </c>
      <c r="L198">
        <f>'G-P Exposure BF Coeff'!C207</f>
        <v>2.3769999999999998</v>
      </c>
      <c r="M198">
        <f>'G-P Exposure BF Coeff'!D207</f>
        <v>1.679</v>
      </c>
      <c r="N198">
        <f>'G-P Exposure BF Coeff'!E207</f>
        <v>-0.124</v>
      </c>
      <c r="O198">
        <f>'G-P Exposure BF Coeff'!F207</f>
        <v>14.23</v>
      </c>
      <c r="P198">
        <f>'G-P Exposure BF Coeff'!G207</f>
        <v>5.0299999999999997E-2</v>
      </c>
      <c r="Q198">
        <f>'G-P Exposure BF Coeff'!H207</f>
        <v>2.0199999999999999E-2</v>
      </c>
      <c r="R198">
        <f>'G-P Exposure BF Coeff'!I207</f>
        <v>1</v>
      </c>
      <c r="S198">
        <f>'G-P Exposure BF Coeff'!J207</f>
        <v>1.265E-2</v>
      </c>
      <c r="U198" s="13">
        <f t="shared" si="69"/>
        <v>0</v>
      </c>
      <c r="V198" s="13">
        <f t="shared" si="61"/>
        <v>0</v>
      </c>
      <c r="W198" s="13">
        <f t="shared" si="62"/>
        <v>0</v>
      </c>
      <c r="X198" s="13">
        <f t="shared" si="63"/>
        <v>0</v>
      </c>
      <c r="Y198" s="13">
        <f t="shared" si="64"/>
        <v>0</v>
      </c>
      <c r="Z198" s="13">
        <f t="shared" si="65"/>
        <v>0</v>
      </c>
      <c r="AA198" s="13">
        <f t="shared" si="66"/>
        <v>0</v>
      </c>
      <c r="AB198" s="13">
        <f t="shared" si="67"/>
        <v>0</v>
      </c>
      <c r="AC198" s="13">
        <f t="shared" si="68"/>
        <v>0</v>
      </c>
    </row>
    <row r="199" spans="1:29">
      <c r="A199">
        <v>0.8</v>
      </c>
      <c r="B199">
        <v>2.2120000000000002</v>
      </c>
      <c r="C199">
        <v>1.544</v>
      </c>
      <c r="D199">
        <v>-0.105</v>
      </c>
      <c r="E199">
        <v>14.36</v>
      </c>
      <c r="F199">
        <v>4.3700000000000003E-2</v>
      </c>
      <c r="G199" s="2">
        <v>1.9699999999999999E-2</v>
      </c>
      <c r="H199">
        <v>0.5</v>
      </c>
      <c r="I199" s="2">
        <v>1.1860000000000001E-2</v>
      </c>
      <c r="K199">
        <f>'G-P Exposure BF Coeff'!B208</f>
        <v>0.8</v>
      </c>
      <c r="L199">
        <f>'G-P Exposure BF Coeff'!C208</f>
        <v>2.2120000000000002</v>
      </c>
      <c r="M199">
        <f>'G-P Exposure BF Coeff'!D208</f>
        <v>1.544</v>
      </c>
      <c r="N199">
        <f>'G-P Exposure BF Coeff'!E208</f>
        <v>-0.105</v>
      </c>
      <c r="O199">
        <f>'G-P Exposure BF Coeff'!F208</f>
        <v>14.36</v>
      </c>
      <c r="P199">
        <f>'G-P Exposure BF Coeff'!G208</f>
        <v>4.3700000000000003E-2</v>
      </c>
      <c r="Q199">
        <f>'G-P Exposure BF Coeff'!H208</f>
        <v>1.9699999999999999E-2</v>
      </c>
      <c r="R199">
        <f>'G-P Exposure BF Coeff'!I208</f>
        <v>0.5</v>
      </c>
      <c r="S199">
        <f>'G-P Exposure BF Coeff'!J208</f>
        <v>1.1860000000000001E-2</v>
      </c>
      <c r="U199" s="13">
        <f t="shared" si="69"/>
        <v>0</v>
      </c>
      <c r="V199" s="13">
        <f t="shared" si="61"/>
        <v>0</v>
      </c>
      <c r="W199" s="13">
        <f t="shared" si="62"/>
        <v>0</v>
      </c>
      <c r="X199" s="13">
        <f t="shared" si="63"/>
        <v>0</v>
      </c>
      <c r="Y199" s="13">
        <f t="shared" si="64"/>
        <v>0</v>
      </c>
      <c r="Z199" s="13">
        <f t="shared" si="65"/>
        <v>0</v>
      </c>
      <c r="AA199" s="13">
        <f t="shared" si="66"/>
        <v>0</v>
      </c>
      <c r="AB199" s="13">
        <f t="shared" si="67"/>
        <v>0</v>
      </c>
      <c r="AC199" s="13">
        <f t="shared" si="68"/>
        <v>0</v>
      </c>
    </row>
    <row r="200" spans="1:29">
      <c r="A200">
        <v>1</v>
      </c>
      <c r="B200">
        <v>2.1030000000000002</v>
      </c>
      <c r="C200">
        <v>1.4410000000000001</v>
      </c>
      <c r="D200">
        <v>-8.8999999999999996E-2</v>
      </c>
      <c r="E200">
        <v>14.22</v>
      </c>
      <c r="F200">
        <v>3.78E-2</v>
      </c>
      <c r="G200" s="2">
        <v>1.55E-2</v>
      </c>
      <c r="H200">
        <v>0.5</v>
      </c>
      <c r="I200" s="2">
        <v>8.9499999999999996E-3</v>
      </c>
      <c r="K200">
        <f>'G-P Exposure BF Coeff'!B209</f>
        <v>1</v>
      </c>
      <c r="L200">
        <f>'G-P Exposure BF Coeff'!C209</f>
        <v>2.1030000000000002</v>
      </c>
      <c r="M200">
        <f>'G-P Exposure BF Coeff'!D209</f>
        <v>1.4410000000000001</v>
      </c>
      <c r="N200">
        <f>'G-P Exposure BF Coeff'!E209</f>
        <v>-8.8999999999999996E-2</v>
      </c>
      <c r="O200">
        <f>'G-P Exposure BF Coeff'!F209</f>
        <v>14.22</v>
      </c>
      <c r="P200">
        <f>'G-P Exposure BF Coeff'!G209</f>
        <v>3.78E-2</v>
      </c>
      <c r="Q200">
        <f>'G-P Exposure BF Coeff'!H209</f>
        <v>1.55E-2</v>
      </c>
      <c r="R200">
        <f>'G-P Exposure BF Coeff'!I209</f>
        <v>0.5</v>
      </c>
      <c r="S200">
        <f>'G-P Exposure BF Coeff'!J209</f>
        <v>8.9499999999999996E-3</v>
      </c>
      <c r="U200" s="13">
        <f t="shared" si="69"/>
        <v>0</v>
      </c>
      <c r="V200" s="13">
        <f t="shared" si="61"/>
        <v>0</v>
      </c>
      <c r="W200" s="13">
        <f t="shared" si="62"/>
        <v>0</v>
      </c>
      <c r="X200" s="13">
        <f t="shared" si="63"/>
        <v>0</v>
      </c>
      <c r="Y200" s="13">
        <f t="shared" si="64"/>
        <v>0</v>
      </c>
      <c r="Z200" s="13">
        <f t="shared" si="65"/>
        <v>0</v>
      </c>
      <c r="AA200" s="13">
        <f t="shared" si="66"/>
        <v>0</v>
      </c>
      <c r="AB200" s="13">
        <f t="shared" si="67"/>
        <v>0</v>
      </c>
      <c r="AC200" s="13">
        <f t="shared" si="68"/>
        <v>0</v>
      </c>
    </row>
    <row r="201" spans="1:29">
      <c r="A201">
        <v>1.5</v>
      </c>
      <c r="B201">
        <v>1.9390000000000001</v>
      </c>
      <c r="C201">
        <v>1.2689999999999999</v>
      </c>
      <c r="D201">
        <v>-5.8000000000000003E-2</v>
      </c>
      <c r="E201">
        <v>14.52</v>
      </c>
      <c r="F201">
        <v>2.46E-2</v>
      </c>
      <c r="G201" s="2">
        <v>1.9099999999999999E-2</v>
      </c>
      <c r="H201">
        <v>0.5</v>
      </c>
      <c r="I201" s="2">
        <v>7.5700000000000003E-3</v>
      </c>
      <c r="K201">
        <f>'G-P Exposure BF Coeff'!B210</f>
        <v>1.5</v>
      </c>
      <c r="L201">
        <f>'G-P Exposure BF Coeff'!C210</f>
        <v>1.9390000000000001</v>
      </c>
      <c r="M201">
        <f>'G-P Exposure BF Coeff'!D210</f>
        <v>1.2689999999999999</v>
      </c>
      <c r="N201">
        <f>'G-P Exposure BF Coeff'!E210</f>
        <v>-5.8000000000000003E-2</v>
      </c>
      <c r="O201">
        <f>'G-P Exposure BF Coeff'!F210</f>
        <v>14.52</v>
      </c>
      <c r="P201">
        <f>'G-P Exposure BF Coeff'!G210</f>
        <v>2.46E-2</v>
      </c>
      <c r="Q201">
        <f>'G-P Exposure BF Coeff'!H210</f>
        <v>1.9099999999999999E-2</v>
      </c>
      <c r="R201">
        <f>'G-P Exposure BF Coeff'!I210</f>
        <v>0.5</v>
      </c>
      <c r="S201">
        <f>'G-P Exposure BF Coeff'!J210</f>
        <v>7.5700000000000003E-3</v>
      </c>
      <c r="U201" s="13">
        <f t="shared" si="69"/>
        <v>0</v>
      </c>
      <c r="V201" s="13">
        <f t="shared" si="61"/>
        <v>0</v>
      </c>
      <c r="W201" s="13">
        <f t="shared" si="62"/>
        <v>0</v>
      </c>
      <c r="X201" s="13">
        <f t="shared" si="63"/>
        <v>0</v>
      </c>
      <c r="Y201" s="13">
        <f t="shared" si="64"/>
        <v>0</v>
      </c>
      <c r="Z201" s="13">
        <f t="shared" si="65"/>
        <v>0</v>
      </c>
      <c r="AA201" s="13">
        <f t="shared" si="66"/>
        <v>0</v>
      </c>
      <c r="AB201" s="13">
        <f t="shared" si="67"/>
        <v>0</v>
      </c>
      <c r="AC201" s="13">
        <f t="shared" si="68"/>
        <v>0</v>
      </c>
    </row>
    <row r="202" spans="1:29">
      <c r="A202">
        <v>2</v>
      </c>
      <c r="B202">
        <v>1.839</v>
      </c>
      <c r="C202">
        <v>1.173</v>
      </c>
      <c r="D202">
        <v>-3.9E-2</v>
      </c>
      <c r="E202">
        <v>14.07</v>
      </c>
      <c r="F202">
        <v>1.61E-2</v>
      </c>
      <c r="G202" s="2">
        <v>1.4500000000000001E-2</v>
      </c>
      <c r="H202">
        <v>0.5</v>
      </c>
      <c r="I202" s="2">
        <v>5.2199999999999998E-3</v>
      </c>
      <c r="K202">
        <f>'G-P Exposure BF Coeff'!B211</f>
        <v>2</v>
      </c>
      <c r="L202">
        <f>'G-P Exposure BF Coeff'!C211</f>
        <v>1.839</v>
      </c>
      <c r="M202">
        <f>'G-P Exposure BF Coeff'!D211</f>
        <v>1.173</v>
      </c>
      <c r="N202">
        <f>'G-P Exposure BF Coeff'!E211</f>
        <v>-3.9E-2</v>
      </c>
      <c r="O202">
        <f>'G-P Exposure BF Coeff'!F211</f>
        <v>14.07</v>
      </c>
      <c r="P202">
        <f>'G-P Exposure BF Coeff'!G211</f>
        <v>1.61E-2</v>
      </c>
      <c r="Q202">
        <f>'G-P Exposure BF Coeff'!H211</f>
        <v>1.4500000000000001E-2</v>
      </c>
      <c r="R202">
        <f>'G-P Exposure BF Coeff'!I211</f>
        <v>0.5</v>
      </c>
      <c r="S202">
        <f>'G-P Exposure BF Coeff'!J211</f>
        <v>5.2199999999999998E-3</v>
      </c>
      <c r="U202" s="13">
        <f t="shared" si="69"/>
        <v>0</v>
      </c>
      <c r="V202" s="13">
        <f t="shared" si="61"/>
        <v>0</v>
      </c>
      <c r="W202" s="13">
        <f t="shared" si="62"/>
        <v>0</v>
      </c>
      <c r="X202" s="13">
        <f t="shared" si="63"/>
        <v>0</v>
      </c>
      <c r="Y202" s="13">
        <f t="shared" si="64"/>
        <v>0</v>
      </c>
      <c r="Z202" s="13">
        <f t="shared" si="65"/>
        <v>0</v>
      </c>
      <c r="AA202" s="13">
        <f t="shared" si="66"/>
        <v>0</v>
      </c>
      <c r="AB202" s="13">
        <f t="shared" si="67"/>
        <v>0</v>
      </c>
      <c r="AC202" s="13">
        <f t="shared" si="68"/>
        <v>0</v>
      </c>
    </row>
    <row r="203" spans="1:29">
      <c r="A203">
        <v>3</v>
      </c>
      <c r="B203">
        <v>1.71</v>
      </c>
      <c r="C203">
        <v>1.056</v>
      </c>
      <c r="D203">
        <v>-1.2999999999999999E-2</v>
      </c>
      <c r="E203">
        <v>11.82</v>
      </c>
      <c r="F203">
        <v>4.7000000000000002E-3</v>
      </c>
      <c r="G203" s="2">
        <v>7.0000000000000001E-3</v>
      </c>
      <c r="H203">
        <v>0.5</v>
      </c>
      <c r="I203" s="2">
        <v>2.3900000000000002E-3</v>
      </c>
      <c r="K203">
        <f>'G-P Exposure BF Coeff'!B212</f>
        <v>3</v>
      </c>
      <c r="L203">
        <f>'G-P Exposure BF Coeff'!C212</f>
        <v>1.71</v>
      </c>
      <c r="M203">
        <f>'G-P Exposure BF Coeff'!D212</f>
        <v>1.056</v>
      </c>
      <c r="N203">
        <f>'G-P Exposure BF Coeff'!E212</f>
        <v>-1.2999999999999999E-2</v>
      </c>
      <c r="O203">
        <f>'G-P Exposure BF Coeff'!F212</f>
        <v>11.82</v>
      </c>
      <c r="P203">
        <f>'G-P Exposure BF Coeff'!G212</f>
        <v>4.7000000000000002E-3</v>
      </c>
      <c r="Q203">
        <f>'G-P Exposure BF Coeff'!H212</f>
        <v>7.0000000000000001E-3</v>
      </c>
      <c r="R203">
        <f>'G-P Exposure BF Coeff'!I212</f>
        <v>0.5</v>
      </c>
      <c r="S203">
        <f>'G-P Exposure BF Coeff'!J212</f>
        <v>2.3900000000000002E-3</v>
      </c>
      <c r="U203" s="13">
        <f t="shared" si="69"/>
        <v>0</v>
      </c>
      <c r="V203" s="13">
        <f t="shared" si="61"/>
        <v>0</v>
      </c>
      <c r="W203" s="13">
        <f t="shared" si="62"/>
        <v>0</v>
      </c>
      <c r="X203" s="13">
        <f t="shared" si="63"/>
        <v>0</v>
      </c>
      <c r="Y203" s="13">
        <f t="shared" si="64"/>
        <v>0</v>
      </c>
      <c r="Z203" s="13">
        <f t="shared" si="65"/>
        <v>0</v>
      </c>
      <c r="AA203" s="13">
        <f t="shared" si="66"/>
        <v>0</v>
      </c>
      <c r="AB203" s="13">
        <f t="shared" si="67"/>
        <v>0</v>
      </c>
      <c r="AC203" s="13">
        <f t="shared" si="68"/>
        <v>0</v>
      </c>
    </row>
    <row r="204" spans="1:29">
      <c r="A204">
        <v>4</v>
      </c>
      <c r="B204">
        <v>1.621</v>
      </c>
      <c r="C204">
        <v>0.98899999999999999</v>
      </c>
      <c r="D204">
        <v>4.0000000000000001E-3</v>
      </c>
      <c r="E204">
        <v>13.45</v>
      </c>
      <c r="F204">
        <v>-4.1000000000000003E-3</v>
      </c>
      <c r="G204" s="2">
        <v>5.4999999999999997E-3</v>
      </c>
      <c r="H204">
        <v>1</v>
      </c>
      <c r="I204" s="2">
        <v>2.1099999999999999E-3</v>
      </c>
      <c r="K204">
        <f>'G-P Exposure BF Coeff'!B213</f>
        <v>4</v>
      </c>
      <c r="L204">
        <f>'G-P Exposure BF Coeff'!C213</f>
        <v>1.621</v>
      </c>
      <c r="M204">
        <f>'G-P Exposure BF Coeff'!D213</f>
        <v>0.98899999999999999</v>
      </c>
      <c r="N204">
        <f>'G-P Exposure BF Coeff'!E213</f>
        <v>4.0000000000000001E-3</v>
      </c>
      <c r="O204">
        <f>'G-P Exposure BF Coeff'!F213</f>
        <v>13.45</v>
      </c>
      <c r="P204">
        <f>'G-P Exposure BF Coeff'!G213</f>
        <v>-4.1000000000000003E-3</v>
      </c>
      <c r="Q204">
        <f>'G-P Exposure BF Coeff'!H213</f>
        <v>5.4999999999999997E-3</v>
      </c>
      <c r="R204">
        <f>'G-P Exposure BF Coeff'!I213</f>
        <v>1</v>
      </c>
      <c r="S204">
        <f>'G-P Exposure BF Coeff'!J213</f>
        <v>2.1099999999999999E-3</v>
      </c>
      <c r="U204" s="13">
        <f t="shared" si="69"/>
        <v>0</v>
      </c>
      <c r="V204" s="13">
        <f t="shared" si="61"/>
        <v>0</v>
      </c>
      <c r="W204" s="13">
        <f t="shared" si="62"/>
        <v>0</v>
      </c>
      <c r="X204" s="13">
        <f t="shared" si="63"/>
        <v>0</v>
      </c>
      <c r="Y204" s="13">
        <f t="shared" si="64"/>
        <v>0</v>
      </c>
      <c r="Z204" s="13">
        <f t="shared" si="65"/>
        <v>0</v>
      </c>
      <c r="AA204" s="13">
        <f t="shared" si="66"/>
        <v>0</v>
      </c>
      <c r="AB204" s="13">
        <f t="shared" si="67"/>
        <v>0</v>
      </c>
      <c r="AC204" s="13">
        <f t="shared" si="68"/>
        <v>0</v>
      </c>
    </row>
    <row r="205" spans="1:29">
      <c r="A205">
        <v>5</v>
      </c>
      <c r="B205">
        <v>1.554</v>
      </c>
      <c r="C205">
        <v>0.93899999999999995</v>
      </c>
      <c r="D205">
        <v>1.7999999999999999E-2</v>
      </c>
      <c r="E205">
        <v>13.55</v>
      </c>
      <c r="F205">
        <v>-1.2200000000000001E-2</v>
      </c>
      <c r="G205" s="2">
        <v>5.1000000000000004E-3</v>
      </c>
      <c r="H205">
        <v>30</v>
      </c>
      <c r="I205" s="2">
        <v>3.3300000000000001E-3</v>
      </c>
      <c r="K205">
        <f>'G-P Exposure BF Coeff'!B214</f>
        <v>5</v>
      </c>
      <c r="L205">
        <f>'G-P Exposure BF Coeff'!C214</f>
        <v>1.554</v>
      </c>
      <c r="M205">
        <f>'G-P Exposure BF Coeff'!D214</f>
        <v>0.93899999999999995</v>
      </c>
      <c r="N205">
        <f>'G-P Exposure BF Coeff'!E214</f>
        <v>1.7999999999999999E-2</v>
      </c>
      <c r="O205">
        <f>'G-P Exposure BF Coeff'!F214</f>
        <v>13.55</v>
      </c>
      <c r="P205">
        <f>'G-P Exposure BF Coeff'!G214</f>
        <v>-1.2200000000000001E-2</v>
      </c>
      <c r="Q205">
        <f>'G-P Exposure BF Coeff'!H214</f>
        <v>5.1000000000000004E-3</v>
      </c>
      <c r="R205">
        <f>'G-P Exposure BF Coeff'!I214</f>
        <v>30</v>
      </c>
      <c r="S205">
        <f>'G-P Exposure BF Coeff'!J214</f>
        <v>3.3300000000000001E-3</v>
      </c>
      <c r="U205" s="13">
        <f t="shared" si="69"/>
        <v>0</v>
      </c>
      <c r="V205" s="13">
        <f t="shared" si="61"/>
        <v>0</v>
      </c>
      <c r="W205" s="13">
        <f t="shared" si="62"/>
        <v>0</v>
      </c>
      <c r="X205" s="13">
        <f t="shared" si="63"/>
        <v>0</v>
      </c>
      <c r="Y205" s="13">
        <f t="shared" si="64"/>
        <v>0</v>
      </c>
      <c r="Z205" s="13">
        <f t="shared" si="65"/>
        <v>0</v>
      </c>
      <c r="AA205" s="13">
        <f t="shared" si="66"/>
        <v>0</v>
      </c>
      <c r="AB205" s="13">
        <f t="shared" si="67"/>
        <v>0</v>
      </c>
      <c r="AC205" s="13">
        <f t="shared" si="68"/>
        <v>0</v>
      </c>
    </row>
    <row r="206" spans="1:29">
      <c r="A206">
        <v>6</v>
      </c>
      <c r="B206">
        <v>1.5069999999999999</v>
      </c>
      <c r="C206">
        <v>0.90300000000000002</v>
      </c>
      <c r="D206">
        <v>2.9000000000000001E-2</v>
      </c>
      <c r="E206">
        <v>16.13</v>
      </c>
      <c r="F206">
        <v>-2.7199999999999998E-2</v>
      </c>
      <c r="G206" s="2">
        <v>8.5000000000000006E-3</v>
      </c>
      <c r="H206">
        <v>25</v>
      </c>
      <c r="I206" s="2">
        <v>4.7499999999999999E-3</v>
      </c>
      <c r="K206">
        <f>'G-P Exposure BF Coeff'!B215</f>
        <v>6</v>
      </c>
      <c r="L206">
        <f>'G-P Exposure BF Coeff'!C215</f>
        <v>1.5069999999999999</v>
      </c>
      <c r="M206">
        <f>'G-P Exposure BF Coeff'!D215</f>
        <v>0.90300000000000002</v>
      </c>
      <c r="N206">
        <f>'G-P Exposure BF Coeff'!E215</f>
        <v>2.9000000000000001E-2</v>
      </c>
      <c r="O206">
        <f>'G-P Exposure BF Coeff'!F215</f>
        <v>16.13</v>
      </c>
      <c r="P206">
        <f>'G-P Exposure BF Coeff'!G215</f>
        <v>-2.7199999999999998E-2</v>
      </c>
      <c r="Q206">
        <f>'G-P Exposure BF Coeff'!H215</f>
        <v>8.5000000000000006E-3</v>
      </c>
      <c r="R206">
        <f>'G-P Exposure BF Coeff'!I215</f>
        <v>25</v>
      </c>
      <c r="S206">
        <f>'G-P Exposure BF Coeff'!J215</f>
        <v>4.7499999999999999E-3</v>
      </c>
      <c r="U206" s="13">
        <f t="shared" si="69"/>
        <v>0</v>
      </c>
      <c r="V206" s="13">
        <f t="shared" si="61"/>
        <v>0</v>
      </c>
      <c r="W206" s="13">
        <f t="shared" si="62"/>
        <v>0</v>
      </c>
      <c r="X206" s="13">
        <f t="shared" si="63"/>
        <v>0</v>
      </c>
      <c r="Y206" s="13">
        <f t="shared" si="64"/>
        <v>0</v>
      </c>
      <c r="Z206" s="13">
        <f t="shared" si="65"/>
        <v>0</v>
      </c>
      <c r="AA206" s="13">
        <f t="shared" si="66"/>
        <v>0</v>
      </c>
      <c r="AB206" s="13">
        <f t="shared" si="67"/>
        <v>0</v>
      </c>
      <c r="AC206" s="13">
        <f t="shared" si="68"/>
        <v>0</v>
      </c>
    </row>
    <row r="207" spans="1:29">
      <c r="A207">
        <v>8</v>
      </c>
      <c r="B207">
        <v>1.4219999999999999</v>
      </c>
      <c r="C207">
        <v>0.879</v>
      </c>
      <c r="D207">
        <v>3.5000000000000003E-2</v>
      </c>
      <c r="E207">
        <v>13.36</v>
      </c>
      <c r="F207">
        <v>-1.9099999999999999E-2</v>
      </c>
      <c r="G207" s="2">
        <v>8.8999999999999999E-3</v>
      </c>
      <c r="H207">
        <v>0.5</v>
      </c>
      <c r="I207" s="2">
        <v>4.45E-3</v>
      </c>
      <c r="K207">
        <f>'G-P Exposure BF Coeff'!B216</f>
        <v>8</v>
      </c>
      <c r="L207">
        <f>'G-P Exposure BF Coeff'!C216</f>
        <v>1.4219999999999999</v>
      </c>
      <c r="M207">
        <f>'G-P Exposure BF Coeff'!D216</f>
        <v>0.879</v>
      </c>
      <c r="N207">
        <f>'G-P Exposure BF Coeff'!E216</f>
        <v>3.5000000000000003E-2</v>
      </c>
      <c r="O207">
        <f>'G-P Exposure BF Coeff'!F216</f>
        <v>13.36</v>
      </c>
      <c r="P207">
        <f>'G-P Exposure BF Coeff'!G216</f>
        <v>-1.9099999999999999E-2</v>
      </c>
      <c r="Q207">
        <f>'G-P Exposure BF Coeff'!H216</f>
        <v>8.8999999999999999E-3</v>
      </c>
      <c r="R207">
        <f>'G-P Exposure BF Coeff'!I216</f>
        <v>0.5</v>
      </c>
      <c r="S207">
        <f>'G-P Exposure BF Coeff'!J216</f>
        <v>4.45E-3</v>
      </c>
      <c r="U207" s="13">
        <f t="shared" si="69"/>
        <v>0</v>
      </c>
      <c r="V207" s="13">
        <f t="shared" si="61"/>
        <v>0</v>
      </c>
      <c r="W207" s="13">
        <f t="shared" si="62"/>
        <v>0</v>
      </c>
      <c r="X207" s="13">
        <f t="shared" si="63"/>
        <v>0</v>
      </c>
      <c r="Y207" s="13">
        <f t="shared" si="64"/>
        <v>0</v>
      </c>
      <c r="Z207" s="13">
        <f t="shared" si="65"/>
        <v>0</v>
      </c>
      <c r="AA207" s="13">
        <f t="shared" si="66"/>
        <v>0</v>
      </c>
      <c r="AB207" s="13">
        <f t="shared" si="67"/>
        <v>0</v>
      </c>
      <c r="AC207" s="13">
        <f t="shared" si="68"/>
        <v>0</v>
      </c>
    </row>
    <row r="208" spans="1:29">
      <c r="A208">
        <v>10</v>
      </c>
      <c r="B208">
        <v>1.3620000000000001</v>
      </c>
      <c r="C208">
        <v>0.85899999999999999</v>
      </c>
      <c r="D208">
        <v>4.2000000000000003E-2</v>
      </c>
      <c r="E208">
        <v>13.37</v>
      </c>
      <c r="F208">
        <v>-2.47E-2</v>
      </c>
      <c r="G208" s="2">
        <v>8.9999999999999993E-3</v>
      </c>
      <c r="H208">
        <v>0.5</v>
      </c>
      <c r="I208" s="2">
        <v>4.5300000000000002E-3</v>
      </c>
      <c r="K208">
        <f>'G-P Exposure BF Coeff'!B217</f>
        <v>10</v>
      </c>
      <c r="L208">
        <f>'G-P Exposure BF Coeff'!C217</f>
        <v>1.3620000000000001</v>
      </c>
      <c r="M208">
        <f>'G-P Exposure BF Coeff'!D217</f>
        <v>0.85899999999999999</v>
      </c>
      <c r="N208">
        <f>'G-P Exposure BF Coeff'!E217</f>
        <v>4.2000000000000003E-2</v>
      </c>
      <c r="O208">
        <f>'G-P Exposure BF Coeff'!F217</f>
        <v>13.37</v>
      </c>
      <c r="P208">
        <f>'G-P Exposure BF Coeff'!G217</f>
        <v>-2.47E-2</v>
      </c>
      <c r="Q208">
        <f>'G-P Exposure BF Coeff'!H217</f>
        <v>8.9999999999999993E-3</v>
      </c>
      <c r="R208">
        <f>'G-P Exposure BF Coeff'!I217</f>
        <v>0.5</v>
      </c>
      <c r="S208">
        <f>'G-P Exposure BF Coeff'!J217</f>
        <v>4.5300000000000002E-3</v>
      </c>
      <c r="U208" s="13">
        <f>(K208-A208)/K208</f>
        <v>0</v>
      </c>
      <c r="V208" s="13">
        <f t="shared" si="61"/>
        <v>0</v>
      </c>
      <c r="W208" s="13">
        <f t="shared" si="62"/>
        <v>0</v>
      </c>
      <c r="X208" s="13">
        <f t="shared" si="63"/>
        <v>0</v>
      </c>
      <c r="Y208" s="13">
        <f t="shared" si="64"/>
        <v>0</v>
      </c>
      <c r="Z208" s="13">
        <f t="shared" si="65"/>
        <v>0</v>
      </c>
      <c r="AA208" s="13">
        <f t="shared" si="66"/>
        <v>0</v>
      </c>
      <c r="AB208" s="13">
        <f t="shared" si="67"/>
        <v>0</v>
      </c>
      <c r="AC208" s="13">
        <f t="shared" si="68"/>
        <v>0</v>
      </c>
    </row>
    <row r="209" spans="1:29">
      <c r="A209">
        <v>15</v>
      </c>
      <c r="B209">
        <v>1.2669999999999999</v>
      </c>
      <c r="C209">
        <v>0.84299999999999997</v>
      </c>
      <c r="D209">
        <v>4.7E-2</v>
      </c>
      <c r="E209">
        <v>15.08</v>
      </c>
      <c r="F209">
        <v>-3.3599999999999998E-2</v>
      </c>
      <c r="G209" s="2">
        <v>1.0200000000000001E-2</v>
      </c>
      <c r="H209">
        <v>1</v>
      </c>
      <c r="I209" s="2">
        <v>6.0400000000000002E-3</v>
      </c>
      <c r="K209">
        <f>'G-P Exposure BF Coeff'!B218</f>
        <v>15</v>
      </c>
      <c r="L209">
        <f>'G-P Exposure BF Coeff'!C218</f>
        <v>1.2669999999999999</v>
      </c>
      <c r="M209">
        <f>'G-P Exposure BF Coeff'!D218</f>
        <v>0.84299999999999997</v>
      </c>
      <c r="N209">
        <f>'G-P Exposure BF Coeff'!E218</f>
        <v>4.7E-2</v>
      </c>
      <c r="O209">
        <f>'G-P Exposure BF Coeff'!F218</f>
        <v>15.08</v>
      </c>
      <c r="P209">
        <f>'G-P Exposure BF Coeff'!G218</f>
        <v>-3.3599999999999998E-2</v>
      </c>
      <c r="Q209">
        <f>'G-P Exposure BF Coeff'!H218</f>
        <v>1.0200000000000001E-2</v>
      </c>
      <c r="R209">
        <f>'G-P Exposure BF Coeff'!I218</f>
        <v>1</v>
      </c>
      <c r="S209">
        <f>'G-P Exposure BF Coeff'!J218</f>
        <v>6.0400000000000002E-3</v>
      </c>
      <c r="U209" s="13">
        <f t="shared" ref="U209" si="70">(K209-A209)/K209</f>
        <v>0</v>
      </c>
      <c r="V209" s="13">
        <f t="shared" si="61"/>
        <v>0</v>
      </c>
      <c r="W209" s="13">
        <f t="shared" si="62"/>
        <v>0</v>
      </c>
      <c r="X209" s="13">
        <f t="shared" si="63"/>
        <v>0</v>
      </c>
      <c r="Y209" s="13">
        <f t="shared" si="64"/>
        <v>0</v>
      </c>
      <c r="Z209" s="13">
        <f t="shared" si="65"/>
        <v>0</v>
      </c>
      <c r="AA209" s="13">
        <f t="shared" si="66"/>
        <v>0</v>
      </c>
      <c r="AB209" s="13">
        <f t="shared" si="67"/>
        <v>0</v>
      </c>
      <c r="AC209" s="13">
        <f t="shared" si="68"/>
        <v>0</v>
      </c>
    </row>
    <row r="211" spans="1:29">
      <c r="A211" t="s">
        <v>110</v>
      </c>
    </row>
    <row r="213" spans="1:29">
      <c r="K213" t="s">
        <v>110</v>
      </c>
    </row>
    <row r="214" spans="1:29">
      <c r="A214" s="15" t="s">
        <v>1</v>
      </c>
      <c r="B214" s="15" t="s">
        <v>11</v>
      </c>
      <c r="C214" s="15" t="s">
        <v>12</v>
      </c>
      <c r="D214" s="15" t="s">
        <v>13</v>
      </c>
      <c r="E214" s="15" t="s">
        <v>16</v>
      </c>
      <c r="F214" s="15" t="s">
        <v>14</v>
      </c>
      <c r="G214" s="15" t="s">
        <v>17</v>
      </c>
      <c r="H214" s="15" t="s">
        <v>18</v>
      </c>
      <c r="I214" s="15" t="s">
        <v>15</v>
      </c>
      <c r="K214" s="15" t="s">
        <v>1</v>
      </c>
      <c r="L214" s="15" t="s">
        <v>11</v>
      </c>
      <c r="M214" s="15" t="s">
        <v>12</v>
      </c>
      <c r="N214" s="15" t="s">
        <v>13</v>
      </c>
      <c r="O214" s="15" t="s">
        <v>16</v>
      </c>
      <c r="P214" s="15" t="s">
        <v>14</v>
      </c>
      <c r="Q214" s="15" t="s">
        <v>17</v>
      </c>
      <c r="R214" s="15" t="s">
        <v>18</v>
      </c>
      <c r="S214" s="15" t="s">
        <v>15</v>
      </c>
      <c r="U214" s="15" t="s">
        <v>1</v>
      </c>
      <c r="V214" s="15" t="s">
        <v>11</v>
      </c>
      <c r="W214" s="15" t="s">
        <v>12</v>
      </c>
      <c r="X214" s="15" t="s">
        <v>13</v>
      </c>
      <c r="Y214" s="15" t="s">
        <v>16</v>
      </c>
      <c r="Z214" s="15" t="s">
        <v>14</v>
      </c>
      <c r="AA214" s="15" t="s">
        <v>17</v>
      </c>
      <c r="AB214" s="15" t="s">
        <v>18</v>
      </c>
      <c r="AC214" s="15" t="s">
        <v>15</v>
      </c>
    </row>
    <row r="215" spans="1:29">
      <c r="A215">
        <v>1.4999999999999999E-2</v>
      </c>
      <c r="B215">
        <v>1.17</v>
      </c>
      <c r="C215">
        <v>0.45900000000000002</v>
      </c>
      <c r="D215">
        <v>0.17499999999999999</v>
      </c>
      <c r="E215">
        <v>13.73</v>
      </c>
      <c r="F215">
        <v>-8.6199999999999999E-2</v>
      </c>
      <c r="G215" s="2">
        <v>1.4500000000000001E-2</v>
      </c>
      <c r="H215">
        <v>0.5</v>
      </c>
      <c r="I215" s="2">
        <v>5.1200000000000004E-3</v>
      </c>
      <c r="K215">
        <f>'G-P Exposure BF Coeff'!B222</f>
        <v>1.4999999999999999E-2</v>
      </c>
      <c r="L215">
        <f>'G-P Exposure BF Coeff'!C222</f>
        <v>1.17</v>
      </c>
      <c r="M215">
        <f>'G-P Exposure BF Coeff'!D222</f>
        <v>0.45900000000000002</v>
      </c>
      <c r="N215">
        <f>'G-P Exposure BF Coeff'!E222</f>
        <v>0.17499999999999999</v>
      </c>
      <c r="O215">
        <f>'G-P Exposure BF Coeff'!F222</f>
        <v>13.73</v>
      </c>
      <c r="P215">
        <f>'G-P Exposure BF Coeff'!G222</f>
        <v>-8.6199999999999999E-2</v>
      </c>
      <c r="Q215">
        <f>'G-P Exposure BF Coeff'!H222</f>
        <v>1.4500000000000001E-2</v>
      </c>
      <c r="R215">
        <f>'G-P Exposure BF Coeff'!I222</f>
        <v>0.5</v>
      </c>
      <c r="S215">
        <f>'G-P Exposure BF Coeff'!J222</f>
        <v>5.1200000000000004E-3</v>
      </c>
      <c r="U215" s="13">
        <f>(K215-A215)/K215</f>
        <v>0</v>
      </c>
      <c r="V215" s="13">
        <f t="shared" ref="V215:V239" si="71">(L215-B215)/L215</f>
        <v>0</v>
      </c>
      <c r="W215" s="13">
        <f t="shared" ref="W215:W239" si="72">(M215-C215)/M215</f>
        <v>0</v>
      </c>
      <c r="X215" s="13">
        <f t="shared" ref="X215:X239" si="73">(N215-D215)/N215</f>
        <v>0</v>
      </c>
      <c r="Y215" s="13">
        <f t="shared" ref="Y215:Y239" si="74">(O215-E215)/O215</f>
        <v>0</v>
      </c>
      <c r="Z215" s="13">
        <f t="shared" ref="Z215:Z239" si="75">(P215-F215)/P215</f>
        <v>0</v>
      </c>
      <c r="AA215" s="13">
        <f t="shared" ref="AA215:AA239" si="76">(Q215-G215)/Q215</f>
        <v>0</v>
      </c>
      <c r="AB215" s="13">
        <f t="shared" ref="AB215:AB239" si="77">(R215-H215)/R215</f>
        <v>0</v>
      </c>
      <c r="AC215" s="13">
        <f t="shared" ref="AC215:AC239" si="78">(S215-I215)/S215</f>
        <v>0</v>
      </c>
    </row>
    <row r="216" spans="1:29">
      <c r="A216">
        <v>0.02</v>
      </c>
      <c r="B216">
        <v>1.407</v>
      </c>
      <c r="C216">
        <v>0.51200000000000001</v>
      </c>
      <c r="D216">
        <v>0.161</v>
      </c>
      <c r="E216">
        <v>14.4</v>
      </c>
      <c r="F216">
        <v>-8.1900000000000001E-2</v>
      </c>
      <c r="G216" s="2">
        <v>2.1499999999999998E-2</v>
      </c>
      <c r="H216">
        <v>0.5</v>
      </c>
      <c r="I216" s="2">
        <v>8.3000000000000001E-3</v>
      </c>
      <c r="K216">
        <f>'G-P Exposure BF Coeff'!B223</f>
        <v>0.02</v>
      </c>
      <c r="L216">
        <f>'G-P Exposure BF Coeff'!C223</f>
        <v>1.407</v>
      </c>
      <c r="M216">
        <f>'G-P Exposure BF Coeff'!D223</f>
        <v>0.51200000000000001</v>
      </c>
      <c r="N216">
        <f>'G-P Exposure BF Coeff'!E223</f>
        <v>0.161</v>
      </c>
      <c r="O216">
        <f>'G-P Exposure BF Coeff'!F223</f>
        <v>14.4</v>
      </c>
      <c r="P216">
        <f>'G-P Exposure BF Coeff'!G223</f>
        <v>-8.1900000000000001E-2</v>
      </c>
      <c r="Q216">
        <f>'G-P Exposure BF Coeff'!H223</f>
        <v>2.1499999999999998E-2</v>
      </c>
      <c r="R216">
        <f>'G-P Exposure BF Coeff'!I223</f>
        <v>0.5</v>
      </c>
      <c r="S216">
        <f>'G-P Exposure BF Coeff'!J223</f>
        <v>8.3000000000000001E-3</v>
      </c>
      <c r="U216" s="13">
        <f t="shared" ref="U216:U237" si="79">(K216-A216)/K216</f>
        <v>0</v>
      </c>
      <c r="V216" s="13">
        <f t="shared" si="71"/>
        <v>0</v>
      </c>
      <c r="W216" s="13">
        <f t="shared" si="72"/>
        <v>0</v>
      </c>
      <c r="X216" s="13">
        <f t="shared" si="73"/>
        <v>0</v>
      </c>
      <c r="Y216" s="13">
        <f t="shared" si="74"/>
        <v>0</v>
      </c>
      <c r="Z216" s="13">
        <f t="shared" si="75"/>
        <v>0</v>
      </c>
      <c r="AA216" s="13">
        <f t="shared" si="76"/>
        <v>0</v>
      </c>
      <c r="AB216" s="13">
        <f t="shared" si="77"/>
        <v>0</v>
      </c>
      <c r="AC216" s="13">
        <f t="shared" si="78"/>
        <v>0</v>
      </c>
    </row>
    <row r="217" spans="1:29">
      <c r="A217">
        <v>0.03</v>
      </c>
      <c r="B217">
        <v>2.2919999999999998</v>
      </c>
      <c r="C217">
        <v>0.69299999999999995</v>
      </c>
      <c r="D217">
        <v>0.10199999999999999</v>
      </c>
      <c r="E217">
        <v>13.34</v>
      </c>
      <c r="F217">
        <v>-4.8399999999999999E-2</v>
      </c>
      <c r="G217" s="2">
        <v>2.4799999999999999E-2</v>
      </c>
      <c r="H217">
        <v>0.5</v>
      </c>
      <c r="I217" s="2">
        <v>1.24E-2</v>
      </c>
      <c r="K217">
        <f>'G-P Exposure BF Coeff'!B224</f>
        <v>0.03</v>
      </c>
      <c r="L217">
        <f>'G-P Exposure BF Coeff'!C224</f>
        <v>2.2919999999999998</v>
      </c>
      <c r="M217">
        <f>'G-P Exposure BF Coeff'!D224</f>
        <v>0.69299999999999995</v>
      </c>
      <c r="N217">
        <f>'G-P Exposure BF Coeff'!E224</f>
        <v>0.10199999999999999</v>
      </c>
      <c r="O217">
        <f>'G-P Exposure BF Coeff'!F224</f>
        <v>13.34</v>
      </c>
      <c r="P217">
        <f>'G-P Exposure BF Coeff'!G224</f>
        <v>-4.8399999999999999E-2</v>
      </c>
      <c r="Q217">
        <f>'G-P Exposure BF Coeff'!H224</f>
        <v>2.4799999999999999E-2</v>
      </c>
      <c r="R217">
        <f>'G-P Exposure BF Coeff'!I224</f>
        <v>0.5</v>
      </c>
      <c r="S217">
        <f>'G-P Exposure BF Coeff'!J224</f>
        <v>1.24E-2</v>
      </c>
      <c r="U217" s="13">
        <f t="shared" si="79"/>
        <v>0</v>
      </c>
      <c r="V217" s="13">
        <f t="shared" si="71"/>
        <v>0</v>
      </c>
      <c r="W217" s="13">
        <f t="shared" si="72"/>
        <v>0</v>
      </c>
      <c r="X217" s="13">
        <f t="shared" si="73"/>
        <v>0</v>
      </c>
      <c r="Y217" s="13">
        <f t="shared" si="74"/>
        <v>0</v>
      </c>
      <c r="Z217" s="13">
        <f t="shared" si="75"/>
        <v>0</v>
      </c>
      <c r="AA217" s="13">
        <f t="shared" si="76"/>
        <v>0</v>
      </c>
      <c r="AB217" s="13">
        <f t="shared" si="77"/>
        <v>0</v>
      </c>
      <c r="AC217" s="13">
        <f t="shared" si="78"/>
        <v>0</v>
      </c>
    </row>
    <row r="218" spans="1:29">
      <c r="A218">
        <v>0.04</v>
      </c>
      <c r="B218">
        <v>3.39</v>
      </c>
      <c r="C218">
        <v>1.052</v>
      </c>
      <c r="D218">
        <v>-4.0000000000000001E-3</v>
      </c>
      <c r="E218">
        <v>19.760000000000002</v>
      </c>
      <c r="F218">
        <v>-6.7999999999999996E-3</v>
      </c>
      <c r="G218" s="2">
        <v>9.4999999999999998E-3</v>
      </c>
      <c r="H218">
        <v>0.5</v>
      </c>
      <c r="I218" s="2">
        <v>3.8300000000000001E-3</v>
      </c>
      <c r="K218">
        <f>'G-P Exposure BF Coeff'!B225</f>
        <v>0.04</v>
      </c>
      <c r="L218">
        <f>'G-P Exposure BF Coeff'!C225</f>
        <v>3.39</v>
      </c>
      <c r="M218">
        <f>'G-P Exposure BF Coeff'!D225</f>
        <v>1.052</v>
      </c>
      <c r="N218">
        <f>'G-P Exposure BF Coeff'!E225</f>
        <v>-4.0000000000000001E-3</v>
      </c>
      <c r="O218">
        <f>'G-P Exposure BF Coeff'!F225</f>
        <v>19.760000000000002</v>
      </c>
      <c r="P218">
        <f>'G-P Exposure BF Coeff'!G225</f>
        <v>-6.7999999999999996E-3</v>
      </c>
      <c r="Q218">
        <f>'G-P Exposure BF Coeff'!H225</f>
        <v>9.4999999999999998E-3</v>
      </c>
      <c r="R218">
        <f>'G-P Exposure BF Coeff'!I225</f>
        <v>0.5</v>
      </c>
      <c r="S218">
        <f>'G-P Exposure BF Coeff'!J225</f>
        <v>3.8300000000000001E-3</v>
      </c>
      <c r="U218" s="13">
        <f t="shared" si="79"/>
        <v>0</v>
      </c>
      <c r="V218" s="13">
        <f t="shared" si="71"/>
        <v>0</v>
      </c>
      <c r="W218" s="13">
        <f t="shared" si="72"/>
        <v>0</v>
      </c>
      <c r="X218" s="13">
        <f t="shared" si="73"/>
        <v>0</v>
      </c>
      <c r="Y218" s="13">
        <f t="shared" si="74"/>
        <v>0</v>
      </c>
      <c r="Z218" s="13">
        <f t="shared" si="75"/>
        <v>0</v>
      </c>
      <c r="AA218" s="13">
        <f t="shared" si="76"/>
        <v>0</v>
      </c>
      <c r="AB218" s="13">
        <f t="shared" si="77"/>
        <v>0</v>
      </c>
      <c r="AC218" s="13">
        <f t="shared" si="78"/>
        <v>0</v>
      </c>
    </row>
    <row r="219" spans="1:29">
      <c r="A219">
        <v>0.05</v>
      </c>
      <c r="B219">
        <v>4.3220000000000001</v>
      </c>
      <c r="C219">
        <v>1.383</v>
      </c>
      <c r="D219">
        <v>-7.0999999999999994E-2</v>
      </c>
      <c r="E219">
        <v>13.51</v>
      </c>
      <c r="F219">
        <v>2.7E-2</v>
      </c>
      <c r="G219" s="2">
        <v>1.1900000000000001E-2</v>
      </c>
      <c r="H219">
        <v>4</v>
      </c>
      <c r="I219" s="2">
        <v>7.8200000000000006E-3</v>
      </c>
      <c r="K219">
        <f>'G-P Exposure BF Coeff'!B226</f>
        <v>0.05</v>
      </c>
      <c r="L219">
        <f>'G-P Exposure BF Coeff'!C226</f>
        <v>4.3220000000000001</v>
      </c>
      <c r="M219">
        <f>'G-P Exposure BF Coeff'!D226</f>
        <v>1.383</v>
      </c>
      <c r="N219">
        <f>'G-P Exposure BF Coeff'!E226</f>
        <v>-7.0999999999999994E-2</v>
      </c>
      <c r="O219">
        <f>'G-P Exposure BF Coeff'!F226</f>
        <v>13.51</v>
      </c>
      <c r="P219">
        <f>'G-P Exposure BF Coeff'!G226</f>
        <v>2.7E-2</v>
      </c>
      <c r="Q219">
        <f>'G-P Exposure BF Coeff'!H226</f>
        <v>1.1900000000000001E-2</v>
      </c>
      <c r="R219">
        <f>'G-P Exposure BF Coeff'!I226</f>
        <v>4</v>
      </c>
      <c r="S219">
        <f>'G-P Exposure BF Coeff'!J226</f>
        <v>7.8200000000000006E-3</v>
      </c>
      <c r="U219" s="13">
        <f t="shared" si="79"/>
        <v>0</v>
      </c>
      <c r="V219" s="13">
        <f t="shared" si="71"/>
        <v>0</v>
      </c>
      <c r="W219" s="13">
        <f t="shared" si="72"/>
        <v>0</v>
      </c>
      <c r="X219" s="13">
        <f t="shared" si="73"/>
        <v>0</v>
      </c>
      <c r="Y219" s="13">
        <f t="shared" si="74"/>
        <v>0</v>
      </c>
      <c r="Z219" s="13">
        <f t="shared" si="75"/>
        <v>0</v>
      </c>
      <c r="AA219" s="13">
        <f t="shared" si="76"/>
        <v>0</v>
      </c>
      <c r="AB219" s="13">
        <f t="shared" si="77"/>
        <v>0</v>
      </c>
      <c r="AC219" s="13">
        <f t="shared" si="78"/>
        <v>0</v>
      </c>
    </row>
    <row r="220" spans="1:29">
      <c r="A220">
        <v>0.06</v>
      </c>
      <c r="B220">
        <v>4.8369999999999997</v>
      </c>
      <c r="C220">
        <v>1.653</v>
      </c>
      <c r="D220">
        <v>-0.115</v>
      </c>
      <c r="E220">
        <v>13.66</v>
      </c>
      <c r="F220">
        <v>5.11E-2</v>
      </c>
      <c r="G220" s="2">
        <v>2.3699999999999999E-2</v>
      </c>
      <c r="H220">
        <v>0.5</v>
      </c>
      <c r="I220" s="2">
        <v>1.422E-2</v>
      </c>
      <c r="K220">
        <f>'G-P Exposure BF Coeff'!B227</f>
        <v>0.06</v>
      </c>
      <c r="L220">
        <f>'G-P Exposure BF Coeff'!C227</f>
        <v>4.8369999999999997</v>
      </c>
      <c r="M220">
        <f>'G-P Exposure BF Coeff'!D227</f>
        <v>1.653</v>
      </c>
      <c r="N220">
        <f>'G-P Exposure BF Coeff'!E227</f>
        <v>-0.115</v>
      </c>
      <c r="O220">
        <f>'G-P Exposure BF Coeff'!F227</f>
        <v>13.66</v>
      </c>
      <c r="P220">
        <f>'G-P Exposure BF Coeff'!G227</f>
        <v>5.11E-2</v>
      </c>
      <c r="Q220">
        <f>'G-P Exposure BF Coeff'!H227</f>
        <v>2.3699999999999999E-2</v>
      </c>
      <c r="R220">
        <f>'G-P Exposure BF Coeff'!I227</f>
        <v>0.5</v>
      </c>
      <c r="S220">
        <f>'G-P Exposure BF Coeff'!J227</f>
        <v>1.422E-2</v>
      </c>
      <c r="U220" s="13">
        <f t="shared" si="79"/>
        <v>0</v>
      </c>
      <c r="V220" s="13">
        <f t="shared" si="71"/>
        <v>0</v>
      </c>
      <c r="W220" s="13">
        <f t="shared" si="72"/>
        <v>0</v>
      </c>
      <c r="X220" s="13">
        <f t="shared" si="73"/>
        <v>0</v>
      </c>
      <c r="Y220" s="13">
        <f t="shared" si="74"/>
        <v>0</v>
      </c>
      <c r="Z220" s="13">
        <f t="shared" si="75"/>
        <v>0</v>
      </c>
      <c r="AA220" s="13">
        <f t="shared" si="76"/>
        <v>0</v>
      </c>
      <c r="AB220" s="13">
        <f t="shared" si="77"/>
        <v>0</v>
      </c>
      <c r="AC220" s="13">
        <f t="shared" si="78"/>
        <v>0</v>
      </c>
    </row>
    <row r="221" spans="1:29">
      <c r="A221">
        <v>0.08</v>
      </c>
      <c r="B221">
        <v>4.9290000000000003</v>
      </c>
      <c r="C221">
        <v>1.9830000000000001</v>
      </c>
      <c r="D221">
        <v>-0.159</v>
      </c>
      <c r="E221">
        <v>13.74</v>
      </c>
      <c r="F221">
        <v>7.2999999999999995E-2</v>
      </c>
      <c r="G221" s="2">
        <v>2.7300000000000001E-2</v>
      </c>
      <c r="H221">
        <v>10</v>
      </c>
      <c r="I221" s="2">
        <v>1.9089999999999999E-2</v>
      </c>
      <c r="K221">
        <f>'G-P Exposure BF Coeff'!B228</f>
        <v>0.08</v>
      </c>
      <c r="L221">
        <f>'G-P Exposure BF Coeff'!C228</f>
        <v>4.9290000000000003</v>
      </c>
      <c r="M221">
        <f>'G-P Exposure BF Coeff'!D228</f>
        <v>1.9830000000000001</v>
      </c>
      <c r="N221">
        <f>'G-P Exposure BF Coeff'!E228</f>
        <v>-0.159</v>
      </c>
      <c r="O221">
        <f>'G-P Exposure BF Coeff'!F228</f>
        <v>13.74</v>
      </c>
      <c r="P221">
        <f>'G-P Exposure BF Coeff'!G228</f>
        <v>7.2999999999999995E-2</v>
      </c>
      <c r="Q221">
        <f>'G-P Exposure BF Coeff'!H228</f>
        <v>2.7300000000000001E-2</v>
      </c>
      <c r="R221">
        <f>'G-P Exposure BF Coeff'!I228</f>
        <v>10</v>
      </c>
      <c r="S221">
        <f>'G-P Exposure BF Coeff'!J228</f>
        <v>1.9089999999999999E-2</v>
      </c>
      <c r="U221" s="13">
        <f t="shared" si="79"/>
        <v>0</v>
      </c>
      <c r="V221" s="13">
        <f t="shared" si="71"/>
        <v>0</v>
      </c>
      <c r="W221" s="13">
        <f t="shared" si="72"/>
        <v>0</v>
      </c>
      <c r="X221" s="13">
        <f t="shared" si="73"/>
        <v>0</v>
      </c>
      <c r="Y221" s="13">
        <f t="shared" si="74"/>
        <v>0</v>
      </c>
      <c r="Z221" s="13">
        <f t="shared" si="75"/>
        <v>0</v>
      </c>
      <c r="AA221" s="13">
        <f t="shared" si="76"/>
        <v>0</v>
      </c>
      <c r="AB221" s="13">
        <f t="shared" si="77"/>
        <v>0</v>
      </c>
      <c r="AC221" s="13">
        <f t="shared" si="78"/>
        <v>0</v>
      </c>
    </row>
    <row r="222" spans="1:29">
      <c r="A222">
        <v>0.1</v>
      </c>
      <c r="B222">
        <v>4.58</v>
      </c>
      <c r="C222">
        <v>2.1459999999999999</v>
      </c>
      <c r="D222">
        <v>-0.17799999999999999</v>
      </c>
      <c r="E222">
        <v>12.83</v>
      </c>
      <c r="F222">
        <v>7.5899999999999995E-2</v>
      </c>
      <c r="G222" s="2">
        <v>2.69E-2</v>
      </c>
      <c r="H222">
        <v>1</v>
      </c>
      <c r="I222" s="2">
        <v>1.7330000000000002E-2</v>
      </c>
      <c r="K222">
        <f>'G-P Exposure BF Coeff'!B229</f>
        <v>0.1</v>
      </c>
      <c r="L222">
        <f>'G-P Exposure BF Coeff'!C229</f>
        <v>4.58</v>
      </c>
      <c r="M222">
        <f>'G-P Exposure BF Coeff'!D229</f>
        <v>2.1459999999999999</v>
      </c>
      <c r="N222">
        <f>'G-P Exposure BF Coeff'!E229</f>
        <v>-0.17799999999999999</v>
      </c>
      <c r="O222">
        <f>'G-P Exposure BF Coeff'!F229</f>
        <v>12.83</v>
      </c>
      <c r="P222">
        <f>'G-P Exposure BF Coeff'!G229</f>
        <v>7.5899999999999995E-2</v>
      </c>
      <c r="Q222">
        <f>'G-P Exposure BF Coeff'!H229</f>
        <v>2.69E-2</v>
      </c>
      <c r="R222">
        <f>'G-P Exposure BF Coeff'!I229</f>
        <v>1</v>
      </c>
      <c r="S222">
        <f>'G-P Exposure BF Coeff'!J229</f>
        <v>1.7330000000000002E-2</v>
      </c>
      <c r="U222" s="13">
        <f t="shared" si="79"/>
        <v>0</v>
      </c>
      <c r="V222" s="13">
        <f t="shared" si="71"/>
        <v>0</v>
      </c>
      <c r="W222" s="13">
        <f t="shared" si="72"/>
        <v>0</v>
      </c>
      <c r="X222" s="13">
        <f t="shared" si="73"/>
        <v>0</v>
      </c>
      <c r="Y222" s="13">
        <f t="shared" si="74"/>
        <v>0</v>
      </c>
      <c r="Z222" s="13">
        <f t="shared" si="75"/>
        <v>0</v>
      </c>
      <c r="AA222" s="13">
        <f t="shared" si="76"/>
        <v>0</v>
      </c>
      <c r="AB222" s="13">
        <f t="shared" si="77"/>
        <v>0</v>
      </c>
      <c r="AC222" s="13">
        <f t="shared" si="78"/>
        <v>0</v>
      </c>
    </row>
    <row r="223" spans="1:29">
      <c r="A223">
        <v>0.15</v>
      </c>
      <c r="B223">
        <v>3.8940000000000001</v>
      </c>
      <c r="C223">
        <v>2.1480000000000001</v>
      </c>
      <c r="D223">
        <v>-0.17299999999999999</v>
      </c>
      <c r="E223">
        <v>14.46</v>
      </c>
      <c r="F223">
        <v>6.9800000000000001E-2</v>
      </c>
      <c r="G223" s="2">
        <v>2.5100000000000001E-2</v>
      </c>
      <c r="H223">
        <v>35</v>
      </c>
      <c r="I223" s="2">
        <v>1.506E-2</v>
      </c>
      <c r="K223">
        <f>'G-P Exposure BF Coeff'!B230</f>
        <v>0.15</v>
      </c>
      <c r="L223">
        <f>'G-P Exposure BF Coeff'!C230</f>
        <v>3.8940000000000001</v>
      </c>
      <c r="M223">
        <f>'G-P Exposure BF Coeff'!D230</f>
        <v>2.1480000000000001</v>
      </c>
      <c r="N223">
        <f>'G-P Exposure BF Coeff'!E230</f>
        <v>-0.17299999999999999</v>
      </c>
      <c r="O223">
        <f>'G-P Exposure BF Coeff'!F230</f>
        <v>14.46</v>
      </c>
      <c r="P223">
        <f>'G-P Exposure BF Coeff'!G230</f>
        <v>6.9800000000000001E-2</v>
      </c>
      <c r="Q223">
        <f>'G-P Exposure BF Coeff'!H230</f>
        <v>2.5100000000000001E-2</v>
      </c>
      <c r="R223">
        <f>'G-P Exposure BF Coeff'!I230</f>
        <v>35</v>
      </c>
      <c r="S223">
        <f>'G-P Exposure BF Coeff'!J230</f>
        <v>1.506E-2</v>
      </c>
      <c r="U223" s="13">
        <f t="shared" si="79"/>
        <v>0</v>
      </c>
      <c r="V223" s="13">
        <f t="shared" si="71"/>
        <v>0</v>
      </c>
      <c r="W223" s="13">
        <f t="shared" si="72"/>
        <v>0</v>
      </c>
      <c r="X223" s="13">
        <f t="shared" si="73"/>
        <v>0</v>
      </c>
      <c r="Y223" s="13">
        <f t="shared" si="74"/>
        <v>0</v>
      </c>
      <c r="Z223" s="13">
        <f t="shared" si="75"/>
        <v>0</v>
      </c>
      <c r="AA223" s="13">
        <f t="shared" si="76"/>
        <v>0</v>
      </c>
      <c r="AB223" s="13">
        <f t="shared" si="77"/>
        <v>0</v>
      </c>
      <c r="AC223" s="13">
        <f t="shared" si="78"/>
        <v>0</v>
      </c>
    </row>
    <row r="224" spans="1:29">
      <c r="A224">
        <v>0.2</v>
      </c>
      <c r="B224">
        <v>3.3450000000000002</v>
      </c>
      <c r="C224">
        <v>2.1469999999999998</v>
      </c>
      <c r="D224">
        <v>-0.17599999999999999</v>
      </c>
      <c r="E224">
        <v>14.08</v>
      </c>
      <c r="F224">
        <v>7.1900000000000006E-2</v>
      </c>
      <c r="G224" s="2">
        <v>2.5100000000000001E-2</v>
      </c>
      <c r="H224">
        <v>35</v>
      </c>
      <c r="I224" s="2">
        <v>1.54E-2</v>
      </c>
      <c r="K224">
        <f>'G-P Exposure BF Coeff'!B231</f>
        <v>0.2</v>
      </c>
      <c r="L224">
        <f>'G-P Exposure BF Coeff'!C231</f>
        <v>3.3450000000000002</v>
      </c>
      <c r="M224">
        <f>'G-P Exposure BF Coeff'!D231</f>
        <v>2.1469999999999998</v>
      </c>
      <c r="N224">
        <f>'G-P Exposure BF Coeff'!E231</f>
        <v>-0.17599999999999999</v>
      </c>
      <c r="O224">
        <f>'G-P Exposure BF Coeff'!F231</f>
        <v>14.08</v>
      </c>
      <c r="P224">
        <f>'G-P Exposure BF Coeff'!G231</f>
        <v>7.1900000000000006E-2</v>
      </c>
      <c r="Q224">
        <f>'G-P Exposure BF Coeff'!H231</f>
        <v>2.5100000000000001E-2</v>
      </c>
      <c r="R224">
        <f>'G-P Exposure BF Coeff'!I231</f>
        <v>35</v>
      </c>
      <c r="S224">
        <f>'G-P Exposure BF Coeff'!J231</f>
        <v>1.54E-2</v>
      </c>
      <c r="U224" s="13">
        <f t="shared" si="79"/>
        <v>0</v>
      </c>
      <c r="V224" s="13">
        <f t="shared" si="71"/>
        <v>0</v>
      </c>
      <c r="W224" s="13">
        <f t="shared" si="72"/>
        <v>0</v>
      </c>
      <c r="X224" s="13">
        <f t="shared" si="73"/>
        <v>0</v>
      </c>
      <c r="Y224" s="13">
        <f t="shared" si="74"/>
        <v>0</v>
      </c>
      <c r="Z224" s="13">
        <f t="shared" si="75"/>
        <v>0</v>
      </c>
      <c r="AA224" s="13">
        <f t="shared" si="76"/>
        <v>0</v>
      </c>
      <c r="AB224" s="13">
        <f t="shared" si="77"/>
        <v>0</v>
      </c>
      <c r="AC224" s="13">
        <f t="shared" si="78"/>
        <v>0</v>
      </c>
    </row>
    <row r="225" spans="1:29">
      <c r="A225">
        <v>0.3</v>
      </c>
      <c r="B225">
        <v>2.887</v>
      </c>
      <c r="C225">
        <v>1.99</v>
      </c>
      <c r="D225">
        <v>-0.16</v>
      </c>
      <c r="E225">
        <v>14.13</v>
      </c>
      <c r="F225">
        <v>6.3299999999999995E-2</v>
      </c>
      <c r="G225" s="2">
        <v>2.29E-2</v>
      </c>
      <c r="H225">
        <v>25</v>
      </c>
      <c r="I225" s="2">
        <v>1.4500000000000001E-2</v>
      </c>
      <c r="K225">
        <f>'G-P Exposure BF Coeff'!B232</f>
        <v>0.3</v>
      </c>
      <c r="L225">
        <f>'G-P Exposure BF Coeff'!C232</f>
        <v>2.887</v>
      </c>
      <c r="M225">
        <f>'G-P Exposure BF Coeff'!D232</f>
        <v>1.99</v>
      </c>
      <c r="N225">
        <f>'G-P Exposure BF Coeff'!E232</f>
        <v>-0.16</v>
      </c>
      <c r="O225">
        <f>'G-P Exposure BF Coeff'!F232</f>
        <v>14.13</v>
      </c>
      <c r="P225">
        <f>'G-P Exposure BF Coeff'!G232</f>
        <v>6.3299999999999995E-2</v>
      </c>
      <c r="Q225">
        <f>'G-P Exposure BF Coeff'!H232</f>
        <v>2.29E-2</v>
      </c>
      <c r="R225">
        <f>'G-P Exposure BF Coeff'!I232</f>
        <v>25</v>
      </c>
      <c r="S225">
        <f>'G-P Exposure BF Coeff'!J232</f>
        <v>1.4500000000000001E-2</v>
      </c>
      <c r="U225" s="13">
        <f t="shared" si="79"/>
        <v>0</v>
      </c>
      <c r="V225" s="13">
        <f t="shared" si="71"/>
        <v>0</v>
      </c>
      <c r="W225" s="13">
        <f t="shared" si="72"/>
        <v>0</v>
      </c>
      <c r="X225" s="13">
        <f t="shared" si="73"/>
        <v>0</v>
      </c>
      <c r="Y225" s="13">
        <f t="shared" si="74"/>
        <v>0</v>
      </c>
      <c r="Z225" s="13">
        <f t="shared" si="75"/>
        <v>0</v>
      </c>
      <c r="AA225" s="13">
        <f t="shared" si="76"/>
        <v>0</v>
      </c>
      <c r="AB225" s="13">
        <f t="shared" si="77"/>
        <v>0</v>
      </c>
      <c r="AC225" s="13">
        <f t="shared" si="78"/>
        <v>0</v>
      </c>
    </row>
    <row r="226" spans="1:29">
      <c r="A226">
        <v>0.4</v>
      </c>
      <c r="B226">
        <v>2.6349999999999998</v>
      </c>
      <c r="C226">
        <v>1.86</v>
      </c>
      <c r="D226">
        <v>-0.14599999999999999</v>
      </c>
      <c r="E226">
        <v>14.24</v>
      </c>
      <c r="F226">
        <v>5.8299999999999998E-2</v>
      </c>
      <c r="G226" s="2">
        <v>2.1700000000000001E-2</v>
      </c>
      <c r="H226">
        <v>35</v>
      </c>
      <c r="I226" s="2">
        <v>1.3769999999999999E-2</v>
      </c>
      <c r="K226">
        <f>'G-P Exposure BF Coeff'!B233</f>
        <v>0.4</v>
      </c>
      <c r="L226">
        <f>'G-P Exposure BF Coeff'!C233</f>
        <v>2.6349999999999998</v>
      </c>
      <c r="M226">
        <f>'G-P Exposure BF Coeff'!D233</f>
        <v>1.86</v>
      </c>
      <c r="N226">
        <f>'G-P Exposure BF Coeff'!E233</f>
        <v>-0.14599999999999999</v>
      </c>
      <c r="O226">
        <f>'G-P Exposure BF Coeff'!F233</f>
        <v>14.24</v>
      </c>
      <c r="P226">
        <f>'G-P Exposure BF Coeff'!G233</f>
        <v>5.8299999999999998E-2</v>
      </c>
      <c r="Q226">
        <f>'G-P Exposure BF Coeff'!H233</f>
        <v>2.1700000000000001E-2</v>
      </c>
      <c r="R226">
        <f>'G-P Exposure BF Coeff'!I233</f>
        <v>35</v>
      </c>
      <c r="S226">
        <f>'G-P Exposure BF Coeff'!J233</f>
        <v>1.3769999999999999E-2</v>
      </c>
      <c r="U226" s="13">
        <f t="shared" si="79"/>
        <v>0</v>
      </c>
      <c r="V226" s="13">
        <f t="shared" si="71"/>
        <v>0</v>
      </c>
      <c r="W226" s="13">
        <f t="shared" si="72"/>
        <v>0</v>
      </c>
      <c r="X226" s="13">
        <f t="shared" si="73"/>
        <v>0</v>
      </c>
      <c r="Y226" s="13">
        <f t="shared" si="74"/>
        <v>0</v>
      </c>
      <c r="Z226" s="13">
        <f t="shared" si="75"/>
        <v>0</v>
      </c>
      <c r="AA226" s="13">
        <f t="shared" si="76"/>
        <v>0</v>
      </c>
      <c r="AB226" s="13">
        <f t="shared" si="77"/>
        <v>0</v>
      </c>
      <c r="AC226" s="13">
        <f t="shared" si="78"/>
        <v>0</v>
      </c>
    </row>
    <row r="227" spans="1:29">
      <c r="A227">
        <v>0.5</v>
      </c>
      <c r="B227">
        <v>2.496</v>
      </c>
      <c r="C227">
        <v>1.736</v>
      </c>
      <c r="D227">
        <v>-0.13</v>
      </c>
      <c r="E227">
        <v>14.32</v>
      </c>
      <c r="F227">
        <v>5.0500000000000003E-2</v>
      </c>
      <c r="G227" s="2">
        <v>2.3E-2</v>
      </c>
      <c r="H227">
        <v>1</v>
      </c>
      <c r="I227" s="2">
        <v>1.2670000000000001E-2</v>
      </c>
      <c r="K227">
        <f>'G-P Exposure BF Coeff'!B234</f>
        <v>0.5</v>
      </c>
      <c r="L227">
        <f>'G-P Exposure BF Coeff'!C234</f>
        <v>2.496</v>
      </c>
      <c r="M227">
        <f>'G-P Exposure BF Coeff'!D234</f>
        <v>1.736</v>
      </c>
      <c r="N227">
        <f>'G-P Exposure BF Coeff'!E234</f>
        <v>-0.13</v>
      </c>
      <c r="O227">
        <f>'G-P Exposure BF Coeff'!F234</f>
        <v>14.32</v>
      </c>
      <c r="P227">
        <f>'G-P Exposure BF Coeff'!G234</f>
        <v>5.0500000000000003E-2</v>
      </c>
      <c r="Q227">
        <f>'G-P Exposure BF Coeff'!H234</f>
        <v>2.3E-2</v>
      </c>
      <c r="R227">
        <f>'G-P Exposure BF Coeff'!I234</f>
        <v>1</v>
      </c>
      <c r="S227">
        <f>'G-P Exposure BF Coeff'!J234</f>
        <v>1.2670000000000001E-2</v>
      </c>
      <c r="U227" s="13">
        <f t="shared" si="79"/>
        <v>0</v>
      </c>
      <c r="V227" s="13">
        <f t="shared" si="71"/>
        <v>0</v>
      </c>
      <c r="W227" s="13">
        <f t="shared" si="72"/>
        <v>0</v>
      </c>
      <c r="X227" s="13">
        <f t="shared" si="73"/>
        <v>0</v>
      </c>
      <c r="Y227" s="13">
        <f t="shared" si="74"/>
        <v>0</v>
      </c>
      <c r="Z227" s="13">
        <f t="shared" si="75"/>
        <v>0</v>
      </c>
      <c r="AA227" s="13">
        <f t="shared" si="76"/>
        <v>0</v>
      </c>
      <c r="AB227" s="13">
        <f t="shared" si="77"/>
        <v>0</v>
      </c>
      <c r="AC227" s="13">
        <f t="shared" si="78"/>
        <v>0</v>
      </c>
    </row>
    <row r="228" spans="1:29">
      <c r="A228">
        <v>0.6</v>
      </c>
      <c r="B228">
        <v>2.371</v>
      </c>
      <c r="C228">
        <v>1.6559999999999999</v>
      </c>
      <c r="D228">
        <v>-0.12</v>
      </c>
      <c r="E228">
        <v>14.27</v>
      </c>
      <c r="F228">
        <v>4.7199999999999999E-2</v>
      </c>
      <c r="G228" s="2">
        <v>1.7999999999999999E-2</v>
      </c>
      <c r="H228">
        <v>25</v>
      </c>
      <c r="I228" s="2">
        <v>1.1979999999999999E-2</v>
      </c>
      <c r="K228">
        <f>'G-P Exposure BF Coeff'!B235</f>
        <v>0.6</v>
      </c>
      <c r="L228">
        <f>'G-P Exposure BF Coeff'!C235</f>
        <v>2.371</v>
      </c>
      <c r="M228">
        <f>'G-P Exposure BF Coeff'!D235</f>
        <v>1.6559999999999999</v>
      </c>
      <c r="N228">
        <f>'G-P Exposure BF Coeff'!E235</f>
        <v>-0.12</v>
      </c>
      <c r="O228">
        <f>'G-P Exposure BF Coeff'!F235</f>
        <v>14.27</v>
      </c>
      <c r="P228">
        <f>'G-P Exposure BF Coeff'!G235</f>
        <v>4.7199999999999999E-2</v>
      </c>
      <c r="Q228">
        <f>'G-P Exposure BF Coeff'!H235</f>
        <v>1.7999999999999999E-2</v>
      </c>
      <c r="R228">
        <f>'G-P Exposure BF Coeff'!I235</f>
        <v>25</v>
      </c>
      <c r="S228">
        <f>'G-P Exposure BF Coeff'!J235</f>
        <v>1.1979999999999999E-2</v>
      </c>
      <c r="U228" s="13">
        <f t="shared" si="79"/>
        <v>0</v>
      </c>
      <c r="V228" s="13">
        <f t="shared" si="71"/>
        <v>0</v>
      </c>
      <c r="W228" s="13">
        <f t="shared" si="72"/>
        <v>0</v>
      </c>
      <c r="X228" s="13">
        <f t="shared" si="73"/>
        <v>0</v>
      </c>
      <c r="Y228" s="13">
        <f t="shared" si="74"/>
        <v>0</v>
      </c>
      <c r="Z228" s="13">
        <f t="shared" si="75"/>
        <v>0</v>
      </c>
      <c r="AA228" s="13">
        <f t="shared" si="76"/>
        <v>0</v>
      </c>
      <c r="AB228" s="13">
        <f t="shared" si="77"/>
        <v>0</v>
      </c>
      <c r="AC228" s="13">
        <f t="shared" si="78"/>
        <v>0</v>
      </c>
    </row>
    <row r="229" spans="1:29">
      <c r="A229">
        <v>0.8</v>
      </c>
      <c r="B229">
        <v>2.2069999999999999</v>
      </c>
      <c r="C229">
        <v>1.532</v>
      </c>
      <c r="D229">
        <v>-0.10299999999999999</v>
      </c>
      <c r="E229">
        <v>14.12</v>
      </c>
      <c r="F229">
        <v>4.2500000000000003E-2</v>
      </c>
      <c r="G229" s="2">
        <v>1.9199999999999998E-2</v>
      </c>
      <c r="H229">
        <v>0.5</v>
      </c>
      <c r="I229" s="2">
        <v>1.1310000000000001E-2</v>
      </c>
      <c r="K229">
        <f>'G-P Exposure BF Coeff'!B236</f>
        <v>0.8</v>
      </c>
      <c r="L229">
        <f>'G-P Exposure BF Coeff'!C236</f>
        <v>2.2069999999999999</v>
      </c>
      <c r="M229">
        <f>'G-P Exposure BF Coeff'!D236</f>
        <v>1.532</v>
      </c>
      <c r="N229">
        <f>'G-P Exposure BF Coeff'!E236</f>
        <v>-0.10299999999999999</v>
      </c>
      <c r="O229">
        <f>'G-P Exposure BF Coeff'!F236</f>
        <v>14.12</v>
      </c>
      <c r="P229">
        <f>'G-P Exposure BF Coeff'!G236</f>
        <v>4.2500000000000003E-2</v>
      </c>
      <c r="Q229">
        <f>'G-P Exposure BF Coeff'!H236</f>
        <v>1.9199999999999998E-2</v>
      </c>
      <c r="R229">
        <f>'G-P Exposure BF Coeff'!I236</f>
        <v>0.5</v>
      </c>
      <c r="S229">
        <f>'G-P Exposure BF Coeff'!J236</f>
        <v>1.1310000000000001E-2</v>
      </c>
      <c r="U229" s="13">
        <f t="shared" si="79"/>
        <v>0</v>
      </c>
      <c r="V229" s="13">
        <f t="shared" si="71"/>
        <v>0</v>
      </c>
      <c r="W229" s="13">
        <f t="shared" si="72"/>
        <v>0</v>
      </c>
      <c r="X229" s="13">
        <f t="shared" si="73"/>
        <v>0</v>
      </c>
      <c r="Y229" s="13">
        <f t="shared" si="74"/>
        <v>0</v>
      </c>
      <c r="Z229" s="13">
        <f t="shared" si="75"/>
        <v>0</v>
      </c>
      <c r="AA229" s="13">
        <f t="shared" si="76"/>
        <v>0</v>
      </c>
      <c r="AB229" s="13">
        <f t="shared" si="77"/>
        <v>0</v>
      </c>
      <c r="AC229" s="13">
        <f t="shared" si="78"/>
        <v>0</v>
      </c>
    </row>
    <row r="230" spans="1:29">
      <c r="A230">
        <v>1</v>
      </c>
      <c r="B230">
        <v>2.1019999999999999</v>
      </c>
      <c r="C230">
        <v>1.4279999999999999</v>
      </c>
      <c r="D230">
        <v>-8.5999999999999993E-2</v>
      </c>
      <c r="E230">
        <v>14.35</v>
      </c>
      <c r="F230">
        <v>3.44E-2</v>
      </c>
      <c r="G230" s="2">
        <v>1.6299999999999999E-2</v>
      </c>
      <c r="H230">
        <v>0.5</v>
      </c>
      <c r="I230" s="2">
        <v>8.5800000000000008E-3</v>
      </c>
      <c r="K230">
        <f>'G-P Exposure BF Coeff'!B237</f>
        <v>1</v>
      </c>
      <c r="L230">
        <f>'G-P Exposure BF Coeff'!C237</f>
        <v>2.1019999999999999</v>
      </c>
      <c r="M230">
        <f>'G-P Exposure BF Coeff'!D237</f>
        <v>1.4279999999999999</v>
      </c>
      <c r="N230">
        <f>'G-P Exposure BF Coeff'!E237</f>
        <v>-8.5999999999999993E-2</v>
      </c>
      <c r="O230">
        <f>'G-P Exposure BF Coeff'!F237</f>
        <v>14.35</v>
      </c>
      <c r="P230">
        <f>'G-P Exposure BF Coeff'!G237</f>
        <v>3.44E-2</v>
      </c>
      <c r="Q230">
        <f>'G-P Exposure BF Coeff'!H237</f>
        <v>1.6299999999999999E-2</v>
      </c>
      <c r="R230">
        <f>'G-P Exposure BF Coeff'!I237</f>
        <v>0.5</v>
      </c>
      <c r="S230">
        <f>'G-P Exposure BF Coeff'!J237</f>
        <v>8.5800000000000008E-3</v>
      </c>
      <c r="U230" s="13">
        <f t="shared" si="79"/>
        <v>0</v>
      </c>
      <c r="V230" s="13">
        <f t="shared" si="71"/>
        <v>0</v>
      </c>
      <c r="W230" s="13">
        <f t="shared" si="72"/>
        <v>0</v>
      </c>
      <c r="X230" s="13">
        <f t="shared" si="73"/>
        <v>0</v>
      </c>
      <c r="Y230" s="13">
        <f t="shared" si="74"/>
        <v>0</v>
      </c>
      <c r="Z230" s="13">
        <f t="shared" si="75"/>
        <v>0</v>
      </c>
      <c r="AA230" s="13">
        <f t="shared" si="76"/>
        <v>0</v>
      </c>
      <c r="AB230" s="13">
        <f t="shared" si="77"/>
        <v>0</v>
      </c>
      <c r="AC230" s="13">
        <f t="shared" si="78"/>
        <v>0</v>
      </c>
    </row>
    <row r="231" spans="1:29">
      <c r="A231">
        <v>1.5</v>
      </c>
      <c r="B231">
        <v>1.9390000000000001</v>
      </c>
      <c r="C231">
        <v>1.2649999999999999</v>
      </c>
      <c r="D231">
        <v>-5.7000000000000002E-2</v>
      </c>
      <c r="E231">
        <v>14.24</v>
      </c>
      <c r="F231">
        <v>2.3199999999999998E-2</v>
      </c>
      <c r="G231" s="2">
        <v>1.2200000000000001E-2</v>
      </c>
      <c r="H231">
        <v>0.5</v>
      </c>
      <c r="I231" s="2">
        <v>6.1000000000000004E-3</v>
      </c>
      <c r="K231">
        <f>'G-P Exposure BF Coeff'!B238</f>
        <v>1.5</v>
      </c>
      <c r="L231">
        <f>'G-P Exposure BF Coeff'!C238</f>
        <v>1.9390000000000001</v>
      </c>
      <c r="M231">
        <f>'G-P Exposure BF Coeff'!D238</f>
        <v>1.2649999999999999</v>
      </c>
      <c r="N231">
        <f>'G-P Exposure BF Coeff'!E238</f>
        <v>-5.7000000000000002E-2</v>
      </c>
      <c r="O231">
        <f>'G-P Exposure BF Coeff'!F238</f>
        <v>14.24</v>
      </c>
      <c r="P231">
        <f>'G-P Exposure BF Coeff'!G238</f>
        <v>2.3199999999999998E-2</v>
      </c>
      <c r="Q231">
        <f>'G-P Exposure BF Coeff'!H238</f>
        <v>1.2200000000000001E-2</v>
      </c>
      <c r="R231">
        <f>'G-P Exposure BF Coeff'!I238</f>
        <v>0.5</v>
      </c>
      <c r="S231">
        <f>'G-P Exposure BF Coeff'!J238</f>
        <v>6.1000000000000004E-3</v>
      </c>
      <c r="U231" s="13">
        <f t="shared" si="79"/>
        <v>0</v>
      </c>
      <c r="V231" s="13">
        <f t="shared" si="71"/>
        <v>0</v>
      </c>
      <c r="W231" s="13">
        <f t="shared" si="72"/>
        <v>0</v>
      </c>
      <c r="X231" s="13">
        <f t="shared" si="73"/>
        <v>0</v>
      </c>
      <c r="Y231" s="13">
        <f t="shared" si="74"/>
        <v>0</v>
      </c>
      <c r="Z231" s="13">
        <f t="shared" si="75"/>
        <v>0</v>
      </c>
      <c r="AA231" s="13">
        <f t="shared" si="76"/>
        <v>0</v>
      </c>
      <c r="AB231" s="13">
        <f t="shared" si="77"/>
        <v>0</v>
      </c>
      <c r="AC231" s="13">
        <f t="shared" si="78"/>
        <v>0</v>
      </c>
    </row>
    <row r="232" spans="1:29">
      <c r="A232">
        <v>2</v>
      </c>
      <c r="B232">
        <v>1.835</v>
      </c>
      <c r="C232">
        <v>1.173</v>
      </c>
      <c r="D232">
        <v>-3.9E-2</v>
      </c>
      <c r="E232">
        <v>14.07</v>
      </c>
      <c r="F232">
        <v>1.61E-2</v>
      </c>
      <c r="G232" s="2">
        <v>1.3100000000000001E-2</v>
      </c>
      <c r="H232">
        <v>0.5</v>
      </c>
      <c r="I232" s="2">
        <v>5.3400000000000001E-3</v>
      </c>
      <c r="K232">
        <f>'G-P Exposure BF Coeff'!B239</f>
        <v>2</v>
      </c>
      <c r="L232">
        <f>'G-P Exposure BF Coeff'!C239</f>
        <v>1.835</v>
      </c>
      <c r="M232">
        <f>'G-P Exposure BF Coeff'!D239</f>
        <v>1.173</v>
      </c>
      <c r="N232">
        <f>'G-P Exposure BF Coeff'!E239</f>
        <v>-3.9E-2</v>
      </c>
      <c r="O232">
        <f>'G-P Exposure BF Coeff'!F239</f>
        <v>14.07</v>
      </c>
      <c r="P232">
        <f>'G-P Exposure BF Coeff'!G239</f>
        <v>1.61E-2</v>
      </c>
      <c r="Q232">
        <f>'G-P Exposure BF Coeff'!H239</f>
        <v>1.3100000000000001E-2</v>
      </c>
      <c r="R232">
        <f>'G-P Exposure BF Coeff'!I239</f>
        <v>0.5</v>
      </c>
      <c r="S232">
        <f>'G-P Exposure BF Coeff'!J239</f>
        <v>5.3400000000000001E-3</v>
      </c>
      <c r="U232" s="13">
        <f t="shared" si="79"/>
        <v>0</v>
      </c>
      <c r="V232" s="13">
        <f t="shared" si="71"/>
        <v>0</v>
      </c>
      <c r="W232" s="13">
        <f t="shared" si="72"/>
        <v>0</v>
      </c>
      <c r="X232" s="13">
        <f t="shared" si="73"/>
        <v>0</v>
      </c>
      <c r="Y232" s="13">
        <f t="shared" si="74"/>
        <v>0</v>
      </c>
      <c r="Z232" s="13">
        <f t="shared" si="75"/>
        <v>0</v>
      </c>
      <c r="AA232" s="13">
        <f t="shared" si="76"/>
        <v>0</v>
      </c>
      <c r="AB232" s="13">
        <f t="shared" si="77"/>
        <v>0</v>
      </c>
      <c r="AC232" s="13">
        <f t="shared" si="78"/>
        <v>0</v>
      </c>
    </row>
    <row r="233" spans="1:29">
      <c r="A233">
        <v>3</v>
      </c>
      <c r="B233">
        <v>1.712</v>
      </c>
      <c r="C233">
        <v>1.0509999999999999</v>
      </c>
      <c r="D233">
        <v>-1.0999999999999999E-2</v>
      </c>
      <c r="E233">
        <v>13.67</v>
      </c>
      <c r="F233">
        <v>2.3999999999999998E-3</v>
      </c>
      <c r="G233" s="2">
        <v>8.0999999999999996E-3</v>
      </c>
      <c r="H233">
        <v>0.5</v>
      </c>
      <c r="I233" s="2">
        <v>2.5400000000000002E-3</v>
      </c>
      <c r="K233">
        <f>'G-P Exposure BF Coeff'!B240</f>
        <v>3</v>
      </c>
      <c r="L233">
        <f>'G-P Exposure BF Coeff'!C240</f>
        <v>1.712</v>
      </c>
      <c r="M233">
        <f>'G-P Exposure BF Coeff'!D240</f>
        <v>1.0509999999999999</v>
      </c>
      <c r="N233">
        <f>'G-P Exposure BF Coeff'!E240</f>
        <v>-1.0999999999999999E-2</v>
      </c>
      <c r="O233">
        <f>'G-P Exposure BF Coeff'!F240</f>
        <v>13.67</v>
      </c>
      <c r="P233">
        <f>'G-P Exposure BF Coeff'!G240</f>
        <v>2.3999999999999998E-3</v>
      </c>
      <c r="Q233">
        <f>'G-P Exposure BF Coeff'!H240</f>
        <v>8.0999999999999996E-3</v>
      </c>
      <c r="R233">
        <f>'G-P Exposure BF Coeff'!I240</f>
        <v>0.5</v>
      </c>
      <c r="S233">
        <f>'G-P Exposure BF Coeff'!J240</f>
        <v>2.5400000000000002E-3</v>
      </c>
      <c r="U233" s="13">
        <f t="shared" si="79"/>
        <v>0</v>
      </c>
      <c r="V233" s="13">
        <f t="shared" si="71"/>
        <v>0</v>
      </c>
      <c r="W233" s="13">
        <f t="shared" si="72"/>
        <v>0</v>
      </c>
      <c r="X233" s="13">
        <f t="shared" si="73"/>
        <v>0</v>
      </c>
      <c r="Y233" s="13">
        <f t="shared" si="74"/>
        <v>0</v>
      </c>
      <c r="Z233" s="13">
        <f t="shared" si="75"/>
        <v>0</v>
      </c>
      <c r="AA233" s="13">
        <f t="shared" si="76"/>
        <v>0</v>
      </c>
      <c r="AB233" s="13">
        <f t="shared" si="77"/>
        <v>0</v>
      </c>
      <c r="AC233" s="13">
        <f t="shared" si="78"/>
        <v>0</v>
      </c>
    </row>
    <row r="234" spans="1:29">
      <c r="A234">
        <v>4</v>
      </c>
      <c r="B234">
        <v>1.627</v>
      </c>
      <c r="C234">
        <v>0.98299999999999998</v>
      </c>
      <c r="D234">
        <v>6.0000000000000001E-3</v>
      </c>
      <c r="E234">
        <v>13.51</v>
      </c>
      <c r="F234">
        <v>-5.1000000000000004E-3</v>
      </c>
      <c r="G234" s="2">
        <v>4.4000000000000003E-3</v>
      </c>
      <c r="H234">
        <v>5</v>
      </c>
      <c r="I234" s="2">
        <v>2.5699999999999998E-3</v>
      </c>
      <c r="K234">
        <f>'G-P Exposure BF Coeff'!B241</f>
        <v>4</v>
      </c>
      <c r="L234">
        <f>'G-P Exposure BF Coeff'!C241</f>
        <v>1.627</v>
      </c>
      <c r="M234">
        <f>'G-P Exposure BF Coeff'!D241</f>
        <v>0.98299999999999998</v>
      </c>
      <c r="N234">
        <f>'G-P Exposure BF Coeff'!E241</f>
        <v>6.0000000000000001E-3</v>
      </c>
      <c r="O234">
        <f>'G-P Exposure BF Coeff'!F241</f>
        <v>13.51</v>
      </c>
      <c r="P234">
        <f>'G-P Exposure BF Coeff'!G241</f>
        <v>-5.1000000000000004E-3</v>
      </c>
      <c r="Q234">
        <f>'G-P Exposure BF Coeff'!H241</f>
        <v>4.4000000000000003E-3</v>
      </c>
      <c r="R234">
        <f>'G-P Exposure BF Coeff'!I241</f>
        <v>5</v>
      </c>
      <c r="S234">
        <f>'G-P Exposure BF Coeff'!J241</f>
        <v>2.5699999999999998E-3</v>
      </c>
      <c r="U234" s="13">
        <f t="shared" si="79"/>
        <v>0</v>
      </c>
      <c r="V234" s="13">
        <f t="shared" si="71"/>
        <v>0</v>
      </c>
      <c r="W234" s="13">
        <f t="shared" si="72"/>
        <v>0</v>
      </c>
      <c r="X234" s="13">
        <f t="shared" si="73"/>
        <v>0</v>
      </c>
      <c r="Y234" s="13">
        <f t="shared" si="74"/>
        <v>0</v>
      </c>
      <c r="Z234" s="13">
        <f t="shared" si="75"/>
        <v>0</v>
      </c>
      <c r="AA234" s="13">
        <f t="shared" si="76"/>
        <v>0</v>
      </c>
      <c r="AB234" s="13">
        <f t="shared" si="77"/>
        <v>0</v>
      </c>
      <c r="AC234" s="13">
        <f t="shared" si="78"/>
        <v>0</v>
      </c>
    </row>
    <row r="235" spans="1:29">
      <c r="A235">
        <v>5</v>
      </c>
      <c r="B235">
        <v>1.5580000000000001</v>
      </c>
      <c r="C235">
        <v>0.94299999999999995</v>
      </c>
      <c r="D235">
        <v>1.7000000000000001E-2</v>
      </c>
      <c r="E235">
        <v>13.82</v>
      </c>
      <c r="F235">
        <v>-1.17E-2</v>
      </c>
      <c r="G235" s="2">
        <v>7.6E-3</v>
      </c>
      <c r="H235">
        <v>1</v>
      </c>
      <c r="I235" s="2">
        <v>3.7100000000000002E-3</v>
      </c>
      <c r="K235">
        <f>'G-P Exposure BF Coeff'!B242</f>
        <v>5</v>
      </c>
      <c r="L235">
        <f>'G-P Exposure BF Coeff'!C242</f>
        <v>1.5580000000000001</v>
      </c>
      <c r="M235">
        <f>'G-P Exposure BF Coeff'!D242</f>
        <v>0.94299999999999995</v>
      </c>
      <c r="N235">
        <f>'G-P Exposure BF Coeff'!E242</f>
        <v>1.7000000000000001E-2</v>
      </c>
      <c r="O235">
        <f>'G-P Exposure BF Coeff'!F242</f>
        <v>13.82</v>
      </c>
      <c r="P235">
        <f>'G-P Exposure BF Coeff'!G242</f>
        <v>-1.17E-2</v>
      </c>
      <c r="Q235">
        <f>'G-P Exposure BF Coeff'!H242</f>
        <v>7.6E-3</v>
      </c>
      <c r="R235">
        <f>'G-P Exposure BF Coeff'!I242</f>
        <v>1</v>
      </c>
      <c r="S235">
        <f>'G-P Exposure BF Coeff'!J242</f>
        <v>3.7100000000000002E-3</v>
      </c>
      <c r="U235" s="13">
        <f t="shared" si="79"/>
        <v>0</v>
      </c>
      <c r="V235" s="13">
        <f t="shared" si="71"/>
        <v>0</v>
      </c>
      <c r="W235" s="13">
        <f t="shared" si="72"/>
        <v>0</v>
      </c>
      <c r="X235" s="13">
        <f t="shared" si="73"/>
        <v>0</v>
      </c>
      <c r="Y235" s="13">
        <f t="shared" si="74"/>
        <v>0</v>
      </c>
      <c r="Z235" s="13">
        <f t="shared" si="75"/>
        <v>0</v>
      </c>
      <c r="AA235" s="13">
        <f t="shared" si="76"/>
        <v>0</v>
      </c>
      <c r="AB235" s="13">
        <f t="shared" si="77"/>
        <v>0</v>
      </c>
      <c r="AC235" s="13">
        <f t="shared" si="78"/>
        <v>0</v>
      </c>
    </row>
    <row r="236" spans="1:29">
      <c r="A236">
        <v>6</v>
      </c>
      <c r="B236">
        <v>1.5049999999999999</v>
      </c>
      <c r="C236">
        <v>0.91500000000000004</v>
      </c>
      <c r="D236">
        <v>2.5000000000000001E-2</v>
      </c>
      <c r="E236">
        <v>16.37</v>
      </c>
      <c r="F236">
        <v>-2.3099999999999999E-2</v>
      </c>
      <c r="G236" s="2">
        <v>9.9000000000000008E-3</v>
      </c>
      <c r="H236">
        <v>1</v>
      </c>
      <c r="I236" s="2">
        <v>5.13E-3</v>
      </c>
      <c r="K236">
        <f>'G-P Exposure BF Coeff'!B243</f>
        <v>6</v>
      </c>
      <c r="L236">
        <f>'G-P Exposure BF Coeff'!C243</f>
        <v>1.5049999999999999</v>
      </c>
      <c r="M236">
        <f>'G-P Exposure BF Coeff'!D243</f>
        <v>0.91500000000000004</v>
      </c>
      <c r="N236">
        <f>'G-P Exposure BF Coeff'!E243</f>
        <v>2.5000000000000001E-2</v>
      </c>
      <c r="O236">
        <f>'G-P Exposure BF Coeff'!F243</f>
        <v>16.37</v>
      </c>
      <c r="P236">
        <f>'G-P Exposure BF Coeff'!G243</f>
        <v>-2.3099999999999999E-2</v>
      </c>
      <c r="Q236">
        <f>'G-P Exposure BF Coeff'!H243</f>
        <v>9.9000000000000008E-3</v>
      </c>
      <c r="R236">
        <f>'G-P Exposure BF Coeff'!I243</f>
        <v>1</v>
      </c>
      <c r="S236">
        <f>'G-P Exposure BF Coeff'!J243</f>
        <v>5.13E-3</v>
      </c>
      <c r="U236" s="13">
        <f t="shared" si="79"/>
        <v>0</v>
      </c>
      <c r="V236" s="13">
        <f t="shared" si="71"/>
        <v>0</v>
      </c>
      <c r="W236" s="13">
        <f t="shared" si="72"/>
        <v>0</v>
      </c>
      <c r="X236" s="13">
        <f t="shared" si="73"/>
        <v>0</v>
      </c>
      <c r="Y236" s="13">
        <f t="shared" si="74"/>
        <v>0</v>
      </c>
      <c r="Z236" s="13">
        <f t="shared" si="75"/>
        <v>0</v>
      </c>
      <c r="AA236" s="13">
        <f t="shared" si="76"/>
        <v>0</v>
      </c>
      <c r="AB236" s="13">
        <f t="shared" si="77"/>
        <v>0</v>
      </c>
      <c r="AC236" s="13">
        <f t="shared" si="78"/>
        <v>0</v>
      </c>
    </row>
    <row r="237" spans="1:29">
      <c r="A237">
        <v>8</v>
      </c>
      <c r="B237">
        <v>1.4179999999999999</v>
      </c>
      <c r="C237">
        <v>0.89100000000000001</v>
      </c>
      <c r="D237">
        <v>3.2000000000000001E-2</v>
      </c>
      <c r="E237">
        <v>12.06</v>
      </c>
      <c r="F237">
        <v>-1.67E-2</v>
      </c>
      <c r="G237" s="2">
        <v>1.12E-2</v>
      </c>
      <c r="H237">
        <v>0.5</v>
      </c>
      <c r="I237" s="2">
        <v>4.1799999999999997E-3</v>
      </c>
      <c r="K237">
        <f>'G-P Exposure BF Coeff'!B244</f>
        <v>8</v>
      </c>
      <c r="L237">
        <f>'G-P Exposure BF Coeff'!C244</f>
        <v>1.4179999999999999</v>
      </c>
      <c r="M237">
        <f>'G-P Exposure BF Coeff'!D244</f>
        <v>0.89100000000000001</v>
      </c>
      <c r="N237">
        <f>'G-P Exposure BF Coeff'!E244</f>
        <v>3.2000000000000001E-2</v>
      </c>
      <c r="O237">
        <f>'G-P Exposure BF Coeff'!F244</f>
        <v>12.06</v>
      </c>
      <c r="P237">
        <f>'G-P Exposure BF Coeff'!G244</f>
        <v>-1.67E-2</v>
      </c>
      <c r="Q237">
        <f>'G-P Exposure BF Coeff'!H244</f>
        <v>1.12E-2</v>
      </c>
      <c r="R237">
        <f>'G-P Exposure BF Coeff'!I244</f>
        <v>0.5</v>
      </c>
      <c r="S237">
        <f>'G-P Exposure BF Coeff'!J244</f>
        <v>4.1799999999999997E-3</v>
      </c>
      <c r="U237" s="13">
        <f t="shared" si="79"/>
        <v>0</v>
      </c>
      <c r="V237" s="13">
        <f t="shared" si="71"/>
        <v>0</v>
      </c>
      <c r="W237" s="13">
        <f t="shared" si="72"/>
        <v>0</v>
      </c>
      <c r="X237" s="13">
        <f t="shared" si="73"/>
        <v>0</v>
      </c>
      <c r="Y237" s="13">
        <f t="shared" si="74"/>
        <v>0</v>
      </c>
      <c r="Z237" s="13">
        <f t="shared" si="75"/>
        <v>0</v>
      </c>
      <c r="AA237" s="13">
        <f t="shared" si="76"/>
        <v>0</v>
      </c>
      <c r="AB237" s="13">
        <f t="shared" si="77"/>
        <v>0</v>
      </c>
      <c r="AC237" s="13">
        <f t="shared" si="78"/>
        <v>0</v>
      </c>
    </row>
    <row r="238" spans="1:29">
      <c r="A238">
        <v>10</v>
      </c>
      <c r="B238">
        <v>1.3580000000000001</v>
      </c>
      <c r="C238">
        <v>0.875</v>
      </c>
      <c r="D238">
        <v>3.6999999999999998E-2</v>
      </c>
      <c r="E238">
        <v>14.01</v>
      </c>
      <c r="F238">
        <v>-2.2599999999999999E-2</v>
      </c>
      <c r="G238" s="2">
        <v>1.1599999999999999E-2</v>
      </c>
      <c r="H238">
        <v>0.5</v>
      </c>
      <c r="I238" s="2">
        <v>5.47E-3</v>
      </c>
      <c r="K238">
        <f>'G-P Exposure BF Coeff'!B245</f>
        <v>10</v>
      </c>
      <c r="L238">
        <f>'G-P Exposure BF Coeff'!C245</f>
        <v>1.3580000000000001</v>
      </c>
      <c r="M238">
        <f>'G-P Exposure BF Coeff'!D245</f>
        <v>0.875</v>
      </c>
      <c r="N238">
        <f>'G-P Exposure BF Coeff'!E245</f>
        <v>3.6999999999999998E-2</v>
      </c>
      <c r="O238">
        <f>'G-P Exposure BF Coeff'!F245</f>
        <v>14.01</v>
      </c>
      <c r="P238">
        <f>'G-P Exposure BF Coeff'!G245</f>
        <v>-2.2599999999999999E-2</v>
      </c>
      <c r="Q238">
        <f>'G-P Exposure BF Coeff'!H245</f>
        <v>1.1599999999999999E-2</v>
      </c>
      <c r="R238">
        <f>'G-P Exposure BF Coeff'!I245</f>
        <v>0.5</v>
      </c>
      <c r="S238">
        <f>'G-P Exposure BF Coeff'!J245</f>
        <v>5.47E-3</v>
      </c>
      <c r="U238" s="13">
        <f>(K238-A238)/K238</f>
        <v>0</v>
      </c>
      <c r="V238" s="13">
        <f t="shared" si="71"/>
        <v>0</v>
      </c>
      <c r="W238" s="13">
        <f t="shared" si="72"/>
        <v>0</v>
      </c>
      <c r="X238" s="13">
        <f t="shared" si="73"/>
        <v>0</v>
      </c>
      <c r="Y238" s="13">
        <f t="shared" si="74"/>
        <v>0</v>
      </c>
      <c r="Z238" s="13">
        <f t="shared" si="75"/>
        <v>0</v>
      </c>
      <c r="AA238" s="13">
        <f t="shared" si="76"/>
        <v>0</v>
      </c>
      <c r="AB238" s="13">
        <f t="shared" si="77"/>
        <v>0</v>
      </c>
      <c r="AC238" s="13">
        <f t="shared" si="78"/>
        <v>0</v>
      </c>
    </row>
    <row r="239" spans="1:29">
      <c r="A239">
        <v>15</v>
      </c>
      <c r="B239">
        <v>1.2669999999999999</v>
      </c>
      <c r="C239">
        <v>0.84399999999999997</v>
      </c>
      <c r="D239">
        <v>4.8000000000000001E-2</v>
      </c>
      <c r="E239">
        <v>14.55</v>
      </c>
      <c r="F239">
        <v>-3.44E-2</v>
      </c>
      <c r="G239" s="2">
        <v>1.0800000000000001E-2</v>
      </c>
      <c r="H239">
        <v>4</v>
      </c>
      <c r="I239" s="2">
        <v>6.5100000000000002E-3</v>
      </c>
      <c r="K239">
        <f>'G-P Exposure BF Coeff'!B246</f>
        <v>15</v>
      </c>
      <c r="L239">
        <f>'G-P Exposure BF Coeff'!C246</f>
        <v>1.2669999999999999</v>
      </c>
      <c r="M239">
        <f>'G-P Exposure BF Coeff'!D246</f>
        <v>0.84399999999999997</v>
      </c>
      <c r="N239">
        <f>'G-P Exposure BF Coeff'!E246</f>
        <v>4.8000000000000001E-2</v>
      </c>
      <c r="O239">
        <f>'G-P Exposure BF Coeff'!F246</f>
        <v>14.55</v>
      </c>
      <c r="P239">
        <f>'G-P Exposure BF Coeff'!G246</f>
        <v>-3.44E-2</v>
      </c>
      <c r="Q239">
        <f>'G-P Exposure BF Coeff'!H246</f>
        <v>1.0800000000000001E-2</v>
      </c>
      <c r="R239">
        <f>'G-P Exposure BF Coeff'!I246</f>
        <v>4</v>
      </c>
      <c r="S239">
        <f>'G-P Exposure BF Coeff'!J246</f>
        <v>6.5100000000000002E-3</v>
      </c>
      <c r="U239" s="13">
        <f t="shared" ref="U239" si="80">(K239-A239)/K239</f>
        <v>0</v>
      </c>
      <c r="V239" s="13">
        <f t="shared" si="71"/>
        <v>0</v>
      </c>
      <c r="W239" s="13">
        <f t="shared" si="72"/>
        <v>0</v>
      </c>
      <c r="X239" s="13">
        <f t="shared" si="73"/>
        <v>0</v>
      </c>
      <c r="Y239" s="13">
        <f t="shared" si="74"/>
        <v>0</v>
      </c>
      <c r="Z239" s="13">
        <f t="shared" si="75"/>
        <v>0</v>
      </c>
      <c r="AA239" s="13">
        <f t="shared" si="76"/>
        <v>0</v>
      </c>
      <c r="AB239" s="13">
        <f t="shared" si="77"/>
        <v>0</v>
      </c>
      <c r="AC239" s="13">
        <f t="shared" si="78"/>
        <v>0</v>
      </c>
    </row>
    <row r="241" spans="1:29">
      <c r="A241" t="s">
        <v>111</v>
      </c>
    </row>
    <row r="243" spans="1:29">
      <c r="K243" t="s">
        <v>111</v>
      </c>
    </row>
    <row r="244" spans="1:29">
      <c r="A244" s="15" t="s">
        <v>1</v>
      </c>
      <c r="B244" s="15" t="s">
        <v>11</v>
      </c>
      <c r="C244" s="15" t="s">
        <v>12</v>
      </c>
      <c r="D244" s="15" t="s">
        <v>13</v>
      </c>
      <c r="E244" s="15" t="s">
        <v>16</v>
      </c>
      <c r="F244" s="15" t="s">
        <v>14</v>
      </c>
      <c r="G244" s="15" t="s">
        <v>17</v>
      </c>
      <c r="H244" s="15" t="s">
        <v>18</v>
      </c>
      <c r="I244" s="15" t="s">
        <v>15</v>
      </c>
      <c r="K244" s="15" t="s">
        <v>1</v>
      </c>
      <c r="L244" s="15" t="s">
        <v>11</v>
      </c>
      <c r="M244" s="15" t="s">
        <v>12</v>
      </c>
      <c r="N244" s="15" t="s">
        <v>13</v>
      </c>
      <c r="O244" s="15" t="s">
        <v>16</v>
      </c>
      <c r="P244" s="15" t="s">
        <v>14</v>
      </c>
      <c r="Q244" s="15" t="s">
        <v>17</v>
      </c>
      <c r="R244" s="15" t="s">
        <v>18</v>
      </c>
      <c r="S244" s="15" t="s">
        <v>15</v>
      </c>
      <c r="U244" s="15" t="s">
        <v>1</v>
      </c>
      <c r="V244" s="15" t="s">
        <v>11</v>
      </c>
      <c r="W244" s="15" t="s">
        <v>12</v>
      </c>
      <c r="X244" s="15" t="s">
        <v>13</v>
      </c>
      <c r="Y244" s="15" t="s">
        <v>16</v>
      </c>
      <c r="Z244" s="15" t="s">
        <v>14</v>
      </c>
      <c r="AA244" s="15" t="s">
        <v>17</v>
      </c>
      <c r="AB244" s="15" t="s">
        <v>18</v>
      </c>
      <c r="AC244" s="15" t="s">
        <v>15</v>
      </c>
    </row>
    <row r="245" spans="1:29">
      <c r="A245">
        <v>1.4999999999999999E-2</v>
      </c>
      <c r="B245">
        <v>1.0289999999999999</v>
      </c>
      <c r="C245">
        <v>0.36399999999999999</v>
      </c>
      <c r="D245">
        <v>0.24</v>
      </c>
      <c r="E245">
        <v>14.12</v>
      </c>
      <c r="F245">
        <v>-0.1704</v>
      </c>
      <c r="G245" s="2">
        <v>4.5999999999999999E-3</v>
      </c>
      <c r="H245">
        <v>25</v>
      </c>
      <c r="I245" s="2">
        <v>2.3600000000000001E-3</v>
      </c>
      <c r="K245">
        <f>'G-P Exposure BF Coeff'!B250</f>
        <v>1.4999999999999999E-2</v>
      </c>
      <c r="L245">
        <f>'G-P Exposure BF Coeff'!C250</f>
        <v>1.0289999999999999</v>
      </c>
      <c r="M245">
        <f>'G-P Exposure BF Coeff'!D250</f>
        <v>0.36399999999999999</v>
      </c>
      <c r="N245">
        <f>'G-P Exposure BF Coeff'!E250</f>
        <v>0.24</v>
      </c>
      <c r="O245">
        <f>'G-P Exposure BF Coeff'!F250</f>
        <v>14.12</v>
      </c>
      <c r="P245">
        <f>'G-P Exposure BF Coeff'!G250</f>
        <v>-0.1704</v>
      </c>
      <c r="Q245">
        <f>'G-P Exposure BF Coeff'!H250</f>
        <v>4.5999999999999999E-3</v>
      </c>
      <c r="R245">
        <f>'G-P Exposure BF Coeff'!I250</f>
        <v>25</v>
      </c>
      <c r="S245">
        <f>'G-P Exposure BF Coeff'!J250</f>
        <v>2.3600000000000001E-3</v>
      </c>
      <c r="U245" s="13">
        <f>(K245-A245)/K245</f>
        <v>0</v>
      </c>
      <c r="V245" s="13">
        <f t="shared" ref="V245:V269" si="81">(L245-B245)/L245</f>
        <v>0</v>
      </c>
      <c r="W245" s="13">
        <f t="shared" ref="W245:W269" si="82">(M245-C245)/M245</f>
        <v>0</v>
      </c>
      <c r="X245" s="13">
        <f t="shared" ref="X245:X269" si="83">(N245-D245)/N245</f>
        <v>0</v>
      </c>
      <c r="Y245" s="13">
        <f t="shared" ref="Y245:Y269" si="84">(O245-E245)/O245</f>
        <v>0</v>
      </c>
      <c r="Z245" s="13">
        <f t="shared" ref="Z245:Z269" si="85">(P245-F245)/P245</f>
        <v>0</v>
      </c>
      <c r="AA245" s="13">
        <f t="shared" ref="AA245:AA269" si="86">(Q245-G245)/Q245</f>
        <v>0</v>
      </c>
      <c r="AB245" s="13">
        <f t="shared" ref="AB245:AB269" si="87">(R245-H245)/R245</f>
        <v>0</v>
      </c>
      <c r="AC245" s="13">
        <f t="shared" ref="AC245:AC269" si="88">(S245-I245)/S245</f>
        <v>0</v>
      </c>
    </row>
    <row r="246" spans="1:29">
      <c r="A246">
        <v>0.02</v>
      </c>
      <c r="B246">
        <v>1.0669999999999999</v>
      </c>
      <c r="C246">
        <v>0.38900000000000001</v>
      </c>
      <c r="D246">
        <v>0.214</v>
      </c>
      <c r="E246">
        <v>12.68</v>
      </c>
      <c r="F246">
        <v>-0.11260000000000001</v>
      </c>
      <c r="G246" s="2">
        <v>7.1999999999999998E-3</v>
      </c>
      <c r="H246">
        <v>0.5</v>
      </c>
      <c r="I246" s="2">
        <v>3.5899999999999999E-3</v>
      </c>
      <c r="K246">
        <f>'G-P Exposure BF Coeff'!B251</f>
        <v>0.02</v>
      </c>
      <c r="L246">
        <f>'G-P Exposure BF Coeff'!C251</f>
        <v>1.0669999999999999</v>
      </c>
      <c r="M246">
        <f>'G-P Exposure BF Coeff'!D251</f>
        <v>0.38900000000000001</v>
      </c>
      <c r="N246">
        <f>'G-P Exposure BF Coeff'!E251</f>
        <v>0.214</v>
      </c>
      <c r="O246">
        <f>'G-P Exposure BF Coeff'!F251</f>
        <v>12.68</v>
      </c>
      <c r="P246">
        <f>'G-P Exposure BF Coeff'!G251</f>
        <v>-0.11260000000000001</v>
      </c>
      <c r="Q246">
        <f>'G-P Exposure BF Coeff'!H251</f>
        <v>7.1999999999999998E-3</v>
      </c>
      <c r="R246">
        <f>'G-P Exposure BF Coeff'!I251</f>
        <v>0.5</v>
      </c>
      <c r="S246">
        <f>'G-P Exposure BF Coeff'!J251</f>
        <v>3.5899999999999999E-3</v>
      </c>
      <c r="U246" s="13">
        <f t="shared" ref="U246:U267" si="89">(K246-A246)/K246</f>
        <v>0</v>
      </c>
      <c r="V246" s="13">
        <f t="shared" si="81"/>
        <v>0</v>
      </c>
      <c r="W246" s="13">
        <f t="shared" si="82"/>
        <v>0</v>
      </c>
      <c r="X246" s="13">
        <f t="shared" si="83"/>
        <v>0</v>
      </c>
      <c r="Y246" s="13">
        <f t="shared" si="84"/>
        <v>0</v>
      </c>
      <c r="Z246" s="13">
        <f t="shared" si="85"/>
        <v>0</v>
      </c>
      <c r="AA246" s="13">
        <f t="shared" si="86"/>
        <v>0</v>
      </c>
      <c r="AB246" s="13">
        <f t="shared" si="87"/>
        <v>0</v>
      </c>
      <c r="AC246" s="13">
        <f t="shared" si="88"/>
        <v>0</v>
      </c>
    </row>
    <row r="247" spans="1:29">
      <c r="A247">
        <v>0.03</v>
      </c>
      <c r="B247">
        <v>1.212</v>
      </c>
      <c r="C247">
        <v>0.42099999999999999</v>
      </c>
      <c r="D247">
        <v>0.20100000000000001</v>
      </c>
      <c r="E247">
        <v>14.12</v>
      </c>
      <c r="F247">
        <v>-0.1079</v>
      </c>
      <c r="G247" s="2">
        <v>1.5599999999999999E-2</v>
      </c>
      <c r="H247">
        <v>0.5</v>
      </c>
      <c r="I247" s="2">
        <v>6.1000000000000004E-3</v>
      </c>
      <c r="K247">
        <f>'G-P Exposure BF Coeff'!B252</f>
        <v>0.03</v>
      </c>
      <c r="L247">
        <f>'G-P Exposure BF Coeff'!C252</f>
        <v>1.212</v>
      </c>
      <c r="M247">
        <f>'G-P Exposure BF Coeff'!D252</f>
        <v>0.42099999999999999</v>
      </c>
      <c r="N247">
        <f>'G-P Exposure BF Coeff'!E252</f>
        <v>0.20100000000000001</v>
      </c>
      <c r="O247">
        <f>'G-P Exposure BF Coeff'!F252</f>
        <v>14.12</v>
      </c>
      <c r="P247">
        <f>'G-P Exposure BF Coeff'!G252</f>
        <v>-0.1079</v>
      </c>
      <c r="Q247">
        <f>'G-P Exposure BF Coeff'!H252</f>
        <v>1.5599999999999999E-2</v>
      </c>
      <c r="R247">
        <f>'G-P Exposure BF Coeff'!I252</f>
        <v>0.5</v>
      </c>
      <c r="S247">
        <f>'G-P Exposure BF Coeff'!J252</f>
        <v>6.1000000000000004E-3</v>
      </c>
      <c r="U247" s="13">
        <f t="shared" si="89"/>
        <v>0</v>
      </c>
      <c r="V247" s="13">
        <f t="shared" si="81"/>
        <v>0</v>
      </c>
      <c r="W247" s="13">
        <f t="shared" si="82"/>
        <v>0</v>
      </c>
      <c r="X247" s="13">
        <f t="shared" si="83"/>
        <v>0</v>
      </c>
      <c r="Y247" s="13">
        <f t="shared" si="84"/>
        <v>0</v>
      </c>
      <c r="Z247" s="13">
        <f t="shared" si="85"/>
        <v>0</v>
      </c>
      <c r="AA247" s="13">
        <f t="shared" si="86"/>
        <v>0</v>
      </c>
      <c r="AB247" s="13">
        <f t="shared" si="87"/>
        <v>0</v>
      </c>
      <c r="AC247" s="13">
        <f t="shared" si="88"/>
        <v>0</v>
      </c>
    </row>
    <row r="248" spans="1:29">
      <c r="A248">
        <v>0.04</v>
      </c>
      <c r="B248">
        <v>1.4550000000000001</v>
      </c>
      <c r="C248">
        <v>0.49299999999999999</v>
      </c>
      <c r="D248">
        <v>0.17100000000000001</v>
      </c>
      <c r="E248">
        <v>14.53</v>
      </c>
      <c r="F248">
        <v>-9.2499999999999999E-2</v>
      </c>
      <c r="G248" s="2">
        <v>2.01E-2</v>
      </c>
      <c r="H248">
        <v>0.5</v>
      </c>
      <c r="I248" s="2">
        <v>8.3099999999999997E-3</v>
      </c>
      <c r="K248">
        <f>'G-P Exposure BF Coeff'!B253</f>
        <v>0.04</v>
      </c>
      <c r="L248">
        <f>'G-P Exposure BF Coeff'!C253</f>
        <v>1.4550000000000001</v>
      </c>
      <c r="M248">
        <f>'G-P Exposure BF Coeff'!D253</f>
        <v>0.49299999999999999</v>
      </c>
      <c r="N248">
        <f>'G-P Exposure BF Coeff'!E253</f>
        <v>0.17100000000000001</v>
      </c>
      <c r="O248">
        <f>'G-P Exposure BF Coeff'!F253</f>
        <v>14.53</v>
      </c>
      <c r="P248">
        <f>'G-P Exposure BF Coeff'!G253</f>
        <v>-9.2499999999999999E-2</v>
      </c>
      <c r="Q248">
        <f>'G-P Exposure BF Coeff'!H253</f>
        <v>2.01E-2</v>
      </c>
      <c r="R248">
        <f>'G-P Exposure BF Coeff'!I253</f>
        <v>0.5</v>
      </c>
      <c r="S248">
        <f>'G-P Exposure BF Coeff'!J253</f>
        <v>8.3099999999999997E-3</v>
      </c>
      <c r="U248" s="13">
        <f t="shared" si="89"/>
        <v>0</v>
      </c>
      <c r="V248" s="13">
        <f t="shared" si="81"/>
        <v>0</v>
      </c>
      <c r="W248" s="13">
        <f t="shared" si="82"/>
        <v>0</v>
      </c>
      <c r="X248" s="13">
        <f t="shared" si="83"/>
        <v>0</v>
      </c>
      <c r="Y248" s="13">
        <f t="shared" si="84"/>
        <v>0</v>
      </c>
      <c r="Z248" s="13">
        <f t="shared" si="85"/>
        <v>0</v>
      </c>
      <c r="AA248" s="13">
        <f t="shared" si="86"/>
        <v>0</v>
      </c>
      <c r="AB248" s="13">
        <f t="shared" si="87"/>
        <v>0</v>
      </c>
      <c r="AC248" s="13">
        <f t="shared" si="88"/>
        <v>0</v>
      </c>
    </row>
    <row r="249" spans="1:29">
      <c r="A249">
        <v>0.05</v>
      </c>
      <c r="B249">
        <v>1.7370000000000001</v>
      </c>
      <c r="C249">
        <v>0.628</v>
      </c>
      <c r="D249">
        <v>0.115</v>
      </c>
      <c r="E249">
        <v>15.82</v>
      </c>
      <c r="F249">
        <v>-0.06</v>
      </c>
      <c r="G249" s="2">
        <v>9.7000000000000003E-3</v>
      </c>
      <c r="H249">
        <v>2</v>
      </c>
      <c r="I249" s="2">
        <v>4.9899999999999996E-3</v>
      </c>
      <c r="K249">
        <f>'G-P Exposure BF Coeff'!B254</f>
        <v>0.05</v>
      </c>
      <c r="L249">
        <f>'G-P Exposure BF Coeff'!C254</f>
        <v>1.7370000000000001</v>
      </c>
      <c r="M249">
        <f>'G-P Exposure BF Coeff'!D254</f>
        <v>0.628</v>
      </c>
      <c r="N249">
        <f>'G-P Exposure BF Coeff'!E254</f>
        <v>0.115</v>
      </c>
      <c r="O249">
        <f>'G-P Exposure BF Coeff'!F254</f>
        <v>15.82</v>
      </c>
      <c r="P249">
        <f>'G-P Exposure BF Coeff'!G254</f>
        <v>-0.06</v>
      </c>
      <c r="Q249">
        <f>'G-P Exposure BF Coeff'!H254</f>
        <v>9.7000000000000003E-3</v>
      </c>
      <c r="R249">
        <f>'G-P Exposure BF Coeff'!I254</f>
        <v>2</v>
      </c>
      <c r="S249">
        <f>'G-P Exposure BF Coeff'!J254</f>
        <v>4.9899999999999996E-3</v>
      </c>
      <c r="U249" s="13">
        <f t="shared" si="89"/>
        <v>0</v>
      </c>
      <c r="V249" s="13">
        <f t="shared" si="81"/>
        <v>0</v>
      </c>
      <c r="W249" s="13">
        <f t="shared" si="82"/>
        <v>0</v>
      </c>
      <c r="X249" s="13">
        <f t="shared" si="83"/>
        <v>0</v>
      </c>
      <c r="Y249" s="13">
        <f t="shared" si="84"/>
        <v>0</v>
      </c>
      <c r="Z249" s="13">
        <f t="shared" si="85"/>
        <v>0</v>
      </c>
      <c r="AA249" s="13">
        <f t="shared" si="86"/>
        <v>0</v>
      </c>
      <c r="AB249" s="13">
        <f t="shared" si="87"/>
        <v>0</v>
      </c>
      <c r="AC249" s="13">
        <f t="shared" si="88"/>
        <v>0</v>
      </c>
    </row>
    <row r="250" spans="1:29">
      <c r="A250">
        <v>0.06</v>
      </c>
      <c r="B250">
        <v>2.125</v>
      </c>
      <c r="C250">
        <v>0.66400000000000003</v>
      </c>
      <c r="D250">
        <v>0.11799999999999999</v>
      </c>
      <c r="E250">
        <v>11.9</v>
      </c>
      <c r="F250">
        <v>-6.1499999999999999E-2</v>
      </c>
      <c r="G250" s="2">
        <v>2.9000000000000001E-2</v>
      </c>
      <c r="H250">
        <v>0.5</v>
      </c>
      <c r="I250" s="2">
        <v>1.389E-2</v>
      </c>
      <c r="K250">
        <f>'G-P Exposure BF Coeff'!B255</f>
        <v>0.06</v>
      </c>
      <c r="L250">
        <f>'G-P Exposure BF Coeff'!C255</f>
        <v>2.125</v>
      </c>
      <c r="M250">
        <f>'G-P Exposure BF Coeff'!D255</f>
        <v>0.66400000000000003</v>
      </c>
      <c r="N250">
        <f>'G-P Exposure BF Coeff'!E255</f>
        <v>0.11799999999999999</v>
      </c>
      <c r="O250">
        <f>'G-P Exposure BF Coeff'!F255</f>
        <v>11.9</v>
      </c>
      <c r="P250">
        <f>'G-P Exposure BF Coeff'!G255</f>
        <v>-6.1499999999999999E-2</v>
      </c>
      <c r="Q250">
        <f>'G-P Exposure BF Coeff'!H255</f>
        <v>2.9000000000000001E-2</v>
      </c>
      <c r="R250">
        <f>'G-P Exposure BF Coeff'!I255</f>
        <v>0.5</v>
      </c>
      <c r="S250">
        <f>'G-P Exposure BF Coeff'!J255</f>
        <v>1.389E-2</v>
      </c>
      <c r="U250" s="13">
        <f t="shared" si="89"/>
        <v>0</v>
      </c>
      <c r="V250" s="13">
        <f t="shared" si="81"/>
        <v>0</v>
      </c>
      <c r="W250" s="13">
        <f t="shared" si="82"/>
        <v>0</v>
      </c>
      <c r="X250" s="13">
        <f t="shared" si="83"/>
        <v>0</v>
      </c>
      <c r="Y250" s="13">
        <f t="shared" si="84"/>
        <v>0</v>
      </c>
      <c r="Z250" s="13">
        <f t="shared" si="85"/>
        <v>0</v>
      </c>
      <c r="AA250" s="13">
        <f t="shared" si="86"/>
        <v>0</v>
      </c>
      <c r="AB250" s="13">
        <f t="shared" si="87"/>
        <v>0</v>
      </c>
      <c r="AC250" s="13">
        <f t="shared" si="88"/>
        <v>0</v>
      </c>
    </row>
    <row r="251" spans="1:29">
      <c r="A251">
        <v>0.08</v>
      </c>
      <c r="B251">
        <v>2.5569999999999999</v>
      </c>
      <c r="C251">
        <v>0.89500000000000002</v>
      </c>
      <c r="D251">
        <v>4.2000000000000003E-2</v>
      </c>
      <c r="E251">
        <v>14.37</v>
      </c>
      <c r="F251">
        <v>-4.1300000000000003E-2</v>
      </c>
      <c r="G251" s="2">
        <v>1.8599999999999998E-2</v>
      </c>
      <c r="H251">
        <v>0.5</v>
      </c>
      <c r="I251" s="2">
        <v>9.58E-3</v>
      </c>
      <c r="K251">
        <f>'G-P Exposure BF Coeff'!B256</f>
        <v>0.08</v>
      </c>
      <c r="L251">
        <f>'G-P Exposure BF Coeff'!C256</f>
        <v>2.5569999999999999</v>
      </c>
      <c r="M251">
        <f>'G-P Exposure BF Coeff'!D256</f>
        <v>0.89500000000000002</v>
      </c>
      <c r="N251">
        <f>'G-P Exposure BF Coeff'!E256</f>
        <v>4.2000000000000003E-2</v>
      </c>
      <c r="O251">
        <f>'G-P Exposure BF Coeff'!F256</f>
        <v>14.37</v>
      </c>
      <c r="P251">
        <f>'G-P Exposure BF Coeff'!G256</f>
        <v>-4.1300000000000003E-2</v>
      </c>
      <c r="Q251">
        <f>'G-P Exposure BF Coeff'!H256</f>
        <v>1.8599999999999998E-2</v>
      </c>
      <c r="R251">
        <f>'G-P Exposure BF Coeff'!I256</f>
        <v>0.5</v>
      </c>
      <c r="S251">
        <f>'G-P Exposure BF Coeff'!J256</f>
        <v>9.58E-3</v>
      </c>
      <c r="U251" s="13">
        <f t="shared" si="89"/>
        <v>0</v>
      </c>
      <c r="V251" s="13">
        <f t="shared" si="81"/>
        <v>0</v>
      </c>
      <c r="W251" s="13">
        <f t="shared" si="82"/>
        <v>0</v>
      </c>
      <c r="X251" s="13">
        <f t="shared" si="83"/>
        <v>0</v>
      </c>
      <c r="Y251" s="13">
        <f t="shared" si="84"/>
        <v>0</v>
      </c>
      <c r="Z251" s="13">
        <f t="shared" si="85"/>
        <v>0</v>
      </c>
      <c r="AA251" s="13">
        <f t="shared" si="86"/>
        <v>0</v>
      </c>
      <c r="AB251" s="13">
        <f t="shared" si="87"/>
        <v>0</v>
      </c>
      <c r="AC251" s="13">
        <f t="shared" si="88"/>
        <v>0</v>
      </c>
    </row>
    <row r="252" spans="1:29">
      <c r="A252">
        <v>0.1</v>
      </c>
      <c r="B252">
        <v>2.766</v>
      </c>
      <c r="C252">
        <v>1.069</v>
      </c>
      <c r="D252">
        <v>1E-3</v>
      </c>
      <c r="E252">
        <v>12.64</v>
      </c>
      <c r="F252">
        <v>-2.5100000000000001E-2</v>
      </c>
      <c r="G252" s="2">
        <v>1.14E-2</v>
      </c>
      <c r="H252">
        <v>35</v>
      </c>
      <c r="I252" s="2">
        <v>6.2300000000000003E-3</v>
      </c>
      <c r="K252">
        <f>'G-P Exposure BF Coeff'!B257</f>
        <v>0.1</v>
      </c>
      <c r="L252">
        <f>'G-P Exposure BF Coeff'!C257</f>
        <v>2.766</v>
      </c>
      <c r="M252">
        <f>'G-P Exposure BF Coeff'!D257</f>
        <v>1.069</v>
      </c>
      <c r="N252">
        <f>'G-P Exposure BF Coeff'!E257</f>
        <v>1E-3</v>
      </c>
      <c r="O252">
        <f>'G-P Exposure BF Coeff'!F257</f>
        <v>12.64</v>
      </c>
      <c r="P252">
        <f>'G-P Exposure BF Coeff'!G257</f>
        <v>-2.5100000000000001E-2</v>
      </c>
      <c r="Q252">
        <f>'G-P Exposure BF Coeff'!H257</f>
        <v>1.14E-2</v>
      </c>
      <c r="R252">
        <f>'G-P Exposure BF Coeff'!I257</f>
        <v>35</v>
      </c>
      <c r="S252">
        <f>'G-P Exposure BF Coeff'!J257</f>
        <v>6.2300000000000003E-3</v>
      </c>
      <c r="U252" s="13">
        <f t="shared" si="89"/>
        <v>0</v>
      </c>
      <c r="V252" s="13">
        <f t="shared" si="81"/>
        <v>0</v>
      </c>
      <c r="W252" s="13">
        <f t="shared" si="82"/>
        <v>0</v>
      </c>
      <c r="X252" s="13">
        <f t="shared" si="83"/>
        <v>0</v>
      </c>
      <c r="Y252" s="13">
        <f t="shared" si="84"/>
        <v>0</v>
      </c>
      <c r="Z252" s="13">
        <f t="shared" si="85"/>
        <v>0</v>
      </c>
      <c r="AA252" s="13">
        <f t="shared" si="86"/>
        <v>0</v>
      </c>
      <c r="AB252" s="13">
        <f t="shared" si="87"/>
        <v>0</v>
      </c>
      <c r="AC252" s="13">
        <f t="shared" si="88"/>
        <v>0</v>
      </c>
    </row>
    <row r="253" spans="1:29">
      <c r="A253">
        <v>0.15</v>
      </c>
      <c r="B253">
        <v>2.8119999999999998</v>
      </c>
      <c r="C253">
        <v>1.319</v>
      </c>
      <c r="D253">
        <v>-0.05</v>
      </c>
      <c r="E253">
        <v>8.75</v>
      </c>
      <c r="F253">
        <v>-4.0000000000000001E-3</v>
      </c>
      <c r="G253" s="2">
        <v>4.1000000000000003E-3</v>
      </c>
      <c r="H253">
        <v>5</v>
      </c>
      <c r="I253" s="2">
        <v>2.6900000000000001E-3</v>
      </c>
      <c r="K253">
        <f>'G-P Exposure BF Coeff'!B258</f>
        <v>0.15</v>
      </c>
      <c r="L253">
        <f>'G-P Exposure BF Coeff'!C258</f>
        <v>2.8239999999999998</v>
      </c>
      <c r="M253">
        <f>'G-P Exposure BF Coeff'!D258</f>
        <v>1.3149999999999999</v>
      </c>
      <c r="N253">
        <f>'G-P Exposure BF Coeff'!E258</f>
        <v>-4.9000000000000002E-2</v>
      </c>
      <c r="O253">
        <f>'G-P Exposure BF Coeff'!F258</f>
        <v>8.66</v>
      </c>
      <c r="P253">
        <f>'G-P Exposure BF Coeff'!G258</f>
        <v>-4.7999999999999996E-3</v>
      </c>
      <c r="Q253">
        <f>'G-P Exposure BF Coeff'!H258</f>
        <v>3.5999999999999999E-3</v>
      </c>
      <c r="R253">
        <f>'G-P Exposure BF Coeff'!I258</f>
        <v>30</v>
      </c>
      <c r="S253">
        <f>'G-P Exposure BF Coeff'!J258</f>
        <v>1.75E-3</v>
      </c>
      <c r="U253" s="13">
        <f t="shared" si="89"/>
        <v>0</v>
      </c>
      <c r="V253" s="13">
        <f t="shared" si="81"/>
        <v>4.2492917847025535E-3</v>
      </c>
      <c r="W253" s="13">
        <f t="shared" si="82"/>
        <v>-3.0418250950570371E-3</v>
      </c>
      <c r="X253" s="13">
        <f t="shared" si="83"/>
        <v>-2.0408163265306138E-2</v>
      </c>
      <c r="Y253" s="13">
        <f t="shared" si="84"/>
        <v>-1.0392609699769037E-2</v>
      </c>
      <c r="Z253" s="13">
        <f t="shared" si="85"/>
        <v>0.16666666666666657</v>
      </c>
      <c r="AA253" s="13">
        <f t="shared" si="86"/>
        <v>-0.13888888888888901</v>
      </c>
      <c r="AB253" s="13">
        <f t="shared" si="87"/>
        <v>0.83333333333333337</v>
      </c>
      <c r="AC253" s="13">
        <f t="shared" si="88"/>
        <v>-0.53714285714285714</v>
      </c>
    </row>
    <row r="254" spans="1:29">
      <c r="A254">
        <v>0.2</v>
      </c>
      <c r="B254">
        <v>2.7160000000000002</v>
      </c>
      <c r="C254">
        <v>1.43</v>
      </c>
      <c r="D254">
        <v>-7.0000000000000007E-2</v>
      </c>
      <c r="E254">
        <v>18.52</v>
      </c>
      <c r="F254">
        <v>1.0800000000000001E-2</v>
      </c>
      <c r="G254" s="2">
        <v>5.0000000000000001E-3</v>
      </c>
      <c r="H254">
        <v>0.5</v>
      </c>
      <c r="I254" s="2">
        <v>1.64E-3</v>
      </c>
      <c r="K254">
        <f>'G-P Exposure BF Coeff'!B259</f>
        <v>0.2</v>
      </c>
      <c r="L254">
        <f>'G-P Exposure BF Coeff'!C259</f>
        <v>2.7160000000000002</v>
      </c>
      <c r="M254">
        <f>'G-P Exposure BF Coeff'!D259</f>
        <v>1.43</v>
      </c>
      <c r="N254">
        <f>'G-P Exposure BF Coeff'!E259</f>
        <v>-7.0000000000000007E-2</v>
      </c>
      <c r="O254">
        <f>'G-P Exposure BF Coeff'!F259</f>
        <v>18.52</v>
      </c>
      <c r="P254">
        <f>'G-P Exposure BF Coeff'!G259</f>
        <v>1.0800000000000001E-2</v>
      </c>
      <c r="Q254">
        <f>'G-P Exposure BF Coeff'!H259</f>
        <v>5.0000000000000001E-3</v>
      </c>
      <c r="R254">
        <f>'G-P Exposure BF Coeff'!I259</f>
        <v>0.5</v>
      </c>
      <c r="S254">
        <f>'G-P Exposure BF Coeff'!J259</f>
        <v>1.64E-3</v>
      </c>
      <c r="U254" s="13">
        <f t="shared" si="89"/>
        <v>0</v>
      </c>
      <c r="V254" s="13">
        <f t="shared" si="81"/>
        <v>0</v>
      </c>
      <c r="W254" s="13">
        <f t="shared" si="82"/>
        <v>0</v>
      </c>
      <c r="X254" s="13">
        <f t="shared" si="83"/>
        <v>0</v>
      </c>
      <c r="Y254" s="13">
        <f t="shared" si="84"/>
        <v>0</v>
      </c>
      <c r="Z254" s="13">
        <f t="shared" si="85"/>
        <v>0</v>
      </c>
      <c r="AA254" s="13">
        <f t="shared" si="86"/>
        <v>0</v>
      </c>
      <c r="AB254" s="13">
        <f t="shared" si="87"/>
        <v>0</v>
      </c>
      <c r="AC254" s="13">
        <f t="shared" si="88"/>
        <v>0</v>
      </c>
    </row>
    <row r="255" spans="1:29">
      <c r="A255">
        <v>0.3</v>
      </c>
      <c r="B255">
        <v>2.5219999999999998</v>
      </c>
      <c r="C255">
        <v>1.492</v>
      </c>
      <c r="D255">
        <v>-8.2000000000000003E-2</v>
      </c>
      <c r="E255">
        <v>16.59</v>
      </c>
      <c r="F255">
        <v>1.61E-2</v>
      </c>
      <c r="G255" s="2">
        <v>4.8999999999999998E-3</v>
      </c>
      <c r="H255">
        <v>40</v>
      </c>
      <c r="I255" s="2">
        <v>2.4599999999999999E-3</v>
      </c>
      <c r="K255">
        <f>'G-P Exposure BF Coeff'!B260</f>
        <v>0.3</v>
      </c>
      <c r="L255">
        <f>'G-P Exposure BF Coeff'!C260</f>
        <v>2.5219999999999998</v>
      </c>
      <c r="M255">
        <f>'G-P Exposure BF Coeff'!D260</f>
        <v>1.492</v>
      </c>
      <c r="N255">
        <f>'G-P Exposure BF Coeff'!E260</f>
        <v>-8.2000000000000003E-2</v>
      </c>
      <c r="O255">
        <f>'G-P Exposure BF Coeff'!F260</f>
        <v>16.59</v>
      </c>
      <c r="P255">
        <f>'G-P Exposure BF Coeff'!G260</f>
        <v>1.61E-2</v>
      </c>
      <c r="Q255">
        <f>'G-P Exposure BF Coeff'!H260</f>
        <v>4.8999999999999998E-3</v>
      </c>
      <c r="R255">
        <f>'G-P Exposure BF Coeff'!I260</f>
        <v>40</v>
      </c>
      <c r="S255">
        <f>'G-P Exposure BF Coeff'!J260</f>
        <v>2.4599999999999999E-3</v>
      </c>
      <c r="U255" s="13">
        <f t="shared" si="89"/>
        <v>0</v>
      </c>
      <c r="V255" s="13">
        <f t="shared" si="81"/>
        <v>0</v>
      </c>
      <c r="W255" s="13">
        <f t="shared" si="82"/>
        <v>0</v>
      </c>
      <c r="X255" s="13">
        <f t="shared" si="83"/>
        <v>0</v>
      </c>
      <c r="Y255" s="13">
        <f t="shared" si="84"/>
        <v>0</v>
      </c>
      <c r="Z255" s="13">
        <f t="shared" si="85"/>
        <v>0</v>
      </c>
      <c r="AA255" s="13">
        <f t="shared" si="86"/>
        <v>0</v>
      </c>
      <c r="AB255" s="13">
        <f t="shared" si="87"/>
        <v>0</v>
      </c>
      <c r="AC255" s="13">
        <f t="shared" si="88"/>
        <v>0</v>
      </c>
    </row>
    <row r="256" spans="1:29">
      <c r="A256">
        <v>0.4</v>
      </c>
      <c r="B256">
        <v>2.3719999999999999</v>
      </c>
      <c r="C256">
        <v>1.494</v>
      </c>
      <c r="D256">
        <v>-8.5000000000000006E-2</v>
      </c>
      <c r="E256">
        <v>15.96</v>
      </c>
      <c r="F256">
        <v>1.9400000000000001E-2</v>
      </c>
      <c r="G256" s="2">
        <v>4.0000000000000001E-3</v>
      </c>
      <c r="H256">
        <v>25</v>
      </c>
      <c r="I256" s="2">
        <v>1.9499999999999999E-3</v>
      </c>
      <c r="K256">
        <f>'G-P Exposure BF Coeff'!B261</f>
        <v>0.4</v>
      </c>
      <c r="L256">
        <f>'G-P Exposure BF Coeff'!C261</f>
        <v>2.3719999999999999</v>
      </c>
      <c r="M256">
        <f>'G-P Exposure BF Coeff'!D261</f>
        <v>1.494</v>
      </c>
      <c r="N256">
        <f>'G-P Exposure BF Coeff'!E261</f>
        <v>-8.5000000000000006E-2</v>
      </c>
      <c r="O256">
        <f>'G-P Exposure BF Coeff'!F261</f>
        <v>15.96</v>
      </c>
      <c r="P256">
        <f>'G-P Exposure BF Coeff'!G261</f>
        <v>1.9400000000000001E-2</v>
      </c>
      <c r="Q256">
        <f>'G-P Exposure BF Coeff'!H261</f>
        <v>4.0000000000000001E-3</v>
      </c>
      <c r="R256">
        <f>'G-P Exposure BF Coeff'!I261</f>
        <v>25</v>
      </c>
      <c r="S256">
        <f>'G-P Exposure BF Coeff'!J261</f>
        <v>1.9499999999999999E-3</v>
      </c>
      <c r="U256" s="13">
        <f t="shared" si="89"/>
        <v>0</v>
      </c>
      <c r="V256" s="13">
        <f t="shared" si="81"/>
        <v>0</v>
      </c>
      <c r="W256" s="13">
        <f t="shared" si="82"/>
        <v>0</v>
      </c>
      <c r="X256" s="13">
        <f t="shared" si="83"/>
        <v>0</v>
      </c>
      <c r="Y256" s="13">
        <f t="shared" si="84"/>
        <v>0</v>
      </c>
      <c r="Z256" s="13">
        <f t="shared" si="85"/>
        <v>0</v>
      </c>
      <c r="AA256" s="13">
        <f t="shared" si="86"/>
        <v>0</v>
      </c>
      <c r="AB256" s="13">
        <f t="shared" si="87"/>
        <v>0</v>
      </c>
      <c r="AC256" s="13">
        <f t="shared" si="88"/>
        <v>0</v>
      </c>
    </row>
    <row r="257" spans="1:29">
      <c r="A257">
        <v>0.5</v>
      </c>
      <c r="B257">
        <v>2.2709999999999999</v>
      </c>
      <c r="C257">
        <v>1.466</v>
      </c>
      <c r="D257">
        <v>-8.2000000000000003E-2</v>
      </c>
      <c r="E257">
        <v>16.25</v>
      </c>
      <c r="F257">
        <v>1.95E-2</v>
      </c>
      <c r="G257" s="2">
        <v>2.8E-3</v>
      </c>
      <c r="H257">
        <v>15</v>
      </c>
      <c r="I257" s="2">
        <v>1.6299999999999999E-3</v>
      </c>
      <c r="K257">
        <f>'G-P Exposure BF Coeff'!B262</f>
        <v>0.5</v>
      </c>
      <c r="L257">
        <f>'G-P Exposure BF Coeff'!C262</f>
        <v>2.2709999999999999</v>
      </c>
      <c r="M257">
        <f>'G-P Exposure BF Coeff'!D262</f>
        <v>1.466</v>
      </c>
      <c r="N257">
        <f>'G-P Exposure BF Coeff'!E262</f>
        <v>-8.2000000000000003E-2</v>
      </c>
      <c r="O257">
        <f>'G-P Exposure BF Coeff'!F262</f>
        <v>16.25</v>
      </c>
      <c r="P257">
        <f>'G-P Exposure BF Coeff'!G262</f>
        <v>1.95E-2</v>
      </c>
      <c r="Q257">
        <f>'G-P Exposure BF Coeff'!H262</f>
        <v>2.8E-3</v>
      </c>
      <c r="R257">
        <f>'G-P Exposure BF Coeff'!I262</f>
        <v>15</v>
      </c>
      <c r="S257">
        <f>'G-P Exposure BF Coeff'!J262</f>
        <v>1.6299999999999999E-3</v>
      </c>
      <c r="U257" s="13">
        <f t="shared" si="89"/>
        <v>0</v>
      </c>
      <c r="V257" s="13">
        <f t="shared" si="81"/>
        <v>0</v>
      </c>
      <c r="W257" s="13">
        <f t="shared" si="82"/>
        <v>0</v>
      </c>
      <c r="X257" s="13">
        <f t="shared" si="83"/>
        <v>0</v>
      </c>
      <c r="Y257" s="13">
        <f t="shared" si="84"/>
        <v>0</v>
      </c>
      <c r="Z257" s="13">
        <f t="shared" si="85"/>
        <v>0</v>
      </c>
      <c r="AA257" s="13">
        <f t="shared" si="86"/>
        <v>0</v>
      </c>
      <c r="AB257" s="13">
        <f t="shared" si="87"/>
        <v>0</v>
      </c>
      <c r="AC257" s="13">
        <f t="shared" si="88"/>
        <v>0</v>
      </c>
    </row>
    <row r="258" spans="1:29">
      <c r="A258">
        <v>0.6</v>
      </c>
      <c r="B258">
        <v>2.1920000000000002</v>
      </c>
      <c r="C258">
        <v>1.4339999999999999</v>
      </c>
      <c r="D258">
        <v>-7.8E-2</v>
      </c>
      <c r="E258">
        <v>17.02</v>
      </c>
      <c r="F258">
        <v>1.9900000000000001E-2</v>
      </c>
      <c r="G258" s="2">
        <v>5.4999999999999997E-3</v>
      </c>
      <c r="H258">
        <v>1</v>
      </c>
      <c r="I258" s="2">
        <v>2.4199999999999998E-3</v>
      </c>
      <c r="K258">
        <f>'G-P Exposure BF Coeff'!B263</f>
        <v>0.6</v>
      </c>
      <c r="L258">
        <f>'G-P Exposure BF Coeff'!C263</f>
        <v>2.1920000000000002</v>
      </c>
      <c r="M258">
        <f>'G-P Exposure BF Coeff'!D263</f>
        <v>1.4339999999999999</v>
      </c>
      <c r="N258">
        <f>'G-P Exposure BF Coeff'!E263</f>
        <v>-7.8E-2</v>
      </c>
      <c r="O258">
        <f>'G-P Exposure BF Coeff'!F263</f>
        <v>17.02</v>
      </c>
      <c r="P258">
        <f>'G-P Exposure BF Coeff'!G263</f>
        <v>1.9900000000000001E-2</v>
      </c>
      <c r="Q258">
        <f>'G-P Exposure BF Coeff'!H263</f>
        <v>5.4999999999999997E-3</v>
      </c>
      <c r="R258">
        <f>'G-P Exposure BF Coeff'!I263</f>
        <v>1</v>
      </c>
      <c r="S258">
        <f>'G-P Exposure BF Coeff'!J263</f>
        <v>2.4199999999999998E-3</v>
      </c>
      <c r="U258" s="13">
        <f t="shared" si="89"/>
        <v>0</v>
      </c>
      <c r="V258" s="13">
        <f t="shared" si="81"/>
        <v>0</v>
      </c>
      <c r="W258" s="13">
        <f t="shared" si="82"/>
        <v>0</v>
      </c>
      <c r="X258" s="13">
        <f t="shared" si="83"/>
        <v>0</v>
      </c>
      <c r="Y258" s="13">
        <f t="shared" si="84"/>
        <v>0</v>
      </c>
      <c r="Z258" s="13">
        <f t="shared" si="85"/>
        <v>0</v>
      </c>
      <c r="AA258" s="13">
        <f t="shared" si="86"/>
        <v>0</v>
      </c>
      <c r="AB258" s="13">
        <f t="shared" si="87"/>
        <v>0</v>
      </c>
      <c r="AC258" s="13">
        <f t="shared" si="88"/>
        <v>0</v>
      </c>
    </row>
    <row r="259" spans="1:29">
      <c r="A259">
        <v>0.8</v>
      </c>
      <c r="B259">
        <v>2.0659999999999998</v>
      </c>
      <c r="C259">
        <v>1.3859999999999999</v>
      </c>
      <c r="D259">
        <v>-7.2999999999999995E-2</v>
      </c>
      <c r="E259">
        <v>15.07</v>
      </c>
      <c r="F259">
        <v>2.0199999999999999E-2</v>
      </c>
      <c r="G259" s="2">
        <v>6.7999999999999996E-3</v>
      </c>
      <c r="H259">
        <v>35</v>
      </c>
      <c r="I259" s="2">
        <v>2.96E-3</v>
      </c>
      <c r="K259">
        <f>'G-P Exposure BF Coeff'!B264</f>
        <v>0.8</v>
      </c>
      <c r="L259">
        <f>'G-P Exposure BF Coeff'!C264</f>
        <v>2.0659999999999998</v>
      </c>
      <c r="M259">
        <f>'G-P Exposure BF Coeff'!D264</f>
        <v>1.3859999999999999</v>
      </c>
      <c r="N259">
        <f>'G-P Exposure BF Coeff'!E264</f>
        <v>-7.2999999999999995E-2</v>
      </c>
      <c r="O259">
        <f>'G-P Exposure BF Coeff'!F264</f>
        <v>15.07</v>
      </c>
      <c r="P259">
        <f>'G-P Exposure BF Coeff'!G264</f>
        <v>2.0199999999999999E-2</v>
      </c>
      <c r="Q259">
        <f>'G-P Exposure BF Coeff'!H264</f>
        <v>6.7999999999999996E-3</v>
      </c>
      <c r="R259">
        <f>'G-P Exposure BF Coeff'!I264</f>
        <v>35</v>
      </c>
      <c r="S259">
        <f>'G-P Exposure BF Coeff'!J264</f>
        <v>2.96E-3</v>
      </c>
      <c r="U259" s="13">
        <f t="shared" si="89"/>
        <v>0</v>
      </c>
      <c r="V259" s="13">
        <f t="shared" si="81"/>
        <v>0</v>
      </c>
      <c r="W259" s="13">
        <f t="shared" si="82"/>
        <v>0</v>
      </c>
      <c r="X259" s="13">
        <f t="shared" si="83"/>
        <v>0</v>
      </c>
      <c r="Y259" s="13">
        <f t="shared" si="84"/>
        <v>0</v>
      </c>
      <c r="Z259" s="13">
        <f t="shared" si="85"/>
        <v>0</v>
      </c>
      <c r="AA259" s="13">
        <f t="shared" si="86"/>
        <v>0</v>
      </c>
      <c r="AB259" s="13">
        <f t="shared" si="87"/>
        <v>0</v>
      </c>
      <c r="AC259" s="13">
        <f t="shared" si="88"/>
        <v>0</v>
      </c>
    </row>
    <row r="260" spans="1:29">
      <c r="A260">
        <v>1</v>
      </c>
      <c r="B260">
        <v>1.982</v>
      </c>
      <c r="C260">
        <v>1.3320000000000001</v>
      </c>
      <c r="D260">
        <v>-6.5000000000000002E-2</v>
      </c>
      <c r="E260">
        <v>15.38</v>
      </c>
      <c r="F260">
        <v>1.9300000000000001E-2</v>
      </c>
      <c r="G260" s="2">
        <v>4.5999999999999999E-3</v>
      </c>
      <c r="H260">
        <v>35</v>
      </c>
      <c r="I260" s="2">
        <v>1.89E-3</v>
      </c>
      <c r="K260">
        <f>'G-P Exposure BF Coeff'!B265</f>
        <v>1</v>
      </c>
      <c r="L260">
        <f>'G-P Exposure BF Coeff'!C265</f>
        <v>1.982</v>
      </c>
      <c r="M260">
        <f>'G-P Exposure BF Coeff'!D265</f>
        <v>1.3320000000000001</v>
      </c>
      <c r="N260">
        <f>'G-P Exposure BF Coeff'!E265</f>
        <v>-6.5000000000000002E-2</v>
      </c>
      <c r="O260">
        <f>'G-P Exposure BF Coeff'!F265</f>
        <v>15.38</v>
      </c>
      <c r="P260">
        <f>'G-P Exposure BF Coeff'!G265</f>
        <v>1.9300000000000001E-2</v>
      </c>
      <c r="Q260">
        <f>'G-P Exposure BF Coeff'!H265</f>
        <v>4.5999999999999999E-3</v>
      </c>
      <c r="R260">
        <f>'G-P Exposure BF Coeff'!I265</f>
        <v>35</v>
      </c>
      <c r="S260">
        <f>'G-P Exposure BF Coeff'!J265</f>
        <v>1.89E-3</v>
      </c>
      <c r="U260" s="13">
        <f t="shared" si="89"/>
        <v>0</v>
      </c>
      <c r="V260" s="13">
        <f t="shared" si="81"/>
        <v>0</v>
      </c>
      <c r="W260" s="13">
        <f t="shared" si="82"/>
        <v>0</v>
      </c>
      <c r="X260" s="13">
        <f t="shared" si="83"/>
        <v>0</v>
      </c>
      <c r="Y260" s="13">
        <f t="shared" si="84"/>
        <v>0</v>
      </c>
      <c r="Z260" s="13">
        <f t="shared" si="85"/>
        <v>0</v>
      </c>
      <c r="AA260" s="13">
        <f t="shared" si="86"/>
        <v>0</v>
      </c>
      <c r="AB260" s="13">
        <f t="shared" si="87"/>
        <v>0</v>
      </c>
      <c r="AC260" s="13">
        <f t="shared" si="88"/>
        <v>0</v>
      </c>
    </row>
    <row r="261" spans="1:29">
      <c r="A261">
        <v>1.5</v>
      </c>
      <c r="B261">
        <v>1.8480000000000001</v>
      </c>
      <c r="C261">
        <v>1.2270000000000001</v>
      </c>
      <c r="D261">
        <v>-4.7E-2</v>
      </c>
      <c r="E261">
        <v>16.41</v>
      </c>
      <c r="F261">
        <v>1.6E-2</v>
      </c>
      <c r="G261" s="2">
        <v>6.4000000000000003E-3</v>
      </c>
      <c r="H261">
        <v>0.5</v>
      </c>
      <c r="I261" s="2">
        <v>3.1700000000000001E-3</v>
      </c>
      <c r="K261">
        <f>'G-P Exposure BF Coeff'!B266</f>
        <v>1.5</v>
      </c>
      <c r="L261">
        <f>'G-P Exposure BF Coeff'!C266</f>
        <v>1.8480000000000001</v>
      </c>
      <c r="M261">
        <f>'G-P Exposure BF Coeff'!D266</f>
        <v>1.2270000000000001</v>
      </c>
      <c r="N261">
        <f>'G-P Exposure BF Coeff'!E266</f>
        <v>-4.7E-2</v>
      </c>
      <c r="O261">
        <f>'G-P Exposure BF Coeff'!F266</f>
        <v>16.41</v>
      </c>
      <c r="P261">
        <f>'G-P Exposure BF Coeff'!G266</f>
        <v>1.6E-2</v>
      </c>
      <c r="Q261">
        <f>'G-P Exposure BF Coeff'!H266</f>
        <v>6.4000000000000003E-3</v>
      </c>
      <c r="R261">
        <f>'G-P Exposure BF Coeff'!I266</f>
        <v>0.5</v>
      </c>
      <c r="S261">
        <f>'G-P Exposure BF Coeff'!J266</f>
        <v>3.1700000000000001E-3</v>
      </c>
      <c r="U261" s="13">
        <f t="shared" si="89"/>
        <v>0</v>
      </c>
      <c r="V261" s="13">
        <f t="shared" si="81"/>
        <v>0</v>
      </c>
      <c r="W261" s="13">
        <f t="shared" si="82"/>
        <v>0</v>
      </c>
      <c r="X261" s="13">
        <f t="shared" si="83"/>
        <v>0</v>
      </c>
      <c r="Y261" s="13">
        <f t="shared" si="84"/>
        <v>0</v>
      </c>
      <c r="Z261" s="13">
        <f t="shared" si="85"/>
        <v>0</v>
      </c>
      <c r="AA261" s="13">
        <f t="shared" si="86"/>
        <v>0</v>
      </c>
      <c r="AB261" s="13">
        <f t="shared" si="87"/>
        <v>0</v>
      </c>
      <c r="AC261" s="13">
        <f t="shared" si="88"/>
        <v>0</v>
      </c>
    </row>
    <row r="262" spans="1:29">
      <c r="A262">
        <v>2</v>
      </c>
      <c r="B262">
        <v>1.7749999999999999</v>
      </c>
      <c r="C262">
        <v>1.1539999999999999</v>
      </c>
      <c r="D262">
        <v>-3.3000000000000002E-2</v>
      </c>
      <c r="E262">
        <v>14.35</v>
      </c>
      <c r="F262">
        <v>0.01</v>
      </c>
      <c r="G262" s="2">
        <v>6.4000000000000003E-3</v>
      </c>
      <c r="H262">
        <v>40</v>
      </c>
      <c r="I262" s="2">
        <v>1.9400000000000001E-3</v>
      </c>
      <c r="K262">
        <f>'G-P Exposure BF Coeff'!B267</f>
        <v>2</v>
      </c>
      <c r="L262">
        <f>'G-P Exposure BF Coeff'!C267</f>
        <v>1.7749999999999999</v>
      </c>
      <c r="M262">
        <f>'G-P Exposure BF Coeff'!D267</f>
        <v>1.1539999999999999</v>
      </c>
      <c r="N262">
        <f>'G-P Exposure BF Coeff'!E267</f>
        <v>-3.3000000000000002E-2</v>
      </c>
      <c r="O262">
        <f>'G-P Exposure BF Coeff'!F267</f>
        <v>14.35</v>
      </c>
      <c r="P262">
        <f>'G-P Exposure BF Coeff'!G267</f>
        <v>0.01</v>
      </c>
      <c r="Q262">
        <f>'G-P Exposure BF Coeff'!H267</f>
        <v>6.4000000000000003E-3</v>
      </c>
      <c r="R262">
        <f>'G-P Exposure BF Coeff'!I267</f>
        <v>40</v>
      </c>
      <c r="S262">
        <f>'G-P Exposure BF Coeff'!J267</f>
        <v>1.9400000000000001E-3</v>
      </c>
      <c r="U262" s="13">
        <f t="shared" si="89"/>
        <v>0</v>
      </c>
      <c r="V262" s="13">
        <f t="shared" si="81"/>
        <v>0</v>
      </c>
      <c r="W262" s="13">
        <f t="shared" si="82"/>
        <v>0</v>
      </c>
      <c r="X262" s="13">
        <f t="shared" si="83"/>
        <v>0</v>
      </c>
      <c r="Y262" s="13">
        <f t="shared" si="84"/>
        <v>0</v>
      </c>
      <c r="Z262" s="13">
        <f t="shared" si="85"/>
        <v>0</v>
      </c>
      <c r="AA262" s="13">
        <f t="shared" si="86"/>
        <v>0</v>
      </c>
      <c r="AB262" s="13">
        <f t="shared" si="87"/>
        <v>0</v>
      </c>
      <c r="AC262" s="13">
        <f t="shared" si="88"/>
        <v>0</v>
      </c>
    </row>
    <row r="263" spans="1:29">
      <c r="A263">
        <v>3</v>
      </c>
      <c r="B263">
        <v>1.671</v>
      </c>
      <c r="C263">
        <v>1.054</v>
      </c>
      <c r="D263">
        <v>-0.01</v>
      </c>
      <c r="E263">
        <v>10.47</v>
      </c>
      <c r="F263">
        <v>-8.0000000000000004E-4</v>
      </c>
      <c r="G263" s="2">
        <v>3.0999999999999999E-3</v>
      </c>
      <c r="H263">
        <v>3</v>
      </c>
      <c r="I263" s="2">
        <v>1.5200000000000001E-3</v>
      </c>
      <c r="K263">
        <f>'G-P Exposure BF Coeff'!B268</f>
        <v>3</v>
      </c>
      <c r="L263">
        <f>'G-P Exposure BF Coeff'!C268</f>
        <v>1.671</v>
      </c>
      <c r="M263">
        <f>'G-P Exposure BF Coeff'!D268</f>
        <v>1.054</v>
      </c>
      <c r="N263">
        <f>'G-P Exposure BF Coeff'!E268</f>
        <v>-0.01</v>
      </c>
      <c r="O263">
        <f>'G-P Exposure BF Coeff'!F268</f>
        <v>10.47</v>
      </c>
      <c r="P263">
        <f>'G-P Exposure BF Coeff'!G268</f>
        <v>-8.0000000000000004E-4</v>
      </c>
      <c r="Q263">
        <f>'G-P Exposure BF Coeff'!H268</f>
        <v>3.0999999999999999E-3</v>
      </c>
      <c r="R263">
        <f>'G-P Exposure BF Coeff'!I268</f>
        <v>3</v>
      </c>
      <c r="S263">
        <f>'G-P Exposure BF Coeff'!J268</f>
        <v>1.5200000000000001E-3</v>
      </c>
      <c r="U263" s="13">
        <f t="shared" si="89"/>
        <v>0</v>
      </c>
      <c r="V263" s="13">
        <f t="shared" si="81"/>
        <v>0</v>
      </c>
      <c r="W263" s="13">
        <f t="shared" si="82"/>
        <v>0</v>
      </c>
      <c r="X263" s="13">
        <f t="shared" si="83"/>
        <v>0</v>
      </c>
      <c r="Y263" s="13">
        <f t="shared" si="84"/>
        <v>0</v>
      </c>
      <c r="Z263" s="13">
        <f t="shared" si="85"/>
        <v>0</v>
      </c>
      <c r="AA263" s="13">
        <f t="shared" si="86"/>
        <v>0</v>
      </c>
      <c r="AB263" s="13">
        <f t="shared" si="87"/>
        <v>0</v>
      </c>
      <c r="AC263" s="13">
        <f t="shared" si="88"/>
        <v>0</v>
      </c>
    </row>
    <row r="264" spans="1:29">
      <c r="A264">
        <v>4</v>
      </c>
      <c r="B264">
        <v>1.597</v>
      </c>
      <c r="C264">
        <v>0.98799999999999999</v>
      </c>
      <c r="D264">
        <v>8.0000000000000002E-3</v>
      </c>
      <c r="E264">
        <v>12.53</v>
      </c>
      <c r="F264">
        <v>-1.15E-2</v>
      </c>
      <c r="G264" s="2">
        <v>8.0999999999999996E-3</v>
      </c>
      <c r="H264">
        <v>1</v>
      </c>
      <c r="I264" s="2">
        <v>4.3299999999999996E-3</v>
      </c>
      <c r="K264">
        <f>'G-P Exposure BF Coeff'!B269</f>
        <v>4</v>
      </c>
      <c r="L264">
        <f>'G-P Exposure BF Coeff'!C269</f>
        <v>1.597</v>
      </c>
      <c r="M264">
        <f>'G-P Exposure BF Coeff'!D269</f>
        <v>0.98799999999999999</v>
      </c>
      <c r="N264">
        <f>'G-P Exposure BF Coeff'!E269</f>
        <v>8.0000000000000002E-3</v>
      </c>
      <c r="O264">
        <f>'G-P Exposure BF Coeff'!F269</f>
        <v>12.53</v>
      </c>
      <c r="P264">
        <f>'G-P Exposure BF Coeff'!G269</f>
        <v>-1.15E-2</v>
      </c>
      <c r="Q264">
        <f>'G-P Exposure BF Coeff'!H269</f>
        <v>8.0999999999999996E-3</v>
      </c>
      <c r="R264">
        <f>'G-P Exposure BF Coeff'!I269</f>
        <v>1</v>
      </c>
      <c r="S264">
        <f>'G-P Exposure BF Coeff'!J269</f>
        <v>4.3299999999999996E-3</v>
      </c>
      <c r="U264" s="13">
        <f t="shared" si="89"/>
        <v>0</v>
      </c>
      <c r="V264" s="13">
        <f t="shared" si="81"/>
        <v>0</v>
      </c>
      <c r="W264" s="13">
        <f t="shared" si="82"/>
        <v>0</v>
      </c>
      <c r="X264" s="13">
        <f t="shared" si="83"/>
        <v>0</v>
      </c>
      <c r="Y264" s="13">
        <f t="shared" si="84"/>
        <v>0</v>
      </c>
      <c r="Z264" s="13">
        <f t="shared" si="85"/>
        <v>0</v>
      </c>
      <c r="AA264" s="13">
        <f t="shared" si="86"/>
        <v>0</v>
      </c>
      <c r="AB264" s="13">
        <f t="shared" si="87"/>
        <v>0</v>
      </c>
      <c r="AC264" s="13">
        <f t="shared" si="88"/>
        <v>0</v>
      </c>
    </row>
    <row r="265" spans="1:29">
      <c r="A265">
        <v>5</v>
      </c>
      <c r="B265">
        <v>1.5309999999999999</v>
      </c>
      <c r="C265">
        <v>0.94499999999999995</v>
      </c>
      <c r="D265">
        <v>2.1999999999999999E-2</v>
      </c>
      <c r="E265">
        <v>10.26</v>
      </c>
      <c r="F265">
        <v>-1.9900000000000001E-2</v>
      </c>
      <c r="G265" s="2">
        <v>5.8999999999999999E-3</v>
      </c>
      <c r="H265">
        <v>40</v>
      </c>
      <c r="I265" s="2">
        <v>3.3500000000000001E-3</v>
      </c>
      <c r="K265">
        <f>'G-P Exposure BF Coeff'!B270</f>
        <v>5</v>
      </c>
      <c r="L265">
        <f>'G-P Exposure BF Coeff'!C270</f>
        <v>1.5269999999999999</v>
      </c>
      <c r="M265">
        <f>'G-P Exposure BF Coeff'!D270</f>
        <v>0.95099999999999996</v>
      </c>
      <c r="N265">
        <f>'G-P Exposure BF Coeff'!E270</f>
        <v>0.02</v>
      </c>
      <c r="O265">
        <f>'G-P Exposure BF Coeff'!F270</f>
        <v>9.99</v>
      </c>
      <c r="P265">
        <f>'G-P Exposure BF Coeff'!G270</f>
        <v>-1.84E-2</v>
      </c>
      <c r="Q265">
        <f>'G-P Exposure BF Coeff'!H270</f>
        <v>7.1000000000000004E-3</v>
      </c>
      <c r="R265">
        <f>'G-P Exposure BF Coeff'!I270</f>
        <v>40</v>
      </c>
      <c r="S265">
        <f>'G-P Exposure BF Coeff'!J270</f>
        <v>3.5200000000000001E-3</v>
      </c>
      <c r="U265" s="13">
        <f t="shared" si="89"/>
        <v>0</v>
      </c>
      <c r="V265" s="13">
        <f t="shared" si="81"/>
        <v>-2.6195153896529165E-3</v>
      </c>
      <c r="W265" s="13">
        <f t="shared" si="82"/>
        <v>6.309148264984233E-3</v>
      </c>
      <c r="X265" s="13">
        <f t="shared" si="83"/>
        <v>-9.9999999999999908E-2</v>
      </c>
      <c r="Y265" s="13">
        <f t="shared" si="84"/>
        <v>-2.7027027027026983E-2</v>
      </c>
      <c r="Z265" s="13">
        <f t="shared" si="85"/>
        <v>-8.1521739130434853E-2</v>
      </c>
      <c r="AA265" s="13">
        <f t="shared" si="86"/>
        <v>0.16901408450704233</v>
      </c>
      <c r="AB265" s="13">
        <f t="shared" si="87"/>
        <v>0</v>
      </c>
      <c r="AC265" s="13">
        <f t="shared" si="88"/>
        <v>4.8295454545454544E-2</v>
      </c>
    </row>
    <row r="266" spans="1:29">
      <c r="A266">
        <v>6</v>
      </c>
      <c r="B266">
        <v>1.478</v>
      </c>
      <c r="C266">
        <v>0.94</v>
      </c>
      <c r="D266">
        <v>2.1000000000000001E-2</v>
      </c>
      <c r="E266">
        <v>13.11</v>
      </c>
      <c r="F266">
        <v>-1.6299999999999999E-2</v>
      </c>
      <c r="G266" s="2">
        <v>1.2999999999999999E-2</v>
      </c>
      <c r="H266">
        <v>0.5</v>
      </c>
      <c r="I266" s="2">
        <v>5.5999999999999999E-3</v>
      </c>
      <c r="K266">
        <f>'G-P Exposure BF Coeff'!B271</f>
        <v>6</v>
      </c>
      <c r="L266">
        <f>'G-P Exposure BF Coeff'!C271</f>
        <v>1.478</v>
      </c>
      <c r="M266">
        <f>'G-P Exposure BF Coeff'!D271</f>
        <v>0.94</v>
      </c>
      <c r="N266">
        <f>'G-P Exposure BF Coeff'!E271</f>
        <v>2.1000000000000001E-2</v>
      </c>
      <c r="O266">
        <f>'G-P Exposure BF Coeff'!F271</f>
        <v>13.11</v>
      </c>
      <c r="P266">
        <f>'G-P Exposure BF Coeff'!G271</f>
        <v>-1.6299999999999999E-2</v>
      </c>
      <c r="Q266">
        <f>'G-P Exposure BF Coeff'!H271</f>
        <v>1.2999999999999999E-2</v>
      </c>
      <c r="R266">
        <f>'G-P Exposure BF Coeff'!I271</f>
        <v>0.5</v>
      </c>
      <c r="S266">
        <f>'G-P Exposure BF Coeff'!J271</f>
        <v>5.5999999999999999E-3</v>
      </c>
      <c r="U266" s="13">
        <f t="shared" si="89"/>
        <v>0</v>
      </c>
      <c r="V266" s="13">
        <f t="shared" si="81"/>
        <v>0</v>
      </c>
      <c r="W266" s="13">
        <f t="shared" si="82"/>
        <v>0</v>
      </c>
      <c r="X266" s="13">
        <f t="shared" si="83"/>
        <v>0</v>
      </c>
      <c r="Y266" s="13">
        <f t="shared" si="84"/>
        <v>0</v>
      </c>
      <c r="Z266" s="13">
        <f t="shared" si="85"/>
        <v>0</v>
      </c>
      <c r="AA266" s="13">
        <f t="shared" si="86"/>
        <v>0</v>
      </c>
      <c r="AB266" s="13">
        <f t="shared" si="87"/>
        <v>0</v>
      </c>
      <c r="AC266" s="13">
        <f t="shared" si="88"/>
        <v>0</v>
      </c>
    </row>
    <row r="267" spans="1:29">
      <c r="A267">
        <v>8</v>
      </c>
      <c r="B267">
        <v>1.395</v>
      </c>
      <c r="C267">
        <v>0.91700000000000004</v>
      </c>
      <c r="D267">
        <v>2.8000000000000001E-2</v>
      </c>
      <c r="E267">
        <v>13.45</v>
      </c>
      <c r="F267">
        <v>-2.1299999999999999E-2</v>
      </c>
      <c r="G267" s="2">
        <v>1.4200000000000001E-2</v>
      </c>
      <c r="H267">
        <v>0.5</v>
      </c>
      <c r="I267" s="2">
        <v>6.0400000000000002E-3</v>
      </c>
      <c r="K267">
        <f>'G-P Exposure BF Coeff'!B272</f>
        <v>8</v>
      </c>
      <c r="L267">
        <f>'G-P Exposure BF Coeff'!C272</f>
        <v>1.395</v>
      </c>
      <c r="M267">
        <f>'G-P Exposure BF Coeff'!D272</f>
        <v>0.91700000000000004</v>
      </c>
      <c r="N267">
        <f>'G-P Exposure BF Coeff'!E272</f>
        <v>2.8000000000000001E-2</v>
      </c>
      <c r="O267">
        <f>'G-P Exposure BF Coeff'!F272</f>
        <v>13.45</v>
      </c>
      <c r="P267">
        <f>'G-P Exposure BF Coeff'!G272</f>
        <v>-2.1299999999999999E-2</v>
      </c>
      <c r="Q267">
        <f>'G-P Exposure BF Coeff'!H272</f>
        <v>1.4200000000000001E-2</v>
      </c>
      <c r="R267">
        <f>'G-P Exposure BF Coeff'!I272</f>
        <v>0.5</v>
      </c>
      <c r="S267">
        <f>'G-P Exposure BF Coeff'!J272</f>
        <v>6.0400000000000002E-3</v>
      </c>
      <c r="U267" s="13">
        <f t="shared" si="89"/>
        <v>0</v>
      </c>
      <c r="V267" s="13">
        <f t="shared" si="81"/>
        <v>0</v>
      </c>
      <c r="W267" s="13">
        <f t="shared" si="82"/>
        <v>0</v>
      </c>
      <c r="X267" s="13">
        <f t="shared" si="83"/>
        <v>0</v>
      </c>
      <c r="Y267" s="13">
        <f t="shared" si="84"/>
        <v>0</v>
      </c>
      <c r="Z267" s="13">
        <f t="shared" si="85"/>
        <v>0</v>
      </c>
      <c r="AA267" s="13">
        <f t="shared" si="86"/>
        <v>0</v>
      </c>
      <c r="AB267" s="13">
        <f t="shared" si="87"/>
        <v>0</v>
      </c>
      <c r="AC267" s="13">
        <f t="shared" si="88"/>
        <v>0</v>
      </c>
    </row>
    <row r="268" spans="1:29">
      <c r="A268">
        <v>10</v>
      </c>
      <c r="B268">
        <v>1.3340000000000001</v>
      </c>
      <c r="C268">
        <v>0.90100000000000002</v>
      </c>
      <c r="D268">
        <v>3.5000000000000003E-2</v>
      </c>
      <c r="E268">
        <v>12.56</v>
      </c>
      <c r="F268">
        <v>-2.6700000000000002E-2</v>
      </c>
      <c r="G268" s="2">
        <v>1.4800000000000001E-2</v>
      </c>
      <c r="H268">
        <v>0.5</v>
      </c>
      <c r="I268" s="2">
        <v>6.2300000000000003E-3</v>
      </c>
      <c r="K268">
        <f>'G-P Exposure BF Coeff'!B273</f>
        <v>10</v>
      </c>
      <c r="L268">
        <f>'G-P Exposure BF Coeff'!C273</f>
        <v>1.3340000000000001</v>
      </c>
      <c r="M268">
        <f>'G-P Exposure BF Coeff'!D273</f>
        <v>0.90100000000000002</v>
      </c>
      <c r="N268">
        <f>'G-P Exposure BF Coeff'!E273</f>
        <v>3.5000000000000003E-2</v>
      </c>
      <c r="O268">
        <f>'G-P Exposure BF Coeff'!F273</f>
        <v>12.56</v>
      </c>
      <c r="P268">
        <f>'G-P Exposure BF Coeff'!G273</f>
        <v>-2.6700000000000002E-2</v>
      </c>
      <c r="Q268">
        <f>'G-P Exposure BF Coeff'!H273</f>
        <v>1.4800000000000001E-2</v>
      </c>
      <c r="R268">
        <f>'G-P Exposure BF Coeff'!I273</f>
        <v>0.5</v>
      </c>
      <c r="S268">
        <f>'G-P Exposure BF Coeff'!J273</f>
        <v>6.2300000000000003E-3</v>
      </c>
      <c r="U268" s="13">
        <f>(K268-A268)/K268</f>
        <v>0</v>
      </c>
      <c r="V268" s="13">
        <f t="shared" si="81"/>
        <v>0</v>
      </c>
      <c r="W268" s="13">
        <f t="shared" si="82"/>
        <v>0</v>
      </c>
      <c r="X268" s="13">
        <f t="shared" si="83"/>
        <v>0</v>
      </c>
      <c r="Y268" s="13">
        <f t="shared" si="84"/>
        <v>0</v>
      </c>
      <c r="Z268" s="13">
        <f t="shared" si="85"/>
        <v>0</v>
      </c>
      <c r="AA268" s="13">
        <f t="shared" si="86"/>
        <v>0</v>
      </c>
      <c r="AB268" s="13">
        <f t="shared" si="87"/>
        <v>0</v>
      </c>
      <c r="AC268" s="13">
        <f t="shared" si="88"/>
        <v>0</v>
      </c>
    </row>
    <row r="269" spans="1:29">
      <c r="A269">
        <v>15</v>
      </c>
      <c r="B269">
        <v>1.26</v>
      </c>
      <c r="C269">
        <v>0.82299999999999995</v>
      </c>
      <c r="D269">
        <v>6.5000000000000002E-2</v>
      </c>
      <c r="E269">
        <v>14.28</v>
      </c>
      <c r="F269">
        <v>-5.8099999999999999E-2</v>
      </c>
      <c r="G269" s="2">
        <v>1.9599999999999999E-2</v>
      </c>
      <c r="H269">
        <v>3</v>
      </c>
      <c r="I269" s="2">
        <v>1.1509999999999999E-2</v>
      </c>
      <c r="K269">
        <f>'G-P Exposure BF Coeff'!B274</f>
        <v>15</v>
      </c>
      <c r="L269">
        <f>'G-P Exposure BF Coeff'!C274</f>
        <v>1.26</v>
      </c>
      <c r="M269">
        <f>'G-P Exposure BF Coeff'!D274</f>
        <v>0.82299999999999995</v>
      </c>
      <c r="N269">
        <f>'G-P Exposure BF Coeff'!E274</f>
        <v>6.5000000000000002E-2</v>
      </c>
      <c r="O269">
        <f>'G-P Exposure BF Coeff'!F274</f>
        <v>14.28</v>
      </c>
      <c r="P269">
        <f>'G-P Exposure BF Coeff'!G274</f>
        <v>-5.8099999999999999E-2</v>
      </c>
      <c r="Q269">
        <f>'G-P Exposure BF Coeff'!H274</f>
        <v>1.9599999999999999E-2</v>
      </c>
      <c r="R269">
        <f>'G-P Exposure BF Coeff'!I274</f>
        <v>3</v>
      </c>
      <c r="S269">
        <f>'G-P Exposure BF Coeff'!J274</f>
        <v>1.1509999999999999E-2</v>
      </c>
      <c r="U269" s="13">
        <f t="shared" ref="U269" si="90">(K269-A269)/K269</f>
        <v>0</v>
      </c>
      <c r="V269" s="13">
        <f t="shared" si="81"/>
        <v>0</v>
      </c>
      <c r="W269" s="13">
        <f t="shared" si="82"/>
        <v>0</v>
      </c>
      <c r="X269" s="13">
        <f t="shared" si="83"/>
        <v>0</v>
      </c>
      <c r="Y269" s="13">
        <f t="shared" si="84"/>
        <v>0</v>
      </c>
      <c r="Z269" s="13">
        <f t="shared" si="85"/>
        <v>0</v>
      </c>
      <c r="AA269" s="13">
        <f t="shared" si="86"/>
        <v>0</v>
      </c>
      <c r="AB269" s="13">
        <f t="shared" si="87"/>
        <v>0</v>
      </c>
      <c r="AC269" s="13">
        <f t="shared" si="88"/>
        <v>0</v>
      </c>
    </row>
  </sheetData>
  <conditionalFormatting sqref="V5:Z29">
    <cfRule type="cellIs" dxfId="8" priority="9" operator="notEqual">
      <formula>0</formula>
    </cfRule>
  </conditionalFormatting>
  <conditionalFormatting sqref="V35:Z59">
    <cfRule type="cellIs" dxfId="7" priority="8" operator="notEqual">
      <formula>0</formula>
    </cfRule>
  </conditionalFormatting>
  <conditionalFormatting sqref="V65:Z89">
    <cfRule type="cellIs" dxfId="6" priority="7" operator="notEqual">
      <formula>0</formula>
    </cfRule>
  </conditionalFormatting>
  <conditionalFormatting sqref="V95:Z119">
    <cfRule type="cellIs" dxfId="5" priority="6" operator="notEqual">
      <formula>0</formula>
    </cfRule>
  </conditionalFormatting>
  <conditionalFormatting sqref="V125:Z149">
    <cfRule type="cellIs" dxfId="4" priority="5" operator="notEqual">
      <formula>0</formula>
    </cfRule>
  </conditionalFormatting>
  <conditionalFormatting sqref="V155:Z179">
    <cfRule type="cellIs" dxfId="3" priority="4" operator="notEqual">
      <formula>0</formula>
    </cfRule>
  </conditionalFormatting>
  <conditionalFormatting sqref="V185:Z209">
    <cfRule type="cellIs" dxfId="2" priority="3" operator="notEqual">
      <formula>0</formula>
    </cfRule>
  </conditionalFormatting>
  <conditionalFormatting sqref="V215:Z239">
    <cfRule type="cellIs" dxfId="1" priority="2" operator="notEqual">
      <formula>0</formula>
    </cfRule>
  </conditionalFormatting>
  <conditionalFormatting sqref="V245:Z269">
    <cfRule type="cellIs" dxfId="0" priority="1" operator="not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README</vt:lpstr>
      <vt:lpstr>mass att coef wo coherent</vt:lpstr>
      <vt:lpstr>G-P Exposure BF Coeff</vt:lpstr>
      <vt:lpstr>mass energy abs coef</vt:lpstr>
      <vt:lpstr>Taylor Exposure BF Coeff</vt:lpstr>
      <vt:lpstr>BF Comparison</vt:lpstr>
      <vt:lpstr>Toolbox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alan025</dc:creator>
  <cp:lastModifiedBy>Microsoft Office User</cp:lastModifiedBy>
  <dcterms:created xsi:type="dcterms:W3CDTF">2020-02-07T20:22:13Z</dcterms:created>
  <dcterms:modified xsi:type="dcterms:W3CDTF">2022-12-04T13:35:57Z</dcterms:modified>
</cp:coreProperties>
</file>