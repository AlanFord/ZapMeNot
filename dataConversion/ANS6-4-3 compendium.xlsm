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an/Desktop/github/ZapMeNot/dataConversion/"/>
    </mc:Choice>
  </mc:AlternateContent>
  <xr:revisionPtr revIDLastSave="0" documentId="13_ncr:1_{37DB53A6-250A-874A-9099-E73CEDD80FC0}" xr6:coauthVersionLast="47" xr6:coauthVersionMax="47" xr10:uidLastSave="{00000000-0000-0000-0000-000000000000}"/>
  <bookViews>
    <workbookView xWindow="0" yWindow="500" windowWidth="28800" windowHeight="16100" tabRatio="757" xr2:uid="{E812E195-BE68-428C-B51B-1E34DE9118FC}"/>
  </bookViews>
  <sheets>
    <sheet name="README" sheetId="7" r:id="rId1"/>
    <sheet name="mass att coef wo coherent" sheetId="1" r:id="rId2"/>
    <sheet name="G-P Exposure BF Coeff" sheetId="6" r:id="rId3"/>
    <sheet name="mass energy abs coef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51" i="1" l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Q50" i="1"/>
  <c r="AP50" i="1"/>
  <c r="AQ49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20" i="1"/>
  <c r="J4" i="1"/>
  <c r="J3" i="1"/>
  <c r="J2" i="1"/>
  <c r="I4" i="1"/>
  <c r="AO77" i="1" l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 l="1"/>
  <c r="AO49" i="1"/>
  <c r="AP49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20" i="1"/>
  <c r="E4" i="1" l="1"/>
  <c r="G4" i="3" l="1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" i="3"/>
  <c r="C49" i="1" l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B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50" i="1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N4" i="6"/>
  <c r="L4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N32" i="6"/>
  <c r="L32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N60" i="6"/>
  <c r="L60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N88" i="6"/>
  <c r="L88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N124" i="6"/>
  <c r="L124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N158" i="6"/>
  <c r="L158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N250" i="6"/>
  <c r="L250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N222" i="6"/>
  <c r="L222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194" i="6"/>
  <c r="G189" i="6" l="1"/>
  <c r="G162" i="6"/>
  <c r="G161" i="6"/>
  <c r="G160" i="6"/>
</calcChain>
</file>

<file path=xl/sharedStrings.xml><?xml version="1.0" encoding="utf-8"?>
<sst xmlns="http://schemas.openxmlformats.org/spreadsheetml/2006/main" count="167" uniqueCount="86">
  <si>
    <t>cm2/g</t>
  </si>
  <si>
    <t>E(MeV)</t>
  </si>
  <si>
    <t>18Ar</t>
  </si>
  <si>
    <t>19K</t>
  </si>
  <si>
    <t>20Ca</t>
  </si>
  <si>
    <t>24Cr</t>
  </si>
  <si>
    <t>25Mn</t>
  </si>
  <si>
    <t>26Fe</t>
  </si>
  <si>
    <t>28Ni</t>
  </si>
  <si>
    <t>29Cu</t>
  </si>
  <si>
    <t>42Mo</t>
  </si>
  <si>
    <t>b</t>
  </si>
  <si>
    <t>c</t>
  </si>
  <si>
    <t>a</t>
  </si>
  <si>
    <t>d</t>
  </si>
  <si>
    <t>St. Dev.</t>
  </si>
  <si>
    <t>Xk</t>
  </si>
  <si>
    <t>Max. Dev.</t>
  </si>
  <si>
    <t>Xmax</t>
  </si>
  <si>
    <t>ANS-6.4.3-1991 Table 1a</t>
  </si>
  <si>
    <t>Air</t>
  </si>
  <si>
    <t>Water</t>
  </si>
  <si>
    <t>Concrete</t>
  </si>
  <si>
    <t>57La</t>
  </si>
  <si>
    <t>64Gd</t>
  </si>
  <si>
    <t>74w</t>
  </si>
  <si>
    <t>90Th</t>
  </si>
  <si>
    <t>72Hf</t>
  </si>
  <si>
    <t>82Pb</t>
  </si>
  <si>
    <t>92U</t>
  </si>
  <si>
    <t>40zr</t>
  </si>
  <si>
    <t>41Nb</t>
  </si>
  <si>
    <t>50Sn</t>
  </si>
  <si>
    <t>56Ba</t>
  </si>
  <si>
    <t>48Cd</t>
  </si>
  <si>
    <t>11Na</t>
  </si>
  <si>
    <t>12Mg</t>
  </si>
  <si>
    <t>14Si</t>
  </si>
  <si>
    <t>15p</t>
  </si>
  <si>
    <t>17cl</t>
  </si>
  <si>
    <t>13Al</t>
  </si>
  <si>
    <t>16s</t>
  </si>
  <si>
    <t>1H</t>
  </si>
  <si>
    <t>3Li</t>
  </si>
  <si>
    <t>4Be</t>
  </si>
  <si>
    <t>5B</t>
  </si>
  <si>
    <t>6C</t>
  </si>
  <si>
    <t>7N</t>
  </si>
  <si>
    <t>8O</t>
  </si>
  <si>
    <t>ANS-6.4.3-1991 Table 2</t>
  </si>
  <si>
    <t>ANS-6.4.3-1991 Table 5.1</t>
  </si>
  <si>
    <t>Iron</t>
  </si>
  <si>
    <t>Aluminum</t>
  </si>
  <si>
    <t>Copper</t>
  </si>
  <si>
    <t>Tungsten</t>
  </si>
  <si>
    <t>Lead</t>
  </si>
  <si>
    <t>Uranium</t>
  </si>
  <si>
    <t>water</t>
  </si>
  <si>
    <t>air</t>
  </si>
  <si>
    <t>concrete</t>
  </si>
  <si>
    <t>0.000</t>
  </si>
  <si>
    <t>0.00</t>
  </si>
  <si>
    <t>0.0000</t>
  </si>
  <si>
    <t>Formatting codes:</t>
  </si>
  <si>
    <t>Added Materials</t>
  </si>
  <si>
    <t>UO2</t>
  </si>
  <si>
    <t>O</t>
  </si>
  <si>
    <t>U</t>
  </si>
  <si>
    <t>w/o</t>
  </si>
  <si>
    <t>Element</t>
  </si>
  <si>
    <t>C</t>
  </si>
  <si>
    <t>Si</t>
  </si>
  <si>
    <t>P</t>
  </si>
  <si>
    <t>Cr</t>
  </si>
  <si>
    <t>Mn</t>
  </si>
  <si>
    <t>Fe</t>
  </si>
  <si>
    <t>Ni</t>
  </si>
  <si>
    <t>Mo</t>
  </si>
  <si>
    <t xml:space="preserve">S </t>
  </si>
  <si>
    <t>SS304L</t>
  </si>
  <si>
    <t>Resin Mix</t>
  </si>
  <si>
    <t>density (g/cc)</t>
  </si>
  <si>
    <t>Mixture</t>
  </si>
  <si>
    <t>resin</t>
  </si>
  <si>
    <t xml:space="preserve">This spreadsheet is used to generate the data in </t>
  </si>
  <si>
    <t>the ZapMeNot data file materialLibrary.yml, Rev.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</si>
</sst>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E+00"/>
    <numFmt numFmtId="165" formatCode="0.000"/>
    <numFmt numFmtId="166" formatCode="0.0000"/>
    <numFmt numFmtId="167" formatCode="0.00000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MT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1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167" fontId="2" fillId="0" borderId="0" xfId="0" applyNumberFormat="1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8C649-B191-9A45-8761-4667DF714835}">
  <dimension ref="B2:B3"/>
  <sheetViews>
    <sheetView tabSelected="1" zoomScale="160" zoomScaleNormal="160" workbookViewId="0">
      <selection activeCell="B7" sqref="B7"/>
    </sheetView>
  </sheetViews>
  <sheetFormatPr baseColWidth="10" defaultRowHeight="15"/>
  <sheetData>
    <row r="2" spans="2:2" ht="19">
      <c r="B2" s="11" t="s">
        <v>84</v>
      </c>
    </row>
    <row r="3" spans="2:2" ht="19">
      <c r="B3" s="11" t="s">
        <v>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6E61E-1297-4FDC-B035-8C0AF22AD51D}">
  <sheetPr codeName="Sheet1"/>
  <dimension ref="A1:AQ78"/>
  <sheetViews>
    <sheetView topLeftCell="AF1" zoomScale="130" zoomScaleNormal="130" workbookViewId="0">
      <selection activeCell="AQ50" sqref="AQ50:AQ77"/>
    </sheetView>
  </sheetViews>
  <sheetFormatPr baseColWidth="10" defaultColWidth="8.83203125" defaultRowHeight="15"/>
  <cols>
    <col min="3" max="3" width="11.1640625" customWidth="1"/>
    <col min="4" max="5" width="11.1640625" bestFit="1" customWidth="1"/>
    <col min="6" max="40" width="11.5" bestFit="1" customWidth="1"/>
    <col min="41" max="42" width="11.5" customWidth="1"/>
    <col min="43" max="43" width="11.5" bestFit="1" customWidth="1"/>
  </cols>
  <sheetData>
    <row r="1" spans="3:10">
      <c r="C1" s="9" t="s">
        <v>64</v>
      </c>
      <c r="D1" t="s">
        <v>69</v>
      </c>
      <c r="E1" s="9" t="s">
        <v>68</v>
      </c>
      <c r="H1" t="s">
        <v>80</v>
      </c>
      <c r="I1" t="s">
        <v>81</v>
      </c>
      <c r="J1" t="s">
        <v>68</v>
      </c>
    </row>
    <row r="2" spans="3:10">
      <c r="C2" t="s">
        <v>65</v>
      </c>
      <c r="H2" t="s">
        <v>57</v>
      </c>
      <c r="I2">
        <v>0.13</v>
      </c>
      <c r="J2" s="6">
        <f>I2/$I$4</f>
        <v>6.4676616915422896E-2</v>
      </c>
    </row>
    <row r="3" spans="3:10">
      <c r="D3" t="s">
        <v>66</v>
      </c>
      <c r="E3">
        <v>0.118533</v>
      </c>
      <c r="H3" t="s">
        <v>59</v>
      </c>
      <c r="I3">
        <v>1.88</v>
      </c>
      <c r="J3" s="6">
        <f>I3/$I$4</f>
        <v>0.93532338308457719</v>
      </c>
    </row>
    <row r="4" spans="3:10">
      <c r="D4" t="s">
        <v>67</v>
      </c>
      <c r="E4">
        <f>1-E3</f>
        <v>0.881467</v>
      </c>
      <c r="H4" t="s">
        <v>82</v>
      </c>
      <c r="I4">
        <f>SUM(I2:I3)</f>
        <v>2.0099999999999998</v>
      </c>
      <c r="J4" s="6">
        <f>I4/$I$4</f>
        <v>1</v>
      </c>
    </row>
    <row r="5" spans="3:10">
      <c r="C5" t="s">
        <v>79</v>
      </c>
    </row>
    <row r="6" spans="3:10">
      <c r="D6" t="s">
        <v>70</v>
      </c>
      <c r="E6" s="10">
        <v>1.4999999999999999E-4</v>
      </c>
    </row>
    <row r="7" spans="3:10">
      <c r="D7" t="s">
        <v>71</v>
      </c>
      <c r="E7" s="10">
        <v>5.0000000000000001E-3</v>
      </c>
    </row>
    <row r="8" spans="3:10">
      <c r="D8" t="s">
        <v>72</v>
      </c>
      <c r="E8" s="10">
        <v>2.3000000000000001E-4</v>
      </c>
    </row>
    <row r="9" spans="3:10">
      <c r="D9" t="s">
        <v>78</v>
      </c>
      <c r="E9" s="10">
        <v>1.4999999999999999E-4</v>
      </c>
    </row>
    <row r="10" spans="3:10">
      <c r="D10" t="s">
        <v>73</v>
      </c>
      <c r="E10" s="10">
        <v>0.19</v>
      </c>
    </row>
    <row r="11" spans="3:10">
      <c r="D11" t="s">
        <v>74</v>
      </c>
      <c r="E11" s="10">
        <v>0.01</v>
      </c>
    </row>
    <row r="12" spans="3:10">
      <c r="D12" t="s">
        <v>75</v>
      </c>
      <c r="E12" s="10">
        <v>0.69447999999999999</v>
      </c>
    </row>
    <row r="13" spans="3:10">
      <c r="D13" t="s">
        <v>76</v>
      </c>
      <c r="E13" s="10">
        <v>0.1</v>
      </c>
    </row>
    <row r="14" spans="3:10">
      <c r="D14" t="s">
        <v>77</v>
      </c>
      <c r="E14" s="10">
        <v>0</v>
      </c>
    </row>
    <row r="18" spans="1:43">
      <c r="A18" t="s">
        <v>0</v>
      </c>
      <c r="C18" s="5" t="s">
        <v>19</v>
      </c>
    </row>
    <row r="19" spans="1:43">
      <c r="B19" t="s">
        <v>1</v>
      </c>
      <c r="C19" t="s">
        <v>42</v>
      </c>
      <c r="D19" t="s">
        <v>43</v>
      </c>
      <c r="E19" t="s">
        <v>44</v>
      </c>
      <c r="F19" t="s">
        <v>45</v>
      </c>
      <c r="G19" t="s">
        <v>46</v>
      </c>
      <c r="H19" t="s">
        <v>47</v>
      </c>
      <c r="I19" t="s">
        <v>48</v>
      </c>
      <c r="J19" t="s">
        <v>35</v>
      </c>
      <c r="K19" t="s">
        <v>36</v>
      </c>
      <c r="L19" t="s">
        <v>40</v>
      </c>
      <c r="M19" t="s">
        <v>37</v>
      </c>
      <c r="N19" t="s">
        <v>38</v>
      </c>
      <c r="O19" t="s">
        <v>41</v>
      </c>
      <c r="P19" t="s">
        <v>39</v>
      </c>
      <c r="Q19" t="s">
        <v>2</v>
      </c>
      <c r="R19" t="s">
        <v>3</v>
      </c>
      <c r="S19" t="s">
        <v>4</v>
      </c>
      <c r="T19" t="s">
        <v>5</v>
      </c>
      <c r="U19" t="s">
        <v>6</v>
      </c>
      <c r="V19" t="s">
        <v>7</v>
      </c>
      <c r="W19" t="s">
        <v>8</v>
      </c>
      <c r="X19" t="s">
        <v>9</v>
      </c>
      <c r="Y19" t="s">
        <v>30</v>
      </c>
      <c r="Z19" s="1" t="s">
        <v>31</v>
      </c>
      <c r="AA19" s="1" t="s">
        <v>10</v>
      </c>
      <c r="AB19" s="1" t="s">
        <v>34</v>
      </c>
      <c r="AC19" t="s">
        <v>32</v>
      </c>
      <c r="AD19" s="1" t="s">
        <v>33</v>
      </c>
      <c r="AE19" t="s">
        <v>23</v>
      </c>
      <c r="AF19" t="s">
        <v>24</v>
      </c>
      <c r="AG19" t="s">
        <v>27</v>
      </c>
      <c r="AH19" t="s">
        <v>25</v>
      </c>
      <c r="AI19" t="s">
        <v>28</v>
      </c>
      <c r="AJ19" t="s">
        <v>26</v>
      </c>
      <c r="AK19" t="s">
        <v>29</v>
      </c>
      <c r="AL19" t="s">
        <v>20</v>
      </c>
      <c r="AM19" t="s">
        <v>21</v>
      </c>
      <c r="AN19" t="s">
        <v>22</v>
      </c>
      <c r="AO19" t="s">
        <v>65</v>
      </c>
      <c r="AP19" t="s">
        <v>79</v>
      </c>
      <c r="AQ19" t="s">
        <v>83</v>
      </c>
    </row>
    <row r="20" spans="1:43">
      <c r="B20" s="4">
        <v>0.01</v>
      </c>
      <c r="C20" s="3">
        <v>0.38540000000000002</v>
      </c>
      <c r="D20" s="3">
        <v>0.30270000000000002</v>
      </c>
      <c r="E20" s="3">
        <v>0.59409999999999996</v>
      </c>
      <c r="F20" s="3">
        <v>1.1819999999999999</v>
      </c>
      <c r="G20" s="3">
        <v>2.2679999999999998</v>
      </c>
      <c r="H20" s="3">
        <v>3.7360000000000002</v>
      </c>
      <c r="I20" s="3">
        <v>5.758</v>
      </c>
      <c r="J20" s="3">
        <v>15.2</v>
      </c>
      <c r="K20" s="3">
        <v>20.63</v>
      </c>
      <c r="L20" s="3">
        <v>25.75</v>
      </c>
      <c r="M20" s="3">
        <v>33.340000000000003</v>
      </c>
      <c r="N20" s="3">
        <v>39.78</v>
      </c>
      <c r="O20" s="3">
        <v>49.5</v>
      </c>
      <c r="P20" s="3">
        <v>56.59</v>
      </c>
      <c r="Q20" s="3">
        <v>62.49</v>
      </c>
      <c r="R20" s="3">
        <v>78.319999999999993</v>
      </c>
      <c r="S20" s="3">
        <v>92.59</v>
      </c>
      <c r="T20" s="3">
        <v>137.69999999999999</v>
      </c>
      <c r="U20" s="3">
        <v>150.4</v>
      </c>
      <c r="V20" s="3">
        <v>169.6</v>
      </c>
      <c r="W20" s="3">
        <v>207.7</v>
      </c>
      <c r="X20" s="3">
        <v>214.6</v>
      </c>
      <c r="Y20" s="3">
        <v>72.12</v>
      </c>
      <c r="Z20" s="3">
        <v>78.260000000000005</v>
      </c>
      <c r="AA20" s="3">
        <v>83.58</v>
      </c>
      <c r="AB20" s="3">
        <v>121.9</v>
      </c>
      <c r="AC20" s="3">
        <v>135.9</v>
      </c>
      <c r="AD20" s="3">
        <v>183.2</v>
      </c>
      <c r="AE20" s="3">
        <v>193.8</v>
      </c>
      <c r="AF20" s="3">
        <v>265.89999999999998</v>
      </c>
      <c r="AG20" s="3">
        <v>225.9</v>
      </c>
      <c r="AH20" s="3">
        <v>92.56</v>
      </c>
      <c r="AI20" s="3">
        <v>125.7</v>
      </c>
      <c r="AJ20" s="3">
        <v>163.6</v>
      </c>
      <c r="AK20" s="3">
        <v>173.7</v>
      </c>
      <c r="AL20" s="3">
        <v>4.9610000000000003</v>
      </c>
      <c r="AM20" s="3">
        <v>5.157</v>
      </c>
      <c r="AN20" s="3">
        <v>26.16</v>
      </c>
      <c r="AO20" s="3">
        <f>$E$3*I20+$E$4*AK20</f>
        <v>153.79333091399999</v>
      </c>
      <c r="AP20" s="3">
        <f>$E$6*G20+$E$7*M20+$E$8*N20+$E$9*O20+$E$10*T20+$E$11*U20+$E$12*V20+$E$13*W20+$E$14*AA20</f>
        <v>166.4044226</v>
      </c>
      <c r="AQ20" s="3">
        <f>$J$2*AM20+$J$3*AN20</f>
        <v>24.801597014925374</v>
      </c>
    </row>
    <row r="21" spans="1:43">
      <c r="B21" s="4">
        <v>1.4999999999999999E-2</v>
      </c>
      <c r="C21" s="3">
        <v>0.37640000000000001</v>
      </c>
      <c r="D21" s="3">
        <v>0.19850000000000001</v>
      </c>
      <c r="E21" s="3">
        <v>0.2782</v>
      </c>
      <c r="F21" s="3">
        <v>0.44069999999999998</v>
      </c>
      <c r="G21" s="3">
        <v>0.74760000000000004</v>
      </c>
      <c r="H21" s="3">
        <v>1.1559999999999999</v>
      </c>
      <c r="I21" s="3">
        <v>1.7310000000000001</v>
      </c>
      <c r="J21" s="3">
        <v>4.4980000000000002</v>
      </c>
      <c r="K21" s="3">
        <v>6.1239999999999997</v>
      </c>
      <c r="L21" s="3">
        <v>7.6970000000000001</v>
      </c>
      <c r="M21" s="3">
        <v>10.039999999999999</v>
      </c>
      <c r="N21" s="3">
        <v>12.07</v>
      </c>
      <c r="O21" s="3">
        <v>15.13</v>
      </c>
      <c r="P21" s="3">
        <v>17.45</v>
      </c>
      <c r="Q21" s="3">
        <v>19.43</v>
      </c>
      <c r="R21" s="3">
        <v>24.57</v>
      </c>
      <c r="S21" s="3">
        <v>29.29</v>
      </c>
      <c r="T21" s="3">
        <v>45.12</v>
      </c>
      <c r="U21" s="3">
        <v>49.65</v>
      </c>
      <c r="V21" s="3">
        <v>56.41</v>
      </c>
      <c r="W21" s="3">
        <v>70.03</v>
      </c>
      <c r="X21" s="3">
        <v>73.25</v>
      </c>
      <c r="Y21" s="3">
        <v>23.35</v>
      </c>
      <c r="Z21" s="3">
        <v>25.39</v>
      </c>
      <c r="AA21" s="3">
        <v>27.16</v>
      </c>
      <c r="AB21" s="3">
        <v>40.18</v>
      </c>
      <c r="AC21" s="3">
        <v>44.99</v>
      </c>
      <c r="AD21" s="3">
        <v>61.64</v>
      </c>
      <c r="AE21" s="3">
        <v>65.45</v>
      </c>
      <c r="AF21" s="3">
        <v>91.15</v>
      </c>
      <c r="AG21" s="3">
        <v>126.3</v>
      </c>
      <c r="AH21" s="3">
        <v>136.1</v>
      </c>
      <c r="AI21" s="3">
        <v>108.4</v>
      </c>
      <c r="AJ21" s="3">
        <v>57.87</v>
      </c>
      <c r="AK21" s="3">
        <v>61.62</v>
      </c>
      <c r="AL21" s="3">
        <v>1.5249999999999999</v>
      </c>
      <c r="AM21" s="3">
        <v>1.579</v>
      </c>
      <c r="AN21" s="3">
        <v>8.0749999999999993</v>
      </c>
      <c r="AO21" s="3">
        <f t="shared" ref="AO21:AO47" si="0">$E$3*I21+$E$4*AK21</f>
        <v>54.521177162999997</v>
      </c>
      <c r="AP21" s="3">
        <f t="shared" ref="AP21:AP47" si="1">$E$6*G21+$E$7*M21+$E$8*N21+$E$9*O21+$E$10*T21+$E$11*U21+$E$12*V21+$E$13*W21+$E$14*AA21</f>
        <v>55.303274539999997</v>
      </c>
      <c r="AQ21" s="3">
        <f t="shared" ref="AQ21:AQ47" si="2">$J$2*AM21+$J$3*AN21</f>
        <v>7.6548606965174129</v>
      </c>
    </row>
    <row r="22" spans="1:43">
      <c r="B22" s="4">
        <v>0.02</v>
      </c>
      <c r="C22" s="3">
        <v>0.3695</v>
      </c>
      <c r="D22" s="3">
        <v>0.1741</v>
      </c>
      <c r="E22" s="3">
        <v>0.2072</v>
      </c>
      <c r="F22" s="3">
        <v>0.27460000000000001</v>
      </c>
      <c r="G22" s="3">
        <v>0.40350000000000003</v>
      </c>
      <c r="H22" s="3">
        <v>0.56669999999999998</v>
      </c>
      <c r="I22" s="3">
        <v>0.79849999999999999</v>
      </c>
      <c r="J22" s="3">
        <v>1.9339999999999999</v>
      </c>
      <c r="K22" s="3">
        <v>2.6160000000000001</v>
      </c>
      <c r="L22" s="3">
        <v>3.2789999999999999</v>
      </c>
      <c r="M22" s="3">
        <v>4.2750000000000004</v>
      </c>
      <c r="N22" s="3">
        <v>5.1479999999999997</v>
      </c>
      <c r="O22" s="3">
        <v>6.4749999999999996</v>
      </c>
      <c r="P22" s="3">
        <v>7.492</v>
      </c>
      <c r="Q22" s="3">
        <v>8.375</v>
      </c>
      <c r="R22" s="3">
        <v>10.63</v>
      </c>
      <c r="S22" s="3">
        <v>12.73</v>
      </c>
      <c r="T22" s="3">
        <v>19.98</v>
      </c>
      <c r="U22" s="3">
        <v>22.11</v>
      </c>
      <c r="V22" s="3">
        <v>25.22</v>
      </c>
      <c r="W22" s="3">
        <v>31.67</v>
      </c>
      <c r="X22" s="3">
        <v>33.25</v>
      </c>
      <c r="Y22" s="3">
        <v>71.510000000000005</v>
      </c>
      <c r="Z22" s="3">
        <v>76.23</v>
      </c>
      <c r="AA22" s="3">
        <v>78.62</v>
      </c>
      <c r="AB22" s="3">
        <v>18.09</v>
      </c>
      <c r="AC22" s="3">
        <v>20.3</v>
      </c>
      <c r="AD22" s="3">
        <v>28.08</v>
      </c>
      <c r="AE22" s="3">
        <v>29.85</v>
      </c>
      <c r="AF22" s="3">
        <v>42.04</v>
      </c>
      <c r="AG22" s="3">
        <v>58.99</v>
      </c>
      <c r="AH22" s="3">
        <v>63.76</v>
      </c>
      <c r="AI22" s="3">
        <v>84.11</v>
      </c>
      <c r="AJ22" s="3">
        <v>91.13</v>
      </c>
      <c r="AK22" s="3">
        <v>68.45</v>
      </c>
      <c r="AL22" s="3">
        <v>0.72099999999999997</v>
      </c>
      <c r="AM22" s="3">
        <v>0.75049999999999994</v>
      </c>
      <c r="AN22" s="3">
        <v>3.51</v>
      </c>
      <c r="AO22" s="3">
        <f t="shared" si="0"/>
        <v>60.431064750500006</v>
      </c>
      <c r="AP22" s="3">
        <f t="shared" si="1"/>
        <v>24.722676415000002</v>
      </c>
      <c r="AQ22" s="3">
        <f t="shared" si="2"/>
        <v>3.3315248756218905</v>
      </c>
    </row>
    <row r="23" spans="1:43">
      <c r="B23" s="4">
        <v>0.03</v>
      </c>
      <c r="C23" s="3">
        <v>0.35699999999999998</v>
      </c>
      <c r="D23" s="3">
        <v>0.1588</v>
      </c>
      <c r="E23" s="3">
        <v>0.17050000000000001</v>
      </c>
      <c r="F23" s="3">
        <v>0.193</v>
      </c>
      <c r="G23" s="3">
        <v>0.23680000000000001</v>
      </c>
      <c r="H23" s="3">
        <v>0.28070000000000001</v>
      </c>
      <c r="I23" s="3">
        <v>0.34399999999999997</v>
      </c>
      <c r="J23" s="3">
        <v>0.65759999999999996</v>
      </c>
      <c r="K23" s="3">
        <v>0.85619999999999996</v>
      </c>
      <c r="L23" s="3">
        <v>1.0449999999999999</v>
      </c>
      <c r="M23" s="3">
        <v>1.34</v>
      </c>
      <c r="N23" s="3">
        <v>1.5960000000000001</v>
      </c>
      <c r="O23" s="3">
        <v>1.9930000000000001</v>
      </c>
      <c r="P23" s="3">
        <v>2.2989999999999999</v>
      </c>
      <c r="Q23" s="3">
        <v>2.5659999999999998</v>
      </c>
      <c r="R23" s="3">
        <v>3.26</v>
      </c>
      <c r="S23" s="3">
        <v>3.9089999999999998</v>
      </c>
      <c r="T23" s="3">
        <v>6.2210000000000001</v>
      </c>
      <c r="U23" s="3">
        <v>6.9169999999999998</v>
      </c>
      <c r="V23" s="3">
        <v>7.93</v>
      </c>
      <c r="W23" s="3">
        <v>10.050000000000001</v>
      </c>
      <c r="X23" s="3">
        <v>10.62</v>
      </c>
      <c r="Y23" s="3">
        <v>24.38</v>
      </c>
      <c r="Z23" s="3">
        <v>26.16</v>
      </c>
      <c r="AA23" s="3">
        <v>27.59</v>
      </c>
      <c r="AB23" s="3">
        <v>37.04</v>
      </c>
      <c r="AC23" s="3">
        <v>40.58</v>
      </c>
      <c r="AD23" s="3">
        <v>9.1669999999999998</v>
      </c>
      <c r="AE23" s="3">
        <v>9.76</v>
      </c>
      <c r="AF23" s="3">
        <v>13.93</v>
      </c>
      <c r="AG23" s="3">
        <v>19.88</v>
      </c>
      <c r="AH23" s="3">
        <v>21.58</v>
      </c>
      <c r="AI23" s="3">
        <v>29</v>
      </c>
      <c r="AJ23" s="3">
        <v>37.43</v>
      </c>
      <c r="AK23" s="3">
        <v>39.76</v>
      </c>
      <c r="AL23" s="3">
        <v>0.32479999999999998</v>
      </c>
      <c r="AM23" s="3">
        <v>0.34549999999999997</v>
      </c>
      <c r="AN23" s="3">
        <v>1.1419999999999999</v>
      </c>
      <c r="AO23" s="3">
        <f t="shared" si="0"/>
        <v>35.087903271999998</v>
      </c>
      <c r="AP23" s="3">
        <f t="shared" si="1"/>
        <v>7.7707879499999999</v>
      </c>
      <c r="AQ23" s="3">
        <f t="shared" si="2"/>
        <v>1.0904850746268657</v>
      </c>
    </row>
    <row r="24" spans="1:43">
      <c r="B24" s="4">
        <v>0.04</v>
      </c>
      <c r="C24" s="3">
        <v>0.3458</v>
      </c>
      <c r="D24" s="3">
        <v>0.15190000000000001</v>
      </c>
      <c r="E24" s="3">
        <v>0.1588</v>
      </c>
      <c r="F24" s="3">
        <v>0.1714</v>
      </c>
      <c r="G24" s="3">
        <v>0.19600000000000001</v>
      </c>
      <c r="H24" s="3">
        <v>0.21329999999999999</v>
      </c>
      <c r="I24" s="3">
        <v>0.2382</v>
      </c>
      <c r="J24" s="3">
        <v>0.35949999999999999</v>
      </c>
      <c r="K24" s="3">
        <v>0.44309999999999999</v>
      </c>
      <c r="L24" s="3">
        <v>0.51839999999999997</v>
      </c>
      <c r="M24" s="3">
        <v>0.64249999999999996</v>
      </c>
      <c r="N24" s="3">
        <v>0.74590000000000001</v>
      </c>
      <c r="O24" s="3">
        <v>0.91439999999999999</v>
      </c>
      <c r="P24" s="3">
        <v>1.0389999999999999</v>
      </c>
      <c r="Q24" s="3">
        <v>1.1479999999999999</v>
      </c>
      <c r="R24" s="3">
        <v>1.4470000000000001</v>
      </c>
      <c r="S24" s="3">
        <v>1.726</v>
      </c>
      <c r="T24" s="3">
        <v>2.7250000000000001</v>
      </c>
      <c r="U24" s="3">
        <v>3.0310000000000001</v>
      </c>
      <c r="V24" s="3">
        <v>3.4780000000000002</v>
      </c>
      <c r="W24" s="3">
        <v>4.4219999999999997</v>
      </c>
      <c r="X24" s="3">
        <v>4.68</v>
      </c>
      <c r="Y24" s="3">
        <v>11.09</v>
      </c>
      <c r="Z24" s="3">
        <v>11.91</v>
      </c>
      <c r="AA24" s="3">
        <v>12.61</v>
      </c>
      <c r="AB24" s="3">
        <v>17.39</v>
      </c>
      <c r="AC24" s="3">
        <v>19.02</v>
      </c>
      <c r="AD24" s="3">
        <v>24.1</v>
      </c>
      <c r="AE24" s="3">
        <v>25.29</v>
      </c>
      <c r="AF24" s="3">
        <v>6.335</v>
      </c>
      <c r="AG24" s="3">
        <v>9.1120000000000001</v>
      </c>
      <c r="AH24" s="3">
        <v>9.9220000000000006</v>
      </c>
      <c r="AI24" s="3">
        <v>13.49</v>
      </c>
      <c r="AJ24" s="3">
        <v>17.66</v>
      </c>
      <c r="AK24" s="3">
        <v>18.809999999999999</v>
      </c>
      <c r="AL24" s="3">
        <v>0.2311</v>
      </c>
      <c r="AM24" s="3">
        <v>0.25019999999999998</v>
      </c>
      <c r="AN24" s="3">
        <v>0.56830000000000003</v>
      </c>
      <c r="AO24" s="3">
        <f t="shared" si="0"/>
        <v>16.608628830600001</v>
      </c>
      <c r="AP24" s="3">
        <f t="shared" si="1"/>
        <v>3.4092120570000004</v>
      </c>
      <c r="AQ24" s="3">
        <f t="shared" si="2"/>
        <v>0.54772636815920406</v>
      </c>
    </row>
    <row r="25" spans="1:43">
      <c r="B25" s="4">
        <v>0.05</v>
      </c>
      <c r="C25" s="3">
        <v>0.33550000000000002</v>
      </c>
      <c r="D25" s="3">
        <v>0.1467</v>
      </c>
      <c r="E25" s="3">
        <v>0.152</v>
      </c>
      <c r="F25" s="3">
        <v>0.16120000000000001</v>
      </c>
      <c r="G25" s="3">
        <v>0.1794</v>
      </c>
      <c r="H25" s="3">
        <v>0.18770000000000001</v>
      </c>
      <c r="I25" s="3">
        <v>0.19969999999999999</v>
      </c>
      <c r="J25" s="3">
        <v>0.2555</v>
      </c>
      <c r="K25" s="3">
        <v>0.29930000000000001</v>
      </c>
      <c r="L25" s="3">
        <v>0.3347</v>
      </c>
      <c r="M25" s="3">
        <v>0.39929999999999999</v>
      </c>
      <c r="N25" s="3">
        <v>0.44890000000000002</v>
      </c>
      <c r="O25" s="3">
        <v>0.53580000000000005</v>
      </c>
      <c r="P25" s="3">
        <v>0.59589999999999999</v>
      </c>
      <c r="Q25" s="3">
        <v>0.64700000000000002</v>
      </c>
      <c r="R25" s="3">
        <v>0.80420000000000003</v>
      </c>
      <c r="S25" s="3">
        <v>0.94830000000000003</v>
      </c>
      <c r="T25" s="3">
        <v>1.462</v>
      </c>
      <c r="U25" s="3">
        <v>1.621</v>
      </c>
      <c r="V25" s="3">
        <v>1.8540000000000001</v>
      </c>
      <c r="W25" s="3">
        <v>2.3540000000000001</v>
      </c>
      <c r="X25" s="3">
        <v>2.4900000000000002</v>
      </c>
      <c r="Y25" s="3">
        <v>5.9660000000000002</v>
      </c>
      <c r="Z25" s="3">
        <v>6.4260000000000002</v>
      </c>
      <c r="AA25" s="3">
        <v>6.8120000000000003</v>
      </c>
      <c r="AB25" s="3">
        <v>9.5039999999999996</v>
      </c>
      <c r="AC25" s="3">
        <v>10.41</v>
      </c>
      <c r="AD25" s="3">
        <v>13.46</v>
      </c>
      <c r="AE25" s="3">
        <v>14.13</v>
      </c>
      <c r="AF25" s="3">
        <v>3.45</v>
      </c>
      <c r="AG25" s="3">
        <v>4.9779999999999998</v>
      </c>
      <c r="AH25" s="3">
        <v>5.4260000000000002</v>
      </c>
      <c r="AI25" s="3">
        <v>7.4260000000000002</v>
      </c>
      <c r="AJ25" s="3">
        <v>9.8160000000000007</v>
      </c>
      <c r="AK25" s="3">
        <v>10.48</v>
      </c>
      <c r="AL25" s="3">
        <v>0.19639999999999999</v>
      </c>
      <c r="AM25" s="3">
        <v>0.21490000000000001</v>
      </c>
      <c r="AN25" s="3">
        <v>0.3649</v>
      </c>
      <c r="AO25" s="3">
        <f t="shared" si="0"/>
        <v>9.2614452001000007</v>
      </c>
      <c r="AP25" s="3">
        <f t="shared" si="1"/>
        <v>1.8191629469999999</v>
      </c>
      <c r="AQ25" s="3">
        <f t="shared" si="2"/>
        <v>0.35519850746268661</v>
      </c>
    </row>
    <row r="26" spans="1:43">
      <c r="B26" s="4">
        <v>0.06</v>
      </c>
      <c r="C26" s="3">
        <v>0.32600000000000001</v>
      </c>
      <c r="D26" s="3">
        <v>0.14230000000000001</v>
      </c>
      <c r="E26" s="3">
        <v>0.1469</v>
      </c>
      <c r="F26" s="3">
        <v>0.15459999999999999</v>
      </c>
      <c r="G26" s="3">
        <v>0.16980000000000001</v>
      </c>
      <c r="H26" s="3">
        <v>0.17430000000000001</v>
      </c>
      <c r="I26" s="3">
        <v>0.18110000000000001</v>
      </c>
      <c r="J26" s="3">
        <v>0.20910000000000001</v>
      </c>
      <c r="K26" s="3">
        <v>0.23569999999999999</v>
      </c>
      <c r="L26" s="3">
        <v>0.25390000000000001</v>
      </c>
      <c r="M26" s="3">
        <v>0.29270000000000002</v>
      </c>
      <c r="N26" s="3">
        <v>0.3155</v>
      </c>
      <c r="O26" s="3">
        <v>0.37009999999999998</v>
      </c>
      <c r="P26" s="3">
        <v>0.40189999999999998</v>
      </c>
      <c r="Q26" s="3">
        <v>0.42730000000000001</v>
      </c>
      <c r="R26" s="3">
        <v>0.52200000000000002</v>
      </c>
      <c r="S26" s="3">
        <v>0.60670000000000002</v>
      </c>
      <c r="T26" s="3">
        <v>0.89980000000000004</v>
      </c>
      <c r="U26" s="3">
        <v>0.99219999999999997</v>
      </c>
      <c r="V26" s="3">
        <v>1.131</v>
      </c>
      <c r="W26" s="3">
        <v>1.425</v>
      </c>
      <c r="X26" s="3">
        <v>1.504</v>
      </c>
      <c r="Y26" s="3">
        <v>3.5920000000000001</v>
      </c>
      <c r="Z26" s="3">
        <v>3.8740000000000001</v>
      </c>
      <c r="AA26" s="3">
        <v>4.1100000000000003</v>
      </c>
      <c r="AB26" s="3">
        <v>5.774</v>
      </c>
      <c r="AC26" s="3">
        <v>6.3550000000000004</v>
      </c>
      <c r="AD26" s="3">
        <v>8.2639999999999993</v>
      </c>
      <c r="AE26" s="3">
        <v>8.7059999999999995</v>
      </c>
      <c r="AF26" s="3">
        <v>11.44</v>
      </c>
      <c r="AG26" s="3">
        <v>3.048</v>
      </c>
      <c r="AH26" s="3">
        <v>3.3239999999999998</v>
      </c>
      <c r="AI26" s="3">
        <v>4.5629999999999997</v>
      </c>
      <c r="AJ26" s="3">
        <v>6.0659999999999998</v>
      </c>
      <c r="AK26" s="3">
        <v>6.4889999999999999</v>
      </c>
      <c r="AL26" s="3">
        <v>0.17910000000000001</v>
      </c>
      <c r="AM26" s="3">
        <v>0.1973</v>
      </c>
      <c r="AN26" s="3">
        <v>0.27460000000000001</v>
      </c>
      <c r="AO26" s="3">
        <f t="shared" si="0"/>
        <v>5.7413056892999998</v>
      </c>
      <c r="AP26" s="3">
        <f t="shared" si="1"/>
        <v>1.1104579300000001</v>
      </c>
      <c r="AQ26" s="3">
        <f t="shared" si="2"/>
        <v>0.26960049751243786</v>
      </c>
    </row>
    <row r="27" spans="1:43">
      <c r="B27" s="4">
        <v>0.08</v>
      </c>
      <c r="C27" s="3">
        <v>0.30909999999999999</v>
      </c>
      <c r="D27" s="3">
        <v>0.1348</v>
      </c>
      <c r="E27" s="3">
        <v>0.13869999999999999</v>
      </c>
      <c r="F27" s="3">
        <v>0.14499999999999999</v>
      </c>
      <c r="G27" s="3">
        <v>0.1578</v>
      </c>
      <c r="H27" s="3">
        <v>0.15959999999999999</v>
      </c>
      <c r="I27" s="3">
        <v>0.16220000000000001</v>
      </c>
      <c r="J27" s="3">
        <v>0.16930000000000001</v>
      </c>
      <c r="K27" s="3">
        <v>0.1827</v>
      </c>
      <c r="L27" s="3">
        <v>0.188</v>
      </c>
      <c r="M27" s="3">
        <v>0.20649999999999999</v>
      </c>
      <c r="N27" s="3">
        <v>0.21460000000000001</v>
      </c>
      <c r="O27" s="3">
        <v>0.23810000000000001</v>
      </c>
      <c r="P27" s="3">
        <v>0.24759999999999999</v>
      </c>
      <c r="Q27" s="3">
        <v>0.25309999999999999</v>
      </c>
      <c r="R27" s="3">
        <v>0.29809999999999998</v>
      </c>
      <c r="S27" s="3">
        <v>0.33550000000000002</v>
      </c>
      <c r="T27" s="3">
        <v>0.45229999999999998</v>
      </c>
      <c r="U27" s="3">
        <v>0.49030000000000001</v>
      </c>
      <c r="V27" s="3">
        <v>0.55100000000000005</v>
      </c>
      <c r="W27" s="3">
        <v>0.67859999999999998</v>
      </c>
      <c r="X27" s="3">
        <v>0.7097</v>
      </c>
      <c r="Y27" s="3">
        <v>1.631</v>
      </c>
      <c r="Z27" s="3">
        <v>1.7589999999999999</v>
      </c>
      <c r="AA27" s="3">
        <v>1.8640000000000001</v>
      </c>
      <c r="AB27" s="3">
        <v>2.63</v>
      </c>
      <c r="AC27" s="3">
        <v>2.9009999999999998</v>
      </c>
      <c r="AD27" s="3">
        <v>3.8130000000000002</v>
      </c>
      <c r="AE27" s="3">
        <v>4.0220000000000002</v>
      </c>
      <c r="AF27" s="3">
        <v>5.3849999999999998</v>
      </c>
      <c r="AG27" s="3">
        <v>7.1189999999999998</v>
      </c>
      <c r="AH27" s="3">
        <v>7.5679999999999996</v>
      </c>
      <c r="AI27" s="3">
        <v>2.1349999999999998</v>
      </c>
      <c r="AJ27" s="3">
        <v>2.851</v>
      </c>
      <c r="AK27" s="3">
        <v>3.0569999999999999</v>
      </c>
      <c r="AL27" s="3">
        <v>0.16139999999999999</v>
      </c>
      <c r="AM27" s="3">
        <v>0.17860000000000001</v>
      </c>
      <c r="AN27" s="3">
        <v>0.2001</v>
      </c>
      <c r="AO27" s="3">
        <f t="shared" si="0"/>
        <v>2.7138706716000001</v>
      </c>
      <c r="AP27" s="3">
        <f t="shared" si="1"/>
        <v>0.54249972300000004</v>
      </c>
      <c r="AQ27" s="3">
        <f t="shared" si="2"/>
        <v>0.19870945273631843</v>
      </c>
    </row>
    <row r="28" spans="1:43">
      <c r="B28" s="4">
        <v>0.1</v>
      </c>
      <c r="C28" s="3">
        <v>0.2944</v>
      </c>
      <c r="D28" s="3">
        <v>0.1283</v>
      </c>
      <c r="E28" s="3">
        <v>0.13189999999999999</v>
      </c>
      <c r="F28" s="3">
        <v>0.13769999999999999</v>
      </c>
      <c r="G28" s="3">
        <v>0.14929999999999999</v>
      </c>
      <c r="H28" s="3">
        <v>0.15010000000000001</v>
      </c>
      <c r="I28" s="3">
        <v>0.15140000000000001</v>
      </c>
      <c r="J28" s="3">
        <v>0.15179999999999999</v>
      </c>
      <c r="K28" s="3">
        <v>0.1605</v>
      </c>
      <c r="L28" s="3">
        <v>0.16139999999999999</v>
      </c>
      <c r="M28" s="3">
        <v>0.1729</v>
      </c>
      <c r="N28" s="3">
        <v>0.1749</v>
      </c>
      <c r="O28" s="3">
        <v>0.18859999999999999</v>
      </c>
      <c r="P28" s="3">
        <v>0.19059999999999999</v>
      </c>
      <c r="Q28" s="3">
        <v>0.1893</v>
      </c>
      <c r="R28" s="3">
        <v>0.21679999999999999</v>
      </c>
      <c r="S28" s="3">
        <v>0.2374</v>
      </c>
      <c r="T28" s="3">
        <v>0.29170000000000001</v>
      </c>
      <c r="U28" s="3">
        <v>0.31019999999999998</v>
      </c>
      <c r="V28" s="3">
        <v>0.34250000000000003</v>
      </c>
      <c r="W28" s="3">
        <v>0.40970000000000001</v>
      </c>
      <c r="X28" s="3">
        <v>0.42320000000000002</v>
      </c>
      <c r="Y28" s="3">
        <v>0.90610000000000002</v>
      </c>
      <c r="Z28" s="3">
        <v>0.97309999999999997</v>
      </c>
      <c r="AA28" s="3">
        <v>1.0309999999999999</v>
      </c>
      <c r="AB28" s="3">
        <v>1.444</v>
      </c>
      <c r="AC28" s="3">
        <v>1.5920000000000001</v>
      </c>
      <c r="AD28" s="3">
        <v>2.0950000000000002</v>
      </c>
      <c r="AE28" s="3">
        <v>2.2109999999999999</v>
      </c>
      <c r="AF28" s="3">
        <v>2.9820000000000002</v>
      </c>
      <c r="AG28" s="3">
        <v>3.9969999999999999</v>
      </c>
      <c r="AH28" s="3">
        <v>4.2729999999999997</v>
      </c>
      <c r="AI28" s="3">
        <v>5.3550000000000004</v>
      </c>
      <c r="AJ28" s="3">
        <v>1.6060000000000001</v>
      </c>
      <c r="AK28" s="3">
        <v>1.722</v>
      </c>
      <c r="AL28" s="3">
        <v>0.15090000000000001</v>
      </c>
      <c r="AM28" s="3">
        <v>0.16739999999999999</v>
      </c>
      <c r="AN28" s="3">
        <v>0.17019999999999999</v>
      </c>
      <c r="AO28" s="3">
        <f t="shared" si="0"/>
        <v>1.5358320702000001</v>
      </c>
      <c r="AP28" s="3">
        <f t="shared" si="1"/>
        <v>0.33830981200000004</v>
      </c>
      <c r="AQ28" s="3">
        <f t="shared" si="2"/>
        <v>0.17001890547263682</v>
      </c>
    </row>
    <row r="29" spans="1:43">
      <c r="B29" s="4">
        <v>0.15</v>
      </c>
      <c r="C29" s="3">
        <v>0.26500000000000001</v>
      </c>
      <c r="D29" s="3">
        <v>0.11550000000000001</v>
      </c>
      <c r="E29" s="3">
        <v>0.1186</v>
      </c>
      <c r="F29" s="3">
        <v>0.1237</v>
      </c>
      <c r="G29" s="3">
        <v>0.1338</v>
      </c>
      <c r="H29" s="3">
        <v>0.13400000000000001</v>
      </c>
      <c r="I29" s="3">
        <v>0.13439999999999999</v>
      </c>
      <c r="J29" s="3">
        <v>0.1305</v>
      </c>
      <c r="K29" s="3">
        <v>0.13569999999999999</v>
      </c>
      <c r="L29" s="3">
        <v>0.13370000000000001</v>
      </c>
      <c r="M29" s="3">
        <v>0.1399</v>
      </c>
      <c r="N29" s="3">
        <v>0.13789999999999999</v>
      </c>
      <c r="O29" s="3">
        <v>0.1444</v>
      </c>
      <c r="P29" s="3">
        <v>0.1414</v>
      </c>
      <c r="Q29" s="3">
        <v>0.13589999999999999</v>
      </c>
      <c r="R29" s="3">
        <v>0.15010000000000001</v>
      </c>
      <c r="S29" s="3">
        <v>0.1583</v>
      </c>
      <c r="T29" s="3">
        <v>0.16739999999999999</v>
      </c>
      <c r="U29" s="3">
        <v>0.17150000000000001</v>
      </c>
      <c r="V29" s="3">
        <v>0.18290000000000001</v>
      </c>
      <c r="W29" s="3">
        <v>0.2049</v>
      </c>
      <c r="X29" s="3">
        <v>0.20530000000000001</v>
      </c>
      <c r="Y29" s="3">
        <v>0.35089999999999999</v>
      </c>
      <c r="Z29" s="3">
        <v>0.37280000000000002</v>
      </c>
      <c r="AA29" s="3">
        <v>0.39019999999999999</v>
      </c>
      <c r="AB29" s="3">
        <v>0.52129999999999999</v>
      </c>
      <c r="AC29" s="3">
        <v>0.56899999999999995</v>
      </c>
      <c r="AD29" s="3">
        <v>0.73519999999999996</v>
      </c>
      <c r="AE29" s="3">
        <v>0.77470000000000006</v>
      </c>
      <c r="AF29" s="3">
        <v>1.04</v>
      </c>
      <c r="AG29" s="3">
        <v>1.4019999999999999</v>
      </c>
      <c r="AH29" s="3">
        <v>1.502</v>
      </c>
      <c r="AI29" s="3">
        <v>1.921</v>
      </c>
      <c r="AJ29" s="3">
        <v>2.3620000000000001</v>
      </c>
      <c r="AK29" s="3">
        <v>2.4769999999999999</v>
      </c>
      <c r="AL29" s="3">
        <v>0.1341</v>
      </c>
      <c r="AM29" s="3">
        <v>0.14899999999999999</v>
      </c>
      <c r="AN29" s="3">
        <v>0.13969999999999999</v>
      </c>
      <c r="AO29" s="3">
        <f t="shared" si="0"/>
        <v>2.1993245941999997</v>
      </c>
      <c r="AP29" s="3">
        <f t="shared" si="1"/>
        <v>0.18180433900000004</v>
      </c>
      <c r="AQ29" s="3">
        <f t="shared" si="2"/>
        <v>0.14030149253731342</v>
      </c>
    </row>
    <row r="30" spans="1:43">
      <c r="B30" s="4">
        <v>0.2</v>
      </c>
      <c r="C30" s="3">
        <v>0.2429</v>
      </c>
      <c r="D30" s="3">
        <v>0.10580000000000001</v>
      </c>
      <c r="E30" s="3">
        <v>0.1086</v>
      </c>
      <c r="F30" s="3">
        <v>0.1132</v>
      </c>
      <c r="G30" s="3">
        <v>0.12230000000000001</v>
      </c>
      <c r="H30" s="3">
        <v>0.1225</v>
      </c>
      <c r="I30" s="3">
        <v>0.1227</v>
      </c>
      <c r="J30" s="3">
        <v>0.1181</v>
      </c>
      <c r="K30" s="3">
        <v>0.12239999999999999</v>
      </c>
      <c r="L30" s="3">
        <v>0.11990000000000001</v>
      </c>
      <c r="M30" s="3">
        <v>0.12470000000000001</v>
      </c>
      <c r="N30" s="3">
        <v>0.12189999999999999</v>
      </c>
      <c r="O30" s="3">
        <v>0.12670000000000001</v>
      </c>
      <c r="P30" s="3">
        <v>0.12280000000000001</v>
      </c>
      <c r="Q30" s="3">
        <v>0.1166</v>
      </c>
      <c r="R30" s="3">
        <v>0.1273</v>
      </c>
      <c r="S30" s="3">
        <v>0.13239999999999999</v>
      </c>
      <c r="T30" s="3">
        <v>0.13120000000000001</v>
      </c>
      <c r="U30" s="3">
        <v>0.1321</v>
      </c>
      <c r="V30" s="3">
        <v>0.13830000000000001</v>
      </c>
      <c r="W30" s="3">
        <v>0.14899999999999999</v>
      </c>
      <c r="X30" s="3">
        <v>0.14660000000000001</v>
      </c>
      <c r="Y30" s="3">
        <v>0.20749999999999999</v>
      </c>
      <c r="Z30" s="3">
        <v>0.21740000000000001</v>
      </c>
      <c r="AA30" s="3">
        <v>0.22459999999999999</v>
      </c>
      <c r="AB30" s="3">
        <v>0.28179999999999999</v>
      </c>
      <c r="AC30" s="3">
        <v>0.30259999999999998</v>
      </c>
      <c r="AD30" s="3">
        <v>0.37680000000000002</v>
      </c>
      <c r="AE30" s="3">
        <v>0.3952</v>
      </c>
      <c r="AF30" s="3">
        <v>0.5181</v>
      </c>
      <c r="AG30" s="3">
        <v>0.68989999999999996</v>
      </c>
      <c r="AH30" s="3">
        <v>0.73829999999999996</v>
      </c>
      <c r="AI30" s="3">
        <v>0.94320000000000004</v>
      </c>
      <c r="AJ30" s="3">
        <v>1.169</v>
      </c>
      <c r="AK30" s="3">
        <v>1.23</v>
      </c>
      <c r="AL30" s="3">
        <v>0.1225</v>
      </c>
      <c r="AM30" s="3">
        <v>0.1361</v>
      </c>
      <c r="AN30" s="3">
        <v>0.1249</v>
      </c>
      <c r="AO30" s="3">
        <f t="shared" si="0"/>
        <v>1.0987484090999999</v>
      </c>
      <c r="AP30" s="3">
        <f t="shared" si="1"/>
        <v>0.13788447100000001</v>
      </c>
      <c r="AQ30" s="3">
        <f t="shared" si="2"/>
        <v>0.12562437810945276</v>
      </c>
    </row>
    <row r="31" spans="1:43">
      <c r="B31" s="4">
        <v>0.3</v>
      </c>
      <c r="C31" s="3">
        <v>0.2112</v>
      </c>
      <c r="D31" s="3">
        <v>9.1969999999999996E-2</v>
      </c>
      <c r="E31" s="3">
        <v>9.4490000000000005E-2</v>
      </c>
      <c r="F31" s="3">
        <v>9.8449999999999996E-2</v>
      </c>
      <c r="G31" s="3">
        <v>0.10630000000000001</v>
      </c>
      <c r="H31" s="3">
        <v>0.10639999999999999</v>
      </c>
      <c r="I31" s="3">
        <v>0.1066</v>
      </c>
      <c r="J31" s="3">
        <v>0.1021</v>
      </c>
      <c r="K31" s="3">
        <v>0.1055</v>
      </c>
      <c r="L31" s="3">
        <v>0.1031</v>
      </c>
      <c r="M31" s="3">
        <v>0.1069</v>
      </c>
      <c r="N31" s="3">
        <v>0.1041</v>
      </c>
      <c r="O31" s="3">
        <v>0.1075</v>
      </c>
      <c r="P31" s="3">
        <v>0.1037</v>
      </c>
      <c r="Q31" s="3">
        <v>9.7729999999999997E-2</v>
      </c>
      <c r="R31" s="3">
        <v>0.10589999999999999</v>
      </c>
      <c r="S31" s="3">
        <v>0.10920000000000001</v>
      </c>
      <c r="T31" s="3">
        <v>0.1037</v>
      </c>
      <c r="U31" s="3">
        <v>0.10299999999999999</v>
      </c>
      <c r="V31" s="3">
        <v>0.10639999999999999</v>
      </c>
      <c r="W31" s="3">
        <v>0.1113</v>
      </c>
      <c r="X31" s="3">
        <v>0.1076</v>
      </c>
      <c r="Y31" s="3">
        <v>0.1244</v>
      </c>
      <c r="Z31" s="3">
        <v>0.12790000000000001</v>
      </c>
      <c r="AA31" s="3">
        <v>0.1298</v>
      </c>
      <c r="AB31" s="3">
        <v>0.14710000000000001</v>
      </c>
      <c r="AC31" s="3">
        <v>0.1532</v>
      </c>
      <c r="AD31" s="3">
        <v>0.17630000000000001</v>
      </c>
      <c r="AE31" s="3">
        <v>0.18290000000000001</v>
      </c>
      <c r="AF31" s="3">
        <v>0.22470000000000001</v>
      </c>
      <c r="AG31" s="3">
        <v>0.28499999999999998</v>
      </c>
      <c r="AH31" s="3">
        <v>0.30230000000000001</v>
      </c>
      <c r="AI31" s="3">
        <v>0.37719999999999998</v>
      </c>
      <c r="AJ31" s="3">
        <v>0.46329999999999999</v>
      </c>
      <c r="AK31" s="3">
        <v>0.48730000000000001</v>
      </c>
      <c r="AL31" s="3">
        <v>0.10630000000000001</v>
      </c>
      <c r="AM31" s="3">
        <v>0.1183</v>
      </c>
      <c r="AN31" s="3">
        <v>0.1072</v>
      </c>
      <c r="AO31" s="3">
        <f t="shared" si="0"/>
        <v>0.4421744869</v>
      </c>
      <c r="AP31" s="3">
        <f t="shared" si="1"/>
        <v>0.106346185</v>
      </c>
      <c r="AQ31" s="3">
        <f t="shared" si="2"/>
        <v>0.10791791044776121</v>
      </c>
    </row>
    <row r="32" spans="1:43">
      <c r="B32" s="4">
        <v>0.4</v>
      </c>
      <c r="C32" s="3">
        <v>0.18920000000000001</v>
      </c>
      <c r="D32" s="3">
        <v>8.2419999999999993E-2</v>
      </c>
      <c r="E32" s="3">
        <v>8.4659999999999999E-2</v>
      </c>
      <c r="F32" s="3">
        <v>8.8190000000000004E-2</v>
      </c>
      <c r="G32" s="3">
        <v>9.5269999999999994E-2</v>
      </c>
      <c r="H32" s="3">
        <v>9.5350000000000004E-2</v>
      </c>
      <c r="I32" s="3">
        <v>9.5380000000000006E-2</v>
      </c>
      <c r="J32" s="3">
        <v>9.1359999999999997E-2</v>
      </c>
      <c r="K32" s="3">
        <v>9.4339999999999993E-2</v>
      </c>
      <c r="L32" s="3">
        <v>9.2130000000000004E-2</v>
      </c>
      <c r="M32" s="3">
        <v>9.5420000000000005E-2</v>
      </c>
      <c r="N32" s="3">
        <v>9.2789999999999997E-2</v>
      </c>
      <c r="O32" s="3">
        <v>9.5740000000000006E-2</v>
      </c>
      <c r="P32" s="3">
        <v>9.214E-2</v>
      </c>
      <c r="Q32" s="3">
        <v>8.6720000000000005E-2</v>
      </c>
      <c r="R32" s="3">
        <v>9.3729999999999994E-2</v>
      </c>
      <c r="S32" s="3">
        <v>9.6479999999999996E-2</v>
      </c>
      <c r="T32" s="3">
        <v>9.0399999999999994E-2</v>
      </c>
      <c r="U32" s="3">
        <v>8.9499999999999996E-2</v>
      </c>
      <c r="V32" s="3">
        <v>9.1999999999999998E-2</v>
      </c>
      <c r="W32" s="3">
        <v>9.529E-2</v>
      </c>
      <c r="X32" s="3">
        <v>9.1700000000000004E-2</v>
      </c>
      <c r="Y32" s="3">
        <v>9.7640000000000005E-2</v>
      </c>
      <c r="Z32" s="3">
        <v>9.9540000000000003E-2</v>
      </c>
      <c r="AA32" s="3">
        <v>0.10009999999999999</v>
      </c>
      <c r="AB32" s="3">
        <v>0.1071</v>
      </c>
      <c r="AC32" s="3">
        <v>0.1095</v>
      </c>
      <c r="AD32" s="3">
        <v>0.1192</v>
      </c>
      <c r="AE32" s="3">
        <v>0.1225</v>
      </c>
      <c r="AF32" s="3">
        <v>0.1424</v>
      </c>
      <c r="AG32" s="3">
        <v>0.1716</v>
      </c>
      <c r="AH32" s="3">
        <v>0.18010000000000001</v>
      </c>
      <c r="AI32" s="3">
        <v>0.2172</v>
      </c>
      <c r="AJ32" s="3">
        <v>0.26100000000000001</v>
      </c>
      <c r="AK32" s="3">
        <v>0.27350000000000002</v>
      </c>
      <c r="AL32" s="3">
        <v>9.5250000000000001E-2</v>
      </c>
      <c r="AM32" s="3">
        <v>0.10589999999999999</v>
      </c>
      <c r="AN32" s="3">
        <v>9.572E-2</v>
      </c>
      <c r="AO32" s="3">
        <f t="shared" si="0"/>
        <v>0.25238690204000003</v>
      </c>
      <c r="AP32" s="3">
        <f t="shared" si="1"/>
        <v>9.2019253199999998E-2</v>
      </c>
      <c r="AQ32" s="3">
        <f t="shared" si="2"/>
        <v>9.6378407960199003E-2</v>
      </c>
    </row>
    <row r="33" spans="2:43">
      <c r="B33" s="4">
        <v>0.5</v>
      </c>
      <c r="C33" s="3">
        <v>0.17280000000000001</v>
      </c>
      <c r="D33" s="3">
        <v>7.5259999999999994E-2</v>
      </c>
      <c r="E33" s="3">
        <v>7.732E-2</v>
      </c>
      <c r="F33" s="3">
        <v>8.0549999999999997E-2</v>
      </c>
      <c r="G33" s="3">
        <v>8.6999999999999994E-2</v>
      </c>
      <c r="H33" s="3">
        <v>8.7029999999999996E-2</v>
      </c>
      <c r="I33" s="3">
        <v>8.7080000000000005E-2</v>
      </c>
      <c r="J33" s="3">
        <v>8.3390000000000006E-2</v>
      </c>
      <c r="K33" s="3">
        <v>8.6080000000000004E-2</v>
      </c>
      <c r="L33" s="3">
        <v>8.4029999999999994E-2</v>
      </c>
      <c r="M33" s="3">
        <v>8.6980000000000002E-2</v>
      </c>
      <c r="N33" s="3">
        <v>8.4580000000000002E-2</v>
      </c>
      <c r="O33" s="3">
        <v>8.7220000000000006E-2</v>
      </c>
      <c r="P33" s="3">
        <v>8.3879999999999996E-2</v>
      </c>
      <c r="Q33" s="3">
        <v>7.8899999999999998E-2</v>
      </c>
      <c r="R33" s="3">
        <v>8.5199999999999998E-2</v>
      </c>
      <c r="S33" s="3">
        <v>8.7609999999999993E-2</v>
      </c>
      <c r="T33" s="3">
        <v>8.1680000000000003E-2</v>
      </c>
      <c r="U33" s="3">
        <v>8.0729999999999996E-2</v>
      </c>
      <c r="V33" s="3">
        <v>8.2820000000000005E-2</v>
      </c>
      <c r="W33" s="3">
        <v>8.5449999999999998E-2</v>
      </c>
      <c r="X33" s="3">
        <v>8.2040000000000002E-2</v>
      </c>
      <c r="Y33" s="3">
        <v>8.4199999999999997E-2</v>
      </c>
      <c r="Z33" s="3">
        <v>8.5459999999999994E-2</v>
      </c>
      <c r="AA33" s="3">
        <v>8.5529999999999995E-2</v>
      </c>
      <c r="AB33" s="3">
        <v>8.8779999999999998E-2</v>
      </c>
      <c r="AC33" s="3">
        <v>8.9760000000000006E-2</v>
      </c>
      <c r="AD33" s="3">
        <v>9.4460000000000002E-2</v>
      </c>
      <c r="AE33" s="3">
        <v>9.6540000000000001E-2</v>
      </c>
      <c r="AF33" s="3">
        <v>0.10780000000000001</v>
      </c>
      <c r="AG33" s="3">
        <v>0.12470000000000001</v>
      </c>
      <c r="AH33" s="3">
        <v>0.12970000000000001</v>
      </c>
      <c r="AI33" s="3">
        <v>0.15140000000000001</v>
      </c>
      <c r="AJ33" s="3">
        <v>0.17780000000000001</v>
      </c>
      <c r="AK33" s="3">
        <v>0.18540000000000001</v>
      </c>
      <c r="AL33" s="3">
        <v>8.6940000000000003E-2</v>
      </c>
      <c r="AM33" s="3">
        <v>9.6670000000000006E-2</v>
      </c>
      <c r="AN33" s="3">
        <v>8.7279999999999996E-2</v>
      </c>
      <c r="AO33" s="3">
        <f t="shared" si="0"/>
        <v>0.17374583544</v>
      </c>
      <c r="AP33" s="3">
        <f t="shared" si="1"/>
        <v>8.286882000000001E-2</v>
      </c>
      <c r="AQ33" s="3">
        <f t="shared" si="2"/>
        <v>8.7887313432835831E-2</v>
      </c>
    </row>
    <row r="34" spans="2:43">
      <c r="B34" s="4">
        <v>0.6</v>
      </c>
      <c r="C34" s="3">
        <v>0.1598</v>
      </c>
      <c r="D34" s="3">
        <v>6.9629999999999997E-2</v>
      </c>
      <c r="E34" s="3">
        <v>7.1499999999999994E-2</v>
      </c>
      <c r="F34" s="3">
        <v>7.4480000000000005E-2</v>
      </c>
      <c r="G34" s="3">
        <v>8.047E-2</v>
      </c>
      <c r="H34" s="3">
        <v>8.0490000000000006E-2</v>
      </c>
      <c r="I34" s="3">
        <v>8.0560000000000007E-2</v>
      </c>
      <c r="J34" s="3">
        <v>7.7109999999999998E-2</v>
      </c>
      <c r="K34" s="3">
        <v>7.9600000000000004E-2</v>
      </c>
      <c r="L34" s="3">
        <v>7.7689999999999995E-2</v>
      </c>
      <c r="M34" s="3">
        <v>8.0409999999999995E-2</v>
      </c>
      <c r="N34" s="3">
        <v>7.8149999999999997E-2</v>
      </c>
      <c r="O34" s="3">
        <v>8.0589999999999995E-2</v>
      </c>
      <c r="P34" s="3">
        <v>7.7469999999999997E-2</v>
      </c>
      <c r="Q34" s="3">
        <v>7.2859999999999994E-2</v>
      </c>
      <c r="R34" s="3">
        <v>7.8640000000000002E-2</v>
      </c>
      <c r="S34" s="3">
        <v>8.0829999999999999E-2</v>
      </c>
      <c r="T34" s="3">
        <v>7.5179999999999997E-2</v>
      </c>
      <c r="U34" s="3">
        <v>7.424E-2</v>
      </c>
      <c r="V34" s="3">
        <v>7.6109999999999997E-2</v>
      </c>
      <c r="W34" s="3">
        <v>7.8350000000000003E-2</v>
      </c>
      <c r="X34" s="3">
        <v>7.5130000000000002E-2</v>
      </c>
      <c r="Y34" s="3">
        <v>7.5600000000000001E-2</v>
      </c>
      <c r="Z34" s="3">
        <v>7.6550000000000007E-2</v>
      </c>
      <c r="AA34" s="3">
        <v>7.6380000000000003E-2</v>
      </c>
      <c r="AB34" s="3">
        <v>7.7990000000000004E-2</v>
      </c>
      <c r="AC34" s="3">
        <v>7.8310000000000005E-2</v>
      </c>
      <c r="AD34" s="3">
        <v>8.0750000000000002E-2</v>
      </c>
      <c r="AE34" s="3">
        <v>8.2229999999999998E-2</v>
      </c>
      <c r="AF34" s="3">
        <v>8.9410000000000003E-2</v>
      </c>
      <c r="AG34" s="3">
        <v>0.1004</v>
      </c>
      <c r="AH34" s="3">
        <v>0.1036</v>
      </c>
      <c r="AI34" s="3">
        <v>0.1178</v>
      </c>
      <c r="AJ34" s="3">
        <v>0.13519999999999999</v>
      </c>
      <c r="AK34" s="3">
        <v>0.14030000000000001</v>
      </c>
      <c r="AL34" s="3">
        <v>8.0409999999999995E-2</v>
      </c>
      <c r="AM34" s="3">
        <v>8.9429999999999996E-2</v>
      </c>
      <c r="AN34" s="3">
        <v>8.0699999999999994E-2</v>
      </c>
      <c r="AO34" s="3">
        <f t="shared" si="0"/>
        <v>0.13321883858</v>
      </c>
      <c r="AP34" s="3">
        <f t="shared" si="1"/>
        <v>7.6162656299999992E-2</v>
      </c>
      <c r="AQ34" s="3">
        <f t="shared" si="2"/>
        <v>8.1264626865671652E-2</v>
      </c>
    </row>
    <row r="35" spans="2:43">
      <c r="B35" s="4">
        <v>0.8</v>
      </c>
      <c r="C35" s="3">
        <v>0.1404</v>
      </c>
      <c r="D35" s="3">
        <v>6.1159999999999999E-2</v>
      </c>
      <c r="E35" s="3">
        <v>6.2799999999999995E-2</v>
      </c>
      <c r="F35" s="3">
        <v>6.5460000000000004E-2</v>
      </c>
      <c r="G35" s="3">
        <v>7.0699999999999999E-2</v>
      </c>
      <c r="H35" s="3">
        <v>7.0730000000000001E-2</v>
      </c>
      <c r="I35" s="3">
        <v>7.077E-2</v>
      </c>
      <c r="J35" s="3">
        <v>6.7739999999999995E-2</v>
      </c>
      <c r="K35" s="3">
        <v>6.9900000000000004E-2</v>
      </c>
      <c r="L35" s="3">
        <v>6.8210000000000007E-2</v>
      </c>
      <c r="M35" s="3">
        <v>7.0580000000000004E-2</v>
      </c>
      <c r="N35" s="3">
        <v>6.8589999999999998E-2</v>
      </c>
      <c r="O35" s="3">
        <v>7.0709999999999995E-2</v>
      </c>
      <c r="P35" s="3">
        <v>6.7960000000000007E-2</v>
      </c>
      <c r="Q35" s="3">
        <v>6.3890000000000002E-2</v>
      </c>
      <c r="R35" s="3">
        <v>6.8940000000000001E-2</v>
      </c>
      <c r="S35" s="3">
        <v>7.0830000000000004E-2</v>
      </c>
      <c r="T35" s="3">
        <v>6.5720000000000001E-2</v>
      </c>
      <c r="U35" s="3">
        <v>6.4869999999999997E-2</v>
      </c>
      <c r="V35" s="3">
        <v>6.6439999999999999E-2</v>
      </c>
      <c r="W35" s="3">
        <v>6.8269999999999997E-2</v>
      </c>
      <c r="X35" s="3">
        <v>6.54E-2</v>
      </c>
      <c r="Y35" s="3">
        <v>6.4589999999999995E-2</v>
      </c>
      <c r="Z35" s="3">
        <v>6.5240000000000006E-2</v>
      </c>
      <c r="AA35" s="3">
        <v>6.497E-2</v>
      </c>
      <c r="AB35" s="3">
        <v>6.5180000000000002E-2</v>
      </c>
      <c r="AC35" s="3">
        <v>6.5030000000000004E-2</v>
      </c>
      <c r="AD35" s="3">
        <v>6.5530000000000005E-2</v>
      </c>
      <c r="AE35" s="3">
        <v>6.6430000000000003E-2</v>
      </c>
      <c r="AF35" s="3">
        <v>7.0050000000000001E-2</v>
      </c>
      <c r="AG35" s="3">
        <v>7.5689999999999993E-2</v>
      </c>
      <c r="AH35" s="3">
        <v>7.7380000000000004E-2</v>
      </c>
      <c r="AI35" s="3">
        <v>8.4720000000000004E-2</v>
      </c>
      <c r="AJ35" s="3">
        <v>9.3850000000000003E-2</v>
      </c>
      <c r="AK35" s="3">
        <v>9.6619999999999998E-2</v>
      </c>
      <c r="AL35" s="3">
        <v>7.0650000000000004E-2</v>
      </c>
      <c r="AM35" s="3">
        <v>7.8560000000000005E-2</v>
      </c>
      <c r="AN35" s="3">
        <v>7.0849999999999996E-2</v>
      </c>
      <c r="AO35" s="3">
        <f t="shared" si="0"/>
        <v>9.3555921949999996E-2</v>
      </c>
      <c r="AP35" s="3">
        <f t="shared" si="1"/>
        <v>6.6493638399999999E-2</v>
      </c>
      <c r="AQ35" s="3">
        <f t="shared" si="2"/>
        <v>7.1348656716417908E-2</v>
      </c>
    </row>
    <row r="36" spans="2:43">
      <c r="B36" s="4">
        <v>1</v>
      </c>
      <c r="C36" s="3">
        <v>0.12620000000000001</v>
      </c>
      <c r="D36" s="3">
        <v>5.4969999999999998E-2</v>
      </c>
      <c r="E36" s="3">
        <v>5.645E-2</v>
      </c>
      <c r="F36" s="3">
        <v>5.883E-2</v>
      </c>
      <c r="G36" s="3">
        <v>6.3519999999999993E-2</v>
      </c>
      <c r="H36" s="3">
        <v>6.3549999999999995E-2</v>
      </c>
      <c r="I36" s="3">
        <v>6.3619999999999996E-2</v>
      </c>
      <c r="J36" s="3">
        <v>6.087E-2</v>
      </c>
      <c r="K36" s="3">
        <v>6.2829999999999997E-2</v>
      </c>
      <c r="L36" s="3">
        <v>6.132E-2</v>
      </c>
      <c r="M36" s="3">
        <v>6.3439999999999996E-2</v>
      </c>
      <c r="N36" s="3">
        <v>6.164E-2</v>
      </c>
      <c r="O36" s="3">
        <v>6.3530000000000003E-2</v>
      </c>
      <c r="P36" s="3">
        <v>6.1069999999999999E-2</v>
      </c>
      <c r="Q36" s="3">
        <v>5.74E-2</v>
      </c>
      <c r="R36" s="3">
        <v>6.1920000000000003E-2</v>
      </c>
      <c r="S36" s="3">
        <v>6.361E-2</v>
      </c>
      <c r="T36" s="3">
        <v>5.8970000000000002E-2</v>
      </c>
      <c r="U36" s="3">
        <v>5.8169999999999999E-2</v>
      </c>
      <c r="V36" s="3">
        <v>5.9569999999999998E-2</v>
      </c>
      <c r="W36" s="3">
        <v>6.1159999999999999E-2</v>
      </c>
      <c r="X36" s="3">
        <v>5.8560000000000001E-2</v>
      </c>
      <c r="Y36" s="3">
        <v>5.7360000000000001E-2</v>
      </c>
      <c r="Z36" s="3">
        <v>5.7880000000000001E-2</v>
      </c>
      <c r="AA36" s="3">
        <v>5.7570000000000003E-2</v>
      </c>
      <c r="AB36" s="3">
        <v>5.7290000000000001E-2</v>
      </c>
      <c r="AC36" s="3">
        <v>5.6959999999999997E-2</v>
      </c>
      <c r="AD36" s="3">
        <v>5.6759999999999998E-2</v>
      </c>
      <c r="AE36" s="3">
        <v>5.7439999999999998E-2</v>
      </c>
      <c r="AF36" s="3">
        <v>5.9580000000000001E-2</v>
      </c>
      <c r="AG36" s="3">
        <v>6.3E-2</v>
      </c>
      <c r="AH36" s="3">
        <v>6.4030000000000004E-2</v>
      </c>
      <c r="AI36" s="3">
        <v>6.8440000000000001E-2</v>
      </c>
      <c r="AJ36" s="3">
        <v>7.3980000000000004E-2</v>
      </c>
      <c r="AK36" s="3">
        <v>7.5689999999999993E-2</v>
      </c>
      <c r="AL36" s="3">
        <v>6.3490000000000005E-2</v>
      </c>
      <c r="AM36" s="3">
        <v>7.0620000000000002E-2</v>
      </c>
      <c r="AN36" s="3">
        <v>6.368E-2</v>
      </c>
      <c r="AO36" s="3">
        <f t="shared" si="0"/>
        <v>7.4259306689999985E-2</v>
      </c>
      <c r="AP36" s="3">
        <f t="shared" si="1"/>
        <v>5.9622608299999991E-2</v>
      </c>
      <c r="AQ36" s="3">
        <f t="shared" si="2"/>
        <v>6.4128855721393041E-2</v>
      </c>
    </row>
    <row r="37" spans="2:43">
      <c r="B37" s="4">
        <v>1.5</v>
      </c>
      <c r="C37" s="3">
        <v>0.1026</v>
      </c>
      <c r="D37" s="3">
        <v>4.4690000000000001E-2</v>
      </c>
      <c r="E37" s="3">
        <v>4.5900000000000003E-2</v>
      </c>
      <c r="F37" s="3">
        <v>4.7849999999999997E-2</v>
      </c>
      <c r="G37" s="3">
        <v>5.1670000000000001E-2</v>
      </c>
      <c r="H37" s="3">
        <v>5.1729999999999998E-2</v>
      </c>
      <c r="I37" s="3">
        <v>5.178E-2</v>
      </c>
      <c r="J37" s="3">
        <v>4.9579999999999999E-2</v>
      </c>
      <c r="K37" s="3">
        <v>5.1180000000000003</v>
      </c>
      <c r="L37" s="3">
        <v>4.9950000000000001E-2</v>
      </c>
      <c r="M37" s="3">
        <v>5.1709999999999999E-2</v>
      </c>
      <c r="N37" s="3">
        <v>5.0270000000000002E-2</v>
      </c>
      <c r="O37" s="3">
        <v>5.1810000000000002E-2</v>
      </c>
      <c r="P37" s="3">
        <v>4.981E-2</v>
      </c>
      <c r="Q37" s="3">
        <v>4.6820000000000001E-2</v>
      </c>
      <c r="R37" s="3">
        <v>5.0529999999999999E-2</v>
      </c>
      <c r="S37" s="3">
        <v>5.1909999999999998E-2</v>
      </c>
      <c r="T37" s="3">
        <v>4.8140000000000002E-2</v>
      </c>
      <c r="U37" s="3">
        <v>4.7489999999999997E-2</v>
      </c>
      <c r="V37" s="3">
        <v>4.8619999999999997E-2</v>
      </c>
      <c r="W37" s="3">
        <v>4.9910000000000003E-2</v>
      </c>
      <c r="X37" s="3">
        <v>4.7800000000000002E-2</v>
      </c>
      <c r="Y37" s="3">
        <v>4.6629999999999998E-2</v>
      </c>
      <c r="Z37" s="3">
        <v>4.7030000000000002E-2</v>
      </c>
      <c r="AA37" s="3">
        <v>4.6730000000000001E-2</v>
      </c>
      <c r="AB37" s="3">
        <v>4.6249999999999999E-2</v>
      </c>
      <c r="AC37" s="3">
        <v>4.5879999999999997E-2</v>
      </c>
      <c r="AD37" s="3">
        <v>4.5319999999999999E-2</v>
      </c>
      <c r="AE37" s="3">
        <v>4.5780000000000001E-2</v>
      </c>
      <c r="AF37" s="3">
        <v>4.6820000000000001E-2</v>
      </c>
      <c r="AG37" s="3">
        <v>4.8480000000000002E-2</v>
      </c>
      <c r="AH37" s="3">
        <v>4.9020000000000001E-2</v>
      </c>
      <c r="AI37" s="3">
        <v>5.1020000000000003E-2</v>
      </c>
      <c r="AJ37" s="3">
        <v>5.3530000000000001E-2</v>
      </c>
      <c r="AK37" s="3">
        <v>5.4359999999999999E-2</v>
      </c>
      <c r="AL37" s="3">
        <v>5.1679999999999997E-2</v>
      </c>
      <c r="AM37" s="3">
        <v>5.747E-2</v>
      </c>
      <c r="AN37" s="3">
        <v>5.1869999999999999E-2</v>
      </c>
      <c r="AO37" s="3">
        <f t="shared" si="0"/>
        <v>5.405418486E-2</v>
      </c>
      <c r="AP37" s="3">
        <f t="shared" si="1"/>
        <v>4.8663751700000001E-2</v>
      </c>
      <c r="AQ37" s="3">
        <f t="shared" si="2"/>
        <v>5.2232189054726368E-2</v>
      </c>
    </row>
    <row r="38" spans="2:43">
      <c r="B38" s="4">
        <v>2</v>
      </c>
      <c r="C38" s="3">
        <v>8.7580000000000005E-2</v>
      </c>
      <c r="D38" s="3">
        <v>3.8240000000000003E-2</v>
      </c>
      <c r="E38" s="3">
        <v>3.9309999999999998E-2</v>
      </c>
      <c r="F38" s="3">
        <v>4.1020000000000001E-2</v>
      </c>
      <c r="G38" s="3">
        <v>4.4350000000000001E-2</v>
      </c>
      <c r="H38" s="3">
        <v>4.444E-2</v>
      </c>
      <c r="I38" s="3">
        <v>4.4499999999999998E-2</v>
      </c>
      <c r="J38" s="3">
        <v>4.274E-2</v>
      </c>
      <c r="K38" s="3">
        <v>4.4150000000000002E-2</v>
      </c>
      <c r="L38" s="3">
        <v>4.3159999999999997E-2</v>
      </c>
      <c r="M38" s="3">
        <v>4.4690000000000001E-2</v>
      </c>
      <c r="N38" s="3">
        <v>4.3479999999999998E-2</v>
      </c>
      <c r="O38" s="3">
        <v>4.487E-2</v>
      </c>
      <c r="P38" s="3">
        <v>4.317E-2</v>
      </c>
      <c r="Q38" s="3">
        <v>40.619999999999997</v>
      </c>
      <c r="R38" s="3">
        <v>4.3880000000000002E-2</v>
      </c>
      <c r="S38" s="3">
        <v>4.512E-2</v>
      </c>
      <c r="T38" s="3">
        <v>4.2000000000000003E-2</v>
      </c>
      <c r="U38" s="3">
        <v>4.1480000000000003E-2</v>
      </c>
      <c r="V38" s="3">
        <v>4.2500000000000003E-2</v>
      </c>
      <c r="W38" s="3">
        <v>4.3700000000000003E-2</v>
      </c>
      <c r="X38" s="3">
        <v>4.1880000000000001E-2</v>
      </c>
      <c r="Y38" s="3">
        <v>4.1230000000000003E-2</v>
      </c>
      <c r="Z38" s="3">
        <v>4.1599999999999998E-2</v>
      </c>
      <c r="AA38" s="3">
        <v>4.138E-2</v>
      </c>
      <c r="AB38" s="3">
        <v>4.1090000000000002E-2</v>
      </c>
      <c r="AC38" s="3">
        <v>4.0809999999999999E-2</v>
      </c>
      <c r="AD38" s="3">
        <v>4.0410000000000001E-2</v>
      </c>
      <c r="AE38" s="3">
        <v>4.0840000000000001E-2</v>
      </c>
      <c r="AF38" s="3">
        <v>4.1829999999999999E-2</v>
      </c>
      <c r="AG38" s="3">
        <v>4.3310000000000001E-2</v>
      </c>
      <c r="AH38" s="3">
        <v>4.3729999999999998E-2</v>
      </c>
      <c r="AI38" s="3">
        <v>4.5359999999999998E-2</v>
      </c>
      <c r="AJ38" s="3">
        <v>4.7260000000000003E-2</v>
      </c>
      <c r="AK38" s="3">
        <v>4.7890000000000002E-2</v>
      </c>
      <c r="AL38" s="3">
        <v>4.4400000000000002E-2</v>
      </c>
      <c r="AM38" s="3">
        <v>4.9320000000000003E-2</v>
      </c>
      <c r="AN38" s="3">
        <v>4.4720000000000003E-2</v>
      </c>
      <c r="AO38" s="3">
        <f t="shared" si="0"/>
        <v>4.7488173129999998E-2</v>
      </c>
      <c r="AP38" s="3">
        <f t="shared" si="1"/>
        <v>4.2527033399999997E-2</v>
      </c>
      <c r="AQ38" s="3">
        <f t="shared" si="2"/>
        <v>4.5017512437810957E-2</v>
      </c>
    </row>
    <row r="39" spans="2:43">
      <c r="B39" s="4">
        <v>3</v>
      </c>
      <c r="C39" s="3">
        <v>6.9099999999999995E-2</v>
      </c>
      <c r="D39" s="3">
        <v>3.0370000000000001E-2</v>
      </c>
      <c r="E39" s="3">
        <v>3.1320000000000001E-2</v>
      </c>
      <c r="F39" s="3">
        <v>3.2770000000000001E-2</v>
      </c>
      <c r="G39" s="3">
        <v>3.5549999999999998E-2</v>
      </c>
      <c r="H39" s="3">
        <v>3.5709999999999999E-2</v>
      </c>
      <c r="I39" s="3">
        <v>3.5889999999999998E-2</v>
      </c>
      <c r="J39" s="3">
        <v>3.4779999999999998E-2</v>
      </c>
      <c r="K39" s="3">
        <v>3.6040000000000003E-2</v>
      </c>
      <c r="L39" s="3">
        <v>3.533E-2</v>
      </c>
      <c r="M39" s="3">
        <v>3.6700000000000003E-2</v>
      </c>
      <c r="N39" s="3">
        <v>3.5799999999999998E-2</v>
      </c>
      <c r="O39" s="3">
        <v>3.7060000000000003E-2</v>
      </c>
      <c r="P39" s="3">
        <v>3.5770000000000003E-2</v>
      </c>
      <c r="Q39" s="3">
        <v>3.3750000000000002E-2</v>
      </c>
      <c r="R39" s="3">
        <v>3.6569999999999998E-2</v>
      </c>
      <c r="S39" s="3">
        <v>3.771E-2</v>
      </c>
      <c r="T39" s="3">
        <v>3.5490000000000001E-2</v>
      </c>
      <c r="U39" s="3">
        <v>3.5139999999999998E-2</v>
      </c>
      <c r="V39" s="3">
        <v>3.6110000000000003E-2</v>
      </c>
      <c r="W39" s="3">
        <v>3.7339999999999998E-2</v>
      </c>
      <c r="X39" s="3">
        <v>3.5880000000000002E-2</v>
      </c>
      <c r="Y39" s="3">
        <v>3.6299999999999999E-2</v>
      </c>
      <c r="Z39" s="3">
        <v>3.6720000000000003E-2</v>
      </c>
      <c r="AA39" s="3">
        <v>3.6609999999999997E-2</v>
      </c>
      <c r="AB39" s="3">
        <v>3.6810000000000002E-2</v>
      </c>
      <c r="AC39" s="3">
        <v>3.6700000000000003E-2</v>
      </c>
      <c r="AD39" s="3">
        <v>3.6720000000000003E-2</v>
      </c>
      <c r="AE39" s="3">
        <v>3.7170000000000002E-2</v>
      </c>
      <c r="AF39" s="3">
        <v>3.841E-2</v>
      </c>
      <c r="AG39" s="3">
        <v>4.002E-2</v>
      </c>
      <c r="AH39" s="3">
        <v>4.0460000000000003E-2</v>
      </c>
      <c r="AI39" s="3">
        <v>4.199E-2</v>
      </c>
      <c r="AJ39" s="3">
        <v>4.3549999999999998E-2</v>
      </c>
      <c r="AK39" s="3">
        <v>4.403E-2</v>
      </c>
      <c r="AL39" s="3">
        <v>3.5729999999999998E-2</v>
      </c>
      <c r="AM39" s="3">
        <v>3.9609999999999999E-2</v>
      </c>
      <c r="AN39" s="3">
        <v>3.6459999999999999E-2</v>
      </c>
      <c r="AO39" s="3">
        <f t="shared" si="0"/>
        <v>4.3065141379999998E-2</v>
      </c>
      <c r="AP39" s="3">
        <f t="shared" si="1"/>
        <v>3.6108798300000002E-2</v>
      </c>
      <c r="AQ39" s="3">
        <f t="shared" si="2"/>
        <v>3.666373134328358E-2</v>
      </c>
    </row>
    <row r="40" spans="2:43">
      <c r="B40" s="4">
        <v>4</v>
      </c>
      <c r="C40" s="3">
        <v>5.7930000000000002E-2</v>
      </c>
      <c r="D40" s="3">
        <v>2.5659999999999999E-2</v>
      </c>
      <c r="E40" s="3">
        <v>2.6579999999999999E-2</v>
      </c>
      <c r="F40" s="3">
        <v>2.793E-2</v>
      </c>
      <c r="G40" s="3">
        <v>3.04E-2</v>
      </c>
      <c r="H40" s="3">
        <v>3.066E-2</v>
      </c>
      <c r="I40" s="3">
        <v>3.0929999999999999E-2</v>
      </c>
      <c r="J40" s="3">
        <v>3.031E-2</v>
      </c>
      <c r="K40" s="3">
        <v>3.1530000000000002E-2</v>
      </c>
      <c r="L40" s="3">
        <v>3.1009999999999999E-2</v>
      </c>
      <c r="M40" s="3">
        <v>3.2329999999999998E-2</v>
      </c>
      <c r="N40" s="3">
        <v>3.1649999999999998E-2</v>
      </c>
      <c r="O40" s="3">
        <v>3.2870000000000003E-2</v>
      </c>
      <c r="P40" s="3">
        <v>3.1820000000000001E-2</v>
      </c>
      <c r="Q40" s="3">
        <v>3.0130000000000001E-2</v>
      </c>
      <c r="R40" s="3">
        <v>3.2739999999999998E-2</v>
      </c>
      <c r="S40" s="3">
        <v>3.3860000000000001E-2</v>
      </c>
      <c r="T40" s="3">
        <v>3.227E-2</v>
      </c>
      <c r="U40" s="3">
        <v>3.2039999999999999E-2</v>
      </c>
      <c r="V40" s="3">
        <v>3.3029999999999997E-2</v>
      </c>
      <c r="W40" s="3">
        <v>3.4349999999999999E-2</v>
      </c>
      <c r="X40" s="3">
        <v>3.3090000000000001E-2</v>
      </c>
      <c r="Y40" s="3">
        <v>3.4410000000000003E-2</v>
      </c>
      <c r="Z40" s="3">
        <v>3.4880000000000001E-2</v>
      </c>
      <c r="AA40" s="3">
        <v>3.4849999999999999E-2</v>
      </c>
      <c r="AB40" s="3">
        <v>3.5470000000000002E-2</v>
      </c>
      <c r="AC40" s="3">
        <v>3.5499999999999997E-2</v>
      </c>
      <c r="AD40" s="3">
        <v>3.585E-2</v>
      </c>
      <c r="AE40" s="3">
        <v>3.6330000000000001E-2</v>
      </c>
      <c r="AF40" s="3">
        <v>3.7859999999999998E-2</v>
      </c>
      <c r="AG40" s="3">
        <v>3.9710000000000002E-2</v>
      </c>
      <c r="AH40" s="3">
        <v>4.0189999999999997E-2</v>
      </c>
      <c r="AI40" s="3">
        <v>4.1750000000000002E-2</v>
      </c>
      <c r="AJ40" s="3">
        <v>4.3220000000000001E-2</v>
      </c>
      <c r="AK40" s="3">
        <v>4.3650000000000001E-2</v>
      </c>
      <c r="AL40" s="3">
        <v>3.0720000000000001E-2</v>
      </c>
      <c r="AM40" s="3">
        <v>3.3950000000000001E-2</v>
      </c>
      <c r="AN40" s="3">
        <v>3.1820000000000001E-2</v>
      </c>
      <c r="AO40" s="3">
        <f t="shared" si="0"/>
        <v>4.214226024E-2</v>
      </c>
      <c r="AP40" s="3">
        <f t="shared" si="1"/>
        <v>3.3003794399999994E-2</v>
      </c>
      <c r="AQ40" s="3">
        <f t="shared" si="2"/>
        <v>3.1957761194029856E-2</v>
      </c>
    </row>
    <row r="41" spans="2:43">
      <c r="B41" s="4">
        <v>5</v>
      </c>
      <c r="C41" s="3">
        <v>5.0360000000000002E-2</v>
      </c>
      <c r="D41" s="3">
        <v>2.2519999999999998E-2</v>
      </c>
      <c r="E41" s="3">
        <v>2.342E-2</v>
      </c>
      <c r="F41" s="3">
        <v>2.4709999999999999E-2</v>
      </c>
      <c r="G41" s="3">
        <v>2.7009999999999999E-2</v>
      </c>
      <c r="H41" s="3">
        <v>2.7359999999999999E-2</v>
      </c>
      <c r="I41" s="3">
        <v>2.7699999999999999E-2</v>
      </c>
      <c r="J41" s="3">
        <v>2.7470000000000001E-2</v>
      </c>
      <c r="K41" s="3">
        <v>2.8660000000000001E-2</v>
      </c>
      <c r="L41" s="3">
        <v>2.8289999999999999E-2</v>
      </c>
      <c r="M41" s="3">
        <v>2.9600000000000001E-2</v>
      </c>
      <c r="N41" s="3">
        <v>2.9080000000000002E-2</v>
      </c>
      <c r="O41" s="3">
        <v>3.031E-2</v>
      </c>
      <c r="P41" s="3">
        <v>2.9440000000000001E-2</v>
      </c>
      <c r="Q41" s="3">
        <v>2.7969999999999998E-2</v>
      </c>
      <c r="R41" s="3">
        <v>3.0470000000000001E-2</v>
      </c>
      <c r="S41" s="3">
        <v>3.1629999999999998E-2</v>
      </c>
      <c r="T41" s="3">
        <v>3.0499999999999999E-2</v>
      </c>
      <c r="U41" s="3">
        <v>3.0380000000000001E-2</v>
      </c>
      <c r="V41" s="3">
        <v>3.1390000000000001E-2</v>
      </c>
      <c r="W41" s="3">
        <v>3.2809999999999999E-2</v>
      </c>
      <c r="X41" s="3">
        <v>3.1690000000000003E-2</v>
      </c>
      <c r="Y41" s="3">
        <v>3.3759999999999998E-2</v>
      </c>
      <c r="Z41" s="3">
        <v>3.4270000000000002E-2</v>
      </c>
      <c r="AA41" s="3">
        <v>3.4299999999999997E-2</v>
      </c>
      <c r="AB41" s="3">
        <v>3.5270000000000003E-2</v>
      </c>
      <c r="AC41" s="3">
        <v>3.5389999999999998E-2</v>
      </c>
      <c r="AD41" s="3">
        <v>3.6020000000000003E-2</v>
      </c>
      <c r="AE41" s="3">
        <v>3.653E-2</v>
      </c>
      <c r="AF41" s="3">
        <v>3.832E-2</v>
      </c>
      <c r="AG41" s="3">
        <v>4.0390000000000002E-2</v>
      </c>
      <c r="AH41" s="3">
        <v>4.0890000000000003E-2</v>
      </c>
      <c r="AI41" s="3">
        <v>4.2569999999999997E-2</v>
      </c>
      <c r="AJ41" s="3">
        <v>4.403E-2</v>
      </c>
      <c r="AK41" s="3">
        <v>4.4450000000000003E-2</v>
      </c>
      <c r="AL41" s="3">
        <v>2.7449999999999999E-2</v>
      </c>
      <c r="AM41" s="3">
        <v>3.024E-2</v>
      </c>
      <c r="AN41" s="3">
        <v>2.8879999999999999E-2</v>
      </c>
      <c r="AO41" s="3">
        <f t="shared" si="0"/>
        <v>4.2464572249999999E-2</v>
      </c>
      <c r="AP41" s="3">
        <f t="shared" si="1"/>
        <v>3.1342813599999998E-2</v>
      </c>
      <c r="AQ41" s="3">
        <f t="shared" si="2"/>
        <v>2.8967960199004977E-2</v>
      </c>
    </row>
    <row r="42" spans="2:43">
      <c r="B42" s="4">
        <v>6</v>
      </c>
      <c r="C42" s="3">
        <v>4.4859999999999997E-2</v>
      </c>
      <c r="D42" s="3">
        <v>2.0250000000000001E-2</v>
      </c>
      <c r="E42" s="3">
        <v>2.1160000000000002E-2</v>
      </c>
      <c r="F42" s="3">
        <v>2.2419999999999999E-2</v>
      </c>
      <c r="G42" s="3">
        <v>2.4629999999999999E-2</v>
      </c>
      <c r="H42" s="3">
        <v>2.5049999999999999E-2</v>
      </c>
      <c r="I42" s="3">
        <v>2.546E-2</v>
      </c>
      <c r="J42" s="3">
        <v>2.5530000000000001E-2</v>
      </c>
      <c r="K42" s="3">
        <v>2.6749999999999999E-2</v>
      </c>
      <c r="L42" s="3">
        <v>2.649E-2</v>
      </c>
      <c r="M42" s="3">
        <v>2.7810000000000001E-2</v>
      </c>
      <c r="N42" s="3">
        <v>2.741E-2</v>
      </c>
      <c r="O42" s="3">
        <v>2.8660000000000001E-2</v>
      </c>
      <c r="P42" s="3">
        <v>2.792E-2</v>
      </c>
      <c r="Q42" s="3">
        <v>2.6599999999999999E-2</v>
      </c>
      <c r="R42" s="3">
        <v>2.9080000000000002E-2</v>
      </c>
      <c r="S42" s="3">
        <v>3.0269999999999998E-2</v>
      </c>
      <c r="T42" s="3">
        <v>2.9499999999999998E-2</v>
      </c>
      <c r="U42" s="3">
        <v>2.945E-2</v>
      </c>
      <c r="V42" s="3">
        <v>3.0499999999999999E-2</v>
      </c>
      <c r="W42" s="3">
        <v>3.202E-2</v>
      </c>
      <c r="X42" s="3">
        <v>3.1019999999999999E-2</v>
      </c>
      <c r="Y42" s="3">
        <v>3.3669999999999999E-2</v>
      </c>
      <c r="Z42" s="3">
        <v>3.424E-2</v>
      </c>
      <c r="AA42" s="3">
        <v>3.4329999999999999E-2</v>
      </c>
      <c r="AB42" s="3">
        <v>3.5549999999999998E-2</v>
      </c>
      <c r="AC42" s="3">
        <v>3.576E-2</v>
      </c>
      <c r="AD42" s="3">
        <v>3.6609999999999997E-2</v>
      </c>
      <c r="AE42" s="3">
        <v>3.7170000000000002E-2</v>
      </c>
      <c r="AF42" s="3">
        <v>3.9190000000000003E-2</v>
      </c>
      <c r="AG42" s="3">
        <v>4.1450000000000001E-2</v>
      </c>
      <c r="AH42" s="3">
        <v>4.199E-2</v>
      </c>
      <c r="AI42" s="3">
        <v>4.3790000000000003E-2</v>
      </c>
      <c r="AJ42" s="3">
        <v>4.5280000000000001E-2</v>
      </c>
      <c r="AK42" s="3">
        <v>4.5690000000000001E-2</v>
      </c>
      <c r="AL42" s="3">
        <v>2.5159999999999998E-2</v>
      </c>
      <c r="AM42" s="3">
        <v>2.7629999999999998E-2</v>
      </c>
      <c r="AN42" s="3">
        <v>2.6890000000000001E-2</v>
      </c>
      <c r="AO42" s="3">
        <f t="shared" si="0"/>
        <v>4.3292077410000004E-2</v>
      </c>
      <c r="AP42" s="3">
        <f t="shared" si="1"/>
        <v>3.0436487799999998E-2</v>
      </c>
      <c r="AQ42" s="3">
        <f t="shared" si="2"/>
        <v>2.6937860696517418E-2</v>
      </c>
    </row>
    <row r="43" spans="2:43">
      <c r="B43" s="4">
        <v>8</v>
      </c>
      <c r="C43" s="3">
        <v>3.7350000000000001E-2</v>
      </c>
      <c r="D43" s="3">
        <v>1.721E-2</v>
      </c>
      <c r="E43" s="3">
        <v>1.814E-2</v>
      </c>
      <c r="F43" s="3">
        <v>1.9400000000000001E-2</v>
      </c>
      <c r="G43" s="3">
        <v>2.1479999999999999E-2</v>
      </c>
      <c r="H43" s="3">
        <v>2.2030000000000001E-2</v>
      </c>
      <c r="I43" s="3">
        <v>2.2579999999999999E-2</v>
      </c>
      <c r="J43" s="3">
        <v>2.3140000000000001E-2</v>
      </c>
      <c r="K43" s="3">
        <v>2.4389999999999998E-2</v>
      </c>
      <c r="L43" s="3">
        <v>2.4320000000000001E-2</v>
      </c>
      <c r="M43" s="3">
        <v>2.5680000000000001E-2</v>
      </c>
      <c r="N43" s="3">
        <v>2.547E-2</v>
      </c>
      <c r="O43" s="3">
        <v>2.6769999999999999E-2</v>
      </c>
      <c r="P43" s="3">
        <v>2.623E-2</v>
      </c>
      <c r="Q43" s="3">
        <v>2.512E-2</v>
      </c>
      <c r="R43" s="3">
        <v>2.7609999999999999E-2</v>
      </c>
      <c r="S43" s="3">
        <v>2.887E-2</v>
      </c>
      <c r="T43" s="3">
        <v>2.8639999999999999E-2</v>
      </c>
      <c r="U43" s="3">
        <v>2.87E-2</v>
      </c>
      <c r="V43" s="3">
        <v>2.9850000000000002E-2</v>
      </c>
      <c r="W43" s="3">
        <v>3.1579999999999997E-2</v>
      </c>
      <c r="X43" s="3">
        <v>3.0679999999999999E-2</v>
      </c>
      <c r="Y43" s="3">
        <v>3.4349999999999999E-2</v>
      </c>
      <c r="Z43" s="3">
        <v>3.5020000000000003E-2</v>
      </c>
      <c r="AA43" s="3">
        <v>3.517E-2</v>
      </c>
      <c r="AB43" s="3">
        <v>3.6850000000000001E-2</v>
      </c>
      <c r="AC43" s="3">
        <v>3.7170000000000002E-2</v>
      </c>
      <c r="AD43" s="3">
        <v>3.8379999999999997E-2</v>
      </c>
      <c r="AE43" s="3">
        <v>3.9E-2</v>
      </c>
      <c r="AF43" s="3">
        <v>4.1399999999999999E-2</v>
      </c>
      <c r="AG43" s="3">
        <v>4.4019999999999997E-2</v>
      </c>
      <c r="AH43" s="3">
        <v>4.4639999999999999E-2</v>
      </c>
      <c r="AI43" s="3">
        <v>4.6670000000000003E-2</v>
      </c>
      <c r="AJ43" s="3">
        <v>4.827E-2</v>
      </c>
      <c r="AK43" s="3">
        <v>4.8689999999999997E-2</v>
      </c>
      <c r="AL43" s="3">
        <v>2.2200000000000001E-2</v>
      </c>
      <c r="AM43" s="3">
        <v>2.4230000000000002E-2</v>
      </c>
      <c r="AN43" s="3">
        <v>2.444E-2</v>
      </c>
      <c r="AO43" s="3">
        <f t="shared" si="0"/>
        <v>4.5595103370000001E-2</v>
      </c>
      <c r="AP43" s="3">
        <f t="shared" si="1"/>
        <v>2.9758323600000001E-2</v>
      </c>
      <c r="AQ43" s="3">
        <f t="shared" si="2"/>
        <v>2.4426417910447761E-2</v>
      </c>
    </row>
    <row r="44" spans="2:43">
      <c r="B44" s="4">
        <v>10</v>
      </c>
      <c r="C44" s="3">
        <v>3.2439999999999997E-2</v>
      </c>
      <c r="D44" s="3">
        <v>1.525E-2</v>
      </c>
      <c r="E44" s="3">
        <v>1.6230000000000001E-2</v>
      </c>
      <c r="F44" s="3">
        <v>1.7500000000000002E-2</v>
      </c>
      <c r="G44" s="3">
        <v>1.9539999999999998E-2</v>
      </c>
      <c r="H44" s="3">
        <v>2.019E-2</v>
      </c>
      <c r="I44" s="3">
        <v>2.0840000000000001E-2</v>
      </c>
      <c r="J44" s="3">
        <v>2.1760000000000002E-2</v>
      </c>
      <c r="K44" s="3">
        <v>2.308E-2</v>
      </c>
      <c r="L44" s="3">
        <v>2.3130000000000001E-2</v>
      </c>
      <c r="M44" s="3">
        <v>2.4570000000000002E-2</v>
      </c>
      <c r="N44" s="3">
        <v>2.4469999999999999E-2</v>
      </c>
      <c r="O44" s="3">
        <v>2.5850000000000001E-2</v>
      </c>
      <c r="P44" s="3">
        <v>2.5430000000000001E-2</v>
      </c>
      <c r="Q44" s="3">
        <v>2.4459999999999999E-2</v>
      </c>
      <c r="R44" s="3">
        <v>2.699E-2</v>
      </c>
      <c r="S44" s="3">
        <v>2.8340000000000001E-2</v>
      </c>
      <c r="T44" s="3">
        <v>2.8500000000000001E-2</v>
      </c>
      <c r="U44" s="3">
        <v>2.8660000000000001E-2</v>
      </c>
      <c r="V44" s="3">
        <v>2.989E-2</v>
      </c>
      <c r="W44" s="3">
        <v>3.1800000000000002E-2</v>
      </c>
      <c r="X44" s="3">
        <v>3.099E-2</v>
      </c>
      <c r="Y44" s="3">
        <v>3.5490000000000001E-2</v>
      </c>
      <c r="Z44" s="3">
        <v>3.6229999999999998E-2</v>
      </c>
      <c r="AA44" s="3">
        <v>3.6450000000000003E-2</v>
      </c>
      <c r="AB44" s="3">
        <v>3.848E-2</v>
      </c>
      <c r="AC44" s="3">
        <v>3.891E-2</v>
      </c>
      <c r="AD44" s="3">
        <v>4.0370000000000003E-2</v>
      </c>
      <c r="AE44" s="3">
        <v>4.1079999999999998E-2</v>
      </c>
      <c r="AF44" s="3">
        <v>4.3779999999999999E-2</v>
      </c>
      <c r="AG44" s="3">
        <v>4.6710000000000002E-2</v>
      </c>
      <c r="AH44" s="3">
        <v>4.7410000000000001E-2</v>
      </c>
      <c r="AI44" s="3">
        <v>4.965E-2</v>
      </c>
      <c r="AJ44" s="3">
        <v>5.142E-2</v>
      </c>
      <c r="AK44" s="3">
        <v>5.1869999999999999E-2</v>
      </c>
      <c r="AL44" s="3">
        <v>2.0400000000000001E-2</v>
      </c>
      <c r="AM44" s="3">
        <v>2.214E-2</v>
      </c>
      <c r="AN44" s="3">
        <v>2.3060000000000001E-2</v>
      </c>
      <c r="AO44" s="3">
        <f t="shared" si="0"/>
        <v>4.819192101E-2</v>
      </c>
      <c r="AP44" s="3">
        <f t="shared" si="1"/>
        <v>2.97748938E-2</v>
      </c>
      <c r="AQ44" s="3">
        <f t="shared" si="2"/>
        <v>2.3000497512437813E-2</v>
      </c>
    </row>
    <row r="45" spans="2:43">
      <c r="B45" s="4">
        <v>15</v>
      </c>
      <c r="C45" s="3">
        <v>2.53E-2</v>
      </c>
      <c r="D45" s="3">
        <v>1.248E-2</v>
      </c>
      <c r="E45" s="3">
        <v>1.3559999999999999E-2</v>
      </c>
      <c r="F45" s="3">
        <v>1.491E-2</v>
      </c>
      <c r="G45" s="3">
        <v>1.6930000000000001E-2</v>
      </c>
      <c r="H45" s="3">
        <v>1.7780000000000001E-2</v>
      </c>
      <c r="I45" s="3">
        <v>1.8610000000000002E-2</v>
      </c>
      <c r="J45" s="3">
        <v>2.018E-2</v>
      </c>
      <c r="K45" s="3">
        <v>2.163E-2</v>
      </c>
      <c r="L45" s="3">
        <v>2.1909999999999999E-2</v>
      </c>
      <c r="M45" s="3">
        <v>2.3470000000000001E-2</v>
      </c>
      <c r="N45" s="3">
        <v>2.3599999999999999E-2</v>
      </c>
      <c r="O45" s="3">
        <v>2.512E-2</v>
      </c>
      <c r="P45" s="3">
        <v>2.4910000000000002E-2</v>
      </c>
      <c r="Q45" s="3">
        <v>2.4140000000000002E-2</v>
      </c>
      <c r="R45" s="3">
        <v>2.682E-2</v>
      </c>
      <c r="S45" s="3">
        <v>2.8330000000000001E-2</v>
      </c>
      <c r="T45" s="3">
        <v>2.9159999999999998E-2</v>
      </c>
      <c r="U45" s="3">
        <v>2.947E-2</v>
      </c>
      <c r="V45" s="3">
        <v>3.0880000000000001E-2</v>
      </c>
      <c r="W45" s="3">
        <v>3.3160000000000002E-2</v>
      </c>
      <c r="X45" s="3">
        <v>3.243E-2</v>
      </c>
      <c r="Y45" s="3">
        <v>3.8510000000000003E-2</v>
      </c>
      <c r="Z45" s="3">
        <v>3.9399999999999998E-2</v>
      </c>
      <c r="AA45" s="3">
        <v>3.9739999999999998E-2</v>
      </c>
      <c r="AB45" s="3">
        <v>4.249E-2</v>
      </c>
      <c r="AC45" s="3">
        <v>4.3119999999999999E-2</v>
      </c>
      <c r="AD45" s="3">
        <v>4.514E-2</v>
      </c>
      <c r="AE45" s="3">
        <v>4.5990000000000003E-2</v>
      </c>
      <c r="AF45" s="3">
        <v>4.9390000000000003E-2</v>
      </c>
      <c r="AG45" s="3">
        <v>5.296E-2</v>
      </c>
      <c r="AH45" s="3">
        <v>5.3800000000000001E-2</v>
      </c>
      <c r="AI45" s="3">
        <v>5.6529999999999997E-2</v>
      </c>
      <c r="AJ45" s="3">
        <v>5.8659999999999997E-2</v>
      </c>
      <c r="AK45" s="3">
        <v>5.9209999999999999E-2</v>
      </c>
      <c r="AL45" s="3">
        <v>1.805E-2</v>
      </c>
      <c r="AM45" s="3">
        <v>1.9359999999999999E-2</v>
      </c>
      <c r="AN45" s="3">
        <v>2.1479999999999999E-2</v>
      </c>
      <c r="AO45" s="3">
        <f t="shared" si="0"/>
        <v>5.43975602E-2</v>
      </c>
      <c r="AP45" s="3">
        <f t="shared" si="1"/>
        <v>3.0725727899999999E-2</v>
      </c>
      <c r="AQ45" s="3">
        <f t="shared" si="2"/>
        <v>2.1342885572139304E-2</v>
      </c>
    </row>
    <row r="46" spans="2:43">
      <c r="B46" s="4">
        <v>20</v>
      </c>
      <c r="C46" s="3">
        <v>2.145E-2</v>
      </c>
      <c r="D46" s="3">
        <v>1.1050000000000001E-2</v>
      </c>
      <c r="E46" s="3">
        <v>1.223E-2</v>
      </c>
      <c r="F46" s="3">
        <v>1.3650000000000001E-2</v>
      </c>
      <c r="G46" s="3">
        <v>1.5709999999999998E-2</v>
      </c>
      <c r="H46" s="3">
        <v>1.669E-2</v>
      </c>
      <c r="I46" s="3">
        <v>1.7659999999999999E-2</v>
      </c>
      <c r="J46" s="3">
        <v>1.966E-2</v>
      </c>
      <c r="K46" s="3">
        <v>2.1229999999999999E-2</v>
      </c>
      <c r="L46" s="3">
        <v>2.164E-2</v>
      </c>
      <c r="M46" s="3">
        <v>2.334E-2</v>
      </c>
      <c r="N46" s="3">
        <v>2.359E-2</v>
      </c>
      <c r="O46" s="3">
        <v>2.5250000000000002E-2</v>
      </c>
      <c r="P46" s="3">
        <v>2.5159999999999998E-2</v>
      </c>
      <c r="Q46" s="3">
        <v>2.4490000000000001E-2</v>
      </c>
      <c r="R46" s="3">
        <v>2.733E-2</v>
      </c>
      <c r="S46" s="3">
        <v>2.8989999999999998E-2</v>
      </c>
      <c r="T46" s="3">
        <v>3.022E-2</v>
      </c>
      <c r="U46" s="3">
        <v>3.0640000000000001E-2</v>
      </c>
      <c r="V46" s="3">
        <v>3.2199999999999999E-2</v>
      </c>
      <c r="W46" s="3">
        <v>3.4720000000000001E-2</v>
      </c>
      <c r="X46" s="3">
        <v>3.4040000000000001E-2</v>
      </c>
      <c r="Y46" s="3">
        <v>4.1180000000000001E-2</v>
      </c>
      <c r="Z46" s="3">
        <v>4.2200000000000001E-2</v>
      </c>
      <c r="AA46" s="3">
        <v>4.2610000000000002E-2</v>
      </c>
      <c r="AB46" s="3">
        <v>4.5839999999999999E-2</v>
      </c>
      <c r="AC46" s="3">
        <v>4.6589999999999999E-2</v>
      </c>
      <c r="AD46" s="3">
        <v>4.8980000000000003E-2</v>
      </c>
      <c r="AE46" s="3">
        <v>4.9919999999999999E-2</v>
      </c>
      <c r="AF46" s="3">
        <v>5.3809999999999997E-2</v>
      </c>
      <c r="AG46" s="3">
        <v>5.7919999999999999E-2</v>
      </c>
      <c r="AH46" s="3">
        <v>5.8889999999999998E-2</v>
      </c>
      <c r="AI46" s="3">
        <v>6.2019999999999999E-2</v>
      </c>
      <c r="AJ46" s="3">
        <v>6.4430000000000001E-2</v>
      </c>
      <c r="AK46" s="3">
        <v>6.5070000000000003E-2</v>
      </c>
      <c r="AL46" s="3">
        <v>1.702E-2</v>
      </c>
      <c r="AM46" s="3">
        <v>1.8079999999999999E-2</v>
      </c>
      <c r="AN46" s="3">
        <v>2.1010000000000001E-2</v>
      </c>
      <c r="AO46" s="3">
        <f t="shared" si="0"/>
        <v>5.9450350470000003E-2</v>
      </c>
      <c r="AP46" s="3">
        <f t="shared" si="1"/>
        <v>3.2010725699999999E-2</v>
      </c>
      <c r="AQ46" s="3">
        <f t="shared" si="2"/>
        <v>2.0820497512437811E-2</v>
      </c>
    </row>
    <row r="47" spans="2:43">
      <c r="B47" s="4">
        <v>30</v>
      </c>
      <c r="C47" s="3">
        <v>1.7409999999999998E-2</v>
      </c>
      <c r="D47" s="3">
        <v>9.6539999999999994E-3</v>
      </c>
      <c r="E47" s="3">
        <v>1.0970000000000001E-2</v>
      </c>
      <c r="F47" s="3">
        <v>1.252E-2</v>
      </c>
      <c r="G47" s="3">
        <v>1.468E-2</v>
      </c>
      <c r="H47" s="3">
        <v>1.584E-2</v>
      </c>
      <c r="I47" s="3">
        <v>1.702E-2</v>
      </c>
      <c r="J47" s="3">
        <v>1.958E-2</v>
      </c>
      <c r="K47" s="3">
        <v>2.1340000000000001E-2</v>
      </c>
      <c r="L47" s="3">
        <v>2.1919999999999999E-2</v>
      </c>
      <c r="M47" s="3">
        <v>2.3810000000000001E-2</v>
      </c>
      <c r="N47" s="3">
        <v>2.4219999999999998E-2</v>
      </c>
      <c r="O47" s="3">
        <v>2.6089999999999999E-2</v>
      </c>
      <c r="P47" s="3">
        <v>2.614E-2</v>
      </c>
      <c r="Q47" s="3">
        <v>2.5579999999999999E-2</v>
      </c>
      <c r="R47" s="3">
        <v>2.8660000000000001E-2</v>
      </c>
      <c r="S47" s="3">
        <v>3.0550000000000001E-2</v>
      </c>
      <c r="T47" s="3">
        <v>3.2320000000000002E-2</v>
      </c>
      <c r="U47" s="3">
        <v>3.2870000000000003E-2</v>
      </c>
      <c r="V47" s="3">
        <v>3.465E-2</v>
      </c>
      <c r="W47" s="3">
        <v>3.755E-2</v>
      </c>
      <c r="X47" s="3">
        <v>3.6900000000000002E-2</v>
      </c>
      <c r="Y47" s="3">
        <v>4.5530000000000001E-2</v>
      </c>
      <c r="Z47" s="3">
        <v>4.6719999999999998E-2</v>
      </c>
      <c r="AA47" s="3">
        <v>4.7210000000000002E-2</v>
      </c>
      <c r="AB47" s="3">
        <v>5.1049999999999998E-2</v>
      </c>
      <c r="AC47" s="3">
        <v>5.1999999999999998E-2</v>
      </c>
      <c r="AD47" s="3">
        <v>5.4859999999999999E-2</v>
      </c>
      <c r="AE47" s="3">
        <v>5.5960000000000003E-2</v>
      </c>
      <c r="AF47" s="3">
        <v>6.0539999999999997E-2</v>
      </c>
      <c r="AG47" s="3">
        <v>6.5379999999999994E-2</v>
      </c>
      <c r="AH47" s="3">
        <v>6.6500000000000004E-2</v>
      </c>
      <c r="AI47" s="3">
        <v>7.0190000000000002E-2</v>
      </c>
      <c r="AJ47" s="3">
        <v>7.3120000000000004E-2</v>
      </c>
      <c r="AK47" s="3">
        <v>7.3870000000000005E-2</v>
      </c>
      <c r="AL47" s="3">
        <v>1.6240000000000001E-2</v>
      </c>
      <c r="AM47" s="3">
        <v>1.7059999999999999E-2</v>
      </c>
      <c r="AN47" s="3">
        <v>2.1010000000000001E-2</v>
      </c>
      <c r="AO47" s="3">
        <f t="shared" si="0"/>
        <v>6.7131398950000004E-2</v>
      </c>
      <c r="AP47" s="3">
        <f t="shared" si="1"/>
        <v>3.4418968100000003E-2</v>
      </c>
      <c r="AQ47" s="3">
        <f t="shared" si="2"/>
        <v>2.0754527363184082E-2</v>
      </c>
    </row>
    <row r="49" spans="2:43">
      <c r="B49" t="str">
        <f>B19</f>
        <v>E(MeV)</v>
      </c>
      <c r="C49" t="str">
        <f t="shared" ref="C49:AP49" si="3">C19</f>
        <v>1H</v>
      </c>
      <c r="D49" t="str">
        <f t="shared" si="3"/>
        <v>3Li</v>
      </c>
      <c r="E49" t="str">
        <f t="shared" si="3"/>
        <v>4Be</v>
      </c>
      <c r="F49" t="str">
        <f t="shared" si="3"/>
        <v>5B</v>
      </c>
      <c r="G49" t="str">
        <f t="shared" si="3"/>
        <v>6C</v>
      </c>
      <c r="H49" t="str">
        <f t="shared" si="3"/>
        <v>7N</v>
      </c>
      <c r="I49" t="str">
        <f t="shared" si="3"/>
        <v>8O</v>
      </c>
      <c r="J49" t="str">
        <f t="shared" si="3"/>
        <v>11Na</v>
      </c>
      <c r="K49" t="str">
        <f t="shared" si="3"/>
        <v>12Mg</v>
      </c>
      <c r="L49" t="str">
        <f t="shared" si="3"/>
        <v>13Al</v>
      </c>
      <c r="M49" t="str">
        <f t="shared" si="3"/>
        <v>14Si</v>
      </c>
      <c r="N49" t="str">
        <f t="shared" si="3"/>
        <v>15p</v>
      </c>
      <c r="O49" t="str">
        <f t="shared" si="3"/>
        <v>16s</v>
      </c>
      <c r="P49" t="str">
        <f t="shared" si="3"/>
        <v>17cl</v>
      </c>
      <c r="Q49" t="str">
        <f t="shared" si="3"/>
        <v>18Ar</v>
      </c>
      <c r="R49" t="str">
        <f t="shared" si="3"/>
        <v>19K</v>
      </c>
      <c r="S49" t="str">
        <f t="shared" si="3"/>
        <v>20Ca</v>
      </c>
      <c r="T49" t="str">
        <f t="shared" si="3"/>
        <v>24Cr</v>
      </c>
      <c r="U49" t="str">
        <f t="shared" si="3"/>
        <v>25Mn</v>
      </c>
      <c r="V49" t="str">
        <f t="shared" si="3"/>
        <v>26Fe</v>
      </c>
      <c r="W49" t="str">
        <f t="shared" si="3"/>
        <v>28Ni</v>
      </c>
      <c r="X49" t="str">
        <f t="shared" si="3"/>
        <v>29Cu</v>
      </c>
      <c r="Y49" t="str">
        <f t="shared" si="3"/>
        <v>40zr</v>
      </c>
      <c r="Z49" t="str">
        <f t="shared" si="3"/>
        <v>41Nb</v>
      </c>
      <c r="AA49" t="str">
        <f t="shared" si="3"/>
        <v>42Mo</v>
      </c>
      <c r="AB49" t="str">
        <f t="shared" si="3"/>
        <v>48Cd</v>
      </c>
      <c r="AC49" t="str">
        <f t="shared" si="3"/>
        <v>50Sn</v>
      </c>
      <c r="AD49" t="str">
        <f t="shared" si="3"/>
        <v>56Ba</v>
      </c>
      <c r="AE49" t="str">
        <f t="shared" si="3"/>
        <v>57La</v>
      </c>
      <c r="AF49" t="str">
        <f t="shared" si="3"/>
        <v>64Gd</v>
      </c>
      <c r="AG49" t="str">
        <f t="shared" si="3"/>
        <v>72Hf</v>
      </c>
      <c r="AH49" t="str">
        <f t="shared" si="3"/>
        <v>74w</v>
      </c>
      <c r="AI49" t="str">
        <f t="shared" si="3"/>
        <v>82Pb</v>
      </c>
      <c r="AJ49" t="str">
        <f t="shared" si="3"/>
        <v>90Th</v>
      </c>
      <c r="AK49" t="str">
        <f t="shared" si="3"/>
        <v>92U</v>
      </c>
      <c r="AL49" t="str">
        <f t="shared" si="3"/>
        <v>Air</v>
      </c>
      <c r="AM49" t="str">
        <f t="shared" si="3"/>
        <v>Water</v>
      </c>
      <c r="AN49" t="str">
        <f t="shared" si="3"/>
        <v>Concrete</v>
      </c>
      <c r="AO49" t="str">
        <f t="shared" si="3"/>
        <v>UO2</v>
      </c>
      <c r="AP49" t="str">
        <f t="shared" si="3"/>
        <v>SS304L</v>
      </c>
      <c r="AQ49" t="str">
        <f t="shared" ref="AQ49" si="4">AQ19</f>
        <v>resin</v>
      </c>
    </row>
    <row r="50" spans="2:43">
      <c r="B50" s="4" t="str">
        <f>CONCATENATE("    - ", TEXT(B20,"0.000"))</f>
        <v xml:space="preserve">    - 0.010</v>
      </c>
      <c r="C50" s="4" t="str">
        <f>CONCATENATE("    - ", TEXT(C20,"0.000E+00"))</f>
        <v xml:space="preserve">    - 3.854E-01</v>
      </c>
      <c r="D50" s="4" t="str">
        <f t="shared" ref="D50:AN57" si="5">CONCATENATE("    - ", TEXT(D20,"0.000E+00"))</f>
        <v xml:space="preserve">    - 3.027E-01</v>
      </c>
      <c r="E50" s="4" t="str">
        <f t="shared" si="5"/>
        <v xml:space="preserve">    - 5.941E-01</v>
      </c>
      <c r="F50" s="4" t="str">
        <f t="shared" si="5"/>
        <v xml:space="preserve">    - 1.182E+00</v>
      </c>
      <c r="G50" s="4" t="str">
        <f t="shared" si="5"/>
        <v xml:space="preserve">    - 2.268E+00</v>
      </c>
      <c r="H50" s="4" t="str">
        <f t="shared" si="5"/>
        <v xml:space="preserve">    - 3.736E+00</v>
      </c>
      <c r="I50" s="4" t="str">
        <f t="shared" si="5"/>
        <v xml:space="preserve">    - 5.758E+00</v>
      </c>
      <c r="J50" s="4" t="str">
        <f t="shared" si="5"/>
        <v xml:space="preserve">    - 1.520E+01</v>
      </c>
      <c r="K50" s="4" t="str">
        <f t="shared" si="5"/>
        <v xml:space="preserve">    - 2.063E+01</v>
      </c>
      <c r="L50" s="4" t="str">
        <f t="shared" si="5"/>
        <v xml:space="preserve">    - 2.575E+01</v>
      </c>
      <c r="M50" s="4" t="str">
        <f t="shared" si="5"/>
        <v xml:space="preserve">    - 3.334E+01</v>
      </c>
      <c r="N50" s="4" t="str">
        <f t="shared" si="5"/>
        <v xml:space="preserve">    - 3.978E+01</v>
      </c>
      <c r="O50" s="4" t="str">
        <f t="shared" si="5"/>
        <v xml:space="preserve">    - 4.950E+01</v>
      </c>
      <c r="P50" s="4" t="str">
        <f t="shared" si="5"/>
        <v xml:space="preserve">    - 5.659E+01</v>
      </c>
      <c r="Q50" s="4" t="str">
        <f t="shared" si="5"/>
        <v xml:space="preserve">    - 6.249E+01</v>
      </c>
      <c r="R50" s="4" t="str">
        <f t="shared" si="5"/>
        <v xml:space="preserve">    - 7.832E+01</v>
      </c>
      <c r="S50" s="4" t="str">
        <f t="shared" si="5"/>
        <v xml:space="preserve">    - 9.259E+01</v>
      </c>
      <c r="T50" s="4" t="str">
        <f t="shared" si="5"/>
        <v xml:space="preserve">    - 1.377E+02</v>
      </c>
      <c r="U50" s="4" t="str">
        <f t="shared" si="5"/>
        <v xml:space="preserve">    - 1.504E+02</v>
      </c>
      <c r="V50" s="4" t="str">
        <f t="shared" si="5"/>
        <v xml:space="preserve">    - 1.696E+02</v>
      </c>
      <c r="W50" s="4" t="str">
        <f t="shared" si="5"/>
        <v xml:space="preserve">    - 2.077E+02</v>
      </c>
      <c r="X50" s="4" t="str">
        <f t="shared" si="5"/>
        <v xml:space="preserve">    - 2.146E+02</v>
      </c>
      <c r="Y50" s="4" t="str">
        <f t="shared" si="5"/>
        <v xml:space="preserve">    - 7.212E+01</v>
      </c>
      <c r="Z50" s="4" t="str">
        <f t="shared" si="5"/>
        <v xml:space="preserve">    - 7.826E+01</v>
      </c>
      <c r="AA50" s="4" t="str">
        <f t="shared" si="5"/>
        <v xml:space="preserve">    - 8.358E+01</v>
      </c>
      <c r="AB50" s="4" t="str">
        <f t="shared" si="5"/>
        <v xml:space="preserve">    - 1.219E+02</v>
      </c>
      <c r="AC50" s="4" t="str">
        <f t="shared" si="5"/>
        <v xml:space="preserve">    - 1.359E+02</v>
      </c>
      <c r="AD50" s="4" t="str">
        <f t="shared" si="5"/>
        <v xml:space="preserve">    - 1.832E+02</v>
      </c>
      <c r="AE50" s="4" t="str">
        <f t="shared" si="5"/>
        <v xml:space="preserve">    - 1.938E+02</v>
      </c>
      <c r="AF50" s="4" t="str">
        <f t="shared" si="5"/>
        <v xml:space="preserve">    - 2.659E+02</v>
      </c>
      <c r="AG50" s="4" t="str">
        <f t="shared" si="5"/>
        <v xml:space="preserve">    - 2.259E+02</v>
      </c>
      <c r="AH50" s="4" t="str">
        <f t="shared" si="5"/>
        <v xml:space="preserve">    - 9.256E+01</v>
      </c>
      <c r="AI50" s="4" t="str">
        <f t="shared" si="5"/>
        <v xml:space="preserve">    - 1.257E+02</v>
      </c>
      <c r="AJ50" s="4" t="str">
        <f t="shared" si="5"/>
        <v xml:space="preserve">    - 1.636E+02</v>
      </c>
      <c r="AK50" s="4" t="str">
        <f t="shared" si="5"/>
        <v xml:space="preserve">    - 1.737E+02</v>
      </c>
      <c r="AL50" s="4" t="str">
        <f t="shared" si="5"/>
        <v xml:space="preserve">    - 4.961E+00</v>
      </c>
      <c r="AM50" s="4" t="str">
        <f t="shared" si="5"/>
        <v xml:space="preserve">    - 5.157E+00</v>
      </c>
      <c r="AN50" s="4" t="str">
        <f t="shared" si="5"/>
        <v xml:space="preserve">    - 2.616E+01</v>
      </c>
      <c r="AO50" s="4" t="str">
        <f t="shared" ref="AO50" si="6">CONCATENATE("    - ", TEXT(AO20,"0.000E+00"))</f>
        <v xml:space="preserve">    - 1.538E+02</v>
      </c>
      <c r="AP50" s="4" t="str">
        <f t="shared" ref="AP50:AQ50" si="7">CONCATENATE("    - ", TEXT(AP20,"0.000E+00"))</f>
        <v xml:space="preserve">    - 1.664E+02</v>
      </c>
      <c r="AQ50" s="4" t="str">
        <f t="shared" si="7"/>
        <v xml:space="preserve">    - 2.480E+01</v>
      </c>
    </row>
    <row r="51" spans="2:43">
      <c r="B51" s="4" t="str">
        <f t="shared" ref="B51:B77" si="8">CONCATENATE("    - ", TEXT(B21,"0.000"))</f>
        <v xml:space="preserve">    - 0.015</v>
      </c>
      <c r="C51" s="4" t="str">
        <f t="shared" ref="C51:R77" si="9">CONCATENATE("    - ", TEXT(C21,"0.000E+00"))</f>
        <v xml:space="preserve">    - 3.764E-01</v>
      </c>
      <c r="D51" s="4" t="str">
        <f t="shared" si="9"/>
        <v xml:space="preserve">    - 1.985E-01</v>
      </c>
      <c r="E51" s="4" t="str">
        <f t="shared" si="9"/>
        <v xml:space="preserve">    - 2.782E-01</v>
      </c>
      <c r="F51" s="4" t="str">
        <f t="shared" si="9"/>
        <v xml:space="preserve">    - 4.407E-01</v>
      </c>
      <c r="G51" s="4" t="str">
        <f t="shared" si="9"/>
        <v xml:space="preserve">    - 7.476E-01</v>
      </c>
      <c r="H51" s="4" t="str">
        <f t="shared" si="9"/>
        <v xml:space="preserve">    - 1.156E+00</v>
      </c>
      <c r="I51" s="4" t="str">
        <f t="shared" si="9"/>
        <v xml:space="preserve">    - 1.731E+00</v>
      </c>
      <c r="J51" s="4" t="str">
        <f t="shared" si="9"/>
        <v xml:space="preserve">    - 4.498E+00</v>
      </c>
      <c r="K51" s="4" t="str">
        <f t="shared" si="9"/>
        <v xml:space="preserve">    - 6.124E+00</v>
      </c>
      <c r="L51" s="4" t="str">
        <f t="shared" si="9"/>
        <v xml:space="preserve">    - 7.697E+00</v>
      </c>
      <c r="M51" s="4" t="str">
        <f t="shared" si="9"/>
        <v xml:space="preserve">    - 1.004E+01</v>
      </c>
      <c r="N51" s="4" t="str">
        <f t="shared" si="9"/>
        <v xml:space="preserve">    - 1.207E+01</v>
      </c>
      <c r="O51" s="4" t="str">
        <f t="shared" si="9"/>
        <v xml:space="preserve">    - 1.513E+01</v>
      </c>
      <c r="P51" s="4" t="str">
        <f t="shared" si="9"/>
        <v xml:space="preserve">    - 1.745E+01</v>
      </c>
      <c r="Q51" s="4" t="str">
        <f t="shared" si="9"/>
        <v xml:space="preserve">    - 1.943E+01</v>
      </c>
      <c r="R51" s="4" t="str">
        <f t="shared" si="9"/>
        <v xml:space="preserve">    - 2.457E+01</v>
      </c>
      <c r="S51" s="4" t="str">
        <f t="shared" si="5"/>
        <v xml:space="preserve">    - 2.929E+01</v>
      </c>
      <c r="T51" s="4" t="str">
        <f t="shared" si="5"/>
        <v xml:space="preserve">    - 4.512E+01</v>
      </c>
      <c r="U51" s="4" t="str">
        <f t="shared" si="5"/>
        <v xml:space="preserve">    - 4.965E+01</v>
      </c>
      <c r="V51" s="4" t="str">
        <f t="shared" si="5"/>
        <v xml:space="preserve">    - 5.641E+01</v>
      </c>
      <c r="W51" s="4" t="str">
        <f t="shared" si="5"/>
        <v xml:space="preserve">    - 7.003E+01</v>
      </c>
      <c r="X51" s="4" t="str">
        <f t="shared" si="5"/>
        <v xml:space="preserve">    - 7.325E+01</v>
      </c>
      <c r="Y51" s="4" t="str">
        <f t="shared" si="5"/>
        <v xml:space="preserve">    - 2.335E+01</v>
      </c>
      <c r="Z51" s="4" t="str">
        <f t="shared" si="5"/>
        <v xml:space="preserve">    - 2.539E+01</v>
      </c>
      <c r="AA51" s="4" t="str">
        <f t="shared" si="5"/>
        <v xml:space="preserve">    - 2.716E+01</v>
      </c>
      <c r="AB51" s="4" t="str">
        <f t="shared" si="5"/>
        <v xml:space="preserve">    - 4.018E+01</v>
      </c>
      <c r="AC51" s="4" t="str">
        <f t="shared" si="5"/>
        <v xml:space="preserve">    - 4.499E+01</v>
      </c>
      <c r="AD51" s="4" t="str">
        <f t="shared" si="5"/>
        <v xml:space="preserve">    - 6.164E+01</v>
      </c>
      <c r="AE51" s="4" t="str">
        <f t="shared" si="5"/>
        <v xml:space="preserve">    - 6.545E+01</v>
      </c>
      <c r="AF51" s="4" t="str">
        <f t="shared" si="5"/>
        <v xml:space="preserve">    - 9.115E+01</v>
      </c>
      <c r="AG51" s="4" t="str">
        <f t="shared" si="5"/>
        <v xml:space="preserve">    - 1.263E+02</v>
      </c>
      <c r="AH51" s="4" t="str">
        <f t="shared" si="5"/>
        <v xml:space="preserve">    - 1.361E+02</v>
      </c>
      <c r="AI51" s="4" t="str">
        <f t="shared" si="5"/>
        <v xml:space="preserve">    - 1.084E+02</v>
      </c>
      <c r="AJ51" s="4" t="str">
        <f t="shared" si="5"/>
        <v xml:space="preserve">    - 5.787E+01</v>
      </c>
      <c r="AK51" s="4" t="str">
        <f t="shared" si="5"/>
        <v xml:space="preserve">    - 6.162E+01</v>
      </c>
      <c r="AL51" s="4" t="str">
        <f t="shared" si="5"/>
        <v xml:space="preserve">    - 1.525E+00</v>
      </c>
      <c r="AM51" s="4" t="str">
        <f t="shared" si="5"/>
        <v xml:space="preserve">    - 1.579E+00</v>
      </c>
      <c r="AN51" s="4" t="str">
        <f t="shared" si="5"/>
        <v xml:space="preserve">    - 8.075E+00</v>
      </c>
      <c r="AO51" s="4" t="str">
        <f t="shared" ref="AO51:AQ51" si="10">CONCATENATE("    - ", TEXT(AO21,"0.000E+00"))</f>
        <v xml:space="preserve">    - 5.452E+01</v>
      </c>
      <c r="AP51" s="4" t="str">
        <f t="shared" si="10"/>
        <v xml:space="preserve">    - 5.530E+01</v>
      </c>
      <c r="AQ51" s="4" t="str">
        <f t="shared" si="10"/>
        <v xml:space="preserve">    - 7.655E+00</v>
      </c>
    </row>
    <row r="52" spans="2:43">
      <c r="B52" s="4" t="str">
        <f t="shared" si="8"/>
        <v xml:space="preserve">    - 0.020</v>
      </c>
      <c r="C52" s="4" t="str">
        <f t="shared" si="9"/>
        <v xml:space="preserve">    - 3.695E-01</v>
      </c>
      <c r="D52" s="4" t="str">
        <f t="shared" si="5"/>
        <v xml:space="preserve">    - 1.741E-01</v>
      </c>
      <c r="E52" s="4" t="str">
        <f t="shared" si="5"/>
        <v xml:space="preserve">    - 2.072E-01</v>
      </c>
      <c r="F52" s="4" t="str">
        <f t="shared" si="5"/>
        <v xml:space="preserve">    - 2.746E-01</v>
      </c>
      <c r="G52" s="4" t="str">
        <f t="shared" si="5"/>
        <v xml:space="preserve">    - 4.035E-01</v>
      </c>
      <c r="H52" s="4" t="str">
        <f t="shared" si="5"/>
        <v xml:space="preserve">    - 5.667E-01</v>
      </c>
      <c r="I52" s="4" t="str">
        <f t="shared" si="5"/>
        <v xml:space="preserve">    - 7.985E-01</v>
      </c>
      <c r="J52" s="4" t="str">
        <f t="shared" si="5"/>
        <v xml:space="preserve">    - 1.934E+00</v>
      </c>
      <c r="K52" s="4" t="str">
        <f t="shared" si="5"/>
        <v xml:space="preserve">    - 2.616E+00</v>
      </c>
      <c r="L52" s="4" t="str">
        <f t="shared" si="5"/>
        <v xml:space="preserve">    - 3.279E+00</v>
      </c>
      <c r="M52" s="4" t="str">
        <f t="shared" si="5"/>
        <v xml:space="preserve">    - 4.275E+00</v>
      </c>
      <c r="N52" s="4" t="str">
        <f t="shared" si="5"/>
        <v xml:space="preserve">    - 5.148E+00</v>
      </c>
      <c r="O52" s="4" t="str">
        <f t="shared" si="5"/>
        <v xml:space="preserve">    - 6.475E+00</v>
      </c>
      <c r="P52" s="4" t="str">
        <f t="shared" si="5"/>
        <v xml:space="preserve">    - 7.492E+00</v>
      </c>
      <c r="Q52" s="4" t="str">
        <f t="shared" si="5"/>
        <v xml:space="preserve">    - 8.375E+00</v>
      </c>
      <c r="R52" s="4" t="str">
        <f t="shared" si="5"/>
        <v xml:space="preserve">    - 1.063E+01</v>
      </c>
      <c r="S52" s="4" t="str">
        <f t="shared" si="5"/>
        <v xml:space="preserve">    - 1.273E+01</v>
      </c>
      <c r="T52" s="4" t="str">
        <f t="shared" si="5"/>
        <v xml:space="preserve">    - 1.998E+01</v>
      </c>
      <c r="U52" s="4" t="str">
        <f t="shared" si="5"/>
        <v xml:space="preserve">    - 2.211E+01</v>
      </c>
      <c r="V52" s="4" t="str">
        <f t="shared" si="5"/>
        <v xml:space="preserve">    - 2.522E+01</v>
      </c>
      <c r="W52" s="4" t="str">
        <f t="shared" si="5"/>
        <v xml:space="preserve">    - 3.167E+01</v>
      </c>
      <c r="X52" s="4" t="str">
        <f t="shared" si="5"/>
        <v xml:space="preserve">    - 3.325E+01</v>
      </c>
      <c r="Y52" s="4" t="str">
        <f t="shared" si="5"/>
        <v xml:space="preserve">    - 7.151E+01</v>
      </c>
      <c r="Z52" s="4" t="str">
        <f t="shared" si="5"/>
        <v xml:space="preserve">    - 7.623E+01</v>
      </c>
      <c r="AA52" s="4" t="str">
        <f t="shared" si="5"/>
        <v xml:space="preserve">    - 7.862E+01</v>
      </c>
      <c r="AB52" s="4" t="str">
        <f t="shared" si="5"/>
        <v xml:space="preserve">    - 1.809E+01</v>
      </c>
      <c r="AC52" s="4" t="str">
        <f t="shared" si="5"/>
        <v xml:space="preserve">    - 2.030E+01</v>
      </c>
      <c r="AD52" s="4" t="str">
        <f t="shared" si="5"/>
        <v xml:space="preserve">    - 2.808E+01</v>
      </c>
      <c r="AE52" s="4" t="str">
        <f t="shared" si="5"/>
        <v xml:space="preserve">    - 2.985E+01</v>
      </c>
      <c r="AF52" s="4" t="str">
        <f t="shared" si="5"/>
        <v xml:space="preserve">    - 4.204E+01</v>
      </c>
      <c r="AG52" s="4" t="str">
        <f t="shared" si="5"/>
        <v xml:space="preserve">    - 5.899E+01</v>
      </c>
      <c r="AH52" s="4" t="str">
        <f t="shared" si="5"/>
        <v xml:space="preserve">    - 6.376E+01</v>
      </c>
      <c r="AI52" s="4" t="str">
        <f t="shared" si="5"/>
        <v xml:space="preserve">    - 8.411E+01</v>
      </c>
      <c r="AJ52" s="4" t="str">
        <f t="shared" si="5"/>
        <v xml:space="preserve">    - 9.113E+01</v>
      </c>
      <c r="AK52" s="4" t="str">
        <f t="shared" si="5"/>
        <v xml:space="preserve">    - 6.845E+01</v>
      </c>
      <c r="AL52" s="4" t="str">
        <f t="shared" si="5"/>
        <v xml:space="preserve">    - 7.210E-01</v>
      </c>
      <c r="AM52" s="4" t="str">
        <f t="shared" si="5"/>
        <v xml:space="preserve">    - 7.505E-01</v>
      </c>
      <c r="AN52" s="4" t="str">
        <f t="shared" si="5"/>
        <v xml:space="preserve">    - 3.510E+00</v>
      </c>
      <c r="AO52" s="4" t="str">
        <f t="shared" ref="AO52:AQ52" si="11">CONCATENATE("    - ", TEXT(AO22,"0.000E+00"))</f>
        <v xml:space="preserve">    - 6.043E+01</v>
      </c>
      <c r="AP52" s="4" t="str">
        <f t="shared" si="11"/>
        <v xml:space="preserve">    - 2.472E+01</v>
      </c>
      <c r="AQ52" s="4" t="str">
        <f t="shared" si="11"/>
        <v xml:space="preserve">    - 3.332E+00</v>
      </c>
    </row>
    <row r="53" spans="2:43">
      <c r="B53" s="4" t="str">
        <f t="shared" si="8"/>
        <v xml:space="preserve">    - 0.030</v>
      </c>
      <c r="C53" s="4" t="str">
        <f t="shared" si="9"/>
        <v xml:space="preserve">    - 3.570E-01</v>
      </c>
      <c r="D53" s="4" t="str">
        <f t="shared" si="5"/>
        <v xml:space="preserve">    - 1.588E-01</v>
      </c>
      <c r="E53" s="4" t="str">
        <f t="shared" si="5"/>
        <v xml:space="preserve">    - 1.705E-01</v>
      </c>
      <c r="F53" s="4" t="str">
        <f t="shared" si="5"/>
        <v xml:space="preserve">    - 1.930E-01</v>
      </c>
      <c r="G53" s="4" t="str">
        <f t="shared" si="5"/>
        <v xml:space="preserve">    - 2.368E-01</v>
      </c>
      <c r="H53" s="4" t="str">
        <f t="shared" si="5"/>
        <v xml:space="preserve">    - 2.807E-01</v>
      </c>
      <c r="I53" s="4" t="str">
        <f t="shared" si="5"/>
        <v xml:space="preserve">    - 3.440E-01</v>
      </c>
      <c r="J53" s="4" t="str">
        <f t="shared" si="5"/>
        <v xml:space="preserve">    - 6.576E-01</v>
      </c>
      <c r="K53" s="4" t="str">
        <f t="shared" si="5"/>
        <v xml:space="preserve">    - 8.562E-01</v>
      </c>
      <c r="L53" s="4" t="str">
        <f t="shared" si="5"/>
        <v xml:space="preserve">    - 1.045E+00</v>
      </c>
      <c r="M53" s="4" t="str">
        <f t="shared" si="5"/>
        <v xml:space="preserve">    - 1.340E+00</v>
      </c>
      <c r="N53" s="4" t="str">
        <f t="shared" si="5"/>
        <v xml:space="preserve">    - 1.596E+00</v>
      </c>
      <c r="O53" s="4" t="str">
        <f t="shared" si="5"/>
        <v xml:space="preserve">    - 1.993E+00</v>
      </c>
      <c r="P53" s="4" t="str">
        <f t="shared" si="5"/>
        <v xml:space="preserve">    - 2.299E+00</v>
      </c>
      <c r="Q53" s="4" t="str">
        <f t="shared" si="5"/>
        <v xml:space="preserve">    - 2.566E+00</v>
      </c>
      <c r="R53" s="4" t="str">
        <f t="shared" si="5"/>
        <v xml:space="preserve">    - 3.260E+00</v>
      </c>
      <c r="S53" s="4" t="str">
        <f t="shared" si="5"/>
        <v xml:space="preserve">    - 3.909E+00</v>
      </c>
      <c r="T53" s="4" t="str">
        <f t="shared" si="5"/>
        <v xml:space="preserve">    - 6.221E+00</v>
      </c>
      <c r="U53" s="4" t="str">
        <f t="shared" si="5"/>
        <v xml:space="preserve">    - 6.917E+00</v>
      </c>
      <c r="V53" s="4" t="str">
        <f t="shared" si="5"/>
        <v xml:space="preserve">    - 7.930E+00</v>
      </c>
      <c r="W53" s="4" t="str">
        <f t="shared" si="5"/>
        <v xml:space="preserve">    - 1.005E+01</v>
      </c>
      <c r="X53" s="4" t="str">
        <f t="shared" si="5"/>
        <v xml:space="preserve">    - 1.062E+01</v>
      </c>
      <c r="Y53" s="4" t="str">
        <f t="shared" si="5"/>
        <v xml:space="preserve">    - 2.438E+01</v>
      </c>
      <c r="Z53" s="4" t="str">
        <f t="shared" si="5"/>
        <v xml:space="preserve">    - 2.616E+01</v>
      </c>
      <c r="AA53" s="4" t="str">
        <f t="shared" si="5"/>
        <v xml:space="preserve">    - 2.759E+01</v>
      </c>
      <c r="AB53" s="4" t="str">
        <f t="shared" si="5"/>
        <v xml:space="preserve">    - 3.704E+01</v>
      </c>
      <c r="AC53" s="4" t="str">
        <f t="shared" si="5"/>
        <v xml:space="preserve">    - 4.058E+01</v>
      </c>
      <c r="AD53" s="4" t="str">
        <f t="shared" si="5"/>
        <v xml:space="preserve">    - 9.167E+00</v>
      </c>
      <c r="AE53" s="4" t="str">
        <f t="shared" si="5"/>
        <v xml:space="preserve">    - 9.760E+00</v>
      </c>
      <c r="AF53" s="4" t="str">
        <f t="shared" si="5"/>
        <v xml:space="preserve">    - 1.393E+01</v>
      </c>
      <c r="AG53" s="4" t="str">
        <f t="shared" si="5"/>
        <v xml:space="preserve">    - 1.988E+01</v>
      </c>
      <c r="AH53" s="4" t="str">
        <f t="shared" si="5"/>
        <v xml:space="preserve">    - 2.158E+01</v>
      </c>
      <c r="AI53" s="4" t="str">
        <f t="shared" si="5"/>
        <v xml:space="preserve">    - 2.900E+01</v>
      </c>
      <c r="AJ53" s="4" t="str">
        <f t="shared" si="5"/>
        <v xml:space="preserve">    - 3.743E+01</v>
      </c>
      <c r="AK53" s="4" t="str">
        <f t="shared" si="5"/>
        <v xml:space="preserve">    - 3.976E+01</v>
      </c>
      <c r="AL53" s="4" t="str">
        <f t="shared" si="5"/>
        <v xml:space="preserve">    - 3.248E-01</v>
      </c>
      <c r="AM53" s="4" t="str">
        <f t="shared" si="5"/>
        <v xml:space="preserve">    - 3.455E-01</v>
      </c>
      <c r="AN53" s="4" t="str">
        <f t="shared" si="5"/>
        <v xml:space="preserve">    - 1.142E+00</v>
      </c>
      <c r="AO53" s="4" t="str">
        <f t="shared" ref="AO53:AQ53" si="12">CONCATENATE("    - ", TEXT(AO23,"0.000E+00"))</f>
        <v xml:space="preserve">    - 3.509E+01</v>
      </c>
      <c r="AP53" s="4" t="str">
        <f t="shared" si="12"/>
        <v xml:space="preserve">    - 7.771E+00</v>
      </c>
      <c r="AQ53" s="4" t="str">
        <f t="shared" si="12"/>
        <v xml:space="preserve">    - 1.090E+00</v>
      </c>
    </row>
    <row r="54" spans="2:43">
      <c r="B54" s="4" t="str">
        <f t="shared" si="8"/>
        <v xml:space="preserve">    - 0.040</v>
      </c>
      <c r="C54" s="4" t="str">
        <f t="shared" si="9"/>
        <v xml:space="preserve">    - 3.458E-01</v>
      </c>
      <c r="D54" s="4" t="str">
        <f t="shared" si="5"/>
        <v xml:space="preserve">    - 1.519E-01</v>
      </c>
      <c r="E54" s="4" t="str">
        <f t="shared" si="5"/>
        <v xml:space="preserve">    - 1.588E-01</v>
      </c>
      <c r="F54" s="4" t="str">
        <f t="shared" si="5"/>
        <v xml:space="preserve">    - 1.714E-01</v>
      </c>
      <c r="G54" s="4" t="str">
        <f t="shared" si="5"/>
        <v xml:space="preserve">    - 1.960E-01</v>
      </c>
      <c r="H54" s="4" t="str">
        <f t="shared" si="5"/>
        <v xml:space="preserve">    - 2.133E-01</v>
      </c>
      <c r="I54" s="4" t="str">
        <f t="shared" si="5"/>
        <v xml:space="preserve">    - 2.382E-01</v>
      </c>
      <c r="J54" s="4" t="str">
        <f t="shared" si="5"/>
        <v xml:space="preserve">    - 3.595E-01</v>
      </c>
      <c r="K54" s="4" t="str">
        <f t="shared" si="5"/>
        <v xml:space="preserve">    - 4.431E-01</v>
      </c>
      <c r="L54" s="4" t="str">
        <f t="shared" si="5"/>
        <v xml:space="preserve">    - 5.184E-01</v>
      </c>
      <c r="M54" s="4" t="str">
        <f t="shared" si="5"/>
        <v xml:space="preserve">    - 6.425E-01</v>
      </c>
      <c r="N54" s="4" t="str">
        <f t="shared" si="5"/>
        <v xml:space="preserve">    - 7.459E-01</v>
      </c>
      <c r="O54" s="4" t="str">
        <f t="shared" si="5"/>
        <v xml:space="preserve">    - 9.144E-01</v>
      </c>
      <c r="P54" s="4" t="str">
        <f t="shared" si="5"/>
        <v xml:space="preserve">    - 1.039E+00</v>
      </c>
      <c r="Q54" s="4" t="str">
        <f t="shared" si="5"/>
        <v xml:space="preserve">    - 1.148E+00</v>
      </c>
      <c r="R54" s="4" t="str">
        <f t="shared" si="5"/>
        <v xml:space="preserve">    - 1.447E+00</v>
      </c>
      <c r="S54" s="4" t="str">
        <f t="shared" si="5"/>
        <v xml:space="preserve">    - 1.726E+00</v>
      </c>
      <c r="T54" s="4" t="str">
        <f t="shared" si="5"/>
        <v xml:space="preserve">    - 2.725E+00</v>
      </c>
      <c r="U54" s="4" t="str">
        <f t="shared" si="5"/>
        <v xml:space="preserve">    - 3.031E+00</v>
      </c>
      <c r="V54" s="4" t="str">
        <f t="shared" si="5"/>
        <v xml:space="preserve">    - 3.478E+00</v>
      </c>
      <c r="W54" s="4" t="str">
        <f t="shared" si="5"/>
        <v xml:space="preserve">    - 4.422E+00</v>
      </c>
      <c r="X54" s="4" t="str">
        <f t="shared" si="5"/>
        <v xml:space="preserve">    - 4.680E+00</v>
      </c>
      <c r="Y54" s="4" t="str">
        <f t="shared" si="5"/>
        <v xml:space="preserve">    - 1.109E+01</v>
      </c>
      <c r="Z54" s="4" t="str">
        <f t="shared" si="5"/>
        <v xml:space="preserve">    - 1.191E+01</v>
      </c>
      <c r="AA54" s="4" t="str">
        <f t="shared" si="5"/>
        <v xml:space="preserve">    - 1.261E+01</v>
      </c>
      <c r="AB54" s="4" t="str">
        <f t="shared" si="5"/>
        <v xml:space="preserve">    - 1.739E+01</v>
      </c>
      <c r="AC54" s="4" t="str">
        <f t="shared" si="5"/>
        <v xml:space="preserve">    - 1.902E+01</v>
      </c>
      <c r="AD54" s="4" t="str">
        <f t="shared" si="5"/>
        <v xml:space="preserve">    - 2.410E+01</v>
      </c>
      <c r="AE54" s="4" t="str">
        <f t="shared" si="5"/>
        <v xml:space="preserve">    - 2.529E+01</v>
      </c>
      <c r="AF54" s="4" t="str">
        <f t="shared" si="5"/>
        <v xml:space="preserve">    - 6.335E+00</v>
      </c>
      <c r="AG54" s="4" t="str">
        <f t="shared" si="5"/>
        <v xml:space="preserve">    - 9.112E+00</v>
      </c>
      <c r="AH54" s="4" t="str">
        <f t="shared" si="5"/>
        <v xml:space="preserve">    - 9.922E+00</v>
      </c>
      <c r="AI54" s="4" t="str">
        <f t="shared" si="5"/>
        <v xml:space="preserve">    - 1.349E+01</v>
      </c>
      <c r="AJ54" s="4" t="str">
        <f t="shared" si="5"/>
        <v xml:space="preserve">    - 1.766E+01</v>
      </c>
      <c r="AK54" s="4" t="str">
        <f t="shared" si="5"/>
        <v xml:space="preserve">    - 1.881E+01</v>
      </c>
      <c r="AL54" s="4" t="str">
        <f t="shared" si="5"/>
        <v xml:space="preserve">    - 2.311E-01</v>
      </c>
      <c r="AM54" s="4" t="str">
        <f t="shared" si="5"/>
        <v xml:space="preserve">    - 2.502E-01</v>
      </c>
      <c r="AN54" s="4" t="str">
        <f t="shared" si="5"/>
        <v xml:space="preserve">    - 5.683E-01</v>
      </c>
      <c r="AO54" s="4" t="str">
        <f t="shared" ref="AO54:AQ54" si="13">CONCATENATE("    - ", TEXT(AO24,"0.000E+00"))</f>
        <v xml:space="preserve">    - 1.661E+01</v>
      </c>
      <c r="AP54" s="4" t="str">
        <f t="shared" si="13"/>
        <v xml:space="preserve">    - 3.409E+00</v>
      </c>
      <c r="AQ54" s="4" t="str">
        <f t="shared" si="13"/>
        <v xml:space="preserve">    - 5.477E-01</v>
      </c>
    </row>
    <row r="55" spans="2:43">
      <c r="B55" s="4" t="str">
        <f t="shared" si="8"/>
        <v xml:space="preserve">    - 0.050</v>
      </c>
      <c r="C55" s="4" t="str">
        <f t="shared" si="9"/>
        <v xml:space="preserve">    - 3.355E-01</v>
      </c>
      <c r="D55" s="4" t="str">
        <f t="shared" si="5"/>
        <v xml:space="preserve">    - 1.467E-01</v>
      </c>
      <c r="E55" s="4" t="str">
        <f t="shared" si="5"/>
        <v xml:space="preserve">    - 1.520E-01</v>
      </c>
      <c r="F55" s="4" t="str">
        <f t="shared" si="5"/>
        <v xml:space="preserve">    - 1.612E-01</v>
      </c>
      <c r="G55" s="4" t="str">
        <f t="shared" si="5"/>
        <v xml:space="preserve">    - 1.794E-01</v>
      </c>
      <c r="H55" s="4" t="str">
        <f t="shared" si="5"/>
        <v xml:space="preserve">    - 1.877E-01</v>
      </c>
      <c r="I55" s="4" t="str">
        <f t="shared" si="5"/>
        <v xml:space="preserve">    - 1.997E-01</v>
      </c>
      <c r="J55" s="4" t="str">
        <f t="shared" si="5"/>
        <v xml:space="preserve">    - 2.555E-01</v>
      </c>
      <c r="K55" s="4" t="str">
        <f t="shared" si="5"/>
        <v xml:space="preserve">    - 2.993E-01</v>
      </c>
      <c r="L55" s="4" t="str">
        <f t="shared" si="5"/>
        <v xml:space="preserve">    - 3.347E-01</v>
      </c>
      <c r="M55" s="4" t="str">
        <f t="shared" si="5"/>
        <v xml:space="preserve">    - 3.993E-01</v>
      </c>
      <c r="N55" s="4" t="str">
        <f t="shared" si="5"/>
        <v xml:space="preserve">    - 4.489E-01</v>
      </c>
      <c r="O55" s="4" t="str">
        <f t="shared" si="5"/>
        <v xml:space="preserve">    - 5.358E-01</v>
      </c>
      <c r="P55" s="4" t="str">
        <f t="shared" si="5"/>
        <v xml:space="preserve">    - 5.959E-01</v>
      </c>
      <c r="Q55" s="4" t="str">
        <f t="shared" si="5"/>
        <v xml:space="preserve">    - 6.470E-01</v>
      </c>
      <c r="R55" s="4" t="str">
        <f t="shared" si="5"/>
        <v xml:space="preserve">    - 8.042E-01</v>
      </c>
      <c r="S55" s="4" t="str">
        <f t="shared" si="5"/>
        <v xml:space="preserve">    - 9.483E-01</v>
      </c>
      <c r="T55" s="4" t="str">
        <f t="shared" si="5"/>
        <v xml:space="preserve">    - 1.462E+00</v>
      </c>
      <c r="U55" s="4" t="str">
        <f t="shared" si="5"/>
        <v xml:space="preserve">    - 1.621E+00</v>
      </c>
      <c r="V55" s="4" t="str">
        <f t="shared" si="5"/>
        <v xml:space="preserve">    - 1.854E+00</v>
      </c>
      <c r="W55" s="4" t="str">
        <f t="shared" si="5"/>
        <v xml:space="preserve">    - 2.354E+00</v>
      </c>
      <c r="X55" s="4" t="str">
        <f t="shared" si="5"/>
        <v xml:space="preserve">    - 2.490E+00</v>
      </c>
      <c r="Y55" s="4" t="str">
        <f t="shared" si="5"/>
        <v xml:space="preserve">    - 5.966E+00</v>
      </c>
      <c r="Z55" s="4" t="str">
        <f t="shared" si="5"/>
        <v xml:space="preserve">    - 6.426E+00</v>
      </c>
      <c r="AA55" s="4" t="str">
        <f t="shared" si="5"/>
        <v xml:space="preserve">    - 6.812E+00</v>
      </c>
      <c r="AB55" s="4" t="str">
        <f t="shared" si="5"/>
        <v xml:space="preserve">    - 9.504E+00</v>
      </c>
      <c r="AC55" s="4" t="str">
        <f t="shared" si="5"/>
        <v xml:space="preserve">    - 1.041E+01</v>
      </c>
      <c r="AD55" s="4" t="str">
        <f t="shared" si="5"/>
        <v xml:space="preserve">    - 1.346E+01</v>
      </c>
      <c r="AE55" s="4" t="str">
        <f t="shared" si="5"/>
        <v xml:space="preserve">    - 1.413E+01</v>
      </c>
      <c r="AF55" s="4" t="str">
        <f t="shared" si="5"/>
        <v xml:space="preserve">    - 3.450E+00</v>
      </c>
      <c r="AG55" s="4" t="str">
        <f t="shared" si="5"/>
        <v xml:space="preserve">    - 4.978E+00</v>
      </c>
      <c r="AH55" s="4" t="str">
        <f t="shared" si="5"/>
        <v xml:space="preserve">    - 5.426E+00</v>
      </c>
      <c r="AI55" s="4" t="str">
        <f t="shared" si="5"/>
        <v xml:space="preserve">    - 7.426E+00</v>
      </c>
      <c r="AJ55" s="4" t="str">
        <f t="shared" si="5"/>
        <v xml:space="preserve">    - 9.816E+00</v>
      </c>
      <c r="AK55" s="4" t="str">
        <f t="shared" si="5"/>
        <v xml:space="preserve">    - 1.048E+01</v>
      </c>
      <c r="AL55" s="4" t="str">
        <f t="shared" si="5"/>
        <v xml:space="preserve">    - 1.964E-01</v>
      </c>
      <c r="AM55" s="4" t="str">
        <f t="shared" si="5"/>
        <v xml:space="preserve">    - 2.149E-01</v>
      </c>
      <c r="AN55" s="4" t="str">
        <f t="shared" si="5"/>
        <v xml:space="preserve">    - 3.649E-01</v>
      </c>
      <c r="AO55" s="4" t="str">
        <f t="shared" ref="AO55:AQ55" si="14">CONCATENATE("    - ", TEXT(AO25,"0.000E+00"))</f>
        <v xml:space="preserve">    - 9.261E+00</v>
      </c>
      <c r="AP55" s="4" t="str">
        <f t="shared" si="14"/>
        <v xml:space="preserve">    - 1.819E+00</v>
      </c>
      <c r="AQ55" s="4" t="str">
        <f t="shared" si="14"/>
        <v xml:space="preserve">    - 3.552E-01</v>
      </c>
    </row>
    <row r="56" spans="2:43">
      <c r="B56" s="4" t="str">
        <f t="shared" si="8"/>
        <v xml:space="preserve">    - 0.060</v>
      </c>
      <c r="C56" s="4" t="str">
        <f t="shared" si="9"/>
        <v xml:space="preserve">    - 3.260E-01</v>
      </c>
      <c r="D56" s="4" t="str">
        <f t="shared" si="5"/>
        <v xml:space="preserve">    - 1.423E-01</v>
      </c>
      <c r="E56" s="4" t="str">
        <f t="shared" si="5"/>
        <v xml:space="preserve">    - 1.469E-01</v>
      </c>
      <c r="F56" s="4" t="str">
        <f t="shared" si="5"/>
        <v xml:space="preserve">    - 1.546E-01</v>
      </c>
      <c r="G56" s="4" t="str">
        <f t="shared" si="5"/>
        <v xml:space="preserve">    - 1.698E-01</v>
      </c>
      <c r="H56" s="4" t="str">
        <f t="shared" si="5"/>
        <v xml:space="preserve">    - 1.743E-01</v>
      </c>
      <c r="I56" s="4" t="str">
        <f t="shared" si="5"/>
        <v xml:space="preserve">    - 1.811E-01</v>
      </c>
      <c r="J56" s="4" t="str">
        <f t="shared" si="5"/>
        <v xml:space="preserve">    - 2.091E-01</v>
      </c>
      <c r="K56" s="4" t="str">
        <f t="shared" si="5"/>
        <v xml:space="preserve">    - 2.357E-01</v>
      </c>
      <c r="L56" s="4" t="str">
        <f t="shared" si="5"/>
        <v xml:space="preserve">    - 2.539E-01</v>
      </c>
      <c r="M56" s="4" t="str">
        <f t="shared" si="5"/>
        <v xml:space="preserve">    - 2.927E-01</v>
      </c>
      <c r="N56" s="4" t="str">
        <f t="shared" si="5"/>
        <v xml:space="preserve">    - 3.155E-01</v>
      </c>
      <c r="O56" s="4" t="str">
        <f t="shared" si="5"/>
        <v xml:space="preserve">    - 3.701E-01</v>
      </c>
      <c r="P56" s="4" t="str">
        <f t="shared" si="5"/>
        <v xml:space="preserve">    - 4.019E-01</v>
      </c>
      <c r="Q56" s="4" t="str">
        <f t="shared" si="5"/>
        <v xml:space="preserve">    - 4.273E-01</v>
      </c>
      <c r="R56" s="4" t="str">
        <f t="shared" si="5"/>
        <v xml:space="preserve">    - 5.220E-01</v>
      </c>
      <c r="S56" s="4" t="str">
        <f t="shared" si="5"/>
        <v xml:space="preserve">    - 6.067E-01</v>
      </c>
      <c r="T56" s="4" t="str">
        <f t="shared" si="5"/>
        <v xml:space="preserve">    - 8.998E-01</v>
      </c>
      <c r="U56" s="4" t="str">
        <f t="shared" si="5"/>
        <v xml:space="preserve">    - 9.922E-01</v>
      </c>
      <c r="V56" s="4" t="str">
        <f t="shared" si="5"/>
        <v xml:space="preserve">    - 1.131E+00</v>
      </c>
      <c r="W56" s="4" t="str">
        <f t="shared" si="5"/>
        <v xml:space="preserve">    - 1.425E+00</v>
      </c>
      <c r="X56" s="4" t="str">
        <f t="shared" si="5"/>
        <v xml:space="preserve">    - 1.504E+00</v>
      </c>
      <c r="Y56" s="4" t="str">
        <f t="shared" si="5"/>
        <v xml:space="preserve">    - 3.592E+00</v>
      </c>
      <c r="Z56" s="4" t="str">
        <f t="shared" si="5"/>
        <v xml:space="preserve">    - 3.874E+00</v>
      </c>
      <c r="AA56" s="4" t="str">
        <f t="shared" si="5"/>
        <v xml:space="preserve">    - 4.110E+00</v>
      </c>
      <c r="AB56" s="4" t="str">
        <f t="shared" si="5"/>
        <v xml:space="preserve">    - 5.774E+00</v>
      </c>
      <c r="AC56" s="4" t="str">
        <f t="shared" si="5"/>
        <v xml:space="preserve">    - 6.355E+00</v>
      </c>
      <c r="AD56" s="4" t="str">
        <f t="shared" si="5"/>
        <v xml:space="preserve">    - 8.264E+00</v>
      </c>
      <c r="AE56" s="4" t="str">
        <f t="shared" si="5"/>
        <v xml:space="preserve">    - 8.706E+00</v>
      </c>
      <c r="AF56" s="4" t="str">
        <f t="shared" si="5"/>
        <v xml:space="preserve">    - 1.144E+01</v>
      </c>
      <c r="AG56" s="4" t="str">
        <f t="shared" si="5"/>
        <v xml:space="preserve">    - 3.048E+00</v>
      </c>
      <c r="AH56" s="4" t="str">
        <f t="shared" si="5"/>
        <v xml:space="preserve">    - 3.324E+00</v>
      </c>
      <c r="AI56" s="4" t="str">
        <f t="shared" si="5"/>
        <v xml:space="preserve">    - 4.563E+00</v>
      </c>
      <c r="AJ56" s="4" t="str">
        <f t="shared" si="5"/>
        <v xml:space="preserve">    - 6.066E+00</v>
      </c>
      <c r="AK56" s="4" t="str">
        <f t="shared" si="5"/>
        <v xml:space="preserve">    - 6.489E+00</v>
      </c>
      <c r="AL56" s="4" t="str">
        <f t="shared" si="5"/>
        <v xml:space="preserve">    - 1.791E-01</v>
      </c>
      <c r="AM56" s="4" t="str">
        <f t="shared" si="5"/>
        <v xml:space="preserve">    - 1.973E-01</v>
      </c>
      <c r="AN56" s="4" t="str">
        <f t="shared" si="5"/>
        <v xml:space="preserve">    - 2.746E-01</v>
      </c>
      <c r="AO56" s="4" t="str">
        <f t="shared" ref="AO56:AQ56" si="15">CONCATENATE("    - ", TEXT(AO26,"0.000E+00"))</f>
        <v xml:space="preserve">    - 5.741E+00</v>
      </c>
      <c r="AP56" s="4" t="str">
        <f t="shared" si="15"/>
        <v xml:space="preserve">    - 1.110E+00</v>
      </c>
      <c r="AQ56" s="4" t="str">
        <f t="shared" si="15"/>
        <v xml:space="preserve">    - 2.696E-01</v>
      </c>
    </row>
    <row r="57" spans="2:43">
      <c r="B57" s="4" t="str">
        <f t="shared" si="8"/>
        <v xml:space="preserve">    - 0.080</v>
      </c>
      <c r="C57" s="4" t="str">
        <f t="shared" si="9"/>
        <v xml:space="preserve">    - 3.091E-01</v>
      </c>
      <c r="D57" s="4" t="str">
        <f t="shared" si="5"/>
        <v xml:space="preserve">    - 1.348E-01</v>
      </c>
      <c r="E57" s="4" t="str">
        <f t="shared" si="5"/>
        <v xml:space="preserve">    - 1.387E-01</v>
      </c>
      <c r="F57" s="4" t="str">
        <f t="shared" si="5"/>
        <v xml:space="preserve">    - 1.450E-01</v>
      </c>
      <c r="G57" s="4" t="str">
        <f t="shared" si="5"/>
        <v xml:space="preserve">    - 1.578E-01</v>
      </c>
      <c r="H57" s="4" t="str">
        <f t="shared" si="5"/>
        <v xml:space="preserve">    - 1.596E-01</v>
      </c>
      <c r="I57" s="4" t="str">
        <f t="shared" si="5"/>
        <v xml:space="preserve">    - 1.622E-01</v>
      </c>
      <c r="J57" s="4" t="str">
        <f t="shared" si="5"/>
        <v xml:space="preserve">    - 1.693E-01</v>
      </c>
      <c r="K57" s="4" t="str">
        <f t="shared" si="5"/>
        <v xml:space="preserve">    - 1.827E-01</v>
      </c>
      <c r="L57" s="4" t="str">
        <f t="shared" si="5"/>
        <v xml:space="preserve">    - 1.880E-01</v>
      </c>
      <c r="M57" s="4" t="str">
        <f t="shared" si="5"/>
        <v xml:space="preserve">    - 2.065E-01</v>
      </c>
      <c r="N57" s="4" t="str">
        <f t="shared" si="5"/>
        <v xml:space="preserve">    - 2.146E-01</v>
      </c>
      <c r="O57" s="4" t="str">
        <f t="shared" ref="D57:AN64" si="16">CONCATENATE("    - ", TEXT(O27,"0.000E+00"))</f>
        <v xml:space="preserve">    - 2.381E-01</v>
      </c>
      <c r="P57" s="4" t="str">
        <f t="shared" si="16"/>
        <v xml:space="preserve">    - 2.476E-01</v>
      </c>
      <c r="Q57" s="4" t="str">
        <f t="shared" si="16"/>
        <v xml:space="preserve">    - 2.531E-01</v>
      </c>
      <c r="R57" s="4" t="str">
        <f t="shared" si="16"/>
        <v xml:space="preserve">    - 2.981E-01</v>
      </c>
      <c r="S57" s="4" t="str">
        <f t="shared" si="16"/>
        <v xml:space="preserve">    - 3.355E-01</v>
      </c>
      <c r="T57" s="4" t="str">
        <f t="shared" si="16"/>
        <v xml:space="preserve">    - 4.523E-01</v>
      </c>
      <c r="U57" s="4" t="str">
        <f t="shared" si="16"/>
        <v xml:space="preserve">    - 4.903E-01</v>
      </c>
      <c r="V57" s="4" t="str">
        <f t="shared" si="16"/>
        <v xml:space="preserve">    - 5.510E-01</v>
      </c>
      <c r="W57" s="4" t="str">
        <f t="shared" si="16"/>
        <v xml:space="preserve">    - 6.786E-01</v>
      </c>
      <c r="X57" s="4" t="str">
        <f t="shared" si="16"/>
        <v xml:space="preserve">    - 7.097E-01</v>
      </c>
      <c r="Y57" s="4" t="str">
        <f t="shared" si="16"/>
        <v xml:space="preserve">    - 1.631E+00</v>
      </c>
      <c r="Z57" s="4" t="str">
        <f t="shared" si="16"/>
        <v xml:space="preserve">    - 1.759E+00</v>
      </c>
      <c r="AA57" s="4" t="str">
        <f t="shared" si="16"/>
        <v xml:space="preserve">    - 1.864E+00</v>
      </c>
      <c r="AB57" s="4" t="str">
        <f t="shared" si="16"/>
        <v xml:space="preserve">    - 2.630E+00</v>
      </c>
      <c r="AC57" s="4" t="str">
        <f t="shared" si="16"/>
        <v xml:space="preserve">    - 2.901E+00</v>
      </c>
      <c r="AD57" s="4" t="str">
        <f t="shared" si="16"/>
        <v xml:space="preserve">    - 3.813E+00</v>
      </c>
      <c r="AE57" s="4" t="str">
        <f t="shared" si="16"/>
        <v xml:space="preserve">    - 4.022E+00</v>
      </c>
      <c r="AF57" s="4" t="str">
        <f t="shared" si="16"/>
        <v xml:space="preserve">    - 5.385E+00</v>
      </c>
      <c r="AG57" s="4" t="str">
        <f t="shared" si="16"/>
        <v xml:space="preserve">    - 7.119E+00</v>
      </c>
      <c r="AH57" s="4" t="str">
        <f t="shared" si="16"/>
        <v xml:space="preserve">    - 7.568E+00</v>
      </c>
      <c r="AI57" s="4" t="str">
        <f t="shared" si="16"/>
        <v xml:space="preserve">    - 2.135E+00</v>
      </c>
      <c r="AJ57" s="4" t="str">
        <f t="shared" si="16"/>
        <v xml:space="preserve">    - 2.851E+00</v>
      </c>
      <c r="AK57" s="4" t="str">
        <f t="shared" si="16"/>
        <v xml:space="preserve">    - 3.057E+00</v>
      </c>
      <c r="AL57" s="4" t="str">
        <f t="shared" si="16"/>
        <v xml:space="preserve">    - 1.614E-01</v>
      </c>
      <c r="AM57" s="4" t="str">
        <f t="shared" si="16"/>
        <v xml:space="preserve">    - 1.786E-01</v>
      </c>
      <c r="AN57" s="4" t="str">
        <f t="shared" si="16"/>
        <v xml:space="preserve">    - 2.001E-01</v>
      </c>
      <c r="AO57" s="4" t="str">
        <f t="shared" ref="AO57:AQ57" si="17">CONCATENATE("    - ", TEXT(AO27,"0.000E+00"))</f>
        <v xml:space="preserve">    - 2.714E+00</v>
      </c>
      <c r="AP57" s="4" t="str">
        <f t="shared" si="17"/>
        <v xml:space="preserve">    - 5.425E-01</v>
      </c>
      <c r="AQ57" s="4" t="str">
        <f t="shared" si="17"/>
        <v xml:space="preserve">    - 1.987E-01</v>
      </c>
    </row>
    <row r="58" spans="2:43">
      <c r="B58" s="4" t="str">
        <f t="shared" si="8"/>
        <v xml:space="preserve">    - 0.100</v>
      </c>
      <c r="C58" s="4" t="str">
        <f t="shared" si="9"/>
        <v xml:space="preserve">    - 2.944E-01</v>
      </c>
      <c r="D58" s="4" t="str">
        <f t="shared" si="16"/>
        <v xml:space="preserve">    - 1.283E-01</v>
      </c>
      <c r="E58" s="4" t="str">
        <f t="shared" si="16"/>
        <v xml:space="preserve">    - 1.319E-01</v>
      </c>
      <c r="F58" s="4" t="str">
        <f t="shared" si="16"/>
        <v xml:space="preserve">    - 1.377E-01</v>
      </c>
      <c r="G58" s="4" t="str">
        <f t="shared" si="16"/>
        <v xml:space="preserve">    - 1.493E-01</v>
      </c>
      <c r="H58" s="4" t="str">
        <f t="shared" si="16"/>
        <v xml:space="preserve">    - 1.501E-01</v>
      </c>
      <c r="I58" s="4" t="str">
        <f t="shared" si="16"/>
        <v xml:space="preserve">    - 1.514E-01</v>
      </c>
      <c r="J58" s="4" t="str">
        <f t="shared" si="16"/>
        <v xml:space="preserve">    - 1.518E-01</v>
      </c>
      <c r="K58" s="4" t="str">
        <f t="shared" si="16"/>
        <v xml:space="preserve">    - 1.605E-01</v>
      </c>
      <c r="L58" s="4" t="str">
        <f t="shared" si="16"/>
        <v xml:space="preserve">    - 1.614E-01</v>
      </c>
      <c r="M58" s="4" t="str">
        <f t="shared" si="16"/>
        <v xml:space="preserve">    - 1.729E-01</v>
      </c>
      <c r="N58" s="4" t="str">
        <f t="shared" si="16"/>
        <v xml:space="preserve">    - 1.749E-01</v>
      </c>
      <c r="O58" s="4" t="str">
        <f t="shared" si="16"/>
        <v xml:space="preserve">    - 1.886E-01</v>
      </c>
      <c r="P58" s="4" t="str">
        <f t="shared" si="16"/>
        <v xml:space="preserve">    - 1.906E-01</v>
      </c>
      <c r="Q58" s="4" t="str">
        <f t="shared" si="16"/>
        <v xml:space="preserve">    - 1.893E-01</v>
      </c>
      <c r="R58" s="4" t="str">
        <f t="shared" si="16"/>
        <v xml:space="preserve">    - 2.168E-01</v>
      </c>
      <c r="S58" s="4" t="str">
        <f t="shared" si="16"/>
        <v xml:space="preserve">    - 2.374E-01</v>
      </c>
      <c r="T58" s="4" t="str">
        <f t="shared" si="16"/>
        <v xml:space="preserve">    - 2.917E-01</v>
      </c>
      <c r="U58" s="4" t="str">
        <f t="shared" si="16"/>
        <v xml:space="preserve">    - 3.102E-01</v>
      </c>
      <c r="V58" s="4" t="str">
        <f t="shared" si="16"/>
        <v xml:space="preserve">    - 3.425E-01</v>
      </c>
      <c r="W58" s="4" t="str">
        <f t="shared" si="16"/>
        <v xml:space="preserve">    - 4.097E-01</v>
      </c>
      <c r="X58" s="4" t="str">
        <f t="shared" si="16"/>
        <v xml:space="preserve">    - 4.232E-01</v>
      </c>
      <c r="Y58" s="4" t="str">
        <f t="shared" si="16"/>
        <v xml:space="preserve">    - 9.061E-01</v>
      </c>
      <c r="Z58" s="4" t="str">
        <f t="shared" si="16"/>
        <v xml:space="preserve">    - 9.731E-01</v>
      </c>
      <c r="AA58" s="4" t="str">
        <f t="shared" si="16"/>
        <v xml:space="preserve">    - 1.031E+00</v>
      </c>
      <c r="AB58" s="4" t="str">
        <f t="shared" si="16"/>
        <v xml:space="preserve">    - 1.444E+00</v>
      </c>
      <c r="AC58" s="4" t="str">
        <f t="shared" si="16"/>
        <v xml:space="preserve">    - 1.592E+00</v>
      </c>
      <c r="AD58" s="4" t="str">
        <f t="shared" si="16"/>
        <v xml:space="preserve">    - 2.095E+00</v>
      </c>
      <c r="AE58" s="4" t="str">
        <f t="shared" si="16"/>
        <v xml:space="preserve">    - 2.211E+00</v>
      </c>
      <c r="AF58" s="4" t="str">
        <f t="shared" si="16"/>
        <v xml:space="preserve">    - 2.982E+00</v>
      </c>
      <c r="AG58" s="4" t="str">
        <f t="shared" si="16"/>
        <v xml:space="preserve">    - 3.997E+00</v>
      </c>
      <c r="AH58" s="4" t="str">
        <f t="shared" si="16"/>
        <v xml:space="preserve">    - 4.273E+00</v>
      </c>
      <c r="AI58" s="4" t="str">
        <f t="shared" si="16"/>
        <v xml:space="preserve">    - 5.355E+00</v>
      </c>
      <c r="AJ58" s="4" t="str">
        <f t="shared" si="16"/>
        <v xml:space="preserve">    - 1.606E+00</v>
      </c>
      <c r="AK58" s="4" t="str">
        <f t="shared" si="16"/>
        <v xml:space="preserve">    - 1.722E+00</v>
      </c>
      <c r="AL58" s="4" t="str">
        <f t="shared" si="16"/>
        <v xml:space="preserve">    - 1.509E-01</v>
      </c>
      <c r="AM58" s="4" t="str">
        <f t="shared" si="16"/>
        <v xml:space="preserve">    - 1.674E-01</v>
      </c>
      <c r="AN58" s="4" t="str">
        <f t="shared" si="16"/>
        <v xml:space="preserve">    - 1.702E-01</v>
      </c>
      <c r="AO58" s="4" t="str">
        <f t="shared" ref="AO58:AQ58" si="18">CONCATENATE("    - ", TEXT(AO28,"0.000E+00"))</f>
        <v xml:space="preserve">    - 1.536E+00</v>
      </c>
      <c r="AP58" s="4" t="str">
        <f t="shared" si="18"/>
        <v xml:space="preserve">    - 3.383E-01</v>
      </c>
      <c r="AQ58" s="4" t="str">
        <f t="shared" si="18"/>
        <v xml:space="preserve">    - 1.700E-01</v>
      </c>
    </row>
    <row r="59" spans="2:43">
      <c r="B59" s="4" t="str">
        <f t="shared" si="8"/>
        <v xml:space="preserve">    - 0.150</v>
      </c>
      <c r="C59" s="4" t="str">
        <f t="shared" si="9"/>
        <v xml:space="preserve">    - 2.650E-01</v>
      </c>
      <c r="D59" s="4" t="str">
        <f t="shared" si="16"/>
        <v xml:space="preserve">    - 1.155E-01</v>
      </c>
      <c r="E59" s="4" t="str">
        <f t="shared" si="16"/>
        <v xml:space="preserve">    - 1.186E-01</v>
      </c>
      <c r="F59" s="4" t="str">
        <f t="shared" si="16"/>
        <v xml:space="preserve">    - 1.237E-01</v>
      </c>
      <c r="G59" s="4" t="str">
        <f t="shared" si="16"/>
        <v xml:space="preserve">    - 1.338E-01</v>
      </c>
      <c r="H59" s="4" t="str">
        <f t="shared" si="16"/>
        <v xml:space="preserve">    - 1.340E-01</v>
      </c>
      <c r="I59" s="4" t="str">
        <f t="shared" si="16"/>
        <v xml:space="preserve">    - 1.344E-01</v>
      </c>
      <c r="J59" s="4" t="str">
        <f t="shared" si="16"/>
        <v xml:space="preserve">    - 1.305E-01</v>
      </c>
      <c r="K59" s="4" t="str">
        <f t="shared" si="16"/>
        <v xml:space="preserve">    - 1.357E-01</v>
      </c>
      <c r="L59" s="4" t="str">
        <f t="shared" si="16"/>
        <v xml:space="preserve">    - 1.337E-01</v>
      </c>
      <c r="M59" s="4" t="str">
        <f t="shared" si="16"/>
        <v xml:space="preserve">    - 1.399E-01</v>
      </c>
      <c r="N59" s="4" t="str">
        <f t="shared" si="16"/>
        <v xml:space="preserve">    - 1.379E-01</v>
      </c>
      <c r="O59" s="4" t="str">
        <f t="shared" si="16"/>
        <v xml:space="preserve">    - 1.444E-01</v>
      </c>
      <c r="P59" s="4" t="str">
        <f t="shared" si="16"/>
        <v xml:space="preserve">    - 1.414E-01</v>
      </c>
      <c r="Q59" s="4" t="str">
        <f t="shared" si="16"/>
        <v xml:space="preserve">    - 1.359E-01</v>
      </c>
      <c r="R59" s="4" t="str">
        <f t="shared" si="16"/>
        <v xml:space="preserve">    - 1.501E-01</v>
      </c>
      <c r="S59" s="4" t="str">
        <f t="shared" si="16"/>
        <v xml:space="preserve">    - 1.583E-01</v>
      </c>
      <c r="T59" s="4" t="str">
        <f t="shared" si="16"/>
        <v xml:space="preserve">    - 1.674E-01</v>
      </c>
      <c r="U59" s="4" t="str">
        <f t="shared" si="16"/>
        <v xml:space="preserve">    - 1.715E-01</v>
      </c>
      <c r="V59" s="4" t="str">
        <f t="shared" si="16"/>
        <v xml:space="preserve">    - 1.829E-01</v>
      </c>
      <c r="W59" s="4" t="str">
        <f t="shared" si="16"/>
        <v xml:space="preserve">    - 2.049E-01</v>
      </c>
      <c r="X59" s="4" t="str">
        <f t="shared" si="16"/>
        <v xml:space="preserve">    - 2.053E-01</v>
      </c>
      <c r="Y59" s="4" t="str">
        <f t="shared" si="16"/>
        <v xml:space="preserve">    - 3.509E-01</v>
      </c>
      <c r="Z59" s="4" t="str">
        <f t="shared" si="16"/>
        <v xml:space="preserve">    - 3.728E-01</v>
      </c>
      <c r="AA59" s="4" t="str">
        <f t="shared" si="16"/>
        <v xml:space="preserve">    - 3.902E-01</v>
      </c>
      <c r="AB59" s="4" t="str">
        <f t="shared" si="16"/>
        <v xml:space="preserve">    - 5.213E-01</v>
      </c>
      <c r="AC59" s="4" t="str">
        <f t="shared" si="16"/>
        <v xml:space="preserve">    - 5.690E-01</v>
      </c>
      <c r="AD59" s="4" t="str">
        <f t="shared" si="16"/>
        <v xml:space="preserve">    - 7.352E-01</v>
      </c>
      <c r="AE59" s="4" t="str">
        <f t="shared" si="16"/>
        <v xml:space="preserve">    - 7.747E-01</v>
      </c>
      <c r="AF59" s="4" t="str">
        <f t="shared" si="16"/>
        <v xml:space="preserve">    - 1.040E+00</v>
      </c>
      <c r="AG59" s="4" t="str">
        <f t="shared" si="16"/>
        <v xml:space="preserve">    - 1.402E+00</v>
      </c>
      <c r="AH59" s="4" t="str">
        <f t="shared" si="16"/>
        <v xml:space="preserve">    - 1.502E+00</v>
      </c>
      <c r="AI59" s="4" t="str">
        <f t="shared" si="16"/>
        <v xml:space="preserve">    - 1.921E+00</v>
      </c>
      <c r="AJ59" s="4" t="str">
        <f t="shared" si="16"/>
        <v xml:space="preserve">    - 2.362E+00</v>
      </c>
      <c r="AK59" s="4" t="str">
        <f t="shared" si="16"/>
        <v xml:space="preserve">    - 2.477E+00</v>
      </c>
      <c r="AL59" s="4" t="str">
        <f t="shared" si="16"/>
        <v xml:space="preserve">    - 1.341E-01</v>
      </c>
      <c r="AM59" s="4" t="str">
        <f t="shared" si="16"/>
        <v xml:space="preserve">    - 1.490E-01</v>
      </c>
      <c r="AN59" s="4" t="str">
        <f t="shared" si="16"/>
        <v xml:space="preserve">    - 1.397E-01</v>
      </c>
      <c r="AO59" s="4" t="str">
        <f t="shared" ref="AO59:AQ59" si="19">CONCATENATE("    - ", TEXT(AO29,"0.000E+00"))</f>
        <v xml:space="preserve">    - 2.199E+00</v>
      </c>
      <c r="AP59" s="4" t="str">
        <f t="shared" si="19"/>
        <v xml:space="preserve">    - 1.818E-01</v>
      </c>
      <c r="AQ59" s="4" t="str">
        <f t="shared" si="19"/>
        <v xml:space="preserve">    - 1.403E-01</v>
      </c>
    </row>
    <row r="60" spans="2:43">
      <c r="B60" s="4" t="str">
        <f t="shared" si="8"/>
        <v xml:space="preserve">    - 0.200</v>
      </c>
      <c r="C60" s="4" t="str">
        <f t="shared" si="9"/>
        <v xml:space="preserve">    - 2.429E-01</v>
      </c>
      <c r="D60" s="4" t="str">
        <f t="shared" si="16"/>
        <v xml:space="preserve">    - 1.058E-01</v>
      </c>
      <c r="E60" s="4" t="str">
        <f t="shared" si="16"/>
        <v xml:space="preserve">    - 1.086E-01</v>
      </c>
      <c r="F60" s="4" t="str">
        <f t="shared" si="16"/>
        <v xml:space="preserve">    - 1.132E-01</v>
      </c>
      <c r="G60" s="4" t="str">
        <f t="shared" si="16"/>
        <v xml:space="preserve">    - 1.223E-01</v>
      </c>
      <c r="H60" s="4" t="str">
        <f t="shared" si="16"/>
        <v xml:space="preserve">    - 1.225E-01</v>
      </c>
      <c r="I60" s="4" t="str">
        <f t="shared" si="16"/>
        <v xml:space="preserve">    - 1.227E-01</v>
      </c>
      <c r="J60" s="4" t="str">
        <f t="shared" si="16"/>
        <v xml:space="preserve">    - 1.181E-01</v>
      </c>
      <c r="K60" s="4" t="str">
        <f t="shared" si="16"/>
        <v xml:space="preserve">    - 1.224E-01</v>
      </c>
      <c r="L60" s="4" t="str">
        <f t="shared" si="16"/>
        <v xml:space="preserve">    - 1.199E-01</v>
      </c>
      <c r="M60" s="4" t="str">
        <f t="shared" si="16"/>
        <v xml:space="preserve">    - 1.247E-01</v>
      </c>
      <c r="N60" s="4" t="str">
        <f t="shared" si="16"/>
        <v xml:space="preserve">    - 1.219E-01</v>
      </c>
      <c r="O60" s="4" t="str">
        <f t="shared" si="16"/>
        <v xml:space="preserve">    - 1.267E-01</v>
      </c>
      <c r="P60" s="4" t="str">
        <f t="shared" si="16"/>
        <v xml:space="preserve">    - 1.228E-01</v>
      </c>
      <c r="Q60" s="4" t="str">
        <f t="shared" si="16"/>
        <v xml:space="preserve">    - 1.166E-01</v>
      </c>
      <c r="R60" s="4" t="str">
        <f t="shared" si="16"/>
        <v xml:space="preserve">    - 1.273E-01</v>
      </c>
      <c r="S60" s="4" t="str">
        <f t="shared" si="16"/>
        <v xml:space="preserve">    - 1.324E-01</v>
      </c>
      <c r="T60" s="4" t="str">
        <f t="shared" si="16"/>
        <v xml:space="preserve">    - 1.312E-01</v>
      </c>
      <c r="U60" s="4" t="str">
        <f t="shared" si="16"/>
        <v xml:space="preserve">    - 1.321E-01</v>
      </c>
      <c r="V60" s="4" t="str">
        <f t="shared" si="16"/>
        <v xml:space="preserve">    - 1.383E-01</v>
      </c>
      <c r="W60" s="4" t="str">
        <f t="shared" si="16"/>
        <v xml:space="preserve">    - 1.490E-01</v>
      </c>
      <c r="X60" s="4" t="str">
        <f t="shared" si="16"/>
        <v xml:space="preserve">    - 1.466E-01</v>
      </c>
      <c r="Y60" s="4" t="str">
        <f t="shared" si="16"/>
        <v xml:space="preserve">    - 2.075E-01</v>
      </c>
      <c r="Z60" s="4" t="str">
        <f t="shared" si="16"/>
        <v xml:space="preserve">    - 2.174E-01</v>
      </c>
      <c r="AA60" s="4" t="str">
        <f t="shared" si="16"/>
        <v xml:space="preserve">    - 2.246E-01</v>
      </c>
      <c r="AB60" s="4" t="str">
        <f t="shared" si="16"/>
        <v xml:space="preserve">    - 2.818E-01</v>
      </c>
      <c r="AC60" s="4" t="str">
        <f t="shared" si="16"/>
        <v xml:space="preserve">    - 3.026E-01</v>
      </c>
      <c r="AD60" s="4" t="str">
        <f t="shared" si="16"/>
        <v xml:space="preserve">    - 3.768E-01</v>
      </c>
      <c r="AE60" s="4" t="str">
        <f t="shared" si="16"/>
        <v xml:space="preserve">    - 3.952E-01</v>
      </c>
      <c r="AF60" s="4" t="str">
        <f t="shared" si="16"/>
        <v xml:space="preserve">    - 5.181E-01</v>
      </c>
      <c r="AG60" s="4" t="str">
        <f t="shared" si="16"/>
        <v xml:space="preserve">    - 6.899E-01</v>
      </c>
      <c r="AH60" s="4" t="str">
        <f t="shared" si="16"/>
        <v xml:space="preserve">    - 7.383E-01</v>
      </c>
      <c r="AI60" s="4" t="str">
        <f t="shared" si="16"/>
        <v xml:space="preserve">    - 9.432E-01</v>
      </c>
      <c r="AJ60" s="4" t="str">
        <f t="shared" si="16"/>
        <v xml:space="preserve">    - 1.169E+00</v>
      </c>
      <c r="AK60" s="4" t="str">
        <f t="shared" si="16"/>
        <v xml:space="preserve">    - 1.230E+00</v>
      </c>
      <c r="AL60" s="4" t="str">
        <f t="shared" si="16"/>
        <v xml:space="preserve">    - 1.225E-01</v>
      </c>
      <c r="AM60" s="4" t="str">
        <f t="shared" si="16"/>
        <v xml:space="preserve">    - 1.361E-01</v>
      </c>
      <c r="AN60" s="4" t="str">
        <f t="shared" si="16"/>
        <v xml:space="preserve">    - 1.249E-01</v>
      </c>
      <c r="AO60" s="4" t="str">
        <f t="shared" ref="AO60:AQ60" si="20">CONCATENATE("    - ", TEXT(AO30,"0.000E+00"))</f>
        <v xml:space="preserve">    - 1.099E+00</v>
      </c>
      <c r="AP60" s="4" t="str">
        <f t="shared" si="20"/>
        <v xml:space="preserve">    - 1.379E-01</v>
      </c>
      <c r="AQ60" s="4" t="str">
        <f t="shared" si="20"/>
        <v xml:space="preserve">    - 1.256E-01</v>
      </c>
    </row>
    <row r="61" spans="2:43">
      <c r="B61" s="4" t="str">
        <f t="shared" si="8"/>
        <v xml:space="preserve">    - 0.300</v>
      </c>
      <c r="C61" s="4" t="str">
        <f t="shared" si="9"/>
        <v xml:space="preserve">    - 2.112E-01</v>
      </c>
      <c r="D61" s="4" t="str">
        <f t="shared" si="16"/>
        <v xml:space="preserve">    - 9.197E-02</v>
      </c>
      <c r="E61" s="4" t="str">
        <f t="shared" si="16"/>
        <v xml:space="preserve">    - 9.449E-02</v>
      </c>
      <c r="F61" s="4" t="str">
        <f t="shared" si="16"/>
        <v xml:space="preserve">    - 9.845E-02</v>
      </c>
      <c r="G61" s="4" t="str">
        <f t="shared" si="16"/>
        <v xml:space="preserve">    - 1.063E-01</v>
      </c>
      <c r="H61" s="4" t="str">
        <f t="shared" si="16"/>
        <v xml:space="preserve">    - 1.064E-01</v>
      </c>
      <c r="I61" s="4" t="str">
        <f t="shared" si="16"/>
        <v xml:space="preserve">    - 1.066E-01</v>
      </c>
      <c r="J61" s="4" t="str">
        <f t="shared" si="16"/>
        <v xml:space="preserve">    - 1.021E-01</v>
      </c>
      <c r="K61" s="4" t="str">
        <f t="shared" si="16"/>
        <v xml:space="preserve">    - 1.055E-01</v>
      </c>
      <c r="L61" s="4" t="str">
        <f t="shared" si="16"/>
        <v xml:space="preserve">    - 1.031E-01</v>
      </c>
      <c r="M61" s="4" t="str">
        <f t="shared" si="16"/>
        <v xml:space="preserve">    - 1.069E-01</v>
      </c>
      <c r="N61" s="4" t="str">
        <f t="shared" si="16"/>
        <v xml:space="preserve">    - 1.041E-01</v>
      </c>
      <c r="O61" s="4" t="str">
        <f t="shared" si="16"/>
        <v xml:space="preserve">    - 1.075E-01</v>
      </c>
      <c r="P61" s="4" t="str">
        <f t="shared" si="16"/>
        <v xml:space="preserve">    - 1.037E-01</v>
      </c>
      <c r="Q61" s="4" t="str">
        <f t="shared" si="16"/>
        <v xml:space="preserve">    - 9.773E-02</v>
      </c>
      <c r="R61" s="4" t="str">
        <f t="shared" si="16"/>
        <v xml:space="preserve">    - 1.059E-01</v>
      </c>
      <c r="S61" s="4" t="str">
        <f t="shared" si="16"/>
        <v xml:space="preserve">    - 1.092E-01</v>
      </c>
      <c r="T61" s="4" t="str">
        <f t="shared" si="16"/>
        <v xml:space="preserve">    - 1.037E-01</v>
      </c>
      <c r="U61" s="4" t="str">
        <f t="shared" si="16"/>
        <v xml:space="preserve">    - 1.030E-01</v>
      </c>
      <c r="V61" s="4" t="str">
        <f t="shared" si="16"/>
        <v xml:space="preserve">    - 1.064E-01</v>
      </c>
      <c r="W61" s="4" t="str">
        <f t="shared" si="16"/>
        <v xml:space="preserve">    - 1.113E-01</v>
      </c>
      <c r="X61" s="4" t="str">
        <f t="shared" si="16"/>
        <v xml:space="preserve">    - 1.076E-01</v>
      </c>
      <c r="Y61" s="4" t="str">
        <f t="shared" si="16"/>
        <v xml:space="preserve">    - 1.244E-01</v>
      </c>
      <c r="Z61" s="4" t="str">
        <f t="shared" si="16"/>
        <v xml:space="preserve">    - 1.279E-01</v>
      </c>
      <c r="AA61" s="4" t="str">
        <f t="shared" si="16"/>
        <v xml:space="preserve">    - 1.298E-01</v>
      </c>
      <c r="AB61" s="4" t="str">
        <f t="shared" si="16"/>
        <v xml:space="preserve">    - 1.471E-01</v>
      </c>
      <c r="AC61" s="4" t="str">
        <f t="shared" si="16"/>
        <v xml:space="preserve">    - 1.532E-01</v>
      </c>
      <c r="AD61" s="4" t="str">
        <f t="shared" si="16"/>
        <v xml:space="preserve">    - 1.763E-01</v>
      </c>
      <c r="AE61" s="4" t="str">
        <f t="shared" si="16"/>
        <v xml:space="preserve">    - 1.829E-01</v>
      </c>
      <c r="AF61" s="4" t="str">
        <f t="shared" si="16"/>
        <v xml:space="preserve">    - 2.247E-01</v>
      </c>
      <c r="AG61" s="4" t="str">
        <f t="shared" si="16"/>
        <v xml:space="preserve">    - 2.850E-01</v>
      </c>
      <c r="AH61" s="4" t="str">
        <f t="shared" si="16"/>
        <v xml:space="preserve">    - 3.023E-01</v>
      </c>
      <c r="AI61" s="4" t="str">
        <f t="shared" si="16"/>
        <v xml:space="preserve">    - 3.772E-01</v>
      </c>
      <c r="AJ61" s="4" t="str">
        <f t="shared" si="16"/>
        <v xml:space="preserve">    - 4.633E-01</v>
      </c>
      <c r="AK61" s="4" t="str">
        <f t="shared" si="16"/>
        <v xml:space="preserve">    - 4.873E-01</v>
      </c>
      <c r="AL61" s="4" t="str">
        <f t="shared" si="16"/>
        <v xml:space="preserve">    - 1.063E-01</v>
      </c>
      <c r="AM61" s="4" t="str">
        <f t="shared" si="16"/>
        <v xml:space="preserve">    - 1.183E-01</v>
      </c>
      <c r="AN61" s="4" t="str">
        <f t="shared" si="16"/>
        <v xml:space="preserve">    - 1.072E-01</v>
      </c>
      <c r="AO61" s="4" t="str">
        <f t="shared" ref="AO61:AQ61" si="21">CONCATENATE("    - ", TEXT(AO31,"0.000E+00"))</f>
        <v xml:space="preserve">    - 4.422E-01</v>
      </c>
      <c r="AP61" s="4" t="str">
        <f t="shared" si="21"/>
        <v xml:space="preserve">    - 1.063E-01</v>
      </c>
      <c r="AQ61" s="4" t="str">
        <f t="shared" si="21"/>
        <v xml:space="preserve">    - 1.079E-01</v>
      </c>
    </row>
    <row r="62" spans="2:43">
      <c r="B62" s="4" t="str">
        <f t="shared" si="8"/>
        <v xml:space="preserve">    - 0.400</v>
      </c>
      <c r="C62" s="4" t="str">
        <f t="shared" si="9"/>
        <v xml:space="preserve">    - 1.892E-01</v>
      </c>
      <c r="D62" s="4" t="str">
        <f t="shared" si="16"/>
        <v xml:space="preserve">    - 8.242E-02</v>
      </c>
      <c r="E62" s="4" t="str">
        <f t="shared" si="16"/>
        <v xml:space="preserve">    - 8.466E-02</v>
      </c>
      <c r="F62" s="4" t="str">
        <f t="shared" si="16"/>
        <v xml:space="preserve">    - 8.819E-02</v>
      </c>
      <c r="G62" s="4" t="str">
        <f t="shared" si="16"/>
        <v xml:space="preserve">    - 9.527E-02</v>
      </c>
      <c r="H62" s="4" t="str">
        <f t="shared" si="16"/>
        <v xml:space="preserve">    - 9.535E-02</v>
      </c>
      <c r="I62" s="4" t="str">
        <f t="shared" si="16"/>
        <v xml:space="preserve">    - 9.538E-02</v>
      </c>
      <c r="J62" s="4" t="str">
        <f t="shared" si="16"/>
        <v xml:space="preserve">    - 9.136E-02</v>
      </c>
      <c r="K62" s="4" t="str">
        <f t="shared" si="16"/>
        <v xml:space="preserve">    - 9.434E-02</v>
      </c>
      <c r="L62" s="4" t="str">
        <f t="shared" si="16"/>
        <v xml:space="preserve">    - 9.213E-02</v>
      </c>
      <c r="M62" s="4" t="str">
        <f t="shared" si="16"/>
        <v xml:space="preserve">    - 9.542E-02</v>
      </c>
      <c r="N62" s="4" t="str">
        <f t="shared" si="16"/>
        <v xml:space="preserve">    - 9.279E-02</v>
      </c>
      <c r="O62" s="4" t="str">
        <f t="shared" si="16"/>
        <v xml:space="preserve">    - 9.574E-02</v>
      </c>
      <c r="P62" s="4" t="str">
        <f t="shared" si="16"/>
        <v xml:space="preserve">    - 9.214E-02</v>
      </c>
      <c r="Q62" s="4" t="str">
        <f t="shared" si="16"/>
        <v xml:space="preserve">    - 8.672E-02</v>
      </c>
      <c r="R62" s="4" t="str">
        <f t="shared" si="16"/>
        <v xml:space="preserve">    - 9.373E-02</v>
      </c>
      <c r="S62" s="4" t="str">
        <f t="shared" si="16"/>
        <v xml:space="preserve">    - 9.648E-02</v>
      </c>
      <c r="T62" s="4" t="str">
        <f t="shared" si="16"/>
        <v xml:space="preserve">    - 9.040E-02</v>
      </c>
      <c r="U62" s="4" t="str">
        <f t="shared" si="16"/>
        <v xml:space="preserve">    - 8.950E-02</v>
      </c>
      <c r="V62" s="4" t="str">
        <f t="shared" si="16"/>
        <v xml:space="preserve">    - 9.200E-02</v>
      </c>
      <c r="W62" s="4" t="str">
        <f t="shared" si="16"/>
        <v xml:space="preserve">    - 9.529E-02</v>
      </c>
      <c r="X62" s="4" t="str">
        <f t="shared" si="16"/>
        <v xml:space="preserve">    - 9.170E-02</v>
      </c>
      <c r="Y62" s="4" t="str">
        <f t="shared" si="16"/>
        <v xml:space="preserve">    - 9.764E-02</v>
      </c>
      <c r="Z62" s="4" t="str">
        <f t="shared" si="16"/>
        <v xml:space="preserve">    - 9.954E-02</v>
      </c>
      <c r="AA62" s="4" t="str">
        <f t="shared" si="16"/>
        <v xml:space="preserve">    - 1.001E-01</v>
      </c>
      <c r="AB62" s="4" t="str">
        <f t="shared" si="16"/>
        <v xml:space="preserve">    - 1.071E-01</v>
      </c>
      <c r="AC62" s="4" t="str">
        <f t="shared" si="16"/>
        <v xml:space="preserve">    - 1.095E-01</v>
      </c>
      <c r="AD62" s="4" t="str">
        <f t="shared" si="16"/>
        <v xml:space="preserve">    - 1.192E-01</v>
      </c>
      <c r="AE62" s="4" t="str">
        <f t="shared" si="16"/>
        <v xml:space="preserve">    - 1.225E-01</v>
      </c>
      <c r="AF62" s="4" t="str">
        <f t="shared" si="16"/>
        <v xml:space="preserve">    - 1.424E-01</v>
      </c>
      <c r="AG62" s="4" t="str">
        <f t="shared" si="16"/>
        <v xml:space="preserve">    - 1.716E-01</v>
      </c>
      <c r="AH62" s="4" t="str">
        <f t="shared" si="16"/>
        <v xml:space="preserve">    - 1.801E-01</v>
      </c>
      <c r="AI62" s="4" t="str">
        <f t="shared" si="16"/>
        <v xml:space="preserve">    - 2.172E-01</v>
      </c>
      <c r="AJ62" s="4" t="str">
        <f t="shared" si="16"/>
        <v xml:space="preserve">    - 2.610E-01</v>
      </c>
      <c r="AK62" s="4" t="str">
        <f t="shared" si="16"/>
        <v xml:space="preserve">    - 2.735E-01</v>
      </c>
      <c r="AL62" s="4" t="str">
        <f t="shared" si="16"/>
        <v xml:space="preserve">    - 9.525E-02</v>
      </c>
      <c r="AM62" s="4" t="str">
        <f t="shared" si="16"/>
        <v xml:space="preserve">    - 1.059E-01</v>
      </c>
      <c r="AN62" s="4" t="str">
        <f t="shared" si="16"/>
        <v xml:space="preserve">    - 9.572E-02</v>
      </c>
      <c r="AO62" s="4" t="str">
        <f t="shared" ref="AO62:AQ62" si="22">CONCATENATE("    - ", TEXT(AO32,"0.000E+00"))</f>
        <v xml:space="preserve">    - 2.524E-01</v>
      </c>
      <c r="AP62" s="4" t="str">
        <f t="shared" si="22"/>
        <v xml:space="preserve">    - 9.202E-02</v>
      </c>
      <c r="AQ62" s="4" t="str">
        <f t="shared" si="22"/>
        <v xml:space="preserve">    - 9.638E-02</v>
      </c>
    </row>
    <row r="63" spans="2:43">
      <c r="B63" s="4" t="str">
        <f t="shared" si="8"/>
        <v xml:space="preserve">    - 0.500</v>
      </c>
      <c r="C63" s="4" t="str">
        <f t="shared" si="9"/>
        <v xml:space="preserve">    - 1.728E-01</v>
      </c>
      <c r="D63" s="4" t="str">
        <f t="shared" si="16"/>
        <v xml:space="preserve">    - 7.526E-02</v>
      </c>
      <c r="E63" s="4" t="str">
        <f t="shared" si="16"/>
        <v xml:space="preserve">    - 7.732E-02</v>
      </c>
      <c r="F63" s="4" t="str">
        <f t="shared" si="16"/>
        <v xml:space="preserve">    - 8.055E-02</v>
      </c>
      <c r="G63" s="4" t="str">
        <f t="shared" si="16"/>
        <v xml:space="preserve">    - 8.700E-02</v>
      </c>
      <c r="H63" s="4" t="str">
        <f t="shared" si="16"/>
        <v xml:space="preserve">    - 8.703E-02</v>
      </c>
      <c r="I63" s="4" t="str">
        <f t="shared" si="16"/>
        <v xml:space="preserve">    - 8.708E-02</v>
      </c>
      <c r="J63" s="4" t="str">
        <f t="shared" si="16"/>
        <v xml:space="preserve">    - 8.339E-02</v>
      </c>
      <c r="K63" s="4" t="str">
        <f t="shared" si="16"/>
        <v xml:space="preserve">    - 8.608E-02</v>
      </c>
      <c r="L63" s="4" t="str">
        <f t="shared" si="16"/>
        <v xml:space="preserve">    - 8.403E-02</v>
      </c>
      <c r="M63" s="4" t="str">
        <f t="shared" si="16"/>
        <v xml:space="preserve">    - 8.698E-02</v>
      </c>
      <c r="N63" s="4" t="str">
        <f t="shared" si="16"/>
        <v xml:space="preserve">    - 8.458E-02</v>
      </c>
      <c r="O63" s="4" t="str">
        <f t="shared" si="16"/>
        <v xml:space="preserve">    - 8.722E-02</v>
      </c>
      <c r="P63" s="4" t="str">
        <f t="shared" si="16"/>
        <v xml:space="preserve">    - 8.388E-02</v>
      </c>
      <c r="Q63" s="4" t="str">
        <f t="shared" si="16"/>
        <v xml:space="preserve">    - 7.890E-02</v>
      </c>
      <c r="R63" s="4" t="str">
        <f t="shared" si="16"/>
        <v xml:space="preserve">    - 8.520E-02</v>
      </c>
      <c r="S63" s="4" t="str">
        <f t="shared" si="16"/>
        <v xml:space="preserve">    - 8.761E-02</v>
      </c>
      <c r="T63" s="4" t="str">
        <f t="shared" si="16"/>
        <v xml:space="preserve">    - 8.168E-02</v>
      </c>
      <c r="U63" s="4" t="str">
        <f t="shared" si="16"/>
        <v xml:space="preserve">    - 8.073E-02</v>
      </c>
      <c r="V63" s="4" t="str">
        <f t="shared" si="16"/>
        <v xml:space="preserve">    - 8.282E-02</v>
      </c>
      <c r="W63" s="4" t="str">
        <f t="shared" si="16"/>
        <v xml:space="preserve">    - 8.545E-02</v>
      </c>
      <c r="X63" s="4" t="str">
        <f t="shared" si="16"/>
        <v xml:space="preserve">    - 8.204E-02</v>
      </c>
      <c r="Y63" s="4" t="str">
        <f t="shared" si="16"/>
        <v xml:space="preserve">    - 8.420E-02</v>
      </c>
      <c r="Z63" s="4" t="str">
        <f t="shared" si="16"/>
        <v xml:space="preserve">    - 8.546E-02</v>
      </c>
      <c r="AA63" s="4" t="str">
        <f t="shared" si="16"/>
        <v xml:space="preserve">    - 8.553E-02</v>
      </c>
      <c r="AB63" s="4" t="str">
        <f t="shared" si="16"/>
        <v xml:space="preserve">    - 8.878E-02</v>
      </c>
      <c r="AC63" s="4" t="str">
        <f t="shared" si="16"/>
        <v xml:space="preserve">    - 8.976E-02</v>
      </c>
      <c r="AD63" s="4" t="str">
        <f t="shared" si="16"/>
        <v xml:space="preserve">    - 9.446E-02</v>
      </c>
      <c r="AE63" s="4" t="str">
        <f t="shared" si="16"/>
        <v xml:space="preserve">    - 9.654E-02</v>
      </c>
      <c r="AF63" s="4" t="str">
        <f t="shared" si="16"/>
        <v xml:space="preserve">    - 1.078E-01</v>
      </c>
      <c r="AG63" s="4" t="str">
        <f t="shared" si="16"/>
        <v xml:space="preserve">    - 1.247E-01</v>
      </c>
      <c r="AH63" s="4" t="str">
        <f t="shared" si="16"/>
        <v xml:space="preserve">    - 1.297E-01</v>
      </c>
      <c r="AI63" s="4" t="str">
        <f t="shared" si="16"/>
        <v xml:space="preserve">    - 1.514E-01</v>
      </c>
      <c r="AJ63" s="4" t="str">
        <f t="shared" si="16"/>
        <v xml:space="preserve">    - 1.778E-01</v>
      </c>
      <c r="AK63" s="4" t="str">
        <f t="shared" si="16"/>
        <v xml:space="preserve">    - 1.854E-01</v>
      </c>
      <c r="AL63" s="4" t="str">
        <f t="shared" si="16"/>
        <v xml:space="preserve">    - 8.694E-02</v>
      </c>
      <c r="AM63" s="4" t="str">
        <f t="shared" si="16"/>
        <v xml:space="preserve">    - 9.667E-02</v>
      </c>
      <c r="AN63" s="4" t="str">
        <f t="shared" si="16"/>
        <v xml:space="preserve">    - 8.728E-02</v>
      </c>
      <c r="AO63" s="4" t="str">
        <f t="shared" ref="AO63:AQ63" si="23">CONCATENATE("    - ", TEXT(AO33,"0.000E+00"))</f>
        <v xml:space="preserve">    - 1.737E-01</v>
      </c>
      <c r="AP63" s="4" t="str">
        <f t="shared" si="23"/>
        <v xml:space="preserve">    - 8.287E-02</v>
      </c>
      <c r="AQ63" s="4" t="str">
        <f t="shared" si="23"/>
        <v xml:space="preserve">    - 8.789E-02</v>
      </c>
    </row>
    <row r="64" spans="2:43">
      <c r="B64" s="4" t="str">
        <f t="shared" si="8"/>
        <v xml:space="preserve">    - 0.600</v>
      </c>
      <c r="C64" s="4" t="str">
        <f t="shared" si="9"/>
        <v xml:space="preserve">    - 1.598E-01</v>
      </c>
      <c r="D64" s="4" t="str">
        <f t="shared" si="16"/>
        <v xml:space="preserve">    - 6.963E-02</v>
      </c>
      <c r="E64" s="4" t="str">
        <f t="shared" si="16"/>
        <v xml:space="preserve">    - 7.150E-02</v>
      </c>
      <c r="F64" s="4" t="str">
        <f t="shared" si="16"/>
        <v xml:space="preserve">    - 7.448E-02</v>
      </c>
      <c r="G64" s="4" t="str">
        <f t="shared" si="16"/>
        <v xml:space="preserve">    - 8.047E-02</v>
      </c>
      <c r="H64" s="4" t="str">
        <f t="shared" si="16"/>
        <v xml:space="preserve">    - 8.049E-02</v>
      </c>
      <c r="I64" s="4" t="str">
        <f t="shared" si="16"/>
        <v xml:space="preserve">    - 8.056E-02</v>
      </c>
      <c r="J64" s="4" t="str">
        <f t="shared" si="16"/>
        <v xml:space="preserve">    - 7.711E-02</v>
      </c>
      <c r="K64" s="4" t="str">
        <f>CONCATENATE("    - ", TEXT(K34,"0.000E+00"))</f>
        <v xml:space="preserve">    - 7.960E-02</v>
      </c>
      <c r="L64" s="4" t="str">
        <f>CONCATENATE("    - ", TEXT(L34,"0.000E+00"))</f>
        <v xml:space="preserve">    - 7.769E-02</v>
      </c>
      <c r="M64" s="4" t="str">
        <f t="shared" ref="D64:AN71" si="24">CONCATENATE("    - ", TEXT(M34,"0.000E+00"))</f>
        <v xml:space="preserve">    - 8.041E-02</v>
      </c>
      <c r="N64" s="4" t="str">
        <f t="shared" si="24"/>
        <v xml:space="preserve">    - 7.815E-02</v>
      </c>
      <c r="O64" s="4" t="str">
        <f t="shared" si="24"/>
        <v xml:space="preserve">    - 8.059E-02</v>
      </c>
      <c r="P64" s="4" t="str">
        <f t="shared" si="24"/>
        <v xml:space="preserve">    - 7.747E-02</v>
      </c>
      <c r="Q64" s="4" t="str">
        <f t="shared" si="24"/>
        <v xml:space="preserve">    - 7.286E-02</v>
      </c>
      <c r="R64" s="4" t="str">
        <f t="shared" si="24"/>
        <v xml:space="preserve">    - 7.864E-02</v>
      </c>
      <c r="S64" s="4" t="str">
        <f t="shared" si="24"/>
        <v xml:space="preserve">    - 8.083E-02</v>
      </c>
      <c r="T64" s="4" t="str">
        <f t="shared" si="24"/>
        <v xml:space="preserve">    - 7.518E-02</v>
      </c>
      <c r="U64" s="4" t="str">
        <f t="shared" si="24"/>
        <v xml:space="preserve">    - 7.424E-02</v>
      </c>
      <c r="V64" s="4" t="str">
        <f t="shared" si="24"/>
        <v xml:space="preserve">    - 7.611E-02</v>
      </c>
      <c r="W64" s="4" t="str">
        <f t="shared" si="24"/>
        <v xml:space="preserve">    - 7.835E-02</v>
      </c>
      <c r="X64" s="4" t="str">
        <f t="shared" si="24"/>
        <v xml:space="preserve">    - 7.513E-02</v>
      </c>
      <c r="Y64" s="4" t="str">
        <f t="shared" si="24"/>
        <v xml:space="preserve">    - 7.560E-02</v>
      </c>
      <c r="Z64" s="4" t="str">
        <f t="shared" si="24"/>
        <v xml:space="preserve">    - 7.655E-02</v>
      </c>
      <c r="AA64" s="4" t="str">
        <f t="shared" si="24"/>
        <v xml:space="preserve">    - 7.638E-02</v>
      </c>
      <c r="AB64" s="4" t="str">
        <f t="shared" si="24"/>
        <v xml:space="preserve">    - 7.799E-02</v>
      </c>
      <c r="AC64" s="4" t="str">
        <f t="shared" si="24"/>
        <v xml:space="preserve">    - 7.831E-02</v>
      </c>
      <c r="AD64" s="4" t="str">
        <f t="shared" si="24"/>
        <v xml:space="preserve">    - 8.075E-02</v>
      </c>
      <c r="AE64" s="4" t="str">
        <f t="shared" si="24"/>
        <v xml:space="preserve">    - 8.223E-02</v>
      </c>
      <c r="AF64" s="4" t="str">
        <f t="shared" si="24"/>
        <v xml:space="preserve">    - 8.941E-02</v>
      </c>
      <c r="AG64" s="4" t="str">
        <f t="shared" si="24"/>
        <v xml:space="preserve">    - 1.004E-01</v>
      </c>
      <c r="AH64" s="4" t="str">
        <f t="shared" si="24"/>
        <v xml:space="preserve">    - 1.036E-01</v>
      </c>
      <c r="AI64" s="4" t="str">
        <f t="shared" si="24"/>
        <v xml:space="preserve">    - 1.178E-01</v>
      </c>
      <c r="AJ64" s="4" t="str">
        <f t="shared" si="24"/>
        <v xml:space="preserve">    - 1.352E-01</v>
      </c>
      <c r="AK64" s="4" t="str">
        <f t="shared" si="24"/>
        <v xml:space="preserve">    - 1.403E-01</v>
      </c>
      <c r="AL64" s="4" t="str">
        <f t="shared" si="24"/>
        <v xml:space="preserve">    - 8.041E-02</v>
      </c>
      <c r="AM64" s="4" t="str">
        <f t="shared" si="24"/>
        <v xml:space="preserve">    - 8.943E-02</v>
      </c>
      <c r="AN64" s="4" t="str">
        <f t="shared" si="24"/>
        <v xml:space="preserve">    - 8.070E-02</v>
      </c>
      <c r="AO64" s="4" t="str">
        <f t="shared" ref="AO64:AQ64" si="25">CONCATENATE("    - ", TEXT(AO34,"0.000E+00"))</f>
        <v xml:space="preserve">    - 1.332E-01</v>
      </c>
      <c r="AP64" s="4" t="str">
        <f t="shared" si="25"/>
        <v xml:space="preserve">    - 7.616E-02</v>
      </c>
      <c r="AQ64" s="4" t="str">
        <f t="shared" si="25"/>
        <v xml:space="preserve">    - 8.126E-02</v>
      </c>
    </row>
    <row r="65" spans="2:43">
      <c r="B65" s="4" t="str">
        <f t="shared" si="8"/>
        <v xml:space="preserve">    - 0.800</v>
      </c>
      <c r="C65" s="4" t="str">
        <f t="shared" si="9"/>
        <v xml:space="preserve">    - 1.404E-01</v>
      </c>
      <c r="D65" s="4" t="str">
        <f t="shared" si="24"/>
        <v xml:space="preserve">    - 6.116E-02</v>
      </c>
      <c r="E65" s="4" t="str">
        <f t="shared" si="24"/>
        <v xml:space="preserve">    - 6.280E-02</v>
      </c>
      <c r="F65" s="4" t="str">
        <f t="shared" si="24"/>
        <v xml:space="preserve">    - 6.546E-02</v>
      </c>
      <c r="G65" s="4" t="str">
        <f t="shared" si="24"/>
        <v xml:space="preserve">    - 7.070E-02</v>
      </c>
      <c r="H65" s="4" t="str">
        <f t="shared" si="24"/>
        <v xml:space="preserve">    - 7.073E-02</v>
      </c>
      <c r="I65" s="4" t="str">
        <f t="shared" si="24"/>
        <v xml:space="preserve">    - 7.077E-02</v>
      </c>
      <c r="J65" s="4" t="str">
        <f t="shared" si="24"/>
        <v xml:space="preserve">    - 6.774E-02</v>
      </c>
      <c r="K65" s="4" t="str">
        <f t="shared" si="24"/>
        <v xml:space="preserve">    - 6.990E-02</v>
      </c>
      <c r="L65" s="4" t="str">
        <f t="shared" si="24"/>
        <v xml:space="preserve">    - 6.821E-02</v>
      </c>
      <c r="M65" s="4" t="str">
        <f t="shared" si="24"/>
        <v xml:space="preserve">    - 7.058E-02</v>
      </c>
      <c r="N65" s="4" t="str">
        <f t="shared" si="24"/>
        <v xml:space="preserve">    - 6.859E-02</v>
      </c>
      <c r="O65" s="4" t="str">
        <f t="shared" si="24"/>
        <v xml:space="preserve">    - 7.071E-02</v>
      </c>
      <c r="P65" s="4" t="str">
        <f t="shared" si="24"/>
        <v xml:space="preserve">    - 6.796E-02</v>
      </c>
      <c r="Q65" s="4" t="str">
        <f t="shared" si="24"/>
        <v xml:space="preserve">    - 6.389E-02</v>
      </c>
      <c r="R65" s="4" t="str">
        <f t="shared" si="24"/>
        <v xml:space="preserve">    - 6.894E-02</v>
      </c>
      <c r="S65" s="4" t="str">
        <f t="shared" si="24"/>
        <v xml:space="preserve">    - 7.083E-02</v>
      </c>
      <c r="T65" s="4" t="str">
        <f t="shared" si="24"/>
        <v xml:space="preserve">    - 6.572E-02</v>
      </c>
      <c r="U65" s="4" t="str">
        <f t="shared" si="24"/>
        <v xml:space="preserve">    - 6.487E-02</v>
      </c>
      <c r="V65" s="4" t="str">
        <f t="shared" si="24"/>
        <v xml:space="preserve">    - 6.644E-02</v>
      </c>
      <c r="W65" s="4" t="str">
        <f t="shared" si="24"/>
        <v xml:space="preserve">    - 6.827E-02</v>
      </c>
      <c r="X65" s="4" t="str">
        <f t="shared" si="24"/>
        <v xml:space="preserve">    - 6.540E-02</v>
      </c>
      <c r="Y65" s="4" t="str">
        <f t="shared" si="24"/>
        <v xml:space="preserve">    - 6.459E-02</v>
      </c>
      <c r="Z65" s="4" t="str">
        <f t="shared" si="24"/>
        <v xml:space="preserve">    - 6.524E-02</v>
      </c>
      <c r="AA65" s="4" t="str">
        <f t="shared" si="24"/>
        <v xml:space="preserve">    - 6.497E-02</v>
      </c>
      <c r="AB65" s="4" t="str">
        <f t="shared" si="24"/>
        <v xml:space="preserve">    - 6.518E-02</v>
      </c>
      <c r="AC65" s="4" t="str">
        <f t="shared" si="24"/>
        <v xml:space="preserve">    - 6.503E-02</v>
      </c>
      <c r="AD65" s="4" t="str">
        <f t="shared" si="24"/>
        <v xml:space="preserve">    - 6.553E-02</v>
      </c>
      <c r="AE65" s="4" t="str">
        <f t="shared" si="24"/>
        <v xml:space="preserve">    - 6.643E-02</v>
      </c>
      <c r="AF65" s="4" t="str">
        <f t="shared" si="24"/>
        <v xml:space="preserve">    - 7.005E-02</v>
      </c>
      <c r="AG65" s="4" t="str">
        <f t="shared" si="24"/>
        <v xml:space="preserve">    - 7.569E-02</v>
      </c>
      <c r="AH65" s="4" t="str">
        <f t="shared" si="24"/>
        <v xml:space="preserve">    - 7.738E-02</v>
      </c>
      <c r="AI65" s="4" t="str">
        <f t="shared" si="24"/>
        <v xml:space="preserve">    - 8.472E-02</v>
      </c>
      <c r="AJ65" s="4" t="str">
        <f t="shared" si="24"/>
        <v xml:space="preserve">    - 9.385E-02</v>
      </c>
      <c r="AK65" s="4" t="str">
        <f t="shared" si="24"/>
        <v xml:space="preserve">    - 9.662E-02</v>
      </c>
      <c r="AL65" s="4" t="str">
        <f t="shared" si="24"/>
        <v xml:space="preserve">    - 7.065E-02</v>
      </c>
      <c r="AM65" s="4" t="str">
        <f t="shared" si="24"/>
        <v xml:space="preserve">    - 7.856E-02</v>
      </c>
      <c r="AN65" s="4" t="str">
        <f t="shared" si="24"/>
        <v xml:space="preserve">    - 7.085E-02</v>
      </c>
      <c r="AO65" s="4" t="str">
        <f t="shared" ref="AO65:AQ65" si="26">CONCATENATE("    - ", TEXT(AO35,"0.000E+00"))</f>
        <v xml:space="preserve">    - 9.356E-02</v>
      </c>
      <c r="AP65" s="4" t="str">
        <f t="shared" si="26"/>
        <v xml:space="preserve">    - 6.649E-02</v>
      </c>
      <c r="AQ65" s="4" t="str">
        <f t="shared" si="26"/>
        <v xml:space="preserve">    - 7.135E-02</v>
      </c>
    </row>
    <row r="66" spans="2:43">
      <c r="B66" s="4" t="str">
        <f t="shared" si="8"/>
        <v xml:space="preserve">    - 1.000</v>
      </c>
      <c r="C66" s="4" t="str">
        <f t="shared" si="9"/>
        <v xml:space="preserve">    - 1.262E-01</v>
      </c>
      <c r="D66" s="4" t="str">
        <f t="shared" si="24"/>
        <v xml:space="preserve">    - 5.497E-02</v>
      </c>
      <c r="E66" s="4" t="str">
        <f t="shared" si="24"/>
        <v xml:space="preserve">    - 5.645E-02</v>
      </c>
      <c r="F66" s="4" t="str">
        <f t="shared" si="24"/>
        <v xml:space="preserve">    - 5.883E-02</v>
      </c>
      <c r="G66" s="4" t="str">
        <f t="shared" si="24"/>
        <v xml:space="preserve">    - 6.352E-02</v>
      </c>
      <c r="H66" s="4" t="str">
        <f t="shared" si="24"/>
        <v xml:space="preserve">    - 6.355E-02</v>
      </c>
      <c r="I66" s="4" t="str">
        <f t="shared" si="24"/>
        <v xml:space="preserve">    - 6.362E-02</v>
      </c>
      <c r="J66" s="4" t="str">
        <f t="shared" si="24"/>
        <v xml:space="preserve">    - 6.087E-02</v>
      </c>
      <c r="K66" s="4" t="str">
        <f t="shared" si="24"/>
        <v xml:space="preserve">    - 6.283E-02</v>
      </c>
      <c r="L66" s="4" t="str">
        <f t="shared" si="24"/>
        <v xml:space="preserve">    - 6.132E-02</v>
      </c>
      <c r="M66" s="4" t="str">
        <f t="shared" si="24"/>
        <v xml:space="preserve">    - 6.344E-02</v>
      </c>
      <c r="N66" s="4" t="str">
        <f t="shared" si="24"/>
        <v xml:space="preserve">    - 6.164E-02</v>
      </c>
      <c r="O66" s="4" t="str">
        <f t="shared" si="24"/>
        <v xml:space="preserve">    - 6.353E-02</v>
      </c>
      <c r="P66" s="4" t="str">
        <f t="shared" si="24"/>
        <v xml:space="preserve">    - 6.107E-02</v>
      </c>
      <c r="Q66" s="4" t="str">
        <f t="shared" si="24"/>
        <v xml:space="preserve">    - 5.740E-02</v>
      </c>
      <c r="R66" s="4" t="str">
        <f t="shared" si="24"/>
        <v xml:space="preserve">    - 6.192E-02</v>
      </c>
      <c r="S66" s="4" t="str">
        <f t="shared" si="24"/>
        <v xml:space="preserve">    - 6.361E-02</v>
      </c>
      <c r="T66" s="4" t="str">
        <f t="shared" si="24"/>
        <v xml:space="preserve">    - 5.897E-02</v>
      </c>
      <c r="U66" s="4" t="str">
        <f t="shared" si="24"/>
        <v xml:space="preserve">    - 5.817E-02</v>
      </c>
      <c r="V66" s="4" t="str">
        <f t="shared" si="24"/>
        <v xml:space="preserve">    - 5.957E-02</v>
      </c>
      <c r="W66" s="4" t="str">
        <f t="shared" si="24"/>
        <v xml:space="preserve">    - 6.116E-02</v>
      </c>
      <c r="X66" s="4" t="str">
        <f t="shared" si="24"/>
        <v xml:space="preserve">    - 5.856E-02</v>
      </c>
      <c r="Y66" s="4" t="str">
        <f t="shared" si="24"/>
        <v xml:space="preserve">    - 5.736E-02</v>
      </c>
      <c r="Z66" s="4" t="str">
        <f t="shared" si="24"/>
        <v xml:space="preserve">    - 5.788E-02</v>
      </c>
      <c r="AA66" s="4" t="str">
        <f t="shared" si="24"/>
        <v xml:space="preserve">    - 5.757E-02</v>
      </c>
      <c r="AB66" s="4" t="str">
        <f t="shared" si="24"/>
        <v xml:space="preserve">    - 5.729E-02</v>
      </c>
      <c r="AC66" s="4" t="str">
        <f t="shared" si="24"/>
        <v xml:space="preserve">    - 5.696E-02</v>
      </c>
      <c r="AD66" s="4" t="str">
        <f t="shared" si="24"/>
        <v xml:space="preserve">    - 5.676E-02</v>
      </c>
      <c r="AE66" s="4" t="str">
        <f t="shared" si="24"/>
        <v xml:space="preserve">    - 5.744E-02</v>
      </c>
      <c r="AF66" s="4" t="str">
        <f t="shared" si="24"/>
        <v xml:space="preserve">    - 5.958E-02</v>
      </c>
      <c r="AG66" s="4" t="str">
        <f t="shared" si="24"/>
        <v xml:space="preserve">    - 6.300E-02</v>
      </c>
      <c r="AH66" s="4" t="str">
        <f t="shared" si="24"/>
        <v xml:space="preserve">    - 6.403E-02</v>
      </c>
      <c r="AI66" s="4" t="str">
        <f t="shared" si="24"/>
        <v xml:space="preserve">    - 6.844E-02</v>
      </c>
      <c r="AJ66" s="4" t="str">
        <f t="shared" si="24"/>
        <v xml:space="preserve">    - 7.398E-02</v>
      </c>
      <c r="AK66" s="4" t="str">
        <f t="shared" si="24"/>
        <v xml:space="preserve">    - 7.569E-02</v>
      </c>
      <c r="AL66" s="4" t="str">
        <f t="shared" si="24"/>
        <v xml:space="preserve">    - 6.349E-02</v>
      </c>
      <c r="AM66" s="4" t="str">
        <f t="shared" si="24"/>
        <v xml:space="preserve">    - 7.062E-02</v>
      </c>
      <c r="AN66" s="4" t="str">
        <f t="shared" si="24"/>
        <v xml:space="preserve">    - 6.368E-02</v>
      </c>
      <c r="AO66" s="4" t="str">
        <f t="shared" ref="AO66:AQ66" si="27">CONCATENATE("    - ", TEXT(AO36,"0.000E+00"))</f>
        <v xml:space="preserve">    - 7.426E-02</v>
      </c>
      <c r="AP66" s="4" t="str">
        <f t="shared" si="27"/>
        <v xml:space="preserve">    - 5.962E-02</v>
      </c>
      <c r="AQ66" s="4" t="str">
        <f t="shared" si="27"/>
        <v xml:space="preserve">    - 6.413E-02</v>
      </c>
    </row>
    <row r="67" spans="2:43">
      <c r="B67" s="4" t="str">
        <f t="shared" si="8"/>
        <v xml:space="preserve">    - 1.500</v>
      </c>
      <c r="C67" s="4" t="str">
        <f t="shared" si="9"/>
        <v xml:space="preserve">    - 1.026E-01</v>
      </c>
      <c r="D67" s="4" t="str">
        <f t="shared" si="24"/>
        <v xml:space="preserve">    - 4.469E-02</v>
      </c>
      <c r="E67" s="4" t="str">
        <f t="shared" si="24"/>
        <v xml:space="preserve">    - 4.590E-02</v>
      </c>
      <c r="F67" s="4" t="str">
        <f t="shared" si="24"/>
        <v xml:space="preserve">    - 4.785E-02</v>
      </c>
      <c r="G67" s="4" t="str">
        <f t="shared" si="24"/>
        <v xml:space="preserve">    - 5.167E-02</v>
      </c>
      <c r="H67" s="4" t="str">
        <f t="shared" si="24"/>
        <v xml:space="preserve">    - 5.173E-02</v>
      </c>
      <c r="I67" s="4" t="str">
        <f t="shared" si="24"/>
        <v xml:space="preserve">    - 5.178E-02</v>
      </c>
      <c r="J67" s="4" t="str">
        <f t="shared" si="24"/>
        <v xml:space="preserve">    - 4.958E-02</v>
      </c>
      <c r="K67" s="4" t="str">
        <f t="shared" si="24"/>
        <v xml:space="preserve">    - 5.118E+00</v>
      </c>
      <c r="L67" s="4" t="str">
        <f t="shared" si="24"/>
        <v xml:space="preserve">    - 4.995E-02</v>
      </c>
      <c r="M67" s="4" t="str">
        <f t="shared" si="24"/>
        <v xml:space="preserve">    - 5.171E-02</v>
      </c>
      <c r="N67" s="4" t="str">
        <f t="shared" si="24"/>
        <v xml:space="preserve">    - 5.027E-02</v>
      </c>
      <c r="O67" s="4" t="str">
        <f t="shared" si="24"/>
        <v xml:space="preserve">    - 5.181E-02</v>
      </c>
      <c r="P67" s="4" t="str">
        <f t="shared" si="24"/>
        <v xml:space="preserve">    - 4.981E-02</v>
      </c>
      <c r="Q67" s="4" t="str">
        <f t="shared" si="24"/>
        <v xml:space="preserve">    - 4.682E-02</v>
      </c>
      <c r="R67" s="4" t="str">
        <f t="shared" si="24"/>
        <v xml:space="preserve">    - 5.053E-02</v>
      </c>
      <c r="S67" s="4" t="str">
        <f t="shared" si="24"/>
        <v xml:space="preserve">    - 5.191E-02</v>
      </c>
      <c r="T67" s="4" t="str">
        <f t="shared" si="24"/>
        <v xml:space="preserve">    - 4.814E-02</v>
      </c>
      <c r="U67" s="4" t="str">
        <f t="shared" si="24"/>
        <v xml:space="preserve">    - 4.749E-02</v>
      </c>
      <c r="V67" s="4" t="str">
        <f t="shared" si="24"/>
        <v xml:space="preserve">    - 4.862E-02</v>
      </c>
      <c r="W67" s="4" t="str">
        <f t="shared" si="24"/>
        <v xml:space="preserve">    - 4.991E-02</v>
      </c>
      <c r="X67" s="4" t="str">
        <f t="shared" si="24"/>
        <v xml:space="preserve">    - 4.780E-02</v>
      </c>
      <c r="Y67" s="4" t="str">
        <f t="shared" si="24"/>
        <v xml:space="preserve">    - 4.663E-02</v>
      </c>
      <c r="Z67" s="4" t="str">
        <f t="shared" si="24"/>
        <v xml:space="preserve">    - 4.703E-02</v>
      </c>
      <c r="AA67" s="4" t="str">
        <f t="shared" si="24"/>
        <v xml:space="preserve">    - 4.673E-02</v>
      </c>
      <c r="AB67" s="4" t="str">
        <f t="shared" si="24"/>
        <v xml:space="preserve">    - 4.625E-02</v>
      </c>
      <c r="AC67" s="4" t="str">
        <f t="shared" si="24"/>
        <v xml:space="preserve">    - 4.588E-02</v>
      </c>
      <c r="AD67" s="4" t="str">
        <f t="shared" si="24"/>
        <v xml:space="preserve">    - 4.532E-02</v>
      </c>
      <c r="AE67" s="4" t="str">
        <f t="shared" si="24"/>
        <v xml:space="preserve">    - 4.578E-02</v>
      </c>
      <c r="AF67" s="4" t="str">
        <f t="shared" si="24"/>
        <v xml:space="preserve">    - 4.682E-02</v>
      </c>
      <c r="AG67" s="4" t="str">
        <f t="shared" si="24"/>
        <v xml:space="preserve">    - 4.848E-02</v>
      </c>
      <c r="AH67" s="4" t="str">
        <f t="shared" si="24"/>
        <v xml:space="preserve">    - 4.902E-02</v>
      </c>
      <c r="AI67" s="4" t="str">
        <f t="shared" si="24"/>
        <v xml:space="preserve">    - 5.102E-02</v>
      </c>
      <c r="AJ67" s="4" t="str">
        <f t="shared" si="24"/>
        <v xml:space="preserve">    - 5.353E-02</v>
      </c>
      <c r="AK67" s="4" t="str">
        <f t="shared" si="24"/>
        <v xml:space="preserve">    - 5.436E-02</v>
      </c>
      <c r="AL67" s="4" t="str">
        <f t="shared" si="24"/>
        <v xml:space="preserve">    - 5.168E-02</v>
      </c>
      <c r="AM67" s="4" t="str">
        <f t="shared" si="24"/>
        <v xml:space="preserve">    - 5.747E-02</v>
      </c>
      <c r="AN67" s="4" t="str">
        <f t="shared" si="24"/>
        <v xml:space="preserve">    - 5.187E-02</v>
      </c>
      <c r="AO67" s="4" t="str">
        <f t="shared" ref="AO67:AQ67" si="28">CONCATENATE("    - ", TEXT(AO37,"0.000E+00"))</f>
        <v xml:space="preserve">    - 5.405E-02</v>
      </c>
      <c r="AP67" s="4" t="str">
        <f t="shared" si="28"/>
        <v xml:space="preserve">    - 4.866E-02</v>
      </c>
      <c r="AQ67" s="4" t="str">
        <f t="shared" si="28"/>
        <v xml:space="preserve">    - 5.223E-02</v>
      </c>
    </row>
    <row r="68" spans="2:43">
      <c r="B68" s="4" t="str">
        <f t="shared" si="8"/>
        <v xml:space="preserve">    - 2.000</v>
      </c>
      <c r="C68" s="4" t="str">
        <f t="shared" si="9"/>
        <v xml:space="preserve">    - 8.758E-02</v>
      </c>
      <c r="D68" s="4" t="str">
        <f t="shared" si="24"/>
        <v xml:space="preserve">    - 3.824E-02</v>
      </c>
      <c r="E68" s="4" t="str">
        <f t="shared" si="24"/>
        <v xml:space="preserve">    - 3.931E-02</v>
      </c>
      <c r="F68" s="4" t="str">
        <f t="shared" si="24"/>
        <v xml:space="preserve">    - 4.102E-02</v>
      </c>
      <c r="G68" s="4" t="str">
        <f t="shared" si="24"/>
        <v xml:space="preserve">    - 4.435E-02</v>
      </c>
      <c r="H68" s="4" t="str">
        <f t="shared" si="24"/>
        <v xml:space="preserve">    - 4.444E-02</v>
      </c>
      <c r="I68" s="4" t="str">
        <f t="shared" si="24"/>
        <v xml:space="preserve">    - 4.450E-02</v>
      </c>
      <c r="J68" s="4" t="str">
        <f t="shared" si="24"/>
        <v xml:space="preserve">    - 4.274E-02</v>
      </c>
      <c r="K68" s="4" t="str">
        <f t="shared" si="24"/>
        <v xml:space="preserve">    - 4.415E-02</v>
      </c>
      <c r="L68" s="4" t="str">
        <f t="shared" si="24"/>
        <v xml:space="preserve">    - 4.316E-02</v>
      </c>
      <c r="M68" s="4" t="str">
        <f t="shared" si="24"/>
        <v xml:space="preserve">    - 4.469E-02</v>
      </c>
      <c r="N68" s="4" t="str">
        <f t="shared" si="24"/>
        <v xml:space="preserve">    - 4.348E-02</v>
      </c>
      <c r="O68" s="4" t="str">
        <f t="shared" si="24"/>
        <v xml:space="preserve">    - 4.487E-02</v>
      </c>
      <c r="P68" s="4" t="str">
        <f t="shared" si="24"/>
        <v xml:space="preserve">    - 4.317E-02</v>
      </c>
      <c r="Q68" s="4" t="str">
        <f t="shared" si="24"/>
        <v xml:space="preserve">    - 4.062E+01</v>
      </c>
      <c r="R68" s="4" t="str">
        <f t="shared" si="24"/>
        <v xml:space="preserve">    - 4.388E-02</v>
      </c>
      <c r="S68" s="4" t="str">
        <f t="shared" si="24"/>
        <v xml:space="preserve">    - 4.512E-02</v>
      </c>
      <c r="T68" s="4" t="str">
        <f t="shared" si="24"/>
        <v xml:space="preserve">    - 4.200E-02</v>
      </c>
      <c r="U68" s="4" t="str">
        <f t="shared" si="24"/>
        <v xml:space="preserve">    - 4.148E-02</v>
      </c>
      <c r="V68" s="4" t="str">
        <f t="shared" si="24"/>
        <v xml:space="preserve">    - 4.250E-02</v>
      </c>
      <c r="W68" s="4" t="str">
        <f t="shared" si="24"/>
        <v xml:space="preserve">    - 4.370E-02</v>
      </c>
      <c r="X68" s="4" t="str">
        <f t="shared" si="24"/>
        <v xml:space="preserve">    - 4.188E-02</v>
      </c>
      <c r="Y68" s="4" t="str">
        <f t="shared" si="24"/>
        <v xml:space="preserve">    - 4.123E-02</v>
      </c>
      <c r="Z68" s="4" t="str">
        <f t="shared" si="24"/>
        <v xml:space="preserve">    - 4.160E-02</v>
      </c>
      <c r="AA68" s="4" t="str">
        <f t="shared" si="24"/>
        <v xml:space="preserve">    - 4.138E-02</v>
      </c>
      <c r="AB68" s="4" t="str">
        <f t="shared" si="24"/>
        <v xml:space="preserve">    - 4.109E-02</v>
      </c>
      <c r="AC68" s="4" t="str">
        <f t="shared" si="24"/>
        <v xml:space="preserve">    - 4.081E-02</v>
      </c>
      <c r="AD68" s="4" t="str">
        <f t="shared" si="24"/>
        <v xml:space="preserve">    - 4.041E-02</v>
      </c>
      <c r="AE68" s="4" t="str">
        <f t="shared" si="24"/>
        <v xml:space="preserve">    - 4.084E-02</v>
      </c>
      <c r="AF68" s="4" t="str">
        <f t="shared" si="24"/>
        <v xml:space="preserve">    - 4.183E-02</v>
      </c>
      <c r="AG68" s="4" t="str">
        <f t="shared" si="24"/>
        <v xml:space="preserve">    - 4.331E-02</v>
      </c>
      <c r="AH68" s="4" t="str">
        <f t="shared" si="24"/>
        <v xml:space="preserve">    - 4.373E-02</v>
      </c>
      <c r="AI68" s="4" t="str">
        <f t="shared" si="24"/>
        <v xml:space="preserve">    - 4.536E-02</v>
      </c>
      <c r="AJ68" s="4" t="str">
        <f t="shared" si="24"/>
        <v xml:space="preserve">    - 4.726E-02</v>
      </c>
      <c r="AK68" s="4" t="str">
        <f t="shared" si="24"/>
        <v xml:space="preserve">    - 4.789E-02</v>
      </c>
      <c r="AL68" s="4" t="str">
        <f t="shared" si="24"/>
        <v xml:space="preserve">    - 4.440E-02</v>
      </c>
      <c r="AM68" s="4" t="str">
        <f t="shared" si="24"/>
        <v xml:space="preserve">    - 4.932E-02</v>
      </c>
      <c r="AN68" s="4" t="str">
        <f t="shared" si="24"/>
        <v xml:space="preserve">    - 4.472E-02</v>
      </c>
      <c r="AO68" s="4" t="str">
        <f t="shared" ref="AO68:AQ68" si="29">CONCATENATE("    - ", TEXT(AO38,"0.000E+00"))</f>
        <v xml:space="preserve">    - 4.749E-02</v>
      </c>
      <c r="AP68" s="4" t="str">
        <f t="shared" si="29"/>
        <v xml:space="preserve">    - 4.253E-02</v>
      </c>
      <c r="AQ68" s="4" t="str">
        <f t="shared" si="29"/>
        <v xml:space="preserve">    - 4.502E-02</v>
      </c>
    </row>
    <row r="69" spans="2:43">
      <c r="B69" s="4" t="str">
        <f t="shared" si="8"/>
        <v xml:space="preserve">    - 3.000</v>
      </c>
      <c r="C69" s="4" t="str">
        <f t="shared" si="9"/>
        <v xml:space="preserve">    - 6.910E-02</v>
      </c>
      <c r="D69" s="4" t="str">
        <f t="shared" si="24"/>
        <v xml:space="preserve">    - 3.037E-02</v>
      </c>
      <c r="E69" s="4" t="str">
        <f t="shared" si="24"/>
        <v xml:space="preserve">    - 3.132E-02</v>
      </c>
      <c r="F69" s="4" t="str">
        <f t="shared" si="24"/>
        <v xml:space="preserve">    - 3.277E-02</v>
      </c>
      <c r="G69" s="4" t="str">
        <f t="shared" si="24"/>
        <v xml:space="preserve">    - 3.555E-02</v>
      </c>
      <c r="H69" s="4" t="str">
        <f t="shared" si="24"/>
        <v xml:space="preserve">    - 3.571E-02</v>
      </c>
      <c r="I69" s="4" t="str">
        <f t="shared" si="24"/>
        <v xml:space="preserve">    - 3.589E-02</v>
      </c>
      <c r="J69" s="4" t="str">
        <f t="shared" si="24"/>
        <v xml:space="preserve">    - 3.478E-02</v>
      </c>
      <c r="K69" s="4" t="str">
        <f t="shared" si="24"/>
        <v xml:space="preserve">    - 3.604E-02</v>
      </c>
      <c r="L69" s="4" t="str">
        <f t="shared" si="24"/>
        <v xml:space="preserve">    - 3.533E-02</v>
      </c>
      <c r="M69" s="4" t="str">
        <f t="shared" si="24"/>
        <v xml:space="preserve">    - 3.670E-02</v>
      </c>
      <c r="N69" s="4" t="str">
        <f t="shared" si="24"/>
        <v xml:space="preserve">    - 3.580E-02</v>
      </c>
      <c r="O69" s="4" t="str">
        <f t="shared" si="24"/>
        <v xml:space="preserve">    - 3.706E-02</v>
      </c>
      <c r="P69" s="4" t="str">
        <f t="shared" si="24"/>
        <v xml:space="preserve">    - 3.577E-02</v>
      </c>
      <c r="Q69" s="4" t="str">
        <f t="shared" si="24"/>
        <v xml:space="preserve">    - 3.375E-02</v>
      </c>
      <c r="R69" s="4" t="str">
        <f t="shared" si="24"/>
        <v xml:space="preserve">    - 3.657E-02</v>
      </c>
      <c r="S69" s="4" t="str">
        <f t="shared" si="24"/>
        <v xml:space="preserve">    - 3.771E-02</v>
      </c>
      <c r="T69" s="4" t="str">
        <f t="shared" si="24"/>
        <v xml:space="preserve">    - 3.549E-02</v>
      </c>
      <c r="U69" s="4" t="str">
        <f t="shared" si="24"/>
        <v xml:space="preserve">    - 3.514E-02</v>
      </c>
      <c r="V69" s="4" t="str">
        <f t="shared" si="24"/>
        <v xml:space="preserve">    - 3.611E-02</v>
      </c>
      <c r="W69" s="4" t="str">
        <f t="shared" si="24"/>
        <v xml:space="preserve">    - 3.734E-02</v>
      </c>
      <c r="X69" s="4" t="str">
        <f t="shared" si="24"/>
        <v xml:space="preserve">    - 3.588E-02</v>
      </c>
      <c r="Y69" s="4" t="str">
        <f t="shared" si="24"/>
        <v xml:space="preserve">    - 3.630E-02</v>
      </c>
      <c r="Z69" s="4" t="str">
        <f t="shared" si="24"/>
        <v xml:space="preserve">    - 3.672E-02</v>
      </c>
      <c r="AA69" s="4" t="str">
        <f t="shared" si="24"/>
        <v xml:space="preserve">    - 3.661E-02</v>
      </c>
      <c r="AB69" s="4" t="str">
        <f t="shared" si="24"/>
        <v xml:space="preserve">    - 3.681E-02</v>
      </c>
      <c r="AC69" s="4" t="str">
        <f t="shared" si="24"/>
        <v xml:space="preserve">    - 3.670E-02</v>
      </c>
      <c r="AD69" s="4" t="str">
        <f t="shared" si="24"/>
        <v xml:space="preserve">    - 3.672E-02</v>
      </c>
      <c r="AE69" s="4" t="str">
        <f t="shared" si="24"/>
        <v xml:space="preserve">    - 3.717E-02</v>
      </c>
      <c r="AF69" s="4" t="str">
        <f t="shared" si="24"/>
        <v xml:space="preserve">    - 3.841E-02</v>
      </c>
      <c r="AG69" s="4" t="str">
        <f t="shared" si="24"/>
        <v xml:space="preserve">    - 4.002E-02</v>
      </c>
      <c r="AH69" s="4" t="str">
        <f t="shared" si="24"/>
        <v xml:space="preserve">    - 4.046E-02</v>
      </c>
      <c r="AI69" s="4" t="str">
        <f t="shared" si="24"/>
        <v xml:space="preserve">    - 4.199E-02</v>
      </c>
      <c r="AJ69" s="4" t="str">
        <f t="shared" si="24"/>
        <v xml:space="preserve">    - 4.355E-02</v>
      </c>
      <c r="AK69" s="4" t="str">
        <f t="shared" si="24"/>
        <v xml:space="preserve">    - 4.403E-02</v>
      </c>
      <c r="AL69" s="4" t="str">
        <f t="shared" si="24"/>
        <v xml:space="preserve">    - 3.573E-02</v>
      </c>
      <c r="AM69" s="4" t="str">
        <f t="shared" si="24"/>
        <v xml:space="preserve">    - 3.961E-02</v>
      </c>
      <c r="AN69" s="4" t="str">
        <f t="shared" si="24"/>
        <v xml:space="preserve">    - 3.646E-02</v>
      </c>
      <c r="AO69" s="4" t="str">
        <f t="shared" ref="AO69:AQ69" si="30">CONCATENATE("    - ", TEXT(AO39,"0.000E+00"))</f>
        <v xml:space="preserve">    - 4.307E-02</v>
      </c>
      <c r="AP69" s="4" t="str">
        <f t="shared" si="30"/>
        <v xml:space="preserve">    - 3.611E-02</v>
      </c>
      <c r="AQ69" s="4" t="str">
        <f t="shared" si="30"/>
        <v xml:space="preserve">    - 3.666E-02</v>
      </c>
    </row>
    <row r="70" spans="2:43">
      <c r="B70" s="4" t="str">
        <f t="shared" si="8"/>
        <v xml:space="preserve">    - 4.000</v>
      </c>
      <c r="C70" s="4" t="str">
        <f t="shared" si="9"/>
        <v xml:space="preserve">    - 5.793E-02</v>
      </c>
      <c r="D70" s="4" t="str">
        <f t="shared" si="24"/>
        <v xml:space="preserve">    - 2.566E-02</v>
      </c>
      <c r="E70" s="4" t="str">
        <f t="shared" si="24"/>
        <v xml:space="preserve">    - 2.658E-02</v>
      </c>
      <c r="F70" s="4" t="str">
        <f t="shared" si="24"/>
        <v xml:space="preserve">    - 2.793E-02</v>
      </c>
      <c r="G70" s="4" t="str">
        <f t="shared" si="24"/>
        <v xml:space="preserve">    - 3.040E-02</v>
      </c>
      <c r="H70" s="4" t="str">
        <f t="shared" si="24"/>
        <v xml:space="preserve">    - 3.066E-02</v>
      </c>
      <c r="I70" s="4" t="str">
        <f t="shared" si="24"/>
        <v xml:space="preserve">    - 3.093E-02</v>
      </c>
      <c r="J70" s="4" t="str">
        <f t="shared" si="24"/>
        <v xml:space="preserve">    - 3.031E-02</v>
      </c>
      <c r="K70" s="4" t="str">
        <f t="shared" si="24"/>
        <v xml:space="preserve">    - 3.153E-02</v>
      </c>
      <c r="L70" s="4" t="str">
        <f t="shared" si="24"/>
        <v xml:space="preserve">    - 3.101E-02</v>
      </c>
      <c r="M70" s="4" t="str">
        <f t="shared" si="24"/>
        <v xml:space="preserve">    - 3.233E-02</v>
      </c>
      <c r="N70" s="4" t="str">
        <f t="shared" si="24"/>
        <v xml:space="preserve">    - 3.165E-02</v>
      </c>
      <c r="O70" s="4" t="str">
        <f t="shared" si="24"/>
        <v xml:space="preserve">    - 3.287E-02</v>
      </c>
      <c r="P70" s="4" t="str">
        <f t="shared" si="24"/>
        <v xml:space="preserve">    - 3.182E-02</v>
      </c>
      <c r="Q70" s="4" t="str">
        <f t="shared" si="24"/>
        <v xml:space="preserve">    - 3.013E-02</v>
      </c>
      <c r="R70" s="4" t="str">
        <f t="shared" si="24"/>
        <v xml:space="preserve">    - 3.274E-02</v>
      </c>
      <c r="S70" s="4" t="str">
        <f t="shared" si="24"/>
        <v xml:space="preserve">    - 3.386E-02</v>
      </c>
      <c r="T70" s="4" t="str">
        <f t="shared" si="24"/>
        <v xml:space="preserve">    - 3.227E-02</v>
      </c>
      <c r="U70" s="4" t="str">
        <f t="shared" si="24"/>
        <v xml:space="preserve">    - 3.204E-02</v>
      </c>
      <c r="V70" s="4" t="str">
        <f t="shared" si="24"/>
        <v xml:space="preserve">    - 3.303E-02</v>
      </c>
      <c r="W70" s="4" t="str">
        <f t="shared" si="24"/>
        <v xml:space="preserve">    - 3.435E-02</v>
      </c>
      <c r="X70" s="4" t="str">
        <f t="shared" si="24"/>
        <v xml:space="preserve">    - 3.309E-02</v>
      </c>
      <c r="Y70" s="4" t="str">
        <f t="shared" si="24"/>
        <v xml:space="preserve">    - 3.441E-02</v>
      </c>
      <c r="Z70" s="4" t="str">
        <f t="shared" si="24"/>
        <v xml:space="preserve">    - 3.488E-02</v>
      </c>
      <c r="AA70" s="4" t="str">
        <f t="shared" si="24"/>
        <v xml:space="preserve">    - 3.485E-02</v>
      </c>
      <c r="AB70" s="4" t="str">
        <f t="shared" si="24"/>
        <v xml:space="preserve">    - 3.547E-02</v>
      </c>
      <c r="AC70" s="4" t="str">
        <f t="shared" si="24"/>
        <v xml:space="preserve">    - 3.550E-02</v>
      </c>
      <c r="AD70" s="4" t="str">
        <f t="shared" si="24"/>
        <v xml:space="preserve">    - 3.585E-02</v>
      </c>
      <c r="AE70" s="4" t="str">
        <f t="shared" si="24"/>
        <v xml:space="preserve">    - 3.633E-02</v>
      </c>
      <c r="AF70" s="4" t="str">
        <f t="shared" si="24"/>
        <v xml:space="preserve">    - 3.786E-02</v>
      </c>
      <c r="AG70" s="4" t="str">
        <f t="shared" si="24"/>
        <v xml:space="preserve">    - 3.971E-02</v>
      </c>
      <c r="AH70" s="4" t="str">
        <f t="shared" si="24"/>
        <v xml:space="preserve">    - 4.019E-02</v>
      </c>
      <c r="AI70" s="4" t="str">
        <f t="shared" si="24"/>
        <v xml:space="preserve">    - 4.175E-02</v>
      </c>
      <c r="AJ70" s="4" t="str">
        <f t="shared" si="24"/>
        <v xml:space="preserve">    - 4.322E-02</v>
      </c>
      <c r="AK70" s="4" t="str">
        <f t="shared" si="24"/>
        <v xml:space="preserve">    - 4.365E-02</v>
      </c>
      <c r="AL70" s="4" t="str">
        <f t="shared" si="24"/>
        <v xml:space="preserve">    - 3.072E-02</v>
      </c>
      <c r="AM70" s="4" t="str">
        <f t="shared" si="24"/>
        <v xml:space="preserve">    - 3.395E-02</v>
      </c>
      <c r="AN70" s="4" t="str">
        <f t="shared" si="24"/>
        <v xml:space="preserve">    - 3.182E-02</v>
      </c>
      <c r="AO70" s="4" t="str">
        <f t="shared" ref="AO70:AQ70" si="31">CONCATENATE("    - ", TEXT(AO40,"0.000E+00"))</f>
        <v xml:space="preserve">    - 4.214E-02</v>
      </c>
      <c r="AP70" s="4" t="str">
        <f t="shared" si="31"/>
        <v xml:space="preserve">    - 3.300E-02</v>
      </c>
      <c r="AQ70" s="4" t="str">
        <f t="shared" si="31"/>
        <v xml:space="preserve">    - 3.196E-02</v>
      </c>
    </row>
    <row r="71" spans="2:43">
      <c r="B71" s="4" t="str">
        <f t="shared" si="8"/>
        <v xml:space="preserve">    - 5.000</v>
      </c>
      <c r="C71" s="4" t="str">
        <f t="shared" si="9"/>
        <v xml:space="preserve">    - 5.036E-02</v>
      </c>
      <c r="D71" s="4" t="str">
        <f t="shared" si="24"/>
        <v xml:space="preserve">    - 2.252E-02</v>
      </c>
      <c r="E71" s="4" t="str">
        <f t="shared" si="24"/>
        <v xml:space="preserve">    - 2.342E-02</v>
      </c>
      <c r="F71" s="4" t="str">
        <f t="shared" si="24"/>
        <v xml:space="preserve">    - 2.471E-02</v>
      </c>
      <c r="G71" s="4" t="str">
        <f t="shared" ref="D71:AN77" si="32">CONCATENATE("    - ", TEXT(G41,"0.000E+00"))</f>
        <v xml:space="preserve">    - 2.701E-02</v>
      </c>
      <c r="H71" s="4" t="str">
        <f t="shared" si="32"/>
        <v xml:space="preserve">    - 2.736E-02</v>
      </c>
      <c r="I71" s="4" t="str">
        <f t="shared" si="32"/>
        <v xml:space="preserve">    - 2.770E-02</v>
      </c>
      <c r="J71" s="4" t="str">
        <f t="shared" si="32"/>
        <v xml:space="preserve">    - 2.747E-02</v>
      </c>
      <c r="K71" s="4" t="str">
        <f t="shared" si="32"/>
        <v xml:space="preserve">    - 2.866E-02</v>
      </c>
      <c r="L71" s="4" t="str">
        <f t="shared" si="32"/>
        <v xml:space="preserve">    - 2.829E-02</v>
      </c>
      <c r="M71" s="4" t="str">
        <f t="shared" si="32"/>
        <v xml:space="preserve">    - 2.960E-02</v>
      </c>
      <c r="N71" s="4" t="str">
        <f t="shared" si="32"/>
        <v xml:space="preserve">    - 2.908E-02</v>
      </c>
      <c r="O71" s="4" t="str">
        <f t="shared" si="32"/>
        <v xml:space="preserve">    - 3.031E-02</v>
      </c>
      <c r="P71" s="4" t="str">
        <f t="shared" si="32"/>
        <v xml:space="preserve">    - 2.944E-02</v>
      </c>
      <c r="Q71" s="4" t="str">
        <f t="shared" si="32"/>
        <v xml:space="preserve">    - 2.797E-02</v>
      </c>
      <c r="R71" s="4" t="str">
        <f t="shared" si="32"/>
        <v xml:space="preserve">    - 3.047E-02</v>
      </c>
      <c r="S71" s="4" t="str">
        <f t="shared" si="32"/>
        <v xml:space="preserve">    - 3.163E-02</v>
      </c>
      <c r="T71" s="4" t="str">
        <f t="shared" si="32"/>
        <v xml:space="preserve">    - 3.050E-02</v>
      </c>
      <c r="U71" s="4" t="str">
        <f t="shared" si="32"/>
        <v xml:space="preserve">    - 3.038E-02</v>
      </c>
      <c r="V71" s="4" t="str">
        <f t="shared" si="32"/>
        <v xml:space="preserve">    - 3.139E-02</v>
      </c>
      <c r="W71" s="4" t="str">
        <f t="shared" si="32"/>
        <v xml:space="preserve">    - 3.281E-02</v>
      </c>
      <c r="X71" s="4" t="str">
        <f t="shared" si="32"/>
        <v xml:space="preserve">    - 3.169E-02</v>
      </c>
      <c r="Y71" s="4" t="str">
        <f t="shared" si="32"/>
        <v xml:space="preserve">    - 3.376E-02</v>
      </c>
      <c r="Z71" s="4" t="str">
        <f t="shared" si="32"/>
        <v xml:space="preserve">    - 3.427E-02</v>
      </c>
      <c r="AA71" s="4" t="str">
        <f t="shared" si="32"/>
        <v xml:space="preserve">    - 3.430E-02</v>
      </c>
      <c r="AB71" s="4" t="str">
        <f t="shared" si="32"/>
        <v xml:space="preserve">    - 3.527E-02</v>
      </c>
      <c r="AC71" s="4" t="str">
        <f t="shared" si="32"/>
        <v xml:space="preserve">    - 3.539E-02</v>
      </c>
      <c r="AD71" s="4" t="str">
        <f t="shared" si="32"/>
        <v xml:space="preserve">    - 3.602E-02</v>
      </c>
      <c r="AE71" s="4" t="str">
        <f t="shared" si="32"/>
        <v xml:space="preserve">    - 3.653E-02</v>
      </c>
      <c r="AF71" s="4" t="str">
        <f t="shared" si="32"/>
        <v xml:space="preserve">    - 3.832E-02</v>
      </c>
      <c r="AG71" s="4" t="str">
        <f t="shared" si="32"/>
        <v xml:space="preserve">    - 4.039E-02</v>
      </c>
      <c r="AH71" s="4" t="str">
        <f t="shared" si="32"/>
        <v xml:space="preserve">    - 4.089E-02</v>
      </c>
      <c r="AI71" s="4" t="str">
        <f t="shared" si="32"/>
        <v xml:space="preserve">    - 4.257E-02</v>
      </c>
      <c r="AJ71" s="4" t="str">
        <f t="shared" si="32"/>
        <v xml:space="preserve">    - 4.403E-02</v>
      </c>
      <c r="AK71" s="4" t="str">
        <f t="shared" si="32"/>
        <v xml:space="preserve">    - 4.445E-02</v>
      </c>
      <c r="AL71" s="4" t="str">
        <f t="shared" si="32"/>
        <v xml:space="preserve">    - 2.745E-02</v>
      </c>
      <c r="AM71" s="4" t="str">
        <f t="shared" si="32"/>
        <v xml:space="preserve">    - 3.024E-02</v>
      </c>
      <c r="AN71" s="4" t="str">
        <f t="shared" si="32"/>
        <v xml:space="preserve">    - 2.888E-02</v>
      </c>
      <c r="AO71" s="4" t="str">
        <f t="shared" ref="AO71:AQ71" si="33">CONCATENATE("    - ", TEXT(AO41,"0.000E+00"))</f>
        <v xml:space="preserve">    - 4.246E-02</v>
      </c>
      <c r="AP71" s="4" t="str">
        <f t="shared" si="33"/>
        <v xml:space="preserve">    - 3.134E-02</v>
      </c>
      <c r="AQ71" s="4" t="str">
        <f t="shared" si="33"/>
        <v xml:space="preserve">    - 2.897E-02</v>
      </c>
    </row>
    <row r="72" spans="2:43">
      <c r="B72" s="4" t="str">
        <f t="shared" si="8"/>
        <v xml:space="preserve">    - 6.000</v>
      </c>
      <c r="C72" s="4" t="str">
        <f t="shared" si="9"/>
        <v xml:space="preserve">    - 4.486E-02</v>
      </c>
      <c r="D72" s="4" t="str">
        <f t="shared" si="32"/>
        <v xml:space="preserve">    - 2.025E-02</v>
      </c>
      <c r="E72" s="4" t="str">
        <f t="shared" si="32"/>
        <v xml:space="preserve">    - 2.116E-02</v>
      </c>
      <c r="F72" s="4" t="str">
        <f t="shared" si="32"/>
        <v xml:space="preserve">    - 2.242E-02</v>
      </c>
      <c r="G72" s="4" t="str">
        <f t="shared" si="32"/>
        <v xml:space="preserve">    - 2.463E-02</v>
      </c>
      <c r="H72" s="4" t="str">
        <f t="shared" si="32"/>
        <v xml:space="preserve">    - 2.505E-02</v>
      </c>
      <c r="I72" s="4" t="str">
        <f t="shared" si="32"/>
        <v xml:space="preserve">    - 2.546E-02</v>
      </c>
      <c r="J72" s="4" t="str">
        <f t="shared" si="32"/>
        <v xml:space="preserve">    - 2.553E-02</v>
      </c>
      <c r="K72" s="4" t="str">
        <f t="shared" si="32"/>
        <v xml:space="preserve">    - 2.675E-02</v>
      </c>
      <c r="L72" s="4" t="str">
        <f t="shared" si="32"/>
        <v xml:space="preserve">    - 2.649E-02</v>
      </c>
      <c r="M72" s="4" t="str">
        <f t="shared" si="32"/>
        <v xml:space="preserve">    - 2.781E-02</v>
      </c>
      <c r="N72" s="4" t="str">
        <f t="shared" si="32"/>
        <v xml:space="preserve">    - 2.741E-02</v>
      </c>
      <c r="O72" s="4" t="str">
        <f t="shared" si="32"/>
        <v xml:space="preserve">    - 2.866E-02</v>
      </c>
      <c r="P72" s="4" t="str">
        <f t="shared" si="32"/>
        <v xml:space="preserve">    - 2.792E-02</v>
      </c>
      <c r="Q72" s="4" t="str">
        <f t="shared" si="32"/>
        <v xml:space="preserve">    - 2.660E-02</v>
      </c>
      <c r="R72" s="4" t="str">
        <f t="shared" si="32"/>
        <v xml:space="preserve">    - 2.908E-02</v>
      </c>
      <c r="S72" s="4" t="str">
        <f t="shared" si="32"/>
        <v xml:space="preserve">    - 3.027E-02</v>
      </c>
      <c r="T72" s="4" t="str">
        <f t="shared" si="32"/>
        <v xml:space="preserve">    - 2.950E-02</v>
      </c>
      <c r="U72" s="4" t="str">
        <f t="shared" si="32"/>
        <v xml:space="preserve">    - 2.945E-02</v>
      </c>
      <c r="V72" s="4" t="str">
        <f t="shared" si="32"/>
        <v xml:space="preserve">    - 3.050E-02</v>
      </c>
      <c r="W72" s="4" t="str">
        <f t="shared" si="32"/>
        <v xml:space="preserve">    - 3.202E-02</v>
      </c>
      <c r="X72" s="4" t="str">
        <f t="shared" si="32"/>
        <v xml:space="preserve">    - 3.102E-02</v>
      </c>
      <c r="Y72" s="4" t="str">
        <f t="shared" si="32"/>
        <v xml:space="preserve">    - 3.367E-02</v>
      </c>
      <c r="Z72" s="4" t="str">
        <f t="shared" si="32"/>
        <v xml:space="preserve">    - 3.424E-02</v>
      </c>
      <c r="AA72" s="4" t="str">
        <f t="shared" si="32"/>
        <v xml:space="preserve">    - 3.433E-02</v>
      </c>
      <c r="AB72" s="4" t="str">
        <f t="shared" si="32"/>
        <v xml:space="preserve">    - 3.555E-02</v>
      </c>
      <c r="AC72" s="4" t="str">
        <f t="shared" si="32"/>
        <v xml:space="preserve">    - 3.576E-02</v>
      </c>
      <c r="AD72" s="4" t="str">
        <f t="shared" si="32"/>
        <v xml:space="preserve">    - 3.661E-02</v>
      </c>
      <c r="AE72" s="4" t="str">
        <f t="shared" si="32"/>
        <v xml:space="preserve">    - 3.717E-02</v>
      </c>
      <c r="AF72" s="4" t="str">
        <f t="shared" si="32"/>
        <v xml:space="preserve">    - 3.919E-02</v>
      </c>
      <c r="AG72" s="4" t="str">
        <f t="shared" si="32"/>
        <v xml:space="preserve">    - 4.145E-02</v>
      </c>
      <c r="AH72" s="4" t="str">
        <f t="shared" si="32"/>
        <v xml:space="preserve">    - 4.199E-02</v>
      </c>
      <c r="AI72" s="4" t="str">
        <f t="shared" si="32"/>
        <v xml:space="preserve">    - 4.379E-02</v>
      </c>
      <c r="AJ72" s="4" t="str">
        <f t="shared" si="32"/>
        <v xml:space="preserve">    - 4.528E-02</v>
      </c>
      <c r="AK72" s="4" t="str">
        <f t="shared" si="32"/>
        <v xml:space="preserve">    - 4.569E-02</v>
      </c>
      <c r="AL72" s="4" t="str">
        <f t="shared" si="32"/>
        <v xml:space="preserve">    - 2.516E-02</v>
      </c>
      <c r="AM72" s="4" t="str">
        <f t="shared" si="32"/>
        <v xml:space="preserve">    - 2.763E-02</v>
      </c>
      <c r="AN72" s="4" t="str">
        <f t="shared" si="32"/>
        <v xml:space="preserve">    - 2.689E-02</v>
      </c>
      <c r="AO72" s="4" t="str">
        <f t="shared" ref="AO72:AQ72" si="34">CONCATENATE("    - ", TEXT(AO42,"0.000E+00"))</f>
        <v xml:space="preserve">    - 4.329E-02</v>
      </c>
      <c r="AP72" s="4" t="str">
        <f t="shared" si="34"/>
        <v xml:space="preserve">    - 3.044E-02</v>
      </c>
      <c r="AQ72" s="4" t="str">
        <f t="shared" si="34"/>
        <v xml:space="preserve">    - 2.694E-02</v>
      </c>
    </row>
    <row r="73" spans="2:43">
      <c r="B73" s="4" t="str">
        <f t="shared" si="8"/>
        <v xml:space="preserve">    - 8.000</v>
      </c>
      <c r="C73" s="4" t="str">
        <f t="shared" si="9"/>
        <v xml:space="preserve">    - 3.735E-02</v>
      </c>
      <c r="D73" s="4" t="str">
        <f t="shared" si="32"/>
        <v xml:space="preserve">    - 1.721E-02</v>
      </c>
      <c r="E73" s="4" t="str">
        <f t="shared" si="32"/>
        <v xml:space="preserve">    - 1.814E-02</v>
      </c>
      <c r="F73" s="4" t="str">
        <f t="shared" si="32"/>
        <v xml:space="preserve">    - 1.940E-02</v>
      </c>
      <c r="G73" s="4" t="str">
        <f t="shared" si="32"/>
        <v xml:space="preserve">    - 2.148E-02</v>
      </c>
      <c r="H73" s="4" t="str">
        <f t="shared" si="32"/>
        <v xml:space="preserve">    - 2.203E-02</v>
      </c>
      <c r="I73" s="4" t="str">
        <f t="shared" si="32"/>
        <v xml:space="preserve">    - 2.258E-02</v>
      </c>
      <c r="J73" s="4" t="str">
        <f t="shared" si="32"/>
        <v xml:space="preserve">    - 2.314E-02</v>
      </c>
      <c r="K73" s="4" t="str">
        <f t="shared" si="32"/>
        <v xml:space="preserve">    - 2.439E-02</v>
      </c>
      <c r="L73" s="4" t="str">
        <f t="shared" si="32"/>
        <v xml:space="preserve">    - 2.432E-02</v>
      </c>
      <c r="M73" s="4" t="str">
        <f t="shared" si="32"/>
        <v xml:space="preserve">    - 2.568E-02</v>
      </c>
      <c r="N73" s="4" t="str">
        <f t="shared" si="32"/>
        <v xml:space="preserve">    - 2.547E-02</v>
      </c>
      <c r="O73" s="4" t="str">
        <f t="shared" si="32"/>
        <v xml:space="preserve">    - 2.677E-02</v>
      </c>
      <c r="P73" s="4" t="str">
        <f t="shared" si="32"/>
        <v xml:space="preserve">    - 2.623E-02</v>
      </c>
      <c r="Q73" s="4" t="str">
        <f t="shared" si="32"/>
        <v xml:space="preserve">    - 2.512E-02</v>
      </c>
      <c r="R73" s="4" t="str">
        <f t="shared" si="32"/>
        <v xml:space="preserve">    - 2.761E-02</v>
      </c>
      <c r="S73" s="4" t="str">
        <f t="shared" si="32"/>
        <v xml:space="preserve">    - 2.887E-02</v>
      </c>
      <c r="T73" s="4" t="str">
        <f t="shared" si="32"/>
        <v xml:space="preserve">    - 2.864E-02</v>
      </c>
      <c r="U73" s="4" t="str">
        <f t="shared" si="32"/>
        <v xml:space="preserve">    - 2.870E-02</v>
      </c>
      <c r="V73" s="4" t="str">
        <f t="shared" si="32"/>
        <v xml:space="preserve">    - 2.985E-02</v>
      </c>
      <c r="W73" s="4" t="str">
        <f t="shared" si="32"/>
        <v xml:space="preserve">    - 3.158E-02</v>
      </c>
      <c r="X73" s="4" t="str">
        <f t="shared" si="32"/>
        <v xml:space="preserve">    - 3.068E-02</v>
      </c>
      <c r="Y73" s="4" t="str">
        <f t="shared" si="32"/>
        <v xml:space="preserve">    - 3.435E-02</v>
      </c>
      <c r="Z73" s="4" t="str">
        <f t="shared" si="32"/>
        <v xml:space="preserve">    - 3.502E-02</v>
      </c>
      <c r="AA73" s="4" t="str">
        <f t="shared" si="32"/>
        <v xml:space="preserve">    - 3.517E-02</v>
      </c>
      <c r="AB73" s="4" t="str">
        <f t="shared" si="32"/>
        <v xml:space="preserve">    - 3.685E-02</v>
      </c>
      <c r="AC73" s="4" t="str">
        <f t="shared" si="32"/>
        <v xml:space="preserve">    - 3.717E-02</v>
      </c>
      <c r="AD73" s="4" t="str">
        <f t="shared" si="32"/>
        <v xml:space="preserve">    - 3.838E-02</v>
      </c>
      <c r="AE73" s="4" t="str">
        <f t="shared" si="32"/>
        <v xml:space="preserve">    - 3.900E-02</v>
      </c>
      <c r="AF73" s="4" t="str">
        <f t="shared" si="32"/>
        <v xml:space="preserve">    - 4.140E-02</v>
      </c>
      <c r="AG73" s="4" t="str">
        <f t="shared" si="32"/>
        <v xml:space="preserve">    - 4.402E-02</v>
      </c>
      <c r="AH73" s="4" t="str">
        <f t="shared" si="32"/>
        <v xml:space="preserve">    - 4.464E-02</v>
      </c>
      <c r="AI73" s="4" t="str">
        <f t="shared" si="32"/>
        <v xml:space="preserve">    - 4.667E-02</v>
      </c>
      <c r="AJ73" s="4" t="str">
        <f t="shared" si="32"/>
        <v xml:space="preserve">    - 4.827E-02</v>
      </c>
      <c r="AK73" s="4" t="str">
        <f t="shared" si="32"/>
        <v xml:space="preserve">    - 4.869E-02</v>
      </c>
      <c r="AL73" s="4" t="str">
        <f t="shared" si="32"/>
        <v xml:space="preserve">    - 2.220E-02</v>
      </c>
      <c r="AM73" s="4" t="str">
        <f t="shared" si="32"/>
        <v xml:space="preserve">    - 2.423E-02</v>
      </c>
      <c r="AN73" s="4" t="str">
        <f t="shared" si="32"/>
        <v xml:space="preserve">    - 2.444E-02</v>
      </c>
      <c r="AO73" s="4" t="str">
        <f t="shared" ref="AO73:AQ73" si="35">CONCATENATE("    - ", TEXT(AO43,"0.000E+00"))</f>
        <v xml:space="preserve">    - 4.560E-02</v>
      </c>
      <c r="AP73" s="4" t="str">
        <f t="shared" si="35"/>
        <v xml:space="preserve">    - 2.976E-02</v>
      </c>
      <c r="AQ73" s="4" t="str">
        <f t="shared" si="35"/>
        <v xml:space="preserve">    - 2.443E-02</v>
      </c>
    </row>
    <row r="74" spans="2:43">
      <c r="B74" s="4" t="str">
        <f t="shared" si="8"/>
        <v xml:space="preserve">    - 10.000</v>
      </c>
      <c r="C74" s="4" t="str">
        <f t="shared" si="9"/>
        <v xml:space="preserve">    - 3.244E-02</v>
      </c>
      <c r="D74" s="4" t="str">
        <f t="shared" si="32"/>
        <v xml:space="preserve">    - 1.525E-02</v>
      </c>
      <c r="E74" s="4" t="str">
        <f t="shared" si="32"/>
        <v xml:space="preserve">    - 1.623E-02</v>
      </c>
      <c r="F74" s="4" t="str">
        <f t="shared" si="32"/>
        <v xml:space="preserve">    - 1.750E-02</v>
      </c>
      <c r="G74" s="4" t="str">
        <f t="shared" si="32"/>
        <v xml:space="preserve">    - 1.954E-02</v>
      </c>
      <c r="H74" s="4" t="str">
        <f t="shared" si="32"/>
        <v xml:space="preserve">    - 2.019E-02</v>
      </c>
      <c r="I74" s="4" t="str">
        <f t="shared" si="32"/>
        <v xml:space="preserve">    - 2.084E-02</v>
      </c>
      <c r="J74" s="4" t="str">
        <f t="shared" si="32"/>
        <v xml:space="preserve">    - 2.176E-02</v>
      </c>
      <c r="K74" s="4" t="str">
        <f t="shared" si="32"/>
        <v xml:space="preserve">    - 2.308E-02</v>
      </c>
      <c r="L74" s="4" t="str">
        <f t="shared" si="32"/>
        <v xml:space="preserve">    - 2.313E-02</v>
      </c>
      <c r="M74" s="4" t="str">
        <f t="shared" si="32"/>
        <v xml:space="preserve">    - 2.457E-02</v>
      </c>
      <c r="N74" s="4" t="str">
        <f t="shared" si="32"/>
        <v xml:space="preserve">    - 2.447E-02</v>
      </c>
      <c r="O74" s="4" t="str">
        <f t="shared" si="32"/>
        <v xml:space="preserve">    - 2.585E-02</v>
      </c>
      <c r="P74" s="4" t="str">
        <f t="shared" si="32"/>
        <v xml:space="preserve">    - 2.543E-02</v>
      </c>
      <c r="Q74" s="4" t="str">
        <f t="shared" si="32"/>
        <v xml:space="preserve">    - 2.446E-02</v>
      </c>
      <c r="R74" s="4" t="str">
        <f t="shared" si="32"/>
        <v xml:space="preserve">    - 2.699E-02</v>
      </c>
      <c r="S74" s="4" t="str">
        <f t="shared" si="32"/>
        <v xml:space="preserve">    - 2.834E-02</v>
      </c>
      <c r="T74" s="4" t="str">
        <f t="shared" si="32"/>
        <v xml:space="preserve">    - 2.850E-02</v>
      </c>
      <c r="U74" s="4" t="str">
        <f t="shared" si="32"/>
        <v xml:space="preserve">    - 2.866E-02</v>
      </c>
      <c r="V74" s="4" t="str">
        <f t="shared" si="32"/>
        <v xml:space="preserve">    - 2.989E-02</v>
      </c>
      <c r="W74" s="4" t="str">
        <f t="shared" si="32"/>
        <v xml:space="preserve">    - 3.180E-02</v>
      </c>
      <c r="X74" s="4" t="str">
        <f t="shared" si="32"/>
        <v xml:space="preserve">    - 3.099E-02</v>
      </c>
      <c r="Y74" s="4" t="str">
        <f t="shared" si="32"/>
        <v xml:space="preserve">    - 3.549E-02</v>
      </c>
      <c r="Z74" s="4" t="str">
        <f t="shared" si="32"/>
        <v xml:space="preserve">    - 3.623E-02</v>
      </c>
      <c r="AA74" s="4" t="str">
        <f t="shared" si="32"/>
        <v xml:space="preserve">    - 3.645E-02</v>
      </c>
      <c r="AB74" s="4" t="str">
        <f t="shared" si="32"/>
        <v xml:space="preserve">    - 3.848E-02</v>
      </c>
      <c r="AC74" s="4" t="str">
        <f t="shared" si="32"/>
        <v xml:space="preserve">    - 3.891E-02</v>
      </c>
      <c r="AD74" s="4" t="str">
        <f t="shared" si="32"/>
        <v xml:space="preserve">    - 4.037E-02</v>
      </c>
      <c r="AE74" s="4" t="str">
        <f t="shared" si="32"/>
        <v xml:space="preserve">    - 4.108E-02</v>
      </c>
      <c r="AF74" s="4" t="str">
        <f t="shared" si="32"/>
        <v xml:space="preserve">    - 4.378E-02</v>
      </c>
      <c r="AG74" s="4" t="str">
        <f t="shared" si="32"/>
        <v xml:space="preserve">    - 4.671E-02</v>
      </c>
      <c r="AH74" s="4" t="str">
        <f t="shared" si="32"/>
        <v xml:space="preserve">    - 4.741E-02</v>
      </c>
      <c r="AI74" s="4" t="str">
        <f t="shared" si="32"/>
        <v xml:space="preserve">    - 4.965E-02</v>
      </c>
      <c r="AJ74" s="4" t="str">
        <f t="shared" si="32"/>
        <v xml:space="preserve">    - 5.142E-02</v>
      </c>
      <c r="AK74" s="4" t="str">
        <f t="shared" si="32"/>
        <v xml:space="preserve">    - 5.187E-02</v>
      </c>
      <c r="AL74" s="4" t="str">
        <f t="shared" si="32"/>
        <v xml:space="preserve">    - 2.040E-02</v>
      </c>
      <c r="AM74" s="4" t="str">
        <f t="shared" si="32"/>
        <v xml:space="preserve">    - 2.214E-02</v>
      </c>
      <c r="AN74" s="4" t="str">
        <f t="shared" si="32"/>
        <v xml:space="preserve">    - 2.306E-02</v>
      </c>
      <c r="AO74" s="4" t="str">
        <f t="shared" ref="AO74:AQ74" si="36">CONCATENATE("    - ", TEXT(AO44,"0.000E+00"))</f>
        <v xml:space="preserve">    - 4.819E-02</v>
      </c>
      <c r="AP74" s="4" t="str">
        <f t="shared" si="36"/>
        <v xml:space="preserve">    - 2.977E-02</v>
      </c>
      <c r="AQ74" s="4" t="str">
        <f t="shared" si="36"/>
        <v xml:space="preserve">    - 2.300E-02</v>
      </c>
    </row>
    <row r="75" spans="2:43">
      <c r="B75" s="4" t="str">
        <f t="shared" si="8"/>
        <v xml:space="preserve">    - 15.000</v>
      </c>
      <c r="C75" s="4" t="str">
        <f t="shared" si="9"/>
        <v xml:space="preserve">    - 2.530E-02</v>
      </c>
      <c r="D75" s="4" t="str">
        <f t="shared" si="32"/>
        <v xml:space="preserve">    - 1.248E-02</v>
      </c>
      <c r="E75" s="4" t="str">
        <f t="shared" si="32"/>
        <v xml:space="preserve">    - 1.356E-02</v>
      </c>
      <c r="F75" s="4" t="str">
        <f t="shared" si="32"/>
        <v xml:space="preserve">    - 1.491E-02</v>
      </c>
      <c r="G75" s="4" t="str">
        <f t="shared" si="32"/>
        <v xml:space="preserve">    - 1.693E-02</v>
      </c>
      <c r="H75" s="4" t="str">
        <f t="shared" si="32"/>
        <v xml:space="preserve">    - 1.778E-02</v>
      </c>
      <c r="I75" s="4" t="str">
        <f t="shared" si="32"/>
        <v xml:space="preserve">    - 1.861E-02</v>
      </c>
      <c r="J75" s="4" t="str">
        <f t="shared" si="32"/>
        <v xml:space="preserve">    - 2.018E-02</v>
      </c>
      <c r="K75" s="4" t="str">
        <f t="shared" si="32"/>
        <v xml:space="preserve">    - 2.163E-02</v>
      </c>
      <c r="L75" s="4" t="str">
        <f t="shared" si="32"/>
        <v xml:space="preserve">    - 2.191E-02</v>
      </c>
      <c r="M75" s="4" t="str">
        <f t="shared" si="32"/>
        <v xml:space="preserve">    - 2.347E-02</v>
      </c>
      <c r="N75" s="4" t="str">
        <f t="shared" si="32"/>
        <v xml:space="preserve">    - 2.360E-02</v>
      </c>
      <c r="O75" s="4" t="str">
        <f t="shared" si="32"/>
        <v xml:space="preserve">    - 2.512E-02</v>
      </c>
      <c r="P75" s="4" t="str">
        <f t="shared" si="32"/>
        <v xml:space="preserve">    - 2.491E-02</v>
      </c>
      <c r="Q75" s="4" t="str">
        <f t="shared" si="32"/>
        <v xml:space="preserve">    - 2.414E-02</v>
      </c>
      <c r="R75" s="4" t="str">
        <f t="shared" si="32"/>
        <v xml:space="preserve">    - 2.682E-02</v>
      </c>
      <c r="S75" s="4" t="str">
        <f t="shared" si="32"/>
        <v xml:space="preserve">    - 2.833E-02</v>
      </c>
      <c r="T75" s="4" t="str">
        <f t="shared" si="32"/>
        <v xml:space="preserve">    - 2.916E-02</v>
      </c>
      <c r="U75" s="4" t="str">
        <f t="shared" si="32"/>
        <v xml:space="preserve">    - 2.947E-02</v>
      </c>
      <c r="V75" s="4" t="str">
        <f t="shared" si="32"/>
        <v xml:space="preserve">    - 3.088E-02</v>
      </c>
      <c r="W75" s="4" t="str">
        <f t="shared" si="32"/>
        <v xml:space="preserve">    - 3.316E-02</v>
      </c>
      <c r="X75" s="4" t="str">
        <f t="shared" si="32"/>
        <v xml:space="preserve">    - 3.243E-02</v>
      </c>
      <c r="Y75" s="4" t="str">
        <f t="shared" si="32"/>
        <v xml:space="preserve">    - 3.851E-02</v>
      </c>
      <c r="Z75" s="4" t="str">
        <f t="shared" si="32"/>
        <v xml:space="preserve">    - 3.940E-02</v>
      </c>
      <c r="AA75" s="4" t="str">
        <f t="shared" si="32"/>
        <v xml:space="preserve">    - 3.974E-02</v>
      </c>
      <c r="AB75" s="4" t="str">
        <f t="shared" si="32"/>
        <v xml:space="preserve">    - 4.249E-02</v>
      </c>
      <c r="AC75" s="4" t="str">
        <f t="shared" si="32"/>
        <v xml:space="preserve">    - 4.312E-02</v>
      </c>
      <c r="AD75" s="4" t="str">
        <f t="shared" si="32"/>
        <v xml:space="preserve">    - 4.514E-02</v>
      </c>
      <c r="AE75" s="4" t="str">
        <f t="shared" si="32"/>
        <v xml:space="preserve">    - 4.599E-02</v>
      </c>
      <c r="AF75" s="4" t="str">
        <f t="shared" si="32"/>
        <v xml:space="preserve">    - 4.939E-02</v>
      </c>
      <c r="AG75" s="4" t="str">
        <f t="shared" si="32"/>
        <v xml:space="preserve">    - 5.296E-02</v>
      </c>
      <c r="AH75" s="4" t="str">
        <f t="shared" si="32"/>
        <v xml:space="preserve">    - 5.380E-02</v>
      </c>
      <c r="AI75" s="4" t="str">
        <f t="shared" si="32"/>
        <v xml:space="preserve">    - 5.653E-02</v>
      </c>
      <c r="AJ75" s="4" t="str">
        <f t="shared" si="32"/>
        <v xml:space="preserve">    - 5.866E-02</v>
      </c>
      <c r="AK75" s="4" t="str">
        <f t="shared" si="32"/>
        <v xml:space="preserve">    - 5.921E-02</v>
      </c>
      <c r="AL75" s="4" t="str">
        <f t="shared" si="32"/>
        <v xml:space="preserve">    - 1.805E-02</v>
      </c>
      <c r="AM75" s="4" t="str">
        <f t="shared" si="32"/>
        <v xml:space="preserve">    - 1.936E-02</v>
      </c>
      <c r="AN75" s="4" t="str">
        <f t="shared" si="32"/>
        <v xml:space="preserve">    - 2.148E-02</v>
      </c>
      <c r="AO75" s="4" t="str">
        <f t="shared" ref="AO75:AQ75" si="37">CONCATENATE("    - ", TEXT(AO45,"0.000E+00"))</f>
        <v xml:space="preserve">    - 5.440E-02</v>
      </c>
      <c r="AP75" s="4" t="str">
        <f t="shared" si="37"/>
        <v xml:space="preserve">    - 3.073E-02</v>
      </c>
      <c r="AQ75" s="4" t="str">
        <f t="shared" si="37"/>
        <v xml:space="preserve">    - 2.134E-02</v>
      </c>
    </row>
    <row r="76" spans="2:43">
      <c r="B76" s="4" t="str">
        <f t="shared" si="8"/>
        <v xml:space="preserve">    - 20.000</v>
      </c>
      <c r="C76" s="4" t="str">
        <f t="shared" si="9"/>
        <v xml:space="preserve">    - 2.145E-02</v>
      </c>
      <c r="D76" s="4" t="str">
        <f t="shared" si="32"/>
        <v xml:space="preserve">    - 1.105E-02</v>
      </c>
      <c r="E76" s="4" t="str">
        <f t="shared" si="32"/>
        <v xml:space="preserve">    - 1.223E-02</v>
      </c>
      <c r="F76" s="4" t="str">
        <f t="shared" si="32"/>
        <v xml:space="preserve">    - 1.365E-02</v>
      </c>
      <c r="G76" s="4" t="str">
        <f t="shared" si="32"/>
        <v xml:space="preserve">    - 1.571E-02</v>
      </c>
      <c r="H76" s="4" t="str">
        <f t="shared" si="32"/>
        <v xml:space="preserve">    - 1.669E-02</v>
      </c>
      <c r="I76" s="4" t="str">
        <f t="shared" si="32"/>
        <v xml:space="preserve">    - 1.766E-02</v>
      </c>
      <c r="J76" s="4" t="str">
        <f t="shared" si="32"/>
        <v xml:space="preserve">    - 1.966E-02</v>
      </c>
      <c r="K76" s="4" t="str">
        <f t="shared" si="32"/>
        <v xml:space="preserve">    - 2.123E-02</v>
      </c>
      <c r="L76" s="4" t="str">
        <f t="shared" si="32"/>
        <v xml:space="preserve">    - 2.164E-02</v>
      </c>
      <c r="M76" s="4" t="str">
        <f t="shared" si="32"/>
        <v xml:space="preserve">    - 2.334E-02</v>
      </c>
      <c r="N76" s="4" t="str">
        <f t="shared" si="32"/>
        <v xml:space="preserve">    - 2.359E-02</v>
      </c>
      <c r="O76" s="4" t="str">
        <f t="shared" si="32"/>
        <v xml:space="preserve">    - 2.525E-02</v>
      </c>
      <c r="P76" s="4" t="str">
        <f t="shared" si="32"/>
        <v xml:space="preserve">    - 2.516E-02</v>
      </c>
      <c r="Q76" s="4" t="str">
        <f t="shared" si="32"/>
        <v xml:space="preserve">    - 2.449E-02</v>
      </c>
      <c r="R76" s="4" t="str">
        <f t="shared" si="32"/>
        <v xml:space="preserve">    - 2.733E-02</v>
      </c>
      <c r="S76" s="4" t="str">
        <f t="shared" si="32"/>
        <v xml:space="preserve">    - 2.899E-02</v>
      </c>
      <c r="T76" s="4" t="str">
        <f t="shared" si="32"/>
        <v xml:space="preserve">    - 3.022E-02</v>
      </c>
      <c r="U76" s="4" t="str">
        <f t="shared" si="32"/>
        <v xml:space="preserve">    - 3.064E-02</v>
      </c>
      <c r="V76" s="4" t="str">
        <f t="shared" si="32"/>
        <v xml:space="preserve">    - 3.220E-02</v>
      </c>
      <c r="W76" s="4" t="str">
        <f t="shared" si="32"/>
        <v xml:space="preserve">    - 3.472E-02</v>
      </c>
      <c r="X76" s="4" t="str">
        <f t="shared" si="32"/>
        <v xml:space="preserve">    - 3.404E-02</v>
      </c>
      <c r="Y76" s="4" t="str">
        <f t="shared" si="32"/>
        <v xml:space="preserve">    - 4.118E-02</v>
      </c>
      <c r="Z76" s="4" t="str">
        <f t="shared" si="32"/>
        <v xml:space="preserve">    - 4.220E-02</v>
      </c>
      <c r="AA76" s="4" t="str">
        <f t="shared" si="32"/>
        <v xml:space="preserve">    - 4.261E-02</v>
      </c>
      <c r="AB76" s="4" t="str">
        <f t="shared" si="32"/>
        <v xml:space="preserve">    - 4.584E-02</v>
      </c>
      <c r="AC76" s="4" t="str">
        <f t="shared" si="32"/>
        <v xml:space="preserve">    - 4.659E-02</v>
      </c>
      <c r="AD76" s="4" t="str">
        <f t="shared" si="32"/>
        <v xml:space="preserve">    - 4.898E-02</v>
      </c>
      <c r="AE76" s="4" t="str">
        <f t="shared" si="32"/>
        <v xml:space="preserve">    - 4.992E-02</v>
      </c>
      <c r="AF76" s="4" t="str">
        <f t="shared" si="32"/>
        <v xml:space="preserve">    - 5.381E-02</v>
      </c>
      <c r="AG76" s="4" t="str">
        <f t="shared" si="32"/>
        <v xml:space="preserve">    - 5.792E-02</v>
      </c>
      <c r="AH76" s="4" t="str">
        <f t="shared" si="32"/>
        <v xml:space="preserve">    - 5.889E-02</v>
      </c>
      <c r="AI76" s="4" t="str">
        <f t="shared" si="32"/>
        <v xml:space="preserve">    - 6.202E-02</v>
      </c>
      <c r="AJ76" s="4" t="str">
        <f t="shared" si="32"/>
        <v xml:space="preserve">    - 6.443E-02</v>
      </c>
      <c r="AK76" s="4" t="str">
        <f t="shared" si="32"/>
        <v xml:space="preserve">    - 6.507E-02</v>
      </c>
      <c r="AL76" s="4" t="str">
        <f t="shared" si="32"/>
        <v xml:space="preserve">    - 1.702E-02</v>
      </c>
      <c r="AM76" s="4" t="str">
        <f t="shared" si="32"/>
        <v xml:space="preserve">    - 1.808E-02</v>
      </c>
      <c r="AN76" s="4" t="str">
        <f t="shared" si="32"/>
        <v xml:space="preserve">    - 2.101E-02</v>
      </c>
      <c r="AO76" s="4" t="str">
        <f t="shared" ref="AO76:AQ76" si="38">CONCATENATE("    - ", TEXT(AO46,"0.000E+00"))</f>
        <v xml:space="preserve">    - 5.945E-02</v>
      </c>
      <c r="AP76" s="4" t="str">
        <f t="shared" si="38"/>
        <v xml:space="preserve">    - 3.201E-02</v>
      </c>
      <c r="AQ76" s="4" t="str">
        <f t="shared" si="38"/>
        <v xml:space="preserve">    - 2.082E-02</v>
      </c>
    </row>
    <row r="77" spans="2:43">
      <c r="B77" s="4" t="str">
        <f t="shared" si="8"/>
        <v xml:space="preserve">    - 30.000</v>
      </c>
      <c r="C77" s="4" t="str">
        <f t="shared" si="9"/>
        <v xml:space="preserve">    - 1.741E-02</v>
      </c>
      <c r="D77" s="4" t="str">
        <f t="shared" si="32"/>
        <v xml:space="preserve">    - 9.654E-03</v>
      </c>
      <c r="E77" s="4" t="str">
        <f t="shared" si="32"/>
        <v xml:space="preserve">    - 1.097E-02</v>
      </c>
      <c r="F77" s="4" t="str">
        <f t="shared" si="32"/>
        <v xml:space="preserve">    - 1.252E-02</v>
      </c>
      <c r="G77" s="4" t="str">
        <f t="shared" si="32"/>
        <v xml:space="preserve">    - 1.468E-02</v>
      </c>
      <c r="H77" s="4" t="str">
        <f t="shared" si="32"/>
        <v xml:space="preserve">    - 1.584E-02</v>
      </c>
      <c r="I77" s="4" t="str">
        <f t="shared" si="32"/>
        <v xml:space="preserve">    - 1.702E-02</v>
      </c>
      <c r="J77" s="4" t="str">
        <f t="shared" si="32"/>
        <v xml:space="preserve">    - 1.958E-02</v>
      </c>
      <c r="K77" s="4" t="str">
        <f t="shared" si="32"/>
        <v xml:space="preserve">    - 2.134E-02</v>
      </c>
      <c r="L77" s="4" t="str">
        <f t="shared" si="32"/>
        <v xml:space="preserve">    - 2.192E-02</v>
      </c>
      <c r="M77" s="4" t="str">
        <f t="shared" si="32"/>
        <v xml:space="preserve">    - 2.381E-02</v>
      </c>
      <c r="N77" s="4" t="str">
        <f t="shared" si="32"/>
        <v xml:space="preserve">    - 2.422E-02</v>
      </c>
      <c r="O77" s="4" t="str">
        <f t="shared" si="32"/>
        <v xml:space="preserve">    - 2.609E-02</v>
      </c>
      <c r="P77" s="4" t="str">
        <f t="shared" si="32"/>
        <v xml:space="preserve">    - 2.614E-02</v>
      </c>
      <c r="Q77" s="4" t="str">
        <f t="shared" si="32"/>
        <v xml:space="preserve">    - 2.558E-02</v>
      </c>
      <c r="R77" s="4" t="str">
        <f t="shared" si="32"/>
        <v xml:space="preserve">    - 2.866E-02</v>
      </c>
      <c r="S77" s="4" t="str">
        <f t="shared" si="32"/>
        <v xml:space="preserve">    - 3.055E-02</v>
      </c>
      <c r="T77" s="4" t="str">
        <f t="shared" si="32"/>
        <v xml:space="preserve">    - 3.232E-02</v>
      </c>
      <c r="U77" s="4" t="str">
        <f t="shared" si="32"/>
        <v xml:space="preserve">    - 3.287E-02</v>
      </c>
      <c r="V77" s="4" t="str">
        <f t="shared" si="32"/>
        <v xml:space="preserve">    - 3.465E-02</v>
      </c>
      <c r="W77" s="4" t="str">
        <f t="shared" si="32"/>
        <v xml:space="preserve">    - 3.755E-02</v>
      </c>
      <c r="X77" s="4" t="str">
        <f t="shared" si="32"/>
        <v xml:space="preserve">    - 3.690E-02</v>
      </c>
      <c r="Y77" s="4" t="str">
        <f t="shared" si="32"/>
        <v xml:space="preserve">    - 4.553E-02</v>
      </c>
      <c r="Z77" s="4" t="str">
        <f t="shared" si="32"/>
        <v xml:space="preserve">    - 4.672E-02</v>
      </c>
      <c r="AA77" s="4" t="str">
        <f t="shared" si="32"/>
        <v xml:space="preserve">    - 4.721E-02</v>
      </c>
      <c r="AB77" s="4" t="str">
        <f t="shared" si="32"/>
        <v xml:space="preserve">    - 5.105E-02</v>
      </c>
      <c r="AC77" s="4" t="str">
        <f t="shared" si="32"/>
        <v xml:space="preserve">    - 5.200E-02</v>
      </c>
      <c r="AD77" s="4" t="str">
        <f t="shared" si="32"/>
        <v xml:space="preserve">    - 5.486E-02</v>
      </c>
      <c r="AE77" s="4" t="str">
        <f t="shared" si="32"/>
        <v xml:space="preserve">    - 5.596E-02</v>
      </c>
      <c r="AF77" s="4" t="str">
        <f t="shared" si="32"/>
        <v xml:space="preserve">    - 6.054E-02</v>
      </c>
      <c r="AG77" s="4" t="str">
        <f t="shared" si="32"/>
        <v xml:space="preserve">    - 6.538E-02</v>
      </c>
      <c r="AH77" s="4" t="str">
        <f t="shared" si="32"/>
        <v xml:space="preserve">    - 6.650E-02</v>
      </c>
      <c r="AI77" s="4" t="str">
        <f t="shared" si="32"/>
        <v xml:space="preserve">    - 7.019E-02</v>
      </c>
      <c r="AJ77" s="4" t="str">
        <f t="shared" si="32"/>
        <v xml:space="preserve">    - 7.312E-02</v>
      </c>
      <c r="AK77" s="4" t="str">
        <f t="shared" si="32"/>
        <v xml:space="preserve">    - 7.387E-02</v>
      </c>
      <c r="AL77" s="4" t="str">
        <f t="shared" si="32"/>
        <v xml:space="preserve">    - 1.624E-02</v>
      </c>
      <c r="AM77" s="4" t="str">
        <f t="shared" si="32"/>
        <v xml:space="preserve">    - 1.706E-02</v>
      </c>
      <c r="AN77" s="4" t="str">
        <f t="shared" ref="AN77:AQ77" si="39">CONCATENATE("    - ", TEXT(AN47,"0.000E+00"))</f>
        <v xml:space="preserve">    - 2.101E-02</v>
      </c>
      <c r="AO77" s="4" t="str">
        <f t="shared" si="39"/>
        <v xml:space="preserve">    - 6.713E-02</v>
      </c>
      <c r="AP77" s="4" t="str">
        <f t="shared" si="39"/>
        <v xml:space="preserve">    - 3.442E-02</v>
      </c>
      <c r="AQ77" s="4" t="str">
        <f t="shared" si="39"/>
        <v xml:space="preserve">    - 2.075E-02</v>
      </c>
    </row>
    <row r="78" spans="2:43">
      <c r="B7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628E9-6AC8-4B99-B05F-C0327BFB1E69}">
  <sheetPr codeName="Sheet6"/>
  <dimension ref="B1:P274"/>
  <sheetViews>
    <sheetView topLeftCell="A29" zoomScale="110" zoomScaleNormal="110" workbookViewId="0">
      <selection activeCell="I30" sqref="I30"/>
    </sheetView>
  </sheetViews>
  <sheetFormatPr baseColWidth="10" defaultColWidth="8.83203125" defaultRowHeight="15"/>
  <sheetData>
    <row r="1" spans="2:16">
      <c r="C1" s="5" t="s">
        <v>50</v>
      </c>
      <c r="N1" t="s">
        <v>63</v>
      </c>
    </row>
    <row r="2" spans="2:16">
      <c r="C2" s="5" t="s">
        <v>51</v>
      </c>
      <c r="N2" s="8" t="s">
        <v>60</v>
      </c>
      <c r="O2" s="8" t="s">
        <v>61</v>
      </c>
      <c r="P2" s="8" t="s">
        <v>62</v>
      </c>
    </row>
    <row r="3" spans="2:16">
      <c r="B3" t="s">
        <v>1</v>
      </c>
      <c r="C3" t="s">
        <v>11</v>
      </c>
      <c r="D3" t="s">
        <v>12</v>
      </c>
      <c r="E3" t="s">
        <v>13</v>
      </c>
      <c r="F3" t="s">
        <v>16</v>
      </c>
      <c r="G3" t="s">
        <v>14</v>
      </c>
      <c r="H3" t="s">
        <v>17</v>
      </c>
      <c r="I3" t="s">
        <v>18</v>
      </c>
      <c r="J3" t="s">
        <v>15</v>
      </c>
    </row>
    <row r="4" spans="2:16">
      <c r="B4" s="4">
        <v>1.4999999999999999E-2</v>
      </c>
      <c r="C4" s="4">
        <v>1.004</v>
      </c>
      <c r="D4" s="4">
        <v>1.5609999999999999</v>
      </c>
      <c r="E4" s="4">
        <v>-0.55400000000000005</v>
      </c>
      <c r="F4" s="7">
        <v>5.6</v>
      </c>
      <c r="G4" s="6">
        <v>0.35239999999999999</v>
      </c>
      <c r="H4" s="2">
        <v>4.0000000000000001E-3</v>
      </c>
      <c r="I4">
        <v>1</v>
      </c>
      <c r="J4" s="2">
        <v>1.2899999999999999E-3</v>
      </c>
      <c r="L4" t="str">
        <f>CONCATENATE("    -  ",TEXT(B4,"0.000"))</f>
        <v xml:space="preserve">    -  0.015</v>
      </c>
      <c r="N4" t="str">
        <f t="shared" ref="N4:N28" si="0">CONCATENATE("    - [",TEXT(C4,$N$2),", ",TEXT(D4,$N$2),", ",TEXT(E4,$N$2),", ",TEXT(F4,$O$2),", ",TEXT(G4,$P$2),"]")</f>
        <v xml:space="preserve">    - [1.004, 1.561, -0.554, 5.60, 0.3524]</v>
      </c>
    </row>
    <row r="5" spans="2:16">
      <c r="B5" s="4">
        <v>0.02</v>
      </c>
      <c r="C5" s="4">
        <v>1.012</v>
      </c>
      <c r="D5" s="4">
        <v>0.13</v>
      </c>
      <c r="E5" s="4">
        <v>0.62</v>
      </c>
      <c r="F5" s="7">
        <v>11.39</v>
      </c>
      <c r="G5" s="6">
        <v>-0.61619999999999997</v>
      </c>
      <c r="H5" s="2">
        <v>4.3E-3</v>
      </c>
      <c r="I5">
        <v>2</v>
      </c>
      <c r="J5" s="2">
        <v>2.1900000000000001E-3</v>
      </c>
      <c r="L5" t="str">
        <f t="shared" ref="L5:L28" si="1">CONCATENATE("    -  ",TEXT(B5,"0.000"))</f>
        <v xml:space="preserve">    -  0.020</v>
      </c>
      <c r="N5" t="str">
        <f t="shared" si="0"/>
        <v xml:space="preserve">    - [1.012, 0.130, 0.620, 11.39, -0.6162]</v>
      </c>
    </row>
    <row r="6" spans="2:16">
      <c r="B6" s="4">
        <v>0.03</v>
      </c>
      <c r="C6" s="4">
        <v>1.028</v>
      </c>
      <c r="D6" s="4">
        <v>0.374</v>
      </c>
      <c r="E6" s="4">
        <v>0.19</v>
      </c>
      <c r="F6" s="7">
        <v>29.34</v>
      </c>
      <c r="G6" s="6">
        <v>-0.317</v>
      </c>
      <c r="H6" s="2">
        <v>6.4999999999999997E-3</v>
      </c>
      <c r="I6">
        <v>3</v>
      </c>
      <c r="J6" s="2">
        <v>2.81E-3</v>
      </c>
      <c r="L6" t="str">
        <f t="shared" si="1"/>
        <v xml:space="preserve">    -  0.030</v>
      </c>
      <c r="N6" t="str">
        <f t="shared" si="0"/>
        <v xml:space="preserve">    - [1.028, 0.374, 0.190, 29.34, -0.3170]</v>
      </c>
    </row>
    <row r="7" spans="2:16">
      <c r="B7" s="4">
        <v>0.04</v>
      </c>
      <c r="C7" s="4">
        <v>1.0580000000000001</v>
      </c>
      <c r="D7" s="4">
        <v>0.33600000000000002</v>
      </c>
      <c r="E7" s="4">
        <v>0.248</v>
      </c>
      <c r="F7" s="7">
        <v>11.65</v>
      </c>
      <c r="G7" s="6">
        <v>-0.1188</v>
      </c>
      <c r="H7" s="2">
        <v>5.0000000000000001E-3</v>
      </c>
      <c r="I7">
        <v>7</v>
      </c>
      <c r="J7" s="2">
        <v>2.3800000000000002E-3</v>
      </c>
      <c r="L7" t="str">
        <f t="shared" si="1"/>
        <v xml:space="preserve">    -  0.040</v>
      </c>
      <c r="N7" t="str">
        <f t="shared" si="0"/>
        <v xml:space="preserve">    - [1.058, 0.336, 0.248, 11.65, -0.1188]</v>
      </c>
    </row>
    <row r="8" spans="2:16">
      <c r="B8" s="4">
        <v>0.05</v>
      </c>
      <c r="C8" s="4">
        <v>1.099</v>
      </c>
      <c r="D8" s="4">
        <v>0.36599999999999999</v>
      </c>
      <c r="E8" s="4">
        <v>0.23200000000000001</v>
      </c>
      <c r="F8" s="7">
        <v>14.01</v>
      </c>
      <c r="G8" s="6">
        <v>-0.13539999999999999</v>
      </c>
      <c r="H8" s="2">
        <v>6.4999999999999997E-3</v>
      </c>
      <c r="I8">
        <v>3</v>
      </c>
      <c r="J8" s="2">
        <v>3.4299999999999999E-3</v>
      </c>
      <c r="L8" t="str">
        <f t="shared" si="1"/>
        <v xml:space="preserve">    -  0.050</v>
      </c>
      <c r="N8" t="str">
        <f t="shared" si="0"/>
        <v xml:space="preserve">    - [1.099, 0.366, 0.232, 14.01, -0.1354]</v>
      </c>
    </row>
    <row r="9" spans="2:16">
      <c r="B9" s="4">
        <v>0.06</v>
      </c>
      <c r="C9" s="4">
        <v>1.1479999999999999</v>
      </c>
      <c r="D9" s="4">
        <v>0.40500000000000003</v>
      </c>
      <c r="E9" s="4">
        <v>0.20799999999999999</v>
      </c>
      <c r="F9" s="7">
        <v>14.17</v>
      </c>
      <c r="G9" s="6">
        <v>-0.1142</v>
      </c>
      <c r="H9" s="2">
        <v>1.5299999999999999E-2</v>
      </c>
      <c r="I9">
        <v>0.5</v>
      </c>
      <c r="J9" s="2">
        <v>5.77E-3</v>
      </c>
      <c r="L9" t="str">
        <f t="shared" si="1"/>
        <v xml:space="preserve">    -  0.060</v>
      </c>
      <c r="N9" t="str">
        <f t="shared" si="0"/>
        <v xml:space="preserve">    - [1.148, 0.405, 0.208, 14.17, -0.1142]</v>
      </c>
    </row>
    <row r="10" spans="2:16">
      <c r="B10" s="4">
        <v>0.08</v>
      </c>
      <c r="C10" s="4">
        <v>1.2669999999999999</v>
      </c>
      <c r="D10" s="4">
        <v>0.47</v>
      </c>
      <c r="E10" s="4">
        <v>0.18</v>
      </c>
      <c r="F10" s="7">
        <v>14.48</v>
      </c>
      <c r="G10" s="6">
        <v>-9.74E-2</v>
      </c>
      <c r="H10" s="2">
        <v>2.3199999999999998E-2</v>
      </c>
      <c r="I10">
        <v>0.5</v>
      </c>
      <c r="J10" s="2">
        <v>8.9200000000000008E-3</v>
      </c>
      <c r="L10" t="str">
        <f t="shared" si="1"/>
        <v xml:space="preserve">    -  0.080</v>
      </c>
      <c r="N10" t="str">
        <f t="shared" si="0"/>
        <v xml:space="preserve">    - [1.267, 0.470, 0.180, 14.48, -0.0974]</v>
      </c>
    </row>
    <row r="11" spans="2:16">
      <c r="B11" s="4">
        <v>0.1</v>
      </c>
      <c r="C11" s="4">
        <v>1.389</v>
      </c>
      <c r="D11" s="4">
        <v>0.55700000000000005</v>
      </c>
      <c r="E11" s="4">
        <v>0.14399999999999999</v>
      </c>
      <c r="F11" s="7">
        <v>14.11</v>
      </c>
      <c r="G11" s="6">
        <v>-7.9100000000000004E-2</v>
      </c>
      <c r="H11" s="2">
        <v>2.58E-2</v>
      </c>
      <c r="I11">
        <v>0.5</v>
      </c>
      <c r="J11" s="2">
        <v>1.04E-2</v>
      </c>
      <c r="L11" t="str">
        <f t="shared" si="1"/>
        <v xml:space="preserve">    -  0.100</v>
      </c>
      <c r="N11" t="str">
        <f t="shared" si="0"/>
        <v xml:space="preserve">    - [1.389, 0.557, 0.144, 14.11, -0.0791]</v>
      </c>
    </row>
    <row r="12" spans="2:16">
      <c r="B12" s="4">
        <v>0.15</v>
      </c>
      <c r="C12" s="4">
        <v>1.66</v>
      </c>
      <c r="D12" s="4">
        <v>0.74299999999999999</v>
      </c>
      <c r="E12" s="4">
        <v>7.9000000000000001E-2</v>
      </c>
      <c r="F12" s="7">
        <v>14.12</v>
      </c>
      <c r="G12" s="6">
        <v>-4.7600000000000003E-2</v>
      </c>
      <c r="H12" s="2">
        <v>2.93E-2</v>
      </c>
      <c r="I12">
        <v>0.5</v>
      </c>
      <c r="J12" s="2">
        <v>1.1429999999999999E-2</v>
      </c>
      <c r="L12" t="str">
        <f t="shared" si="1"/>
        <v xml:space="preserve">    -  0.150</v>
      </c>
      <c r="N12" t="str">
        <f t="shared" si="0"/>
        <v xml:space="preserve">    - [1.660, 0.743, 0.079, 14.12, -0.0476]</v>
      </c>
    </row>
    <row r="13" spans="2:16">
      <c r="B13" s="4">
        <v>0.2</v>
      </c>
      <c r="C13" s="4">
        <v>1.839</v>
      </c>
      <c r="D13" s="4">
        <v>0.91100000000000003</v>
      </c>
      <c r="E13" s="4">
        <v>3.4000000000000002E-2</v>
      </c>
      <c r="F13" s="7">
        <v>13.23</v>
      </c>
      <c r="G13" s="6">
        <v>-3.3399999999999999E-2</v>
      </c>
      <c r="H13" s="2">
        <v>2.5999999999999999E-2</v>
      </c>
      <c r="I13">
        <v>0.5</v>
      </c>
      <c r="J13" s="2">
        <v>1.1690000000000001E-2</v>
      </c>
      <c r="L13" t="str">
        <f t="shared" si="1"/>
        <v xml:space="preserve">    -  0.200</v>
      </c>
      <c r="N13" t="str">
        <f t="shared" si="0"/>
        <v xml:space="preserve">    - [1.839, 0.911, 0.034, 13.23, -0.0334]</v>
      </c>
    </row>
    <row r="14" spans="2:16">
      <c r="B14" s="4">
        <v>0.3</v>
      </c>
      <c r="C14" s="4">
        <v>1.9730000000000001</v>
      </c>
      <c r="D14" s="4">
        <v>1.095</v>
      </c>
      <c r="E14" s="4">
        <v>-8.9999999999999993E-3</v>
      </c>
      <c r="F14" s="7">
        <v>11.86</v>
      </c>
      <c r="G14" s="6">
        <v>-1.83E-2</v>
      </c>
      <c r="H14" s="2">
        <v>2.3400000000000001E-2</v>
      </c>
      <c r="I14">
        <v>0.5</v>
      </c>
      <c r="J14" s="2">
        <v>9.5499999999999995E-3</v>
      </c>
      <c r="L14" t="str">
        <f t="shared" si="1"/>
        <v xml:space="preserve">    -  0.300</v>
      </c>
      <c r="N14" t="str">
        <f t="shared" si="0"/>
        <v xml:space="preserve">    - [1.973, 1.095, -0.009, 11.86, -0.0183]</v>
      </c>
    </row>
    <row r="15" spans="2:16">
      <c r="B15" s="4">
        <v>0.4</v>
      </c>
      <c r="C15" s="4">
        <v>1.992</v>
      </c>
      <c r="D15" s="4">
        <v>1.1870000000000001</v>
      </c>
      <c r="E15" s="4">
        <v>-2.7E-2</v>
      </c>
      <c r="F15" s="7">
        <v>10.72</v>
      </c>
      <c r="G15" s="6">
        <v>-1.4E-2</v>
      </c>
      <c r="H15" s="2">
        <v>1.84E-2</v>
      </c>
      <c r="I15">
        <v>0.5</v>
      </c>
      <c r="J15" s="2">
        <v>7.77E-3</v>
      </c>
      <c r="L15" t="str">
        <f t="shared" si="1"/>
        <v xml:space="preserve">    -  0.400</v>
      </c>
      <c r="N15" t="str">
        <f t="shared" si="0"/>
        <v xml:space="preserve">    - [1.992, 1.187, -0.027, 10.72, -0.0140]</v>
      </c>
    </row>
    <row r="16" spans="2:16">
      <c r="B16" s="4">
        <v>0.5</v>
      </c>
      <c r="C16" s="4">
        <v>1.9670000000000001</v>
      </c>
      <c r="D16" s="4">
        <v>1.24</v>
      </c>
      <c r="E16" s="4">
        <v>-3.9E-2</v>
      </c>
      <c r="F16" s="7">
        <v>8.34</v>
      </c>
      <c r="G16" s="6">
        <v>-7.4000000000000003E-3</v>
      </c>
      <c r="H16" s="2">
        <v>1.7399999999999999E-2</v>
      </c>
      <c r="I16">
        <v>0.5</v>
      </c>
      <c r="J16" s="2">
        <v>6.6E-3</v>
      </c>
      <c r="L16" t="str">
        <f t="shared" si="1"/>
        <v xml:space="preserve">    -  0.500</v>
      </c>
      <c r="N16" t="str">
        <f t="shared" si="0"/>
        <v xml:space="preserve">    - [1.967, 1.240, -0.039, 8.34, -0.0074]</v>
      </c>
    </row>
    <row r="17" spans="2:14">
      <c r="B17" s="4">
        <v>0.6</v>
      </c>
      <c r="C17" s="4">
        <v>1.9470000000000001</v>
      </c>
      <c r="D17" s="4">
        <v>1.2470000000000001</v>
      </c>
      <c r="E17" s="4">
        <v>-0.04</v>
      </c>
      <c r="F17" s="7">
        <v>8.1999999999999993</v>
      </c>
      <c r="G17" s="6">
        <v>-9.5999999999999992E-3</v>
      </c>
      <c r="H17" s="2">
        <v>1.09E-2</v>
      </c>
      <c r="I17">
        <v>0.5</v>
      </c>
      <c r="J17" s="2">
        <v>5.1200000000000004E-3</v>
      </c>
      <c r="L17" t="str">
        <f t="shared" si="1"/>
        <v xml:space="preserve">    -  0.600</v>
      </c>
      <c r="N17" t="str">
        <f t="shared" si="0"/>
        <v xml:space="preserve">    - [1.947, 1.247, -0.040, 8.20, -0.0096]</v>
      </c>
    </row>
    <row r="18" spans="2:14">
      <c r="B18" s="4">
        <v>0.8</v>
      </c>
      <c r="C18" s="4">
        <v>1.9059999999999999</v>
      </c>
      <c r="D18" s="4">
        <v>1.2330000000000001</v>
      </c>
      <c r="E18" s="4">
        <v>-3.7999999999999999E-2</v>
      </c>
      <c r="F18" s="7">
        <v>7.93</v>
      </c>
      <c r="G18" s="6">
        <v>-1.0999999999999999E-2</v>
      </c>
      <c r="H18" s="2">
        <v>1.15E-2</v>
      </c>
      <c r="I18">
        <v>2</v>
      </c>
      <c r="J18" s="2">
        <v>5.1599999999999997E-3</v>
      </c>
      <c r="L18" t="str">
        <f t="shared" si="1"/>
        <v xml:space="preserve">    -  0.800</v>
      </c>
      <c r="N18" t="str">
        <f t="shared" si="0"/>
        <v xml:space="preserve">    - [1.906, 1.233, -0.038, 7.93, -0.0110]</v>
      </c>
    </row>
    <row r="19" spans="2:14">
      <c r="B19" s="4">
        <v>1</v>
      </c>
      <c r="C19" s="4">
        <v>1.841</v>
      </c>
      <c r="D19" s="4">
        <v>1.25</v>
      </c>
      <c r="E19" s="4">
        <v>-4.8000000000000001E-2</v>
      </c>
      <c r="F19" s="7">
        <v>19.489999999999998</v>
      </c>
      <c r="G19" s="6">
        <v>1.4E-2</v>
      </c>
      <c r="H19" s="2">
        <v>1.1599999999999999E-2</v>
      </c>
      <c r="I19">
        <v>0.5</v>
      </c>
      <c r="J19" s="2">
        <v>4.0000000000000001E-3</v>
      </c>
      <c r="L19" t="str">
        <f t="shared" si="1"/>
        <v xml:space="preserve">    -  1.000</v>
      </c>
      <c r="N19" t="str">
        <f t="shared" si="0"/>
        <v xml:space="preserve">    - [1.841, 1.250, -0.048, 19.49, 0.0140]</v>
      </c>
    </row>
    <row r="20" spans="2:14">
      <c r="B20" s="4">
        <v>1.5</v>
      </c>
      <c r="C20" s="4">
        <v>1.75</v>
      </c>
      <c r="D20" s="4">
        <v>1.1970000000000001</v>
      </c>
      <c r="E20" s="4">
        <v>-0.04</v>
      </c>
      <c r="F20" s="7">
        <v>15.9</v>
      </c>
      <c r="G20" s="6">
        <v>1.0999999999999999E-2</v>
      </c>
      <c r="H20" s="2">
        <v>1.0500000000000001E-2</v>
      </c>
      <c r="I20">
        <v>0.5</v>
      </c>
      <c r="J20" s="2">
        <v>3.1800000000000001E-3</v>
      </c>
      <c r="L20" t="str">
        <f t="shared" si="1"/>
        <v xml:space="preserve">    -  1.500</v>
      </c>
      <c r="N20" t="str">
        <f t="shared" si="0"/>
        <v xml:space="preserve">    - [1.750, 1.197, -0.040, 15.90, 0.0110]</v>
      </c>
    </row>
    <row r="21" spans="2:14">
      <c r="B21" s="4">
        <v>2</v>
      </c>
      <c r="C21" s="4">
        <v>1.712</v>
      </c>
      <c r="D21" s="4">
        <v>1.123</v>
      </c>
      <c r="E21" s="4">
        <v>-2.1000000000000001E-2</v>
      </c>
      <c r="F21" s="7">
        <v>7.97</v>
      </c>
      <c r="G21" s="6">
        <v>-5.7000000000000002E-3</v>
      </c>
      <c r="H21" s="2">
        <v>4.1999999999999997E-3</v>
      </c>
      <c r="I21">
        <v>0.5</v>
      </c>
      <c r="J21" s="2">
        <v>2.5000000000000001E-3</v>
      </c>
      <c r="L21" t="str">
        <f t="shared" si="1"/>
        <v xml:space="preserve">    -  2.000</v>
      </c>
      <c r="N21" t="str">
        <f t="shared" si="0"/>
        <v xml:space="preserve">    - [1.712, 1.123, -0.021, 7.97, -0.0057]</v>
      </c>
    </row>
    <row r="22" spans="2:14">
      <c r="B22" s="4">
        <v>3</v>
      </c>
      <c r="C22" s="4">
        <v>1.627</v>
      </c>
      <c r="D22" s="4">
        <v>1.0589999999999999</v>
      </c>
      <c r="E22" s="4">
        <v>-5.0000000000000001E-3</v>
      </c>
      <c r="F22" s="7">
        <v>11.99</v>
      </c>
      <c r="G22" s="6">
        <v>-1.32E-2</v>
      </c>
      <c r="H22" s="2">
        <v>8.5000000000000006E-3</v>
      </c>
      <c r="I22">
        <v>0.5</v>
      </c>
      <c r="J22" s="2">
        <v>5.0699999999999999E-3</v>
      </c>
      <c r="L22" t="str">
        <f t="shared" si="1"/>
        <v xml:space="preserve">    -  3.000</v>
      </c>
      <c r="N22" t="str">
        <f t="shared" si="0"/>
        <v xml:space="preserve">    - [1.627, 1.059, -0.005, 11.99, -0.0132]</v>
      </c>
    </row>
    <row r="23" spans="2:14">
      <c r="B23" s="4">
        <v>4</v>
      </c>
      <c r="C23" s="4">
        <v>1.5529999999999999</v>
      </c>
      <c r="D23" s="4">
        <v>1.026</v>
      </c>
      <c r="E23" s="4">
        <v>5.0000000000000001E-3</v>
      </c>
      <c r="F23" s="7">
        <v>12.93</v>
      </c>
      <c r="G23" s="6">
        <v>-1.9099999999999999E-2</v>
      </c>
      <c r="H23" s="2">
        <v>1.9300000000000001E-2</v>
      </c>
      <c r="I23">
        <v>0.5</v>
      </c>
      <c r="J23" s="2">
        <v>7.9100000000000004E-3</v>
      </c>
      <c r="L23" t="str">
        <f t="shared" si="1"/>
        <v xml:space="preserve">    -  4.000</v>
      </c>
      <c r="N23" t="str">
        <f t="shared" si="0"/>
        <v xml:space="preserve">    - [1.553, 1.026, 0.005, 12.93, -0.0191]</v>
      </c>
    </row>
    <row r="24" spans="2:14">
      <c r="B24" s="4">
        <v>5</v>
      </c>
      <c r="C24" s="4">
        <v>1.4830000000000001</v>
      </c>
      <c r="D24" s="4">
        <v>1.0089999999999999</v>
      </c>
      <c r="E24" s="4">
        <v>1.2E-2</v>
      </c>
      <c r="F24" s="7">
        <v>13.12</v>
      </c>
      <c r="G24" s="6">
        <v>-2.58E-2</v>
      </c>
      <c r="H24" s="2">
        <v>2.24E-2</v>
      </c>
      <c r="I24">
        <v>0.5</v>
      </c>
      <c r="J24" s="2">
        <v>9.3900000000000008E-3</v>
      </c>
      <c r="L24" t="str">
        <f t="shared" si="1"/>
        <v xml:space="preserve">    -  5.000</v>
      </c>
      <c r="N24" t="str">
        <f t="shared" si="0"/>
        <v xml:space="preserve">    - [1.483, 1.009, 0.012, 13.12, -0.0258]</v>
      </c>
    </row>
    <row r="25" spans="2:14">
      <c r="B25" s="4">
        <v>6</v>
      </c>
      <c r="C25" s="4">
        <v>1.4419999999999999</v>
      </c>
      <c r="D25" s="4">
        <v>0.98</v>
      </c>
      <c r="E25" s="4">
        <v>2.3E-2</v>
      </c>
      <c r="F25" s="7">
        <v>13.37</v>
      </c>
      <c r="G25" s="6">
        <v>-3.5499999999999997E-2</v>
      </c>
      <c r="H25" s="2">
        <v>2.1600000000000001E-2</v>
      </c>
      <c r="I25">
        <v>0.5</v>
      </c>
      <c r="J25" s="2">
        <v>1.12E-2</v>
      </c>
      <c r="L25" t="str">
        <f t="shared" si="1"/>
        <v xml:space="preserve">    -  6.000</v>
      </c>
      <c r="N25" t="str">
        <f t="shared" si="0"/>
        <v xml:space="preserve">    - [1.442, 0.980, 0.023, 13.37, -0.0355]</v>
      </c>
    </row>
    <row r="26" spans="2:14">
      <c r="B26" s="4">
        <v>8</v>
      </c>
      <c r="C26" s="4">
        <v>1.3540000000000001</v>
      </c>
      <c r="D26" s="4">
        <v>0.97399999999999998</v>
      </c>
      <c r="E26" s="4">
        <v>2.9000000000000001E-2</v>
      </c>
      <c r="F26" s="7">
        <v>13.65</v>
      </c>
      <c r="G26" s="6">
        <v>-4.24E-2</v>
      </c>
      <c r="H26" s="2">
        <v>3.3599999999999998E-2</v>
      </c>
      <c r="I26">
        <v>0.5</v>
      </c>
      <c r="J26" s="2">
        <v>1.37E-2</v>
      </c>
      <c r="L26" t="str">
        <f t="shared" si="1"/>
        <v xml:space="preserve">    -  8.000</v>
      </c>
      <c r="N26" t="str">
        <f t="shared" si="0"/>
        <v xml:space="preserve">    - [1.354, 0.974, 0.029, 13.65, -0.0424]</v>
      </c>
    </row>
    <row r="27" spans="2:14">
      <c r="B27" s="4">
        <v>10</v>
      </c>
      <c r="C27" s="4">
        <v>1.2969999999999999</v>
      </c>
      <c r="D27" s="4">
        <v>0.94899999999999995</v>
      </c>
      <c r="E27" s="4">
        <v>4.2000000000000003E-2</v>
      </c>
      <c r="F27" s="7">
        <v>13.97</v>
      </c>
      <c r="G27" s="6">
        <v>-5.6099999999999997E-2</v>
      </c>
      <c r="H27" s="2">
        <v>3.2300000000000002E-2</v>
      </c>
      <c r="I27">
        <v>0.5</v>
      </c>
      <c r="J27" s="2">
        <v>1.4999999999999999E-2</v>
      </c>
      <c r="L27" t="str">
        <f t="shared" si="1"/>
        <v xml:space="preserve">    -  10.000</v>
      </c>
      <c r="N27" t="str">
        <f t="shared" si="0"/>
        <v xml:space="preserve">    - [1.297, 0.949, 0.042, 13.97, -0.0561]</v>
      </c>
    </row>
    <row r="28" spans="2:14">
      <c r="B28" s="4">
        <v>15</v>
      </c>
      <c r="C28" s="4">
        <v>1.1990000000000001</v>
      </c>
      <c r="D28" s="4">
        <v>0.95699999999999996</v>
      </c>
      <c r="E28" s="4">
        <v>4.9000000000000002E-2</v>
      </c>
      <c r="F28" s="7">
        <v>14.37</v>
      </c>
      <c r="G28" s="6">
        <v>-5.9400000000000001E-2</v>
      </c>
      <c r="H28" s="2">
        <v>3.3799999999999997E-2</v>
      </c>
      <c r="I28">
        <v>0.5</v>
      </c>
      <c r="J28" s="2">
        <v>1.553E-2</v>
      </c>
      <c r="L28" t="str">
        <f t="shared" si="1"/>
        <v xml:space="preserve">    -  15.000</v>
      </c>
      <c r="N28" t="str">
        <f t="shared" si="0"/>
        <v xml:space="preserve">    - [1.199, 0.957, 0.049, 14.37, -0.0594]</v>
      </c>
    </row>
    <row r="30" spans="2:14">
      <c r="C30" s="5" t="s">
        <v>52</v>
      </c>
    </row>
    <row r="31" spans="2:14">
      <c r="B31" t="s">
        <v>1</v>
      </c>
      <c r="C31" t="s">
        <v>11</v>
      </c>
      <c r="D31" t="s">
        <v>12</v>
      </c>
      <c r="E31" t="s">
        <v>13</v>
      </c>
      <c r="F31" t="s">
        <v>16</v>
      </c>
      <c r="G31" t="s">
        <v>14</v>
      </c>
      <c r="H31" t="s">
        <v>17</v>
      </c>
      <c r="I31" t="s">
        <v>18</v>
      </c>
      <c r="J31" t="s">
        <v>15</v>
      </c>
    </row>
    <row r="32" spans="2:14">
      <c r="B32" s="4">
        <v>1.4999999999999999E-2</v>
      </c>
      <c r="C32" s="4">
        <v>1.0289999999999999</v>
      </c>
      <c r="D32" s="4">
        <v>0.39400000000000002</v>
      </c>
      <c r="E32" s="4">
        <v>0.20599999999999999</v>
      </c>
      <c r="F32" s="7">
        <v>15.51</v>
      </c>
      <c r="G32" s="6">
        <v>-0.13880000000000001</v>
      </c>
      <c r="H32" s="2">
        <v>4.4999999999999997E-3</v>
      </c>
      <c r="I32">
        <v>6</v>
      </c>
      <c r="J32" s="2">
        <v>2.2300000000000002E-3</v>
      </c>
      <c r="L32" t="str">
        <f>CONCATENATE("    -  ",TEXT(B32,"0.000"))</f>
        <v xml:space="preserve">    -  0.015</v>
      </c>
      <c r="N32" t="str">
        <f t="shared" ref="N32:N56" si="2">CONCATENATE("    - [",TEXT(C32,$N$2),", ",TEXT(D32,$N$2),", ",TEXT(E32,$N$2),", ",TEXT(F32,$O$2),", ",TEXT(G32,$P$2),"]")</f>
        <v xml:space="preserve">    - [1.029, 0.394, 0.206, 15.51, -0.1388]</v>
      </c>
    </row>
    <row r="33" spans="2:14">
      <c r="B33" s="4">
        <v>0.02</v>
      </c>
      <c r="C33" s="4">
        <v>1.0669999999999999</v>
      </c>
      <c r="D33" s="4">
        <v>0.38400000000000001</v>
      </c>
      <c r="E33" s="4">
        <v>0.22</v>
      </c>
      <c r="F33" s="7">
        <v>13.81</v>
      </c>
      <c r="G33" s="6">
        <v>-0.12039999999999999</v>
      </c>
      <c r="H33" s="2">
        <v>7.1000000000000004E-3</v>
      </c>
      <c r="I33">
        <v>0.5</v>
      </c>
      <c r="J33" s="2">
        <v>3.1199999999999999E-3</v>
      </c>
      <c r="L33" t="str">
        <f t="shared" ref="L33:L56" si="3">CONCATENATE("    -  ",TEXT(B33,"0.000"))</f>
        <v xml:space="preserve">    -  0.020</v>
      </c>
      <c r="N33" t="str">
        <f t="shared" si="2"/>
        <v xml:space="preserve">    - [1.067, 0.384, 0.220, 13.81, -0.1204]</v>
      </c>
    </row>
    <row r="34" spans="2:14">
      <c r="B34" s="4">
        <v>0.03</v>
      </c>
      <c r="C34" s="4">
        <v>1.2230000000000001</v>
      </c>
      <c r="D34" s="4">
        <v>0.42199999999999999</v>
      </c>
      <c r="E34" s="4">
        <v>0.19800000000000001</v>
      </c>
      <c r="F34" s="7">
        <v>15.1</v>
      </c>
      <c r="G34" s="6">
        <v>-0.1042</v>
      </c>
      <c r="H34" s="2">
        <v>1.83E-2</v>
      </c>
      <c r="I34">
        <v>0.5</v>
      </c>
      <c r="J34" s="2">
        <v>6.3499999999999997E-3</v>
      </c>
      <c r="L34" t="str">
        <f t="shared" si="3"/>
        <v xml:space="preserve">    -  0.030</v>
      </c>
      <c r="N34" t="str">
        <f t="shared" si="2"/>
        <v xml:space="preserve">    - [1.223, 0.422, 0.198, 15.10, -0.1042]</v>
      </c>
    </row>
    <row r="35" spans="2:14">
      <c r="B35" s="4">
        <v>0.04</v>
      </c>
      <c r="C35" s="4">
        <v>1.48</v>
      </c>
      <c r="D35" s="4">
        <v>0.503</v>
      </c>
      <c r="E35" s="4">
        <v>0.16600000000000001</v>
      </c>
      <c r="F35" s="7">
        <v>14.78</v>
      </c>
      <c r="G35" s="6">
        <v>-8.9300000000000004E-2</v>
      </c>
      <c r="H35" s="2">
        <v>1.72E-2</v>
      </c>
      <c r="I35">
        <v>0.5</v>
      </c>
      <c r="J35" s="2">
        <v>6.9699999999999996E-3</v>
      </c>
      <c r="L35" t="str">
        <f t="shared" si="3"/>
        <v xml:space="preserve">    -  0.040</v>
      </c>
      <c r="N35" t="str">
        <f t="shared" si="2"/>
        <v xml:space="preserve">    - [1.480, 0.503, 0.166, 14.78, -0.0893]</v>
      </c>
    </row>
    <row r="36" spans="2:14">
      <c r="B36" s="4">
        <v>0.05</v>
      </c>
      <c r="C36" s="4">
        <v>1.7649999999999999</v>
      </c>
      <c r="D36" s="4">
        <v>0.66600000000000004</v>
      </c>
      <c r="E36" s="4">
        <v>9.9000000000000005E-2</v>
      </c>
      <c r="F36" s="7">
        <v>16.34</v>
      </c>
      <c r="G36" s="6">
        <v>-4.9299999999999997E-2</v>
      </c>
      <c r="H36" s="2">
        <v>2.1000000000000001E-2</v>
      </c>
      <c r="I36">
        <v>2</v>
      </c>
      <c r="J36" s="2">
        <v>7.2199999999999999E-3</v>
      </c>
      <c r="L36" t="str">
        <f t="shared" si="3"/>
        <v xml:space="preserve">    -  0.050</v>
      </c>
      <c r="N36" t="str">
        <f t="shared" si="2"/>
        <v xml:space="preserve">    - [1.765, 0.666, 0.099, 16.34, -0.0493]</v>
      </c>
    </row>
    <row r="37" spans="2:14">
      <c r="B37" s="4">
        <v>0.06</v>
      </c>
      <c r="C37" s="4">
        <v>2.1890000000000001</v>
      </c>
      <c r="D37" s="4">
        <v>0.69699999999999995</v>
      </c>
      <c r="E37" s="4">
        <v>0.104</v>
      </c>
      <c r="F37" s="7">
        <v>12.9</v>
      </c>
      <c r="G37" s="6">
        <v>-5.8000000000000003E-2</v>
      </c>
      <c r="H37" s="2">
        <v>0.03</v>
      </c>
      <c r="I37">
        <v>0.5</v>
      </c>
      <c r="J37" s="2">
        <v>1.3559999999999999E-2</v>
      </c>
      <c r="L37" t="str">
        <f t="shared" si="3"/>
        <v xml:space="preserve">    -  0.060</v>
      </c>
      <c r="N37" t="str">
        <f t="shared" si="2"/>
        <v xml:space="preserve">    - [2.189, 0.697, 0.104, 12.90, -0.0580]</v>
      </c>
    </row>
    <row r="38" spans="2:14">
      <c r="B38" s="4">
        <v>0.08</v>
      </c>
      <c r="C38" s="4">
        <v>2.64</v>
      </c>
      <c r="D38" s="4">
        <v>0.92400000000000004</v>
      </c>
      <c r="E38" s="4">
        <v>3.5000000000000003E-2</v>
      </c>
      <c r="F38" s="7">
        <v>12.99</v>
      </c>
      <c r="G38" s="6">
        <v>-3.5099999999999999E-2</v>
      </c>
      <c r="H38" s="2">
        <v>1.54E-2</v>
      </c>
      <c r="I38">
        <v>0.5</v>
      </c>
      <c r="J38" s="2">
        <v>6.6600000000000001E-3</v>
      </c>
      <c r="L38" t="str">
        <f t="shared" si="3"/>
        <v xml:space="preserve">    -  0.080</v>
      </c>
      <c r="N38" t="str">
        <f t="shared" si="2"/>
        <v xml:space="preserve">    - [2.640, 0.924, 0.035, 12.99, -0.0351]</v>
      </c>
    </row>
    <row r="39" spans="2:14">
      <c r="B39" s="4">
        <v>0.1</v>
      </c>
      <c r="C39" s="4">
        <v>2.847</v>
      </c>
      <c r="D39" s="4">
        <v>1.1100000000000001</v>
      </c>
      <c r="E39" s="4">
        <v>-8.9999999999999993E-3</v>
      </c>
      <c r="F39" s="7">
        <v>12.98</v>
      </c>
      <c r="G39" s="6">
        <v>-1.8700000000000001E-2</v>
      </c>
      <c r="H39" s="2">
        <v>6.3E-3</v>
      </c>
      <c r="I39">
        <v>0.5</v>
      </c>
      <c r="J39" s="2">
        <v>4.13E-3</v>
      </c>
      <c r="L39" t="str">
        <f t="shared" si="3"/>
        <v xml:space="preserve">    -  0.100</v>
      </c>
      <c r="N39" t="str">
        <f t="shared" si="2"/>
        <v xml:space="preserve">    - [2.847, 1.110, -0.009, 12.98, -0.0187]</v>
      </c>
    </row>
    <row r="40" spans="2:14">
      <c r="B40" s="4">
        <v>0.15</v>
      </c>
      <c r="C40" s="4">
        <v>2.8769999999999998</v>
      </c>
      <c r="D40" s="4">
        <v>1.357</v>
      </c>
      <c r="E40" s="4">
        <v>-5.8000000000000003E-2</v>
      </c>
      <c r="F40" s="7">
        <v>21.73</v>
      </c>
      <c r="G40" s="6">
        <v>7.1000000000000004E-3</v>
      </c>
      <c r="H40" s="2">
        <v>4.7999999999999996E-3</v>
      </c>
      <c r="I40">
        <v>4</v>
      </c>
      <c r="J40" s="2">
        <v>2.4299999999999999E-3</v>
      </c>
      <c r="L40" t="str">
        <f t="shared" si="3"/>
        <v xml:space="preserve">    -  0.150</v>
      </c>
      <c r="N40" t="str">
        <f t="shared" si="2"/>
        <v xml:space="preserve">    - [2.877, 1.357, -0.058, 21.73, 0.0071]</v>
      </c>
    </row>
    <row r="41" spans="2:14">
      <c r="B41" s="4">
        <v>0.2</v>
      </c>
      <c r="C41" s="4">
        <v>2.762</v>
      </c>
      <c r="D41" s="4">
        <v>1.4550000000000001</v>
      </c>
      <c r="E41" s="4">
        <v>-7.3999999999999996E-2</v>
      </c>
      <c r="F41" s="7">
        <v>17.02</v>
      </c>
      <c r="G41" s="6">
        <v>1.14E-2</v>
      </c>
      <c r="H41" s="2">
        <v>4.4000000000000003E-3</v>
      </c>
      <c r="I41">
        <v>1</v>
      </c>
      <c r="J41" s="2">
        <v>1.9599999999999999E-3</v>
      </c>
      <c r="L41" t="str">
        <f t="shared" si="3"/>
        <v xml:space="preserve">    -  0.200</v>
      </c>
      <c r="N41" t="str">
        <f t="shared" si="2"/>
        <v xml:space="preserve">    - [2.762, 1.455, -0.074, 17.02, 0.0114]</v>
      </c>
    </row>
    <row r="42" spans="2:14">
      <c r="B42" s="4">
        <v>0.3</v>
      </c>
      <c r="C42" s="4">
        <v>2.5459999999999998</v>
      </c>
      <c r="D42" s="4">
        <v>1.51</v>
      </c>
      <c r="E42" s="4">
        <v>-8.5000000000000006E-2</v>
      </c>
      <c r="F42" s="7">
        <v>16.22</v>
      </c>
      <c r="G42" s="6">
        <v>1.72E-2</v>
      </c>
      <c r="H42" s="2">
        <v>4.7999999999999996E-3</v>
      </c>
      <c r="I42">
        <v>4</v>
      </c>
      <c r="J42" s="2">
        <v>2.15E-3</v>
      </c>
      <c r="L42" t="str">
        <f t="shared" si="3"/>
        <v xml:space="preserve">    -  0.300</v>
      </c>
      <c r="N42" t="str">
        <f t="shared" si="2"/>
        <v xml:space="preserve">    - [2.546, 1.510, -0.085, 16.22, 0.0172]</v>
      </c>
    </row>
    <row r="43" spans="2:14">
      <c r="B43" s="4">
        <v>0.4</v>
      </c>
      <c r="C43" s="4">
        <v>2.403</v>
      </c>
      <c r="D43" s="4">
        <v>1.498</v>
      </c>
      <c r="E43" s="4">
        <v>-8.5000000000000006E-2</v>
      </c>
      <c r="F43" s="7">
        <v>16.45</v>
      </c>
      <c r="G43" s="6">
        <v>1.89E-2</v>
      </c>
      <c r="H43" s="2">
        <v>5.4000000000000003E-3</v>
      </c>
      <c r="I43">
        <v>1</v>
      </c>
      <c r="J43" s="2">
        <v>2.3700000000000001E-3</v>
      </c>
      <c r="L43" t="str">
        <f t="shared" si="3"/>
        <v xml:space="preserve">    -  0.400</v>
      </c>
      <c r="N43" t="str">
        <f t="shared" si="2"/>
        <v xml:space="preserve">    - [2.403, 1.498, -0.085, 16.45, 0.0189]</v>
      </c>
    </row>
    <row r="44" spans="2:14">
      <c r="B44" s="4">
        <v>0.5</v>
      </c>
      <c r="C44" s="4">
        <v>2.2869999999999999</v>
      </c>
      <c r="D44" s="4">
        <v>1.474</v>
      </c>
      <c r="E44" s="4">
        <v>-8.3000000000000004E-2</v>
      </c>
      <c r="F44" s="7">
        <v>16.41</v>
      </c>
      <c r="G44" s="6">
        <v>1.9400000000000001E-2</v>
      </c>
      <c r="H44" s="2">
        <v>3.0999999999999999E-3</v>
      </c>
      <c r="I44">
        <v>1</v>
      </c>
      <c r="J44" s="2">
        <v>1.81E-3</v>
      </c>
      <c r="L44" t="str">
        <f t="shared" si="3"/>
        <v xml:space="preserve">    -  0.500</v>
      </c>
      <c r="N44" t="str">
        <f t="shared" si="2"/>
        <v xml:space="preserve">    - [2.287, 1.474, -0.083, 16.41, 0.0194]</v>
      </c>
    </row>
    <row r="45" spans="2:14">
      <c r="B45" s="4">
        <v>0.6</v>
      </c>
      <c r="C45" s="4">
        <v>2.1970000000000001</v>
      </c>
      <c r="D45" s="4">
        <v>1.448</v>
      </c>
      <c r="E45" s="4">
        <v>-8.1000000000000003E-2</v>
      </c>
      <c r="F45" s="7">
        <v>17.03</v>
      </c>
      <c r="G45" s="6">
        <v>2.2700000000000001E-2</v>
      </c>
      <c r="H45" s="2">
        <v>6.7000000000000002E-3</v>
      </c>
      <c r="I45">
        <v>15</v>
      </c>
      <c r="J45" s="2">
        <v>2.9299999999999999E-3</v>
      </c>
      <c r="L45" t="str">
        <f t="shared" si="3"/>
        <v xml:space="preserve">    -  0.600</v>
      </c>
      <c r="N45" t="str">
        <f t="shared" si="2"/>
        <v xml:space="preserve">    - [2.197, 1.448, -0.081, 17.03, 0.0227]</v>
      </c>
    </row>
    <row r="46" spans="2:14">
      <c r="B46" s="4">
        <v>0.8</v>
      </c>
      <c r="C46" s="4">
        <v>2.08</v>
      </c>
      <c r="D46" s="4">
        <v>1.3839999999999999</v>
      </c>
      <c r="E46" s="4">
        <v>-7.1999999999999995E-2</v>
      </c>
      <c r="F46" s="7">
        <v>16.239999999999998</v>
      </c>
      <c r="G46" s="6">
        <v>2.0199999999999999E-2</v>
      </c>
      <c r="H46" s="2">
        <v>6.4000000000000003E-3</v>
      </c>
      <c r="I46">
        <v>0.5</v>
      </c>
      <c r="J46" s="2">
        <v>2.8300000000000001E-3</v>
      </c>
      <c r="L46" t="str">
        <f t="shared" si="3"/>
        <v xml:space="preserve">    -  0.800</v>
      </c>
      <c r="N46" t="str">
        <f t="shared" si="2"/>
        <v xml:space="preserve">    - [2.080, 1.384, -0.072, 16.24, 0.0202]</v>
      </c>
    </row>
    <row r="47" spans="2:14">
      <c r="B47" s="4">
        <v>1</v>
      </c>
      <c r="C47" s="4">
        <v>1.994</v>
      </c>
      <c r="D47" s="4">
        <v>1.3360000000000001</v>
      </c>
      <c r="E47" s="4">
        <v>-6.6000000000000003E-2</v>
      </c>
      <c r="F47" s="7">
        <v>15.85</v>
      </c>
      <c r="G47" s="6">
        <v>2.1499999999999998E-2</v>
      </c>
      <c r="H47" s="2">
        <v>6.0000000000000001E-3</v>
      </c>
      <c r="I47">
        <v>6</v>
      </c>
      <c r="J47" s="2">
        <v>2.82E-3</v>
      </c>
      <c r="L47" t="str">
        <f t="shared" si="3"/>
        <v xml:space="preserve">    -  1.000</v>
      </c>
      <c r="N47" t="str">
        <f t="shared" si="2"/>
        <v xml:space="preserve">    - [1.994, 1.336, -0.066, 15.85, 0.0215]</v>
      </c>
    </row>
    <row r="48" spans="2:14">
      <c r="B48" s="4">
        <v>1.5</v>
      </c>
      <c r="C48" s="4">
        <v>1.855</v>
      </c>
      <c r="D48" s="4">
        <v>1.23</v>
      </c>
      <c r="E48" s="4">
        <v>-4.8000000000000001E-2</v>
      </c>
      <c r="F48" s="7">
        <v>16.010000000000002</v>
      </c>
      <c r="G48" s="6">
        <v>1.7100000000000001E-2</v>
      </c>
      <c r="H48" s="2">
        <v>4.4999999999999997E-3</v>
      </c>
      <c r="I48">
        <v>15</v>
      </c>
      <c r="J48" s="2">
        <v>2.2599999999999999E-3</v>
      </c>
      <c r="L48" t="str">
        <f t="shared" si="3"/>
        <v xml:space="preserve">    -  1.500</v>
      </c>
      <c r="N48" t="str">
        <f t="shared" si="2"/>
        <v xml:space="preserve">    - [1.855, 1.230, -0.048, 16.01, 0.0171]</v>
      </c>
    </row>
    <row r="49" spans="2:14">
      <c r="B49" s="4">
        <v>2</v>
      </c>
      <c r="C49" s="4">
        <v>1.7809999999999999</v>
      </c>
      <c r="D49" s="4">
        <v>1.153</v>
      </c>
      <c r="E49" s="4">
        <v>-3.2000000000000001E-2</v>
      </c>
      <c r="F49" s="7">
        <v>15.32</v>
      </c>
      <c r="G49" s="6">
        <v>9.1000000000000004E-3</v>
      </c>
      <c r="H49" s="2">
        <v>3.2000000000000002E-3</v>
      </c>
      <c r="I49">
        <v>0.5</v>
      </c>
      <c r="J49" s="2">
        <v>1.42E-3</v>
      </c>
      <c r="L49" t="str">
        <f t="shared" si="3"/>
        <v xml:space="preserve">    -  2.000</v>
      </c>
      <c r="N49" t="str">
        <f t="shared" si="2"/>
        <v xml:space="preserve">    - [1.781, 1.153, -0.032, 15.32, 0.0091]</v>
      </c>
    </row>
    <row r="50" spans="2:14">
      <c r="B50" s="4">
        <v>3</v>
      </c>
      <c r="C50" s="4">
        <v>1.673</v>
      </c>
      <c r="D50" s="4">
        <v>1.0569999999999999</v>
      </c>
      <c r="E50" s="4">
        <v>-0.01</v>
      </c>
      <c r="F50" s="7">
        <v>10.79</v>
      </c>
      <c r="G50" s="6">
        <v>-2.5000000000000001E-3</v>
      </c>
      <c r="H50" s="2">
        <v>4.1999999999999997E-3</v>
      </c>
      <c r="I50">
        <v>1</v>
      </c>
      <c r="J50" s="2">
        <v>2.0200000000000001E-3</v>
      </c>
      <c r="L50" t="str">
        <f t="shared" si="3"/>
        <v xml:space="preserve">    -  3.000</v>
      </c>
      <c r="N50" t="str">
        <f t="shared" si="2"/>
        <v xml:space="preserve">    - [1.673, 1.057, -0.010, 10.79, -0.0025]</v>
      </c>
    </row>
    <row r="51" spans="2:14">
      <c r="B51" s="4">
        <v>4</v>
      </c>
      <c r="C51" s="4">
        <v>1.607</v>
      </c>
      <c r="D51" s="4">
        <v>0.97399999999999998</v>
      </c>
      <c r="E51" s="4">
        <v>1.2999999999999999E-2</v>
      </c>
      <c r="F51" s="7">
        <v>12.22</v>
      </c>
      <c r="G51" s="6">
        <v>-1.6400000000000001E-2</v>
      </c>
      <c r="H51" s="2">
        <v>1.0500000000000001E-2</v>
      </c>
      <c r="I51">
        <v>0.5</v>
      </c>
      <c r="J51" s="2">
        <v>4.9800000000000001E-3</v>
      </c>
      <c r="L51" t="str">
        <f t="shared" si="3"/>
        <v xml:space="preserve">    -  4.000</v>
      </c>
      <c r="N51" t="str">
        <f t="shared" si="2"/>
        <v xml:space="preserve">    - [1.607, 0.974, 0.013, 12.22, -0.0164]</v>
      </c>
    </row>
    <row r="52" spans="2:14">
      <c r="B52" s="4">
        <v>5</v>
      </c>
      <c r="C52" s="4">
        <v>1.5289999999999999</v>
      </c>
      <c r="D52" s="4">
        <v>0.95699999999999996</v>
      </c>
      <c r="E52" s="4">
        <v>1.7999999999999999E-2</v>
      </c>
      <c r="F52" s="7">
        <v>10.9</v>
      </c>
      <c r="G52" s="6">
        <v>-1.5699999999999999E-2</v>
      </c>
      <c r="H52" s="2">
        <v>9.1999999999999998E-3</v>
      </c>
      <c r="I52">
        <v>0.5</v>
      </c>
      <c r="J52" s="2">
        <v>4.13E-3</v>
      </c>
      <c r="L52" t="str">
        <f t="shared" si="3"/>
        <v xml:space="preserve">    -  5.000</v>
      </c>
      <c r="N52" t="str">
        <f t="shared" si="2"/>
        <v xml:space="preserve">    - [1.529, 0.957, 0.018, 10.90, -0.0157]</v>
      </c>
    </row>
    <row r="53" spans="2:14">
      <c r="B53" s="4">
        <v>6</v>
      </c>
      <c r="C53" s="4">
        <v>1.4810000000000001</v>
      </c>
      <c r="D53" s="4">
        <v>0.93300000000000005</v>
      </c>
      <c r="E53" s="4">
        <v>2.5999999999999999E-2</v>
      </c>
      <c r="F53" s="7">
        <v>12.33</v>
      </c>
      <c r="G53" s="6">
        <v>-2.3900000000000001E-2</v>
      </c>
      <c r="H53" s="2">
        <v>1.1299999999999999E-2</v>
      </c>
      <c r="I53">
        <v>0.5</v>
      </c>
      <c r="J53" s="2">
        <v>5.2399999999999999E-3</v>
      </c>
      <c r="L53" t="str">
        <f t="shared" si="3"/>
        <v xml:space="preserve">    -  6.000</v>
      </c>
      <c r="N53" t="str">
        <f t="shared" si="2"/>
        <v xml:space="preserve">    - [1.481, 0.933, 0.026, 12.33, -0.0239]</v>
      </c>
    </row>
    <row r="54" spans="2:14">
      <c r="B54" s="4">
        <v>8</v>
      </c>
      <c r="C54" s="4">
        <v>1.3959999999999999</v>
      </c>
      <c r="D54" s="4">
        <v>0.91700000000000004</v>
      </c>
      <c r="E54" s="4">
        <v>0.03</v>
      </c>
      <c r="F54" s="7">
        <v>13.88</v>
      </c>
      <c r="G54" s="6">
        <v>-2.6200000000000001E-2</v>
      </c>
      <c r="H54" s="2">
        <v>1.37E-2</v>
      </c>
      <c r="I54">
        <v>0.5</v>
      </c>
      <c r="J54" s="2">
        <v>6.77E-3</v>
      </c>
      <c r="L54" t="str">
        <f t="shared" si="3"/>
        <v xml:space="preserve">    -  8.000</v>
      </c>
      <c r="N54" t="str">
        <f t="shared" si="2"/>
        <v xml:space="preserve">    - [1.396, 0.917, 0.030, 13.88, -0.0262]</v>
      </c>
    </row>
    <row r="55" spans="2:14">
      <c r="B55" s="4">
        <v>10</v>
      </c>
      <c r="C55" s="4">
        <v>1.3340000000000001</v>
      </c>
      <c r="D55" s="4">
        <v>0.90200000000000002</v>
      </c>
      <c r="E55" s="4">
        <v>3.7999999999999999E-2</v>
      </c>
      <c r="F55" s="7">
        <v>13.03</v>
      </c>
      <c r="G55" s="6">
        <v>-3.32E-2</v>
      </c>
      <c r="H55" s="2">
        <v>1.4800000000000001E-2</v>
      </c>
      <c r="I55">
        <v>0.5</v>
      </c>
      <c r="J55" s="2">
        <v>7.1900000000000002E-3</v>
      </c>
      <c r="L55" t="str">
        <f t="shared" si="3"/>
        <v xml:space="preserve">    -  10.000</v>
      </c>
      <c r="N55" t="str">
        <f t="shared" si="2"/>
        <v xml:space="preserve">    - [1.334, 0.902, 0.038, 13.03, -0.0332]</v>
      </c>
    </row>
    <row r="56" spans="2:14">
      <c r="B56" s="4">
        <v>15</v>
      </c>
      <c r="C56" s="4">
        <v>1.244</v>
      </c>
      <c r="D56" s="4">
        <v>0.86899999999999999</v>
      </c>
      <c r="E56" s="4">
        <v>0.05</v>
      </c>
      <c r="F56" s="7">
        <v>14.91</v>
      </c>
      <c r="G56" s="6">
        <v>-4.7600000000000003E-2</v>
      </c>
      <c r="H56" s="2">
        <v>1.9699999999999999E-2</v>
      </c>
      <c r="I56">
        <v>0.5</v>
      </c>
      <c r="J56" s="2">
        <v>1.098E-2</v>
      </c>
      <c r="L56" t="str">
        <f t="shared" si="3"/>
        <v xml:space="preserve">    -  15.000</v>
      </c>
      <c r="N56" t="str">
        <f t="shared" si="2"/>
        <v xml:space="preserve">    - [1.244, 0.869, 0.050, 14.91, -0.0476]</v>
      </c>
    </row>
    <row r="58" spans="2:14">
      <c r="C58" t="s">
        <v>53</v>
      </c>
    </row>
    <row r="59" spans="2:14">
      <c r="B59" t="s">
        <v>1</v>
      </c>
      <c r="C59" t="s">
        <v>11</v>
      </c>
      <c r="D59" t="s">
        <v>12</v>
      </c>
      <c r="E59" t="s">
        <v>13</v>
      </c>
      <c r="F59" t="s">
        <v>16</v>
      </c>
      <c r="G59" t="s">
        <v>14</v>
      </c>
      <c r="H59" t="s">
        <v>17</v>
      </c>
      <c r="I59" t="s">
        <v>18</v>
      </c>
      <c r="J59" t="s">
        <v>15</v>
      </c>
    </row>
    <row r="60" spans="2:14">
      <c r="B60" s="4">
        <v>1.4999999999999999E-2</v>
      </c>
      <c r="C60" s="4">
        <v>1.0009999999999999</v>
      </c>
      <c r="D60" s="4">
        <v>2.044</v>
      </c>
      <c r="E60" s="4">
        <v>-0.31</v>
      </c>
      <c r="F60" s="7">
        <v>11.15</v>
      </c>
      <c r="G60" s="6">
        <v>0.25190000000000001</v>
      </c>
      <c r="H60" s="2">
        <v>4.5999999999999999E-3</v>
      </c>
      <c r="I60">
        <v>3</v>
      </c>
      <c r="J60" s="2">
        <v>1.75E-3</v>
      </c>
      <c r="L60" t="str">
        <f>CONCATENATE("    -  ",TEXT(B60,"0.000"))</f>
        <v xml:space="preserve">    -  0.015</v>
      </c>
      <c r="N60" t="str">
        <f t="shared" ref="N60:N84" si="4">CONCATENATE("    - [",TEXT(C60,$N$2),", ",TEXT(D60,$N$2),", ",TEXT(E60,$N$2),", ",TEXT(F60,$O$2),", ",TEXT(G60,$P$2),"]")</f>
        <v xml:space="preserve">    - [1.001, 2.044, -0.310, 11.15, 0.2519]</v>
      </c>
    </row>
    <row r="61" spans="2:14">
      <c r="B61" s="4">
        <v>0.02</v>
      </c>
      <c r="C61" s="4">
        <v>1.0089999999999999</v>
      </c>
      <c r="D61" s="4">
        <v>0.10299999999999999</v>
      </c>
      <c r="E61" s="4">
        <v>0.76400000000000001</v>
      </c>
      <c r="F61" s="7">
        <v>10.78</v>
      </c>
      <c r="G61" s="6">
        <v>-1.0612999999999999</v>
      </c>
      <c r="H61" s="2">
        <v>4.7999999999999996E-3</v>
      </c>
      <c r="I61">
        <v>7</v>
      </c>
      <c r="J61" s="2">
        <v>2.4299999999999999E-3</v>
      </c>
      <c r="L61" t="str">
        <f t="shared" ref="L61:L84" si="5">CONCATENATE("    -  ",TEXT(B61,"0.000"))</f>
        <v xml:space="preserve">    -  0.020</v>
      </c>
      <c r="N61" t="str">
        <f t="shared" si="4"/>
        <v xml:space="preserve">    - [1.009, 0.103, 0.764, 10.78, -1.0613]</v>
      </c>
    </row>
    <row r="62" spans="2:14">
      <c r="B62" s="4">
        <v>0.03</v>
      </c>
      <c r="C62" s="4">
        <v>1.02</v>
      </c>
      <c r="D62" s="4">
        <v>0.35899999999999999</v>
      </c>
      <c r="E62" s="4">
        <v>0.20499999999999999</v>
      </c>
      <c r="F62" s="7">
        <v>12</v>
      </c>
      <c r="G62" s="6">
        <v>-5.0999999999999997E-2</v>
      </c>
      <c r="H62" s="2">
        <v>3.7000000000000002E-3</v>
      </c>
      <c r="I62">
        <v>8</v>
      </c>
      <c r="J62" s="2">
        <v>2.47E-3</v>
      </c>
      <c r="L62" t="str">
        <f t="shared" si="5"/>
        <v xml:space="preserve">    -  0.030</v>
      </c>
      <c r="N62" t="str">
        <f t="shared" si="4"/>
        <v xml:space="preserve">    - [1.020, 0.359, 0.205, 12.00, -0.0510]</v>
      </c>
    </row>
    <row r="63" spans="2:14">
      <c r="B63" s="4">
        <v>0.04</v>
      </c>
      <c r="C63" s="4">
        <v>1.042</v>
      </c>
      <c r="D63" s="4">
        <v>0.33</v>
      </c>
      <c r="E63" s="4">
        <v>0.23899999999999999</v>
      </c>
      <c r="F63" s="7">
        <v>14.45</v>
      </c>
      <c r="G63" s="6">
        <v>-9.6199999999999994E-2</v>
      </c>
      <c r="H63" s="2">
        <v>3.8E-3</v>
      </c>
      <c r="I63">
        <v>4</v>
      </c>
      <c r="J63" s="2">
        <v>2.15E-3</v>
      </c>
      <c r="L63" t="str">
        <f t="shared" si="5"/>
        <v xml:space="preserve">    -  0.040</v>
      </c>
      <c r="N63" t="str">
        <f t="shared" si="4"/>
        <v xml:space="preserve">    - [1.042, 0.330, 0.239, 14.45, -0.0962]</v>
      </c>
    </row>
    <row r="64" spans="2:14">
      <c r="B64" s="4">
        <v>0.05</v>
      </c>
      <c r="C64" s="4">
        <v>1.071</v>
      </c>
      <c r="D64" s="4">
        <v>0.35299999999999998</v>
      </c>
      <c r="E64" s="4">
        <v>0.24299999999999999</v>
      </c>
      <c r="F64" s="7">
        <v>12.89</v>
      </c>
      <c r="G64" s="6">
        <v>-0.14069999999999999</v>
      </c>
      <c r="H64" s="2">
        <v>3.8999999999999998E-3</v>
      </c>
      <c r="I64">
        <v>0.5</v>
      </c>
      <c r="J64" s="2">
        <v>1.6299999999999999E-3</v>
      </c>
      <c r="L64" t="str">
        <f t="shared" si="5"/>
        <v xml:space="preserve">    -  0.050</v>
      </c>
      <c r="N64" t="str">
        <f t="shared" si="4"/>
        <v xml:space="preserve">    - [1.071, 0.353, 0.243, 12.89, -0.1407]</v>
      </c>
    </row>
    <row r="65" spans="2:14">
      <c r="B65" s="4">
        <v>0.06</v>
      </c>
      <c r="C65" s="4">
        <v>1.109</v>
      </c>
      <c r="D65" s="4">
        <v>0.36399999999999999</v>
      </c>
      <c r="E65" s="4">
        <v>0.23699999999999999</v>
      </c>
      <c r="F65" s="7">
        <v>13.54</v>
      </c>
      <c r="G65" s="6">
        <v>-0.13489999999999999</v>
      </c>
      <c r="H65" s="2">
        <v>9.1999999999999998E-3</v>
      </c>
      <c r="I65">
        <v>0.5</v>
      </c>
      <c r="J65" s="2">
        <v>4.1000000000000003E-3</v>
      </c>
      <c r="L65" t="str">
        <f t="shared" si="5"/>
        <v xml:space="preserve">    -  0.060</v>
      </c>
      <c r="N65" t="str">
        <f t="shared" si="4"/>
        <v xml:space="preserve">    - [1.109, 0.364, 0.237, 13.54, -0.1349]</v>
      </c>
    </row>
    <row r="66" spans="2:14">
      <c r="B66" s="4">
        <v>0.08</v>
      </c>
      <c r="C66" s="4">
        <v>1.1890000000000001</v>
      </c>
      <c r="D66" s="4">
        <v>0.44600000000000001</v>
      </c>
      <c r="E66" s="4">
        <v>0.192</v>
      </c>
      <c r="F66" s="7">
        <v>13.97</v>
      </c>
      <c r="G66" s="6">
        <v>-0.1094</v>
      </c>
      <c r="H66" s="2">
        <v>2.0799999999999999E-2</v>
      </c>
      <c r="I66">
        <v>0.5</v>
      </c>
      <c r="J66" s="2">
        <v>7.4799999999999997E-3</v>
      </c>
      <c r="L66" t="str">
        <f t="shared" si="5"/>
        <v xml:space="preserve">    -  0.080</v>
      </c>
      <c r="N66" t="str">
        <f t="shared" si="4"/>
        <v xml:space="preserve">    - [1.189, 0.446, 0.192, 13.97, -0.1094]</v>
      </c>
    </row>
    <row r="67" spans="2:14">
      <c r="B67" s="4">
        <v>0.1</v>
      </c>
      <c r="C67" s="4">
        <v>1.2869999999999999</v>
      </c>
      <c r="D67" s="4">
        <v>0.50700000000000001</v>
      </c>
      <c r="E67" s="4">
        <v>0.16500000000000001</v>
      </c>
      <c r="F67" s="7">
        <v>13.89</v>
      </c>
      <c r="G67" s="6">
        <v>-9.2399999999999996E-2</v>
      </c>
      <c r="H67" s="2">
        <v>2.3699999999999999E-2</v>
      </c>
      <c r="I67">
        <v>0.5</v>
      </c>
      <c r="J67" s="2">
        <v>9.2099999999999994E-3</v>
      </c>
      <c r="L67" t="str">
        <f t="shared" si="5"/>
        <v xml:space="preserve">    -  0.100</v>
      </c>
      <c r="N67" t="str">
        <f t="shared" si="4"/>
        <v xml:space="preserve">    - [1.287, 0.507, 0.165, 13.89, -0.0924]</v>
      </c>
    </row>
    <row r="68" spans="2:14">
      <c r="B68" s="4">
        <v>0.15</v>
      </c>
      <c r="C68" s="4">
        <v>1.518</v>
      </c>
      <c r="D68" s="4">
        <v>0.67500000000000004</v>
      </c>
      <c r="E68" s="4">
        <v>0.1</v>
      </c>
      <c r="F68" s="7">
        <v>13.99</v>
      </c>
      <c r="G68" s="6">
        <v>-5.5500000000000001E-2</v>
      </c>
      <c r="H68" s="2">
        <v>3.1E-2</v>
      </c>
      <c r="I68">
        <v>0.5</v>
      </c>
      <c r="J68" s="2">
        <v>1.1089999999999999E-2</v>
      </c>
      <c r="L68" t="str">
        <f t="shared" si="5"/>
        <v xml:space="preserve">    -  0.150</v>
      </c>
      <c r="N68" t="str">
        <f t="shared" si="4"/>
        <v xml:space="preserve">    - [1.518, 0.675, 0.100, 13.99, -0.0555]</v>
      </c>
    </row>
    <row r="69" spans="2:14">
      <c r="B69" s="4">
        <v>0.2</v>
      </c>
      <c r="C69" s="4">
        <v>1.6950000000000001</v>
      </c>
      <c r="D69" s="4">
        <v>0.83499999999999996</v>
      </c>
      <c r="E69" s="4">
        <v>5.1999999999999998E-2</v>
      </c>
      <c r="F69" s="7">
        <v>13.62</v>
      </c>
      <c r="G69" s="6">
        <v>-3.6400000000000002E-2</v>
      </c>
      <c r="H69" s="2">
        <v>3.1E-2</v>
      </c>
      <c r="I69">
        <v>0.5</v>
      </c>
      <c r="J69" s="2">
        <v>1.163E-2</v>
      </c>
      <c r="L69" t="str">
        <f t="shared" si="5"/>
        <v xml:space="preserve">    -  0.200</v>
      </c>
      <c r="N69" t="str">
        <f t="shared" si="4"/>
        <v xml:space="preserve">    - [1.695, 0.835, 0.052, 13.62, -0.0364]</v>
      </c>
    </row>
    <row r="70" spans="2:14">
      <c r="B70" s="4">
        <v>0.3</v>
      </c>
      <c r="C70" s="4">
        <v>1.865</v>
      </c>
      <c r="D70" s="4">
        <v>1.0229999999999999</v>
      </c>
      <c r="E70" s="4">
        <v>5.0000000000000001E-3</v>
      </c>
      <c r="F70" s="7">
        <v>12.51</v>
      </c>
      <c r="G70" s="6">
        <v>-1.9699999999999999E-2</v>
      </c>
      <c r="H70" s="2">
        <v>2.69E-2</v>
      </c>
      <c r="I70">
        <v>0.5</v>
      </c>
      <c r="J70" s="2">
        <v>1.004E-2</v>
      </c>
      <c r="L70" t="str">
        <f t="shared" si="5"/>
        <v xml:space="preserve">    -  0.300</v>
      </c>
      <c r="N70" t="str">
        <f t="shared" si="4"/>
        <v xml:space="preserve">    - [1.865, 1.023, 0.005, 12.51, -0.0197]</v>
      </c>
    </row>
    <row r="71" spans="2:14">
      <c r="B71" s="4">
        <v>0.4</v>
      </c>
      <c r="C71" s="4">
        <v>1.9079999999999999</v>
      </c>
      <c r="D71" s="4">
        <v>1.135</v>
      </c>
      <c r="E71" s="4">
        <v>-1.7999999999999999E-2</v>
      </c>
      <c r="F71" s="7">
        <v>11.46</v>
      </c>
      <c r="G71" s="6">
        <v>-1.37E-2</v>
      </c>
      <c r="H71" s="2">
        <v>2.1600000000000001E-2</v>
      </c>
      <c r="I71">
        <v>0.5</v>
      </c>
      <c r="J71" s="2">
        <v>8.6199999999999992E-3</v>
      </c>
      <c r="L71" t="str">
        <f t="shared" si="5"/>
        <v xml:space="preserve">    -  0.400</v>
      </c>
      <c r="N71" t="str">
        <f t="shared" si="4"/>
        <v xml:space="preserve">    - [1.908, 1.135, -0.018, 11.46, -0.0137]</v>
      </c>
    </row>
    <row r="72" spans="2:14">
      <c r="B72" s="4">
        <v>0.5</v>
      </c>
      <c r="C72" s="4">
        <v>1.909</v>
      </c>
      <c r="D72" s="4">
        <v>1.1890000000000001</v>
      </c>
      <c r="E72" s="4">
        <v>-2.9000000000000001E-2</v>
      </c>
      <c r="F72" s="7">
        <v>9.92</v>
      </c>
      <c r="G72" s="6">
        <v>-1.06E-2</v>
      </c>
      <c r="H72" s="2">
        <v>1.8800000000000001E-2</v>
      </c>
      <c r="I72">
        <v>0.5</v>
      </c>
      <c r="J72" s="2">
        <v>7.7299999999999999E-3</v>
      </c>
      <c r="L72" t="str">
        <f t="shared" si="5"/>
        <v xml:space="preserve">    -  0.500</v>
      </c>
      <c r="N72" t="str">
        <f t="shared" si="4"/>
        <v xml:space="preserve">    - [1.909, 1.189, -0.029, 9.92, -0.0106]</v>
      </c>
    </row>
    <row r="73" spans="2:14">
      <c r="B73" s="4">
        <v>0.6</v>
      </c>
      <c r="C73" s="4">
        <v>1.889</v>
      </c>
      <c r="D73" s="4">
        <v>1.216</v>
      </c>
      <c r="E73" s="4">
        <v>-3.5000000000000003E-2</v>
      </c>
      <c r="F73" s="7">
        <v>8.5299999999999994</v>
      </c>
      <c r="G73" s="6">
        <v>-9.1000000000000004E-3</v>
      </c>
      <c r="H73" s="2">
        <v>2.06E-2</v>
      </c>
      <c r="I73">
        <v>0.5</v>
      </c>
      <c r="J73" s="2">
        <v>6.6100000000000004E-3</v>
      </c>
      <c r="L73" t="str">
        <f t="shared" si="5"/>
        <v xml:space="preserve">    -  0.600</v>
      </c>
      <c r="N73" t="str">
        <f t="shared" si="4"/>
        <v xml:space="preserve">    - [1.889, 1.216, -0.035, 8.53, -0.0091]</v>
      </c>
    </row>
    <row r="74" spans="2:14">
      <c r="B74" s="4">
        <v>0.8</v>
      </c>
      <c r="C74" s="4">
        <v>1.847</v>
      </c>
      <c r="D74" s="4">
        <v>1.226</v>
      </c>
      <c r="E74" s="4">
        <v>-3.6999999999999998E-2</v>
      </c>
      <c r="F74" s="7">
        <v>7.03</v>
      </c>
      <c r="G74" s="6">
        <v>-1.18E-2</v>
      </c>
      <c r="H74" s="2">
        <v>1.46E-2</v>
      </c>
      <c r="I74">
        <v>0.5</v>
      </c>
      <c r="J74" s="2">
        <v>5.1700000000000001E-3</v>
      </c>
      <c r="L74" t="str">
        <f t="shared" si="5"/>
        <v xml:space="preserve">    -  0.800</v>
      </c>
      <c r="N74" t="str">
        <f t="shared" si="4"/>
        <v xml:space="preserve">    - [1.847, 1.226, -0.037, 7.03, -0.0118]</v>
      </c>
    </row>
    <row r="75" spans="2:14">
      <c r="B75" s="4">
        <v>1</v>
      </c>
      <c r="C75" s="4">
        <v>1.8160000000000001</v>
      </c>
      <c r="D75" s="4">
        <v>1.204</v>
      </c>
      <c r="E75" s="4">
        <v>-3.4000000000000002E-2</v>
      </c>
      <c r="F75" s="7">
        <v>7.47</v>
      </c>
      <c r="G75" s="6">
        <v>-1.14E-2</v>
      </c>
      <c r="H75" s="2">
        <v>9.4999999999999998E-3</v>
      </c>
      <c r="I75">
        <v>0.5</v>
      </c>
      <c r="J75" s="2">
        <v>4.3400000000000001E-3</v>
      </c>
      <c r="L75" t="str">
        <f t="shared" si="5"/>
        <v xml:space="preserve">    -  1.000</v>
      </c>
      <c r="N75" t="str">
        <f t="shared" si="4"/>
        <v xml:space="preserve">    - [1.816, 1.204, -0.034, 7.47, -0.0114]</v>
      </c>
    </row>
    <row r="76" spans="2:14">
      <c r="B76" s="4">
        <v>1.5</v>
      </c>
      <c r="C76" s="4">
        <v>1.7330000000000001</v>
      </c>
      <c r="D76" s="4">
        <v>1.1850000000000001</v>
      </c>
      <c r="E76" s="4">
        <v>-3.6999999999999998E-2</v>
      </c>
      <c r="F76" s="7">
        <v>18.36</v>
      </c>
      <c r="G76" s="6">
        <v>1.06E-2</v>
      </c>
      <c r="H76" s="2">
        <v>8.3999999999999995E-3</v>
      </c>
      <c r="I76">
        <v>0.5</v>
      </c>
      <c r="J76" s="2">
        <v>3.0200000000000001E-3</v>
      </c>
      <c r="L76" t="str">
        <f t="shared" si="5"/>
        <v xml:space="preserve">    -  1.500</v>
      </c>
      <c r="N76" t="str">
        <f t="shared" si="4"/>
        <v xml:space="preserve">    - [1.733, 1.185, -0.037, 18.36, 0.0106]</v>
      </c>
    </row>
    <row r="77" spans="2:14">
      <c r="B77" s="4">
        <v>2</v>
      </c>
      <c r="C77" s="4">
        <v>1.6950000000000001</v>
      </c>
      <c r="D77" s="4">
        <v>1.121</v>
      </c>
      <c r="E77" s="4">
        <v>-2.1000000000000001E-2</v>
      </c>
      <c r="F77" s="7">
        <v>8.9</v>
      </c>
      <c r="G77" s="6">
        <v>-4.1999999999999997E-3</v>
      </c>
      <c r="H77" s="2">
        <v>1.01E-2</v>
      </c>
      <c r="I77">
        <v>0.5</v>
      </c>
      <c r="J77" s="2">
        <v>3.49E-3</v>
      </c>
      <c r="L77" t="str">
        <f t="shared" si="5"/>
        <v xml:space="preserve">    -  2.000</v>
      </c>
      <c r="N77" t="str">
        <f t="shared" si="4"/>
        <v xml:space="preserve">    - [1.695, 1.121, -0.021, 8.90, -0.0042]</v>
      </c>
    </row>
    <row r="78" spans="2:14">
      <c r="B78" s="4">
        <v>3</v>
      </c>
      <c r="C78" s="4">
        <v>1.617</v>
      </c>
      <c r="D78" s="4">
        <v>1.0589999999999999</v>
      </c>
      <c r="E78" s="4">
        <v>-4.0000000000000001E-3</v>
      </c>
      <c r="F78" s="7">
        <v>12.21</v>
      </c>
      <c r="G78" s="6">
        <v>-1.46E-2</v>
      </c>
      <c r="H78" s="2">
        <v>1.2200000000000001E-2</v>
      </c>
      <c r="I78">
        <v>0.5</v>
      </c>
      <c r="J78" s="2">
        <v>6.0800000000000003E-3</v>
      </c>
      <c r="L78" t="str">
        <f t="shared" si="5"/>
        <v xml:space="preserve">    -  3.000</v>
      </c>
      <c r="N78" t="str">
        <f t="shared" si="4"/>
        <v xml:space="preserve">    - [1.617, 1.059, -0.004, 12.21, -0.0146]</v>
      </c>
    </row>
    <row r="79" spans="2:14">
      <c r="B79" s="4">
        <v>4</v>
      </c>
      <c r="C79" s="4">
        <v>1.546</v>
      </c>
      <c r="D79" s="4">
        <v>1.022</v>
      </c>
      <c r="E79" s="4">
        <v>8.9999999999999993E-3</v>
      </c>
      <c r="F79" s="7">
        <v>12.92</v>
      </c>
      <c r="G79" s="6">
        <v>-2.58E-2</v>
      </c>
      <c r="H79" s="2">
        <v>2.1600000000000001E-2</v>
      </c>
      <c r="I79">
        <v>0.5</v>
      </c>
      <c r="J79" s="2">
        <v>9.7599999999999996E-3</v>
      </c>
      <c r="L79" t="str">
        <f t="shared" si="5"/>
        <v xml:space="preserve">    -  4.000</v>
      </c>
      <c r="N79" t="str">
        <f t="shared" si="4"/>
        <v xml:space="preserve">    - [1.546, 1.022, 0.009, 12.92, -0.0258]</v>
      </c>
    </row>
    <row r="80" spans="2:14">
      <c r="B80" s="4">
        <v>5</v>
      </c>
      <c r="C80" s="4">
        <v>1.4790000000000001</v>
      </c>
      <c r="D80" s="4">
        <v>1.008</v>
      </c>
      <c r="E80" s="4">
        <v>1.4999999999999999E-2</v>
      </c>
      <c r="F80" s="7">
        <v>13.26</v>
      </c>
      <c r="G80" s="6">
        <v>-3.1E-2</v>
      </c>
      <c r="H80" s="2">
        <v>2.3900000000000001E-2</v>
      </c>
      <c r="I80">
        <v>0.5</v>
      </c>
      <c r="J80" s="2">
        <v>1.1050000000000001E-2</v>
      </c>
      <c r="L80" t="str">
        <f t="shared" si="5"/>
        <v xml:space="preserve">    -  5.000</v>
      </c>
      <c r="N80" t="str">
        <f t="shared" si="4"/>
        <v xml:space="preserve">    - [1.479, 1.008, 0.015, 13.26, -0.0310]</v>
      </c>
    </row>
    <row r="81" spans="2:14">
      <c r="B81" s="4">
        <v>6</v>
      </c>
      <c r="C81" s="4">
        <v>1.4279999999999999</v>
      </c>
      <c r="D81" s="4">
        <v>0.995</v>
      </c>
      <c r="E81" s="4">
        <v>2.1000000000000001E-2</v>
      </c>
      <c r="F81" s="7">
        <v>13.23</v>
      </c>
      <c r="G81" s="6">
        <v>-3.7100000000000001E-2</v>
      </c>
      <c r="H81" s="2">
        <v>2.8000000000000001E-2</v>
      </c>
      <c r="I81">
        <v>0.5</v>
      </c>
      <c r="J81" s="2">
        <v>1.201E-2</v>
      </c>
      <c r="L81" t="str">
        <f t="shared" si="5"/>
        <v xml:space="preserve">    -  6.000</v>
      </c>
      <c r="N81" t="str">
        <f t="shared" si="4"/>
        <v xml:space="preserve">    - [1.428, 0.995, 0.021, 13.23, -0.0371]</v>
      </c>
    </row>
    <row r="82" spans="2:14">
      <c r="B82" s="4">
        <v>8</v>
      </c>
      <c r="C82" s="4">
        <v>1.353</v>
      </c>
      <c r="D82" s="4">
        <v>0.96</v>
      </c>
      <c r="E82" s="4">
        <v>3.7999999999999999E-2</v>
      </c>
      <c r="F82" s="7">
        <v>13.5</v>
      </c>
      <c r="G82" s="6">
        <v>-5.4699999999999999E-2</v>
      </c>
      <c r="H82" s="2">
        <v>3.32E-2</v>
      </c>
      <c r="I82">
        <v>0.5</v>
      </c>
      <c r="J82" s="2">
        <v>1.576E-2</v>
      </c>
      <c r="L82" t="str">
        <f t="shared" si="5"/>
        <v xml:space="preserve">    -  8.000</v>
      </c>
      <c r="N82" t="str">
        <f t="shared" si="4"/>
        <v xml:space="preserve">    - [1.353, 0.960, 0.038, 13.50, -0.0547]</v>
      </c>
    </row>
    <row r="83" spans="2:14">
      <c r="B83" s="4">
        <v>10</v>
      </c>
      <c r="C83" s="4">
        <v>1.2889999999999999</v>
      </c>
      <c r="D83" s="4">
        <v>0.96199999999999997</v>
      </c>
      <c r="E83" s="4">
        <v>4.2000000000000003E-2</v>
      </c>
      <c r="F83" s="7">
        <v>13.91</v>
      </c>
      <c r="G83" s="6">
        <v>-5.7700000000000001E-2</v>
      </c>
      <c r="H83" s="2">
        <v>3.6200000000000003E-2</v>
      </c>
      <c r="I83">
        <v>0.5</v>
      </c>
      <c r="J83" s="2">
        <v>1.627E-2</v>
      </c>
      <c r="L83" t="str">
        <f t="shared" si="5"/>
        <v xml:space="preserve">    -  10.000</v>
      </c>
      <c r="N83" t="str">
        <f t="shared" si="4"/>
        <v xml:space="preserve">    - [1.289, 0.962, 0.042, 13.91, -0.0577]</v>
      </c>
    </row>
    <row r="84" spans="2:14">
      <c r="B84" s="4">
        <v>15</v>
      </c>
      <c r="C84" s="4">
        <v>1.1910000000000001</v>
      </c>
      <c r="D84" s="4">
        <v>0.96899999999999997</v>
      </c>
      <c r="E84" s="4">
        <v>5.1999999999999998E-2</v>
      </c>
      <c r="F84" s="7">
        <v>14.48</v>
      </c>
      <c r="G84" s="6">
        <v>-6.4000000000000001E-2</v>
      </c>
      <c r="H84" s="2">
        <v>3.95E-2</v>
      </c>
      <c r="I84">
        <v>1</v>
      </c>
      <c r="J84" s="2">
        <v>1.7569999999999999E-2</v>
      </c>
      <c r="L84" t="str">
        <f t="shared" si="5"/>
        <v xml:space="preserve">    -  15.000</v>
      </c>
      <c r="N84" t="str">
        <f t="shared" si="4"/>
        <v xml:space="preserve">    - [1.191, 0.969, 0.052, 14.48, -0.0640]</v>
      </c>
    </row>
    <row r="86" spans="2:14">
      <c r="C86" s="5" t="s">
        <v>54</v>
      </c>
    </row>
    <row r="87" spans="2:14">
      <c r="B87" t="s">
        <v>1</v>
      </c>
      <c r="C87" t="s">
        <v>11</v>
      </c>
      <c r="D87" t="s">
        <v>12</v>
      </c>
      <c r="E87" t="s">
        <v>13</v>
      </c>
      <c r="F87" t="s">
        <v>16</v>
      </c>
      <c r="G87" t="s">
        <v>14</v>
      </c>
      <c r="H87" t="s">
        <v>17</v>
      </c>
      <c r="I87" t="s">
        <v>18</v>
      </c>
      <c r="J87" t="s">
        <v>15</v>
      </c>
    </row>
    <row r="88" spans="2:14">
      <c r="B88" s="4">
        <v>1.4999999999999999E-2</v>
      </c>
      <c r="C88" s="4">
        <v>1.002</v>
      </c>
      <c r="D88" s="4">
        <v>0.317</v>
      </c>
      <c r="E88" s="4">
        <v>0.22800000000000001</v>
      </c>
      <c r="F88" s="7">
        <v>33.67</v>
      </c>
      <c r="G88" s="6">
        <v>-0.4556</v>
      </c>
      <c r="H88">
        <v>0.1</v>
      </c>
      <c r="I88">
        <v>2</v>
      </c>
      <c r="J88">
        <v>0.03</v>
      </c>
      <c r="L88" t="str">
        <f>CONCATENATE("    -  ",TEXT(B88,"0.000"))</f>
        <v xml:space="preserve">    -  0.015</v>
      </c>
      <c r="N88" t="str">
        <f t="shared" ref="N88:N120" si="6">CONCATENATE("    - [",TEXT(C88,$N$2),", ",TEXT(D88,$N$2),", ",TEXT(E88,$N$2),", ",TEXT(F88,$O$2),", ",TEXT(G88,$P$2),"]")</f>
        <v xml:space="preserve">    - [1.002, 0.317, 0.228, 33.67, -0.4556]</v>
      </c>
    </row>
    <row r="89" spans="2:14">
      <c r="B89" s="4">
        <v>0.02</v>
      </c>
      <c r="C89" s="4">
        <v>1.0029999999999999</v>
      </c>
      <c r="D89" s="4">
        <v>0.46800000000000003</v>
      </c>
      <c r="E89" s="4">
        <v>0.13700000000000001</v>
      </c>
      <c r="F89" s="7">
        <v>25.3</v>
      </c>
      <c r="G89" s="6">
        <v>-8.2000000000000003E-2</v>
      </c>
      <c r="H89">
        <v>0.1</v>
      </c>
      <c r="I89">
        <v>3</v>
      </c>
      <c r="J89">
        <v>0.03</v>
      </c>
      <c r="L89" t="str">
        <f t="shared" ref="L89:L120" si="7">CONCATENATE("    -  ",TEXT(B89,"0.000"))</f>
        <v xml:space="preserve">    -  0.020</v>
      </c>
      <c r="N89" t="str">
        <f t="shared" si="6"/>
        <v xml:space="preserve">    - [1.003, 0.468, 0.137, 25.30, -0.0820]</v>
      </c>
    </row>
    <row r="90" spans="2:14">
      <c r="B90" s="4">
        <v>0.03</v>
      </c>
      <c r="C90" s="4">
        <v>1.0089999999999999</v>
      </c>
      <c r="D90" s="4">
        <v>0.38800000000000001</v>
      </c>
      <c r="E90" s="4">
        <v>0.187</v>
      </c>
      <c r="F90" s="7">
        <v>19.12</v>
      </c>
      <c r="G90" s="6">
        <v>-8.43E-2</v>
      </c>
      <c r="H90">
        <v>0.1</v>
      </c>
      <c r="I90">
        <v>1</v>
      </c>
      <c r="J90">
        <v>0.03</v>
      </c>
      <c r="L90" t="str">
        <f t="shared" si="7"/>
        <v xml:space="preserve">    -  0.030</v>
      </c>
      <c r="N90" t="str">
        <f t="shared" si="6"/>
        <v xml:space="preserve">    - [1.009, 0.388, 0.187, 19.12, -0.0843]</v>
      </c>
    </row>
    <row r="91" spans="2:14">
      <c r="B91" s="4">
        <v>0.04</v>
      </c>
      <c r="C91" s="4">
        <v>1.0189999999999999</v>
      </c>
      <c r="D91" s="4">
        <v>0.32</v>
      </c>
      <c r="E91" s="4">
        <v>0.251</v>
      </c>
      <c r="F91" s="7">
        <v>13.89</v>
      </c>
      <c r="G91" s="6">
        <v>-0.1026</v>
      </c>
      <c r="H91">
        <v>0.1</v>
      </c>
      <c r="I91">
        <v>1</v>
      </c>
      <c r="J91">
        <v>0.04</v>
      </c>
      <c r="L91" t="str">
        <f t="shared" si="7"/>
        <v xml:space="preserve">    -  0.040</v>
      </c>
      <c r="N91" t="str">
        <f t="shared" si="6"/>
        <v xml:space="preserve">    - [1.019, 0.320, 0.251, 13.89, -0.1026]</v>
      </c>
    </row>
    <row r="92" spans="2:14">
      <c r="B92" s="4">
        <v>0.05</v>
      </c>
      <c r="C92" s="4">
        <v>1.0329999999999999</v>
      </c>
      <c r="D92" s="4">
        <v>0.29899999999999999</v>
      </c>
      <c r="E92" s="4">
        <v>0.26400000000000001</v>
      </c>
      <c r="F92" s="7">
        <v>13.96</v>
      </c>
      <c r="G92" s="6">
        <v>-0.1066</v>
      </c>
      <c r="H92">
        <v>0.1</v>
      </c>
      <c r="I92">
        <v>7</v>
      </c>
      <c r="J92">
        <v>0.05</v>
      </c>
      <c r="L92" t="str">
        <f t="shared" si="7"/>
        <v xml:space="preserve">    -  0.050</v>
      </c>
      <c r="N92" t="str">
        <f t="shared" si="6"/>
        <v xml:space="preserve">    - [1.033, 0.299, 0.264, 13.96, -0.1066]</v>
      </c>
    </row>
    <row r="93" spans="2:14">
      <c r="B93" s="4">
        <v>0.06</v>
      </c>
      <c r="C93" s="4">
        <v>1.048</v>
      </c>
      <c r="D93" s="4">
        <v>0.314</v>
      </c>
      <c r="E93" s="4">
        <v>0.25700000000000001</v>
      </c>
      <c r="F93" s="7">
        <v>14.2</v>
      </c>
      <c r="G93" s="6">
        <v>-0.11</v>
      </c>
      <c r="H93">
        <v>0.1</v>
      </c>
      <c r="I93">
        <v>35</v>
      </c>
      <c r="J93">
        <v>0.09</v>
      </c>
      <c r="L93" t="str">
        <f t="shared" si="7"/>
        <v xml:space="preserve">    -  0.060</v>
      </c>
      <c r="N93" t="str">
        <f t="shared" si="6"/>
        <v xml:space="preserve">    - [1.048, 0.314, 0.257, 14.20, -0.1100]</v>
      </c>
    </row>
    <row r="94" spans="2:14">
      <c r="B94" s="4">
        <v>6.9000000000000006E-2</v>
      </c>
      <c r="C94" s="4">
        <v>1.06</v>
      </c>
      <c r="D94" s="4">
        <v>0.35199999999999998</v>
      </c>
      <c r="E94" s="4">
        <v>0.23599999999999999</v>
      </c>
      <c r="F94" s="7">
        <v>14.2</v>
      </c>
      <c r="G94" s="6">
        <v>-0.1079</v>
      </c>
      <c r="H94">
        <v>0.2</v>
      </c>
      <c r="I94">
        <v>0.5</v>
      </c>
      <c r="J94">
        <v>0.13</v>
      </c>
      <c r="L94" t="str">
        <f t="shared" si="7"/>
        <v xml:space="preserve">    -  0.069</v>
      </c>
      <c r="N94" t="str">
        <f t="shared" si="6"/>
        <v xml:space="preserve">    - [1.060, 0.352, 0.236, 14.20, -0.1079]</v>
      </c>
    </row>
    <row r="95" spans="2:14">
      <c r="B95" s="4">
        <v>7.0000000000000007E-2</v>
      </c>
      <c r="C95" s="4">
        <v>2.4460000000000002</v>
      </c>
      <c r="D95" s="4">
        <v>1.708</v>
      </c>
      <c r="E95" s="4">
        <v>5.8000000000000003E-2</v>
      </c>
      <c r="F95" s="7">
        <v>11.02</v>
      </c>
      <c r="G95" s="6">
        <v>-4.0399999999999998E-2</v>
      </c>
      <c r="H95">
        <v>12.3</v>
      </c>
      <c r="I95">
        <v>3</v>
      </c>
      <c r="J95">
        <v>5.68</v>
      </c>
      <c r="L95" t="str">
        <f t="shared" si="7"/>
        <v xml:space="preserve">    -  0.070</v>
      </c>
      <c r="N95" t="str">
        <f t="shared" si="6"/>
        <v xml:space="preserve">    - [2.446, 1.708, 0.058, 11.02, -0.0404]</v>
      </c>
    </row>
    <row r="96" spans="2:14">
      <c r="B96" s="4">
        <v>7.4999999999999997E-2</v>
      </c>
      <c r="C96" s="4">
        <v>2.31</v>
      </c>
      <c r="D96" s="4">
        <v>1.603</v>
      </c>
      <c r="E96" s="4">
        <v>6.2E-2</v>
      </c>
      <c r="F96" s="7">
        <v>15.06</v>
      </c>
      <c r="G96" s="6">
        <v>-5.0299999999999997E-2</v>
      </c>
      <c r="H96">
        <v>11.3</v>
      </c>
      <c r="I96">
        <v>20</v>
      </c>
      <c r="J96">
        <v>6.27</v>
      </c>
      <c r="L96" t="str">
        <f t="shared" si="7"/>
        <v xml:space="preserve">    -  0.075</v>
      </c>
      <c r="N96" t="str">
        <f t="shared" si="6"/>
        <v xml:space="preserve">    - [2.310, 1.603, 0.062, 15.06, -0.0503]</v>
      </c>
    </row>
    <row r="97" spans="2:14">
      <c r="B97" s="4">
        <v>0.08</v>
      </c>
      <c r="C97" s="4">
        <v>2.238</v>
      </c>
      <c r="D97" s="4">
        <v>1.4419999999999999</v>
      </c>
      <c r="E97" s="4">
        <v>7.9000000000000001E-2</v>
      </c>
      <c r="F97" s="7">
        <v>17.8</v>
      </c>
      <c r="G97" s="6">
        <v>-8.5800000000000001E-2</v>
      </c>
      <c r="H97">
        <v>10.9</v>
      </c>
      <c r="I97">
        <v>25</v>
      </c>
      <c r="J97">
        <v>6.25</v>
      </c>
      <c r="L97" t="str">
        <f t="shared" si="7"/>
        <v xml:space="preserve">    -  0.080</v>
      </c>
      <c r="N97" t="str">
        <f t="shared" si="6"/>
        <v xml:space="preserve">    - [2.238, 1.442, 0.079, 17.80, -0.0858]</v>
      </c>
    </row>
    <row r="98" spans="2:14">
      <c r="B98" s="4">
        <v>0.09</v>
      </c>
      <c r="C98" s="4">
        <v>1.9510000000000001</v>
      </c>
      <c r="D98" s="4">
        <v>1.179</v>
      </c>
      <c r="E98" s="4">
        <v>0.104</v>
      </c>
      <c r="F98" s="7">
        <v>17.18</v>
      </c>
      <c r="G98" s="6">
        <v>-7.5700000000000003E-2</v>
      </c>
      <c r="H98">
        <v>5.4</v>
      </c>
      <c r="I98">
        <v>4</v>
      </c>
      <c r="J98">
        <v>2.69</v>
      </c>
      <c r="L98" t="str">
        <f t="shared" si="7"/>
        <v xml:space="preserve">    -  0.090</v>
      </c>
      <c r="N98" t="str">
        <f t="shared" si="6"/>
        <v xml:space="preserve">    - [1.951, 1.179, 0.104, 17.18, -0.0757]</v>
      </c>
    </row>
    <row r="99" spans="2:14">
      <c r="B99" s="4">
        <v>0.1</v>
      </c>
      <c r="C99" s="4">
        <v>1.764</v>
      </c>
      <c r="D99" s="4">
        <v>0.86699999999999999</v>
      </c>
      <c r="E99" s="4">
        <v>0.16</v>
      </c>
      <c r="F99" s="7">
        <v>15.88</v>
      </c>
      <c r="G99" s="6">
        <v>-0.1366</v>
      </c>
      <c r="H99">
        <v>2.9</v>
      </c>
      <c r="I99">
        <v>4</v>
      </c>
      <c r="J99">
        <v>1.1499999999999999</v>
      </c>
      <c r="L99" t="str">
        <f t="shared" si="7"/>
        <v xml:space="preserve">    -  0.100</v>
      </c>
      <c r="N99" t="str">
        <f t="shared" si="6"/>
        <v xml:space="preserve">    - [1.764, 0.867, 0.160, 15.88, -0.1366]</v>
      </c>
    </row>
    <row r="100" spans="2:14">
      <c r="B100" s="4">
        <v>0.11</v>
      </c>
      <c r="C100" s="4">
        <v>1.61</v>
      </c>
      <c r="D100" s="4">
        <v>0.56200000000000006</v>
      </c>
      <c r="E100" s="4">
        <v>0.247</v>
      </c>
      <c r="F100" s="7">
        <v>15.87</v>
      </c>
      <c r="G100" s="6">
        <v>-0.21179999999999999</v>
      </c>
      <c r="H100">
        <v>3.1</v>
      </c>
      <c r="I100">
        <v>35</v>
      </c>
      <c r="J100">
        <v>1.41</v>
      </c>
      <c r="L100" t="str">
        <f t="shared" si="7"/>
        <v xml:space="preserve">    -  0.110</v>
      </c>
      <c r="N100" t="str">
        <f t="shared" si="6"/>
        <v xml:space="preserve">    - [1.610, 0.562, 0.247, 15.87, -0.2118]</v>
      </c>
    </row>
    <row r="101" spans="2:14">
      <c r="B101" s="4">
        <v>0.12</v>
      </c>
      <c r="C101" s="4">
        <v>1.5009999999999999</v>
      </c>
      <c r="D101" s="4">
        <v>0.34</v>
      </c>
      <c r="E101" s="4">
        <v>0.30499999999999999</v>
      </c>
      <c r="F101" s="7">
        <v>24.33</v>
      </c>
      <c r="G101" s="6">
        <v>-0.1784</v>
      </c>
      <c r="H101">
        <v>1.6</v>
      </c>
      <c r="I101">
        <v>0.5</v>
      </c>
      <c r="J101">
        <v>0.84</v>
      </c>
      <c r="L101" t="str">
        <f t="shared" si="7"/>
        <v xml:space="preserve">    -  0.120</v>
      </c>
      <c r="N101" t="str">
        <f t="shared" si="6"/>
        <v xml:space="preserve">    - [1.501, 0.340, 0.305, 24.33, -0.1784]</v>
      </c>
    </row>
    <row r="102" spans="2:14">
      <c r="B102" s="4">
        <v>0.13</v>
      </c>
      <c r="C102" s="4">
        <v>1.393</v>
      </c>
      <c r="D102" s="4">
        <v>0.30599999999999999</v>
      </c>
      <c r="E102" s="4">
        <v>0.122</v>
      </c>
      <c r="F102" s="7">
        <v>9.7200000000000006</v>
      </c>
      <c r="G102" s="6">
        <v>-5.74E-2</v>
      </c>
      <c r="H102">
        <v>0.2</v>
      </c>
      <c r="I102">
        <v>30</v>
      </c>
      <c r="J102">
        <v>0.1</v>
      </c>
      <c r="L102" t="str">
        <f t="shared" si="7"/>
        <v xml:space="preserve">    -  0.130</v>
      </c>
      <c r="N102" t="str">
        <f t="shared" si="6"/>
        <v xml:space="preserve">    - [1.393, 0.306, 0.122, 9.72, -0.0574]</v>
      </c>
    </row>
    <row r="103" spans="2:14">
      <c r="B103" s="4">
        <v>0.14000000000000001</v>
      </c>
      <c r="C103" s="4">
        <v>1.3140000000000001</v>
      </c>
      <c r="D103" s="4">
        <v>0.21</v>
      </c>
      <c r="E103" s="4">
        <v>0.156</v>
      </c>
      <c r="F103" s="7">
        <v>10.36</v>
      </c>
      <c r="G103" s="6">
        <v>3.56E-2</v>
      </c>
      <c r="H103">
        <v>0.2</v>
      </c>
      <c r="I103">
        <v>0.5</v>
      </c>
      <c r="J103">
        <v>0.08</v>
      </c>
      <c r="L103" t="str">
        <f t="shared" si="7"/>
        <v xml:space="preserve">    -  0.140</v>
      </c>
      <c r="N103" t="str">
        <f t="shared" si="6"/>
        <v xml:space="preserve">    - [1.314, 0.210, 0.156, 10.36, 0.0356]</v>
      </c>
    </row>
    <row r="104" spans="2:14">
      <c r="B104" s="4">
        <v>0.15</v>
      </c>
      <c r="C104" s="4">
        <v>1.2529999999999999</v>
      </c>
      <c r="D104" s="4">
        <v>0.14499999999999999</v>
      </c>
      <c r="E104" s="4">
        <v>0.35299999999999998</v>
      </c>
      <c r="F104" s="7">
        <v>15.12</v>
      </c>
      <c r="G104" s="6">
        <v>-8.4500000000000006E-2</v>
      </c>
      <c r="H104">
        <v>0.4</v>
      </c>
      <c r="I104">
        <v>0.5</v>
      </c>
      <c r="J104">
        <v>0.15</v>
      </c>
      <c r="L104" t="str">
        <f t="shared" si="7"/>
        <v xml:space="preserve">    -  0.150</v>
      </c>
      <c r="N104" t="str">
        <f t="shared" si="6"/>
        <v xml:space="preserve">    - [1.253, 0.145, 0.353, 15.12, -0.0845]</v>
      </c>
    </row>
    <row r="105" spans="2:14">
      <c r="B105" s="4">
        <v>0.2</v>
      </c>
      <c r="C105" s="4">
        <v>1.155</v>
      </c>
      <c r="D105" s="4">
        <v>0.248</v>
      </c>
      <c r="E105" s="4">
        <v>0.34699999999999998</v>
      </c>
      <c r="F105" s="7">
        <v>13.68</v>
      </c>
      <c r="G105" s="6">
        <v>-0.1966</v>
      </c>
      <c r="H105">
        <v>0.9</v>
      </c>
      <c r="I105">
        <v>0.5</v>
      </c>
      <c r="J105">
        <v>0.47</v>
      </c>
      <c r="L105" t="str">
        <f t="shared" si="7"/>
        <v xml:space="preserve">    -  0.200</v>
      </c>
      <c r="N105" t="str">
        <f t="shared" si="6"/>
        <v xml:space="preserve">    - [1.155, 0.248, 0.347, 13.68, -0.1966]</v>
      </c>
    </row>
    <row r="106" spans="2:14">
      <c r="B106" s="4">
        <v>0.3</v>
      </c>
      <c r="C106" s="4">
        <v>1.17</v>
      </c>
      <c r="D106" s="4">
        <v>0.48699999999999999</v>
      </c>
      <c r="E106" s="4">
        <v>0.16800000000000001</v>
      </c>
      <c r="F106" s="7">
        <v>13.62</v>
      </c>
      <c r="G106" s="6">
        <v>-8.1199999999999994E-2</v>
      </c>
      <c r="H106">
        <v>0.6</v>
      </c>
      <c r="I106">
        <v>0.5</v>
      </c>
      <c r="J106">
        <v>0.33</v>
      </c>
      <c r="L106" t="str">
        <f t="shared" si="7"/>
        <v xml:space="preserve">    -  0.300</v>
      </c>
      <c r="N106" t="str">
        <f t="shared" si="6"/>
        <v xml:space="preserve">    - [1.170, 0.487, 0.168, 13.62, -0.0812]</v>
      </c>
    </row>
    <row r="107" spans="2:14">
      <c r="B107" s="4">
        <v>0.4</v>
      </c>
      <c r="C107" s="4">
        <v>1.234</v>
      </c>
      <c r="D107" s="4">
        <v>0.60099999999999998</v>
      </c>
      <c r="E107" s="4">
        <v>0.123</v>
      </c>
      <c r="F107" s="7">
        <v>14.14</v>
      </c>
      <c r="G107" s="6">
        <v>-6.4699999999999994E-2</v>
      </c>
      <c r="H107">
        <v>0.6</v>
      </c>
      <c r="I107">
        <v>25</v>
      </c>
      <c r="J107">
        <v>0.38</v>
      </c>
      <c r="L107" t="str">
        <f t="shared" si="7"/>
        <v xml:space="preserve">    -  0.400</v>
      </c>
      <c r="N107" t="str">
        <f t="shared" si="6"/>
        <v xml:space="preserve">    - [1.234, 0.601, 0.123, 14.14, -0.0647]</v>
      </c>
    </row>
    <row r="108" spans="2:14">
      <c r="B108" s="4">
        <v>0.5</v>
      </c>
      <c r="C108" s="4">
        <v>1.2929999999999999</v>
      </c>
      <c r="D108" s="4">
        <v>0.67200000000000004</v>
      </c>
      <c r="E108" s="4">
        <v>9.8000000000000004E-2</v>
      </c>
      <c r="F108" s="7">
        <v>14.13</v>
      </c>
      <c r="G108" s="6">
        <v>-5.3199999999999997E-2</v>
      </c>
      <c r="H108">
        <v>0.6</v>
      </c>
      <c r="I108">
        <v>25</v>
      </c>
      <c r="J108">
        <v>0.4</v>
      </c>
      <c r="L108" t="str">
        <f t="shared" si="7"/>
        <v xml:space="preserve">    -  0.500</v>
      </c>
      <c r="N108" t="str">
        <f t="shared" si="6"/>
        <v xml:space="preserve">    - [1.293, 0.672, 0.098, 14.13, -0.0532]</v>
      </c>
    </row>
    <row r="109" spans="2:14">
      <c r="B109" s="4">
        <v>0.6</v>
      </c>
      <c r="C109" s="4">
        <v>1.3380000000000001</v>
      </c>
      <c r="D109" s="4">
        <v>0.72199999999999998</v>
      </c>
      <c r="E109" s="4">
        <v>0.08</v>
      </c>
      <c r="F109" s="7">
        <v>13.69</v>
      </c>
      <c r="G109" s="6">
        <v>-4.3799999999999999E-2</v>
      </c>
      <c r="H109">
        <v>0.7</v>
      </c>
      <c r="I109">
        <v>5</v>
      </c>
      <c r="J109">
        <v>0.42</v>
      </c>
      <c r="L109" t="str">
        <f t="shared" si="7"/>
        <v xml:space="preserve">    -  0.600</v>
      </c>
      <c r="N109" t="str">
        <f t="shared" si="6"/>
        <v xml:space="preserve">    - [1.338, 0.722, 0.080, 13.69, -0.0438]</v>
      </c>
    </row>
    <row r="110" spans="2:14">
      <c r="B110" s="4">
        <v>0.8</v>
      </c>
      <c r="C110" s="4">
        <v>1.4019999999999999</v>
      </c>
      <c r="D110" s="4">
        <v>0.79700000000000004</v>
      </c>
      <c r="E110" s="4">
        <v>5.7000000000000002E-2</v>
      </c>
      <c r="F110" s="7">
        <v>13.71</v>
      </c>
      <c r="G110" s="6">
        <v>-3.3399999999999999E-2</v>
      </c>
      <c r="H110">
        <v>0.7</v>
      </c>
      <c r="I110">
        <v>25</v>
      </c>
      <c r="J110">
        <v>0.41</v>
      </c>
      <c r="L110" t="str">
        <f t="shared" si="7"/>
        <v xml:space="preserve">    -  0.800</v>
      </c>
      <c r="N110" t="str">
        <f t="shared" si="6"/>
        <v xml:space="preserve">    - [1.402, 0.797, 0.057, 13.71, -0.0334]</v>
      </c>
    </row>
    <row r="111" spans="2:14">
      <c r="B111" s="4">
        <v>1</v>
      </c>
      <c r="C111" s="4">
        <v>1.4359999999999999</v>
      </c>
      <c r="D111" s="4">
        <v>0.85299999999999998</v>
      </c>
      <c r="E111" s="4">
        <v>4.2000000000000003E-2</v>
      </c>
      <c r="F111" s="7">
        <v>13.34</v>
      </c>
      <c r="G111" s="6">
        <v>-2.8500000000000001E-2</v>
      </c>
      <c r="H111">
        <v>0.8</v>
      </c>
      <c r="I111">
        <v>5</v>
      </c>
      <c r="J111">
        <v>0.43</v>
      </c>
      <c r="L111" t="str">
        <f t="shared" si="7"/>
        <v xml:space="preserve">    -  1.000</v>
      </c>
      <c r="N111" t="str">
        <f t="shared" si="6"/>
        <v xml:space="preserve">    - [1.436, 0.853, 0.042, 13.34, -0.0285]</v>
      </c>
    </row>
    <row r="112" spans="2:14">
      <c r="B112" s="4">
        <v>1.5</v>
      </c>
      <c r="C112" s="4">
        <v>1.421</v>
      </c>
      <c r="D112" s="4">
        <v>0.97699999999999998</v>
      </c>
      <c r="E112" s="4">
        <v>1.2999999999999999E-2</v>
      </c>
      <c r="F112" s="7">
        <v>14.3</v>
      </c>
      <c r="G112" s="6">
        <v>-2.0500000000000001E-2</v>
      </c>
      <c r="H112">
        <v>0.5</v>
      </c>
      <c r="I112">
        <v>4</v>
      </c>
      <c r="J112">
        <v>0.26</v>
      </c>
      <c r="L112" t="str">
        <f t="shared" si="7"/>
        <v xml:space="preserve">    -  1.500</v>
      </c>
      <c r="N112" t="str">
        <f t="shared" si="6"/>
        <v xml:space="preserve">    - [1.421, 0.977, 0.013, 14.30, -0.0205]</v>
      </c>
    </row>
    <row r="113" spans="2:14">
      <c r="B113" s="4">
        <v>2</v>
      </c>
      <c r="C113" s="4">
        <v>1.4279999999999999</v>
      </c>
      <c r="D113" s="4">
        <v>1.012</v>
      </c>
      <c r="E113" s="4">
        <v>7.0000000000000001E-3</v>
      </c>
      <c r="F113" s="7">
        <v>13.4</v>
      </c>
      <c r="G113" s="6">
        <v>-0.02</v>
      </c>
      <c r="H113">
        <v>1.3</v>
      </c>
      <c r="I113">
        <v>0.5</v>
      </c>
      <c r="J113">
        <v>0.67</v>
      </c>
      <c r="L113" t="str">
        <f t="shared" si="7"/>
        <v xml:space="preserve">    -  2.000</v>
      </c>
      <c r="N113" t="str">
        <f t="shared" si="6"/>
        <v xml:space="preserve">    - [1.428, 1.012, 0.007, 13.40, -0.0200]</v>
      </c>
    </row>
    <row r="114" spans="2:14">
      <c r="B114" s="4">
        <v>3</v>
      </c>
      <c r="C114" s="4">
        <v>1.4059999999999999</v>
      </c>
      <c r="D114" s="4">
        <v>1.0229999999999999</v>
      </c>
      <c r="E114" s="4">
        <v>1.4E-2</v>
      </c>
      <c r="F114" s="7">
        <v>13.42</v>
      </c>
      <c r="G114" s="6">
        <v>-3.85E-2</v>
      </c>
      <c r="H114">
        <v>3.3</v>
      </c>
      <c r="I114">
        <v>0.5</v>
      </c>
      <c r="J114">
        <v>1.35</v>
      </c>
      <c r="L114" t="str">
        <f t="shared" si="7"/>
        <v xml:space="preserve">    -  3.000</v>
      </c>
      <c r="N114" t="str">
        <f t="shared" si="6"/>
        <v xml:space="preserve">    - [1.406, 1.023, 0.014, 13.42, -0.0385]</v>
      </c>
    </row>
    <row r="115" spans="2:14">
      <c r="B115" s="4">
        <v>4</v>
      </c>
      <c r="C115" s="4">
        <v>1.363</v>
      </c>
      <c r="D115" s="4">
        <v>1.0369999999999999</v>
      </c>
      <c r="E115" s="4">
        <v>1.7999999999999999E-2</v>
      </c>
      <c r="F115" s="7">
        <v>13.72</v>
      </c>
      <c r="G115" s="6">
        <v>-4.3700000000000003E-2</v>
      </c>
      <c r="H115">
        <v>4.2</v>
      </c>
      <c r="I115">
        <v>0.5</v>
      </c>
      <c r="J115">
        <v>1.56</v>
      </c>
      <c r="L115" t="str">
        <f t="shared" si="7"/>
        <v xml:space="preserve">    -  4.000</v>
      </c>
      <c r="N115" t="str">
        <f t="shared" si="6"/>
        <v xml:space="preserve">    - [1.363, 1.037, 0.018, 13.72, -0.0437]</v>
      </c>
    </row>
    <row r="116" spans="2:14">
      <c r="B116" s="4">
        <v>5</v>
      </c>
      <c r="C116" s="4">
        <v>1.393</v>
      </c>
      <c r="D116" s="4">
        <v>0.96399999999999997</v>
      </c>
      <c r="E116" s="4">
        <v>4.9000000000000002E-2</v>
      </c>
      <c r="F116" s="7">
        <v>13.94</v>
      </c>
      <c r="G116" s="6">
        <v>-7.2300000000000003E-2</v>
      </c>
      <c r="H116">
        <v>5.4</v>
      </c>
      <c r="I116">
        <v>0.5</v>
      </c>
      <c r="J116">
        <v>2.25</v>
      </c>
      <c r="L116" t="str">
        <f t="shared" si="7"/>
        <v xml:space="preserve">    -  5.000</v>
      </c>
      <c r="N116" t="str">
        <f t="shared" si="6"/>
        <v xml:space="preserve">    - [1.393, 0.964, 0.049, 13.94, -0.0723]</v>
      </c>
    </row>
    <row r="117" spans="2:14">
      <c r="B117" s="4">
        <v>6</v>
      </c>
      <c r="C117" s="4">
        <v>1.397</v>
      </c>
      <c r="D117" s="4">
        <v>0.96299999999999997</v>
      </c>
      <c r="E117" s="4">
        <v>5.6000000000000001E-2</v>
      </c>
      <c r="F117" s="7">
        <v>14.34</v>
      </c>
      <c r="G117" s="6">
        <v>-7.6899999999999996E-2</v>
      </c>
      <c r="H117">
        <v>5.5</v>
      </c>
      <c r="I117">
        <v>0.5</v>
      </c>
      <c r="J117">
        <v>2.37</v>
      </c>
      <c r="L117" t="str">
        <f t="shared" si="7"/>
        <v xml:space="preserve">    -  6.000</v>
      </c>
      <c r="N117" t="str">
        <f t="shared" si="6"/>
        <v xml:space="preserve">    - [1.397, 0.963, 0.056, 14.34, -0.0769]</v>
      </c>
    </row>
    <row r="118" spans="2:14">
      <c r="B118" s="4">
        <v>8</v>
      </c>
      <c r="C118" s="4">
        <v>1.4650000000000001</v>
      </c>
      <c r="D118" s="4">
        <v>0.99</v>
      </c>
      <c r="E118" s="4">
        <v>6.3E-2</v>
      </c>
      <c r="F118" s="7">
        <v>14.15</v>
      </c>
      <c r="G118" s="6">
        <v>-8.48E-2</v>
      </c>
      <c r="H118">
        <v>5.8</v>
      </c>
      <c r="I118">
        <v>0.5</v>
      </c>
      <c r="J118">
        <v>2.58</v>
      </c>
      <c r="L118" t="str">
        <f t="shared" si="7"/>
        <v xml:space="preserve">    -  8.000</v>
      </c>
      <c r="N118" t="str">
        <f t="shared" si="6"/>
        <v xml:space="preserve">    - [1.465, 0.990, 0.063, 14.15, -0.0848]</v>
      </c>
    </row>
    <row r="119" spans="2:14">
      <c r="B119" s="4">
        <v>10</v>
      </c>
      <c r="C119" s="4">
        <v>1.4750000000000001</v>
      </c>
      <c r="D119" s="4">
        <v>1.151</v>
      </c>
      <c r="E119" s="4">
        <v>3.1E-2</v>
      </c>
      <c r="F119" s="7">
        <v>14.1</v>
      </c>
      <c r="G119" s="6">
        <v>-5.6099999999999997E-2</v>
      </c>
      <c r="H119">
        <v>4.5</v>
      </c>
      <c r="I119">
        <v>0.5</v>
      </c>
      <c r="J119">
        <v>1.89</v>
      </c>
      <c r="L119" t="str">
        <f t="shared" si="7"/>
        <v xml:space="preserve">    -  10.000</v>
      </c>
      <c r="N119" t="str">
        <f t="shared" si="6"/>
        <v xml:space="preserve">    - [1.475, 1.151, 0.031, 14.10, -0.0561]</v>
      </c>
    </row>
    <row r="120" spans="2:14">
      <c r="B120" s="4">
        <v>15</v>
      </c>
      <c r="C120" s="4">
        <v>1.589</v>
      </c>
      <c r="D120" s="4">
        <v>1.335</v>
      </c>
      <c r="E120" s="4">
        <v>1.6E-2</v>
      </c>
      <c r="F120" s="7">
        <v>13.6</v>
      </c>
      <c r="G120" s="6">
        <v>-4.9399999999999999E-2</v>
      </c>
      <c r="H120">
        <v>3.4</v>
      </c>
      <c r="I120">
        <v>0.5</v>
      </c>
      <c r="J120">
        <v>1.71</v>
      </c>
      <c r="L120" t="str">
        <f t="shared" si="7"/>
        <v xml:space="preserve">    -  15.000</v>
      </c>
      <c r="N120" t="str">
        <f t="shared" si="6"/>
        <v xml:space="preserve">    - [1.589, 1.335, 0.016, 13.60, -0.0494]</v>
      </c>
    </row>
    <row r="122" spans="2:14">
      <c r="C122" s="5" t="s">
        <v>55</v>
      </c>
    </row>
    <row r="123" spans="2:14">
      <c r="B123" t="s">
        <v>1</v>
      </c>
      <c r="C123" t="s">
        <v>11</v>
      </c>
      <c r="D123" t="s">
        <v>12</v>
      </c>
      <c r="E123" t="s">
        <v>13</v>
      </c>
      <c r="F123" t="s">
        <v>16</v>
      </c>
      <c r="G123" t="s">
        <v>14</v>
      </c>
      <c r="H123" t="s">
        <v>17</v>
      </c>
      <c r="I123" t="s">
        <v>18</v>
      </c>
      <c r="J123" t="s">
        <v>15</v>
      </c>
    </row>
    <row r="124" spans="2:14">
      <c r="B124">
        <v>0.03</v>
      </c>
      <c r="C124">
        <v>1.0069999999999999</v>
      </c>
      <c r="D124">
        <v>0.32200000000000001</v>
      </c>
      <c r="E124">
        <v>0.246</v>
      </c>
      <c r="F124">
        <v>13.67</v>
      </c>
      <c r="G124">
        <v>-0.10299999999999999</v>
      </c>
      <c r="H124">
        <v>0</v>
      </c>
      <c r="I124">
        <v>0.5</v>
      </c>
      <c r="J124">
        <v>0.02</v>
      </c>
      <c r="L124" t="str">
        <f>CONCATENATE("    -  ",TEXT(B124,"0.000"))</f>
        <v xml:space="preserve">    -  0.030</v>
      </c>
      <c r="N124" t="str">
        <f t="shared" ref="N124:N154" si="8">CONCATENATE("    - [",TEXT(C124,$N$2),", ",TEXT(D124,$N$2),", ",TEXT(E124,$N$2),", ",TEXT(F124,$O$2),", ",TEXT(G124,$P$2),"]")</f>
        <v xml:space="preserve">    - [1.007, 0.322, 0.246, 13.67, -0.1030]</v>
      </c>
    </row>
    <row r="125" spans="2:14">
      <c r="B125">
        <v>0.04</v>
      </c>
      <c r="C125">
        <v>1.014</v>
      </c>
      <c r="D125">
        <v>0.317</v>
      </c>
      <c r="E125">
        <v>0.245</v>
      </c>
      <c r="F125">
        <v>14.95</v>
      </c>
      <c r="G125">
        <v>-8.6699999999999999E-2</v>
      </c>
      <c r="H125">
        <v>0.1</v>
      </c>
      <c r="I125">
        <v>0.5</v>
      </c>
      <c r="J125">
        <v>0.04</v>
      </c>
      <c r="L125" t="str">
        <f t="shared" ref="L125:L154" si="9">CONCATENATE("    -  ",TEXT(B125,"0.000"))</f>
        <v xml:space="preserve">    -  0.040</v>
      </c>
      <c r="N125" t="str">
        <f t="shared" si="8"/>
        <v xml:space="preserve">    - [1.014, 0.317, 0.245, 14.95, -0.0867]</v>
      </c>
    </row>
    <row r="126" spans="2:14">
      <c r="B126">
        <v>0.05</v>
      </c>
      <c r="C126">
        <v>1.0229999999999999</v>
      </c>
      <c r="D126">
        <v>0.312</v>
      </c>
      <c r="E126">
        <v>0.252</v>
      </c>
      <c r="F126">
        <v>14.17</v>
      </c>
      <c r="G126">
        <v>-0.10050000000000001</v>
      </c>
      <c r="H126">
        <v>0.1</v>
      </c>
      <c r="I126">
        <v>0.5</v>
      </c>
      <c r="J126">
        <v>0.04</v>
      </c>
      <c r="L126" t="str">
        <f t="shared" si="9"/>
        <v xml:space="preserve">    -  0.050</v>
      </c>
      <c r="N126" t="str">
        <f t="shared" si="8"/>
        <v xml:space="preserve">    - [1.023, 0.312, 0.252, 14.17, -0.1005]</v>
      </c>
    </row>
    <row r="127" spans="2:14">
      <c r="B127">
        <v>0.06</v>
      </c>
      <c r="C127">
        <v>1.0329999999999999</v>
      </c>
      <c r="D127">
        <v>0.32</v>
      </c>
      <c r="E127">
        <v>0.26</v>
      </c>
      <c r="F127">
        <v>13.89</v>
      </c>
      <c r="G127">
        <v>-0.12230000000000001</v>
      </c>
      <c r="H127">
        <v>0.1</v>
      </c>
      <c r="I127">
        <v>4</v>
      </c>
      <c r="J127">
        <v>0.06</v>
      </c>
      <c r="L127" t="str">
        <f t="shared" si="9"/>
        <v xml:space="preserve">    -  0.060</v>
      </c>
      <c r="N127" t="str">
        <f t="shared" si="8"/>
        <v xml:space="preserve">    - [1.033, 0.320, 0.260, 13.89, -0.1223]</v>
      </c>
    </row>
    <row r="128" spans="2:14">
      <c r="B128">
        <v>0.08</v>
      </c>
      <c r="C128">
        <v>1.0580000000000001</v>
      </c>
      <c r="D128">
        <v>0.36199999999999999</v>
      </c>
      <c r="E128">
        <v>0.23300000000000001</v>
      </c>
      <c r="F128">
        <v>13.91</v>
      </c>
      <c r="G128">
        <v>-0.11269999999999999</v>
      </c>
      <c r="H128">
        <v>0.2</v>
      </c>
      <c r="I128">
        <v>0.5</v>
      </c>
      <c r="J128">
        <v>0.12</v>
      </c>
      <c r="L128" t="str">
        <f t="shared" si="9"/>
        <v xml:space="preserve">    -  0.080</v>
      </c>
      <c r="N128" t="str">
        <f t="shared" si="8"/>
        <v xml:space="preserve">    - [1.058, 0.362, 0.233, 13.91, -0.1127]</v>
      </c>
    </row>
    <row r="129" spans="2:14">
      <c r="B129">
        <v>8.7999999999999995E-2</v>
      </c>
      <c r="C129">
        <v>1.0669999999999999</v>
      </c>
      <c r="D129">
        <v>0.38200000000000001</v>
      </c>
      <c r="E129">
        <v>0.22</v>
      </c>
      <c r="F129">
        <v>14.14</v>
      </c>
      <c r="G129">
        <v>-0.1048</v>
      </c>
      <c r="H129">
        <v>0.3</v>
      </c>
      <c r="I129">
        <v>0.5</v>
      </c>
      <c r="J129">
        <v>0.15</v>
      </c>
      <c r="L129" t="str">
        <f t="shared" si="9"/>
        <v xml:space="preserve">    -  0.088</v>
      </c>
      <c r="N129" t="str">
        <f t="shared" si="8"/>
        <v xml:space="preserve">    - [1.067, 0.382, 0.220, 14.14, -0.1048]</v>
      </c>
    </row>
    <row r="130" spans="2:14">
      <c r="B130">
        <v>8.8999999999999996E-2</v>
      </c>
      <c r="C130">
        <v>2.3679999999999999</v>
      </c>
      <c r="D130">
        <v>1.58</v>
      </c>
      <c r="E130">
        <v>7.4999999999999997E-2</v>
      </c>
      <c r="F130">
        <v>12.44</v>
      </c>
      <c r="G130">
        <v>-6.3500000000000001E-2</v>
      </c>
      <c r="H130">
        <v>14.1</v>
      </c>
      <c r="I130">
        <v>3</v>
      </c>
      <c r="J130">
        <v>6.38</v>
      </c>
      <c r="L130" t="str">
        <f t="shared" si="9"/>
        <v xml:space="preserve">    -  0.089</v>
      </c>
      <c r="N130" t="str">
        <f t="shared" si="8"/>
        <v xml:space="preserve">    - [2.368, 1.580, 0.075, 12.44, -0.0635]</v>
      </c>
    </row>
    <row r="131" spans="2:14">
      <c r="B131">
        <v>0.09</v>
      </c>
      <c r="C131">
        <v>2.1869999999999998</v>
      </c>
      <c r="D131">
        <v>1.6930000000000001</v>
      </c>
      <c r="E131">
        <v>0.05</v>
      </c>
      <c r="F131">
        <v>18.21</v>
      </c>
      <c r="G131">
        <v>-4.1500000000000002E-2</v>
      </c>
      <c r="H131">
        <v>9.4</v>
      </c>
      <c r="I131">
        <v>20</v>
      </c>
      <c r="J131">
        <v>5.51</v>
      </c>
      <c r="L131" t="str">
        <f t="shared" si="9"/>
        <v xml:space="preserve">    -  0.090</v>
      </c>
      <c r="N131" t="str">
        <f t="shared" si="8"/>
        <v xml:space="preserve">    - [2.187, 1.693, 0.050, 18.21, -0.0415]</v>
      </c>
    </row>
    <row r="132" spans="2:14">
      <c r="B132">
        <v>0.1</v>
      </c>
      <c r="C132">
        <v>1.93</v>
      </c>
      <c r="D132">
        <v>1.4990000000000001</v>
      </c>
      <c r="E132">
        <v>6.0999999999999999E-2</v>
      </c>
      <c r="F132">
        <v>29.65</v>
      </c>
      <c r="G132">
        <v>-0.1162</v>
      </c>
      <c r="H132">
        <v>10.1</v>
      </c>
      <c r="I132">
        <v>40</v>
      </c>
      <c r="J132">
        <v>4.37</v>
      </c>
      <c r="L132" t="str">
        <f t="shared" si="9"/>
        <v xml:space="preserve">    -  0.100</v>
      </c>
      <c r="N132" t="str">
        <f t="shared" si="8"/>
        <v xml:space="preserve">    - [1.930, 1.499, 0.061, 29.65, -0.1162]</v>
      </c>
    </row>
    <row r="133" spans="2:14">
      <c r="B133">
        <v>0.11</v>
      </c>
      <c r="C133">
        <v>1.821</v>
      </c>
      <c r="D133">
        <v>1.196</v>
      </c>
      <c r="E133">
        <v>0.10199999999999999</v>
      </c>
      <c r="F133">
        <v>16.64</v>
      </c>
      <c r="G133">
        <v>-7.5600000000000001E-2</v>
      </c>
      <c r="H133">
        <v>5.5</v>
      </c>
      <c r="I133">
        <v>4</v>
      </c>
      <c r="J133">
        <v>2.72</v>
      </c>
      <c r="L133" t="str">
        <f t="shared" si="9"/>
        <v xml:space="preserve">    -  0.110</v>
      </c>
      <c r="N133" t="str">
        <f t="shared" si="8"/>
        <v xml:space="preserve">    - [1.821, 1.196, 0.102, 16.64, -0.0756]</v>
      </c>
    </row>
    <row r="134" spans="2:14">
      <c r="B134">
        <v>0.12</v>
      </c>
      <c r="C134">
        <v>1.6439999999999999</v>
      </c>
      <c r="D134">
        <v>0.97</v>
      </c>
      <c r="E134">
        <v>0.13600000000000001</v>
      </c>
      <c r="F134">
        <v>16.100000000000001</v>
      </c>
      <c r="G134">
        <v>-0.1135</v>
      </c>
      <c r="H134">
        <v>3.6</v>
      </c>
      <c r="I134">
        <v>1</v>
      </c>
      <c r="J134">
        <v>1.9</v>
      </c>
      <c r="L134" t="str">
        <f t="shared" si="9"/>
        <v xml:space="preserve">    -  0.120</v>
      </c>
      <c r="N134" t="str">
        <f t="shared" si="8"/>
        <v xml:space="preserve">    - [1.644, 0.970, 0.136, 16.10, -0.1135]</v>
      </c>
    </row>
    <row r="135" spans="2:14">
      <c r="B135">
        <v>0.13</v>
      </c>
      <c r="C135">
        <v>1.54</v>
      </c>
      <c r="D135">
        <v>0.71799999999999997</v>
      </c>
      <c r="E135">
        <v>0.19400000000000001</v>
      </c>
      <c r="F135">
        <v>15.69</v>
      </c>
      <c r="G135">
        <v>-0.16850000000000001</v>
      </c>
      <c r="H135">
        <v>2.7</v>
      </c>
      <c r="I135">
        <v>1</v>
      </c>
      <c r="J135">
        <v>1.6</v>
      </c>
      <c r="L135" t="str">
        <f t="shared" si="9"/>
        <v xml:space="preserve">    -  0.130</v>
      </c>
      <c r="N135" t="str">
        <f t="shared" si="8"/>
        <v xml:space="preserve">    - [1.540, 0.718, 0.194, 15.69, -0.1685]</v>
      </c>
    </row>
    <row r="136" spans="2:14">
      <c r="B136">
        <v>0.14000000000000001</v>
      </c>
      <c r="C136">
        <v>1.472</v>
      </c>
      <c r="D136">
        <v>0.47899999999999998</v>
      </c>
      <c r="E136">
        <v>0.27300000000000002</v>
      </c>
      <c r="F136">
        <v>16.5</v>
      </c>
      <c r="G136">
        <v>-0.21529999999999999</v>
      </c>
      <c r="H136">
        <v>1.7</v>
      </c>
      <c r="I136">
        <v>35</v>
      </c>
      <c r="J136">
        <v>1.05</v>
      </c>
      <c r="L136" t="str">
        <f t="shared" si="9"/>
        <v xml:space="preserve">    -  0.140</v>
      </c>
      <c r="N136" t="str">
        <f t="shared" si="8"/>
        <v xml:space="preserve">    - [1.472, 0.479, 0.273, 16.50, -0.2153]</v>
      </c>
    </row>
    <row r="137" spans="2:14">
      <c r="B137">
        <v>0.15</v>
      </c>
      <c r="C137">
        <v>1.4019999999999999</v>
      </c>
      <c r="D137">
        <v>0.35199999999999998</v>
      </c>
      <c r="E137">
        <v>0.26900000000000002</v>
      </c>
      <c r="F137">
        <v>17.09</v>
      </c>
      <c r="G137">
        <v>-2.47E-2</v>
      </c>
      <c r="H137">
        <v>1.1000000000000001</v>
      </c>
      <c r="I137">
        <v>0.5</v>
      </c>
      <c r="J137">
        <v>0.57999999999999996</v>
      </c>
      <c r="L137" t="str">
        <f t="shared" si="9"/>
        <v xml:space="preserve">    -  0.150</v>
      </c>
      <c r="N137" t="str">
        <f t="shared" si="8"/>
        <v xml:space="preserve">    - [1.402, 0.352, 0.269, 17.09, -0.0247]</v>
      </c>
    </row>
    <row r="138" spans="2:14">
      <c r="B138">
        <v>0.16</v>
      </c>
      <c r="C138">
        <v>1.3340000000000001</v>
      </c>
      <c r="D138">
        <v>0.32900000000000001</v>
      </c>
      <c r="E138">
        <v>0.14499999999999999</v>
      </c>
      <c r="F138">
        <v>11.38</v>
      </c>
      <c r="G138">
        <v>-6.4299999999999996E-2</v>
      </c>
      <c r="H138">
        <v>0.2</v>
      </c>
      <c r="I138">
        <v>30</v>
      </c>
      <c r="J138">
        <v>0.1</v>
      </c>
      <c r="L138" t="str">
        <f t="shared" si="9"/>
        <v xml:space="preserve">    -  0.160</v>
      </c>
      <c r="N138" t="str">
        <f t="shared" si="8"/>
        <v xml:space="preserve">    - [1.334, 0.329, 0.145, 11.38, -0.0643]</v>
      </c>
    </row>
    <row r="139" spans="2:14">
      <c r="B139">
        <v>0.2</v>
      </c>
      <c r="C139">
        <v>1.2010000000000001</v>
      </c>
      <c r="D139">
        <v>0.158</v>
      </c>
      <c r="E139">
        <v>0.42599999999999999</v>
      </c>
      <c r="F139">
        <v>14.12</v>
      </c>
      <c r="G139">
        <v>-0.18729999999999999</v>
      </c>
      <c r="H139">
        <v>0.3</v>
      </c>
      <c r="I139">
        <v>10</v>
      </c>
      <c r="J139">
        <v>0.2</v>
      </c>
      <c r="L139" t="str">
        <f t="shared" si="9"/>
        <v xml:space="preserve">    -  0.200</v>
      </c>
      <c r="N139" t="str">
        <f t="shared" si="8"/>
        <v xml:space="preserve">    - [1.201, 0.158, 0.426, 14.12, -0.1873]</v>
      </c>
    </row>
    <row r="140" spans="2:14">
      <c r="B140">
        <v>0.3</v>
      </c>
      <c r="C140">
        <v>1.1479999999999999</v>
      </c>
      <c r="D140">
        <v>0.42199999999999999</v>
      </c>
      <c r="E140">
        <v>0.20300000000000001</v>
      </c>
      <c r="F140">
        <v>13.49</v>
      </c>
      <c r="G140">
        <v>-0.1013</v>
      </c>
      <c r="H140">
        <v>0.8</v>
      </c>
      <c r="I140">
        <v>0.5</v>
      </c>
      <c r="J140">
        <v>0.36</v>
      </c>
      <c r="L140" t="str">
        <f t="shared" si="9"/>
        <v xml:space="preserve">    -  0.300</v>
      </c>
      <c r="N140" t="str">
        <f t="shared" si="8"/>
        <v xml:space="preserve">    - [1.148, 0.422, 0.203, 13.49, -0.1013]</v>
      </c>
    </row>
    <row r="141" spans="2:14">
      <c r="B141">
        <v>0.4</v>
      </c>
      <c r="C141">
        <v>1.1870000000000001</v>
      </c>
      <c r="D141">
        <v>0.56200000000000006</v>
      </c>
      <c r="E141">
        <v>0.13700000000000001</v>
      </c>
      <c r="F141">
        <v>14.19</v>
      </c>
      <c r="G141">
        <v>-7.0599999999999996E-2</v>
      </c>
      <c r="H141">
        <v>0.6</v>
      </c>
      <c r="I141">
        <v>0.5</v>
      </c>
      <c r="J141">
        <v>0.35</v>
      </c>
      <c r="L141" t="str">
        <f t="shared" si="9"/>
        <v xml:space="preserve">    -  0.400</v>
      </c>
      <c r="N141" t="str">
        <f t="shared" si="8"/>
        <v xml:space="preserve">    - [1.187, 0.562, 0.137, 14.19, -0.0706]</v>
      </c>
    </row>
    <row r="142" spans="2:14">
      <c r="B142">
        <v>0.5</v>
      </c>
      <c r="C142">
        <v>1.2330000000000001</v>
      </c>
      <c r="D142">
        <v>0.63400000000000001</v>
      </c>
      <c r="E142">
        <v>0.109</v>
      </c>
      <c r="F142">
        <v>14.2</v>
      </c>
      <c r="G142">
        <v>-5.5599999999999997E-2</v>
      </c>
      <c r="H142">
        <v>0.6</v>
      </c>
      <c r="I142">
        <v>0.5</v>
      </c>
      <c r="J142">
        <v>0.38</v>
      </c>
      <c r="L142" t="str">
        <f t="shared" si="9"/>
        <v xml:space="preserve">    -  0.500</v>
      </c>
      <c r="N142" t="str">
        <f t="shared" si="8"/>
        <v xml:space="preserve">    - [1.233, 0.634, 0.109, 14.20, -0.0556]</v>
      </c>
    </row>
    <row r="143" spans="2:14">
      <c r="B143">
        <v>0.6</v>
      </c>
      <c r="C143">
        <v>1.2689999999999999</v>
      </c>
      <c r="D143">
        <v>0.68500000000000005</v>
      </c>
      <c r="E143">
        <v>8.8999999999999996E-2</v>
      </c>
      <c r="F143">
        <v>13.78</v>
      </c>
      <c r="G143">
        <v>-4.3999999999999997E-2</v>
      </c>
      <c r="H143">
        <v>0.6</v>
      </c>
      <c r="I143">
        <v>1</v>
      </c>
      <c r="J143">
        <v>0.36</v>
      </c>
      <c r="L143" t="str">
        <f t="shared" si="9"/>
        <v xml:space="preserve">    -  0.600</v>
      </c>
      <c r="N143" t="str">
        <f t="shared" si="8"/>
        <v xml:space="preserve">    - [1.269, 0.685, 0.089, 13.78, -0.0440]</v>
      </c>
    </row>
    <row r="144" spans="2:14">
      <c r="B144">
        <v>0.8</v>
      </c>
      <c r="C144">
        <v>1.329</v>
      </c>
      <c r="D144">
        <v>0.75900000000000001</v>
      </c>
      <c r="E144">
        <v>6.5000000000000002E-2</v>
      </c>
      <c r="F144">
        <v>13.69</v>
      </c>
      <c r="G144">
        <v>-3.1699999999999999E-2</v>
      </c>
      <c r="H144">
        <v>0.8</v>
      </c>
      <c r="I144">
        <v>1</v>
      </c>
      <c r="J144">
        <v>0.39</v>
      </c>
      <c r="L144" t="str">
        <f t="shared" si="9"/>
        <v xml:space="preserve">    -  0.800</v>
      </c>
      <c r="N144" t="str">
        <f t="shared" si="8"/>
        <v xml:space="preserve">    - [1.329, 0.759, 0.065, 13.69, -0.0317]</v>
      </c>
    </row>
    <row r="145" spans="2:14">
      <c r="B145">
        <v>1</v>
      </c>
      <c r="C145">
        <v>1.367</v>
      </c>
      <c r="D145">
        <v>0.81100000000000005</v>
      </c>
      <c r="E145">
        <v>5.0999999999999997E-2</v>
      </c>
      <c r="F145">
        <v>13.67</v>
      </c>
      <c r="G145">
        <v>-2.8299999999999999E-2</v>
      </c>
      <c r="H145">
        <v>0.8</v>
      </c>
      <c r="I145">
        <v>1</v>
      </c>
      <c r="J145">
        <v>0.42</v>
      </c>
      <c r="L145" t="str">
        <f t="shared" si="9"/>
        <v xml:space="preserve">    -  1.000</v>
      </c>
      <c r="N145" t="str">
        <f t="shared" si="8"/>
        <v xml:space="preserve">    - [1.367, 0.811, 0.051, 13.67, -0.0283]</v>
      </c>
    </row>
    <row r="146" spans="2:14">
      <c r="B146">
        <v>1.5</v>
      </c>
      <c r="C146">
        <v>1.369</v>
      </c>
      <c r="D146">
        <v>0.94199999999999995</v>
      </c>
      <c r="E146">
        <v>0.02</v>
      </c>
      <c r="F146">
        <v>14.65</v>
      </c>
      <c r="G146">
        <v>-2.07E-2</v>
      </c>
      <c r="H146">
        <v>0.9</v>
      </c>
      <c r="I146">
        <v>1</v>
      </c>
      <c r="J146">
        <v>0.34</v>
      </c>
      <c r="L146" t="str">
        <f t="shared" si="9"/>
        <v xml:space="preserve">    -  1.500</v>
      </c>
      <c r="N146" t="str">
        <f t="shared" si="8"/>
        <v xml:space="preserve">    - [1.369, 0.942, 0.020, 14.65, -0.0207]</v>
      </c>
    </row>
    <row r="147" spans="2:14">
      <c r="B147">
        <v>2</v>
      </c>
      <c r="C147">
        <v>1.3839999999999999</v>
      </c>
      <c r="D147">
        <v>0.98</v>
      </c>
      <c r="E147">
        <v>1.4E-2</v>
      </c>
      <c r="F147">
        <v>13.51</v>
      </c>
      <c r="G147">
        <v>-2.1600000000000001E-2</v>
      </c>
      <c r="H147">
        <v>1.7</v>
      </c>
      <c r="I147">
        <v>0.5</v>
      </c>
      <c r="J147">
        <v>0.68</v>
      </c>
      <c r="L147" t="str">
        <f t="shared" si="9"/>
        <v xml:space="preserve">    -  2.000</v>
      </c>
      <c r="N147" t="str">
        <f t="shared" si="8"/>
        <v xml:space="preserve">    - [1.384, 0.980, 0.014, 13.51, -0.0216]</v>
      </c>
    </row>
    <row r="148" spans="2:14">
      <c r="B148">
        <v>3</v>
      </c>
      <c r="C148">
        <v>1.367</v>
      </c>
      <c r="D148">
        <v>1.006</v>
      </c>
      <c r="E148">
        <v>1.7000000000000001E-2</v>
      </c>
      <c r="F148">
        <v>13.33</v>
      </c>
      <c r="G148">
        <v>-3.7699999999999997E-2</v>
      </c>
      <c r="H148">
        <v>3.4</v>
      </c>
      <c r="I148">
        <v>0.5</v>
      </c>
      <c r="J148">
        <v>1.3</v>
      </c>
      <c r="L148" t="str">
        <f t="shared" si="9"/>
        <v xml:space="preserve">    -  3.000</v>
      </c>
      <c r="N148" t="str">
        <f t="shared" si="8"/>
        <v xml:space="preserve">    - [1.367, 1.006, 0.017, 13.33, -0.0377]</v>
      </c>
    </row>
    <row r="149" spans="2:14">
      <c r="B149">
        <v>4</v>
      </c>
      <c r="C149">
        <v>1.337</v>
      </c>
      <c r="D149">
        <v>1.0089999999999999</v>
      </c>
      <c r="E149">
        <v>2.4E-2</v>
      </c>
      <c r="F149">
        <v>14.15</v>
      </c>
      <c r="G149">
        <v>-4.5499999999999999E-2</v>
      </c>
      <c r="H149">
        <v>3.7</v>
      </c>
      <c r="I149">
        <v>0.5</v>
      </c>
      <c r="J149">
        <v>1.46</v>
      </c>
      <c r="L149" t="str">
        <f t="shared" si="9"/>
        <v xml:space="preserve">    -  4.000</v>
      </c>
      <c r="N149" t="str">
        <f t="shared" si="8"/>
        <v xml:space="preserve">    - [1.337, 1.009, 0.024, 14.15, -0.0455]</v>
      </c>
    </row>
    <row r="150" spans="2:14">
      <c r="B150">
        <v>5</v>
      </c>
      <c r="C150">
        <v>1.36</v>
      </c>
      <c r="D150">
        <v>0.95699999999999996</v>
      </c>
      <c r="E150">
        <v>4.9000000000000002E-2</v>
      </c>
      <c r="F150">
        <v>14.04</v>
      </c>
      <c r="G150">
        <v>-6.83E-2</v>
      </c>
      <c r="H150">
        <v>5.4</v>
      </c>
      <c r="I150">
        <v>0.5</v>
      </c>
      <c r="J150">
        <v>2.12</v>
      </c>
      <c r="L150" t="str">
        <f t="shared" si="9"/>
        <v xml:space="preserve">    -  5.000</v>
      </c>
      <c r="N150" t="str">
        <f t="shared" si="8"/>
        <v xml:space="preserve">    - [1.360, 0.957, 0.049, 14.04, -0.0683]</v>
      </c>
    </row>
    <row r="151" spans="2:14">
      <c r="B151">
        <v>6</v>
      </c>
      <c r="C151">
        <v>1.363</v>
      </c>
      <c r="D151">
        <v>0.96499999999999997</v>
      </c>
      <c r="E151">
        <v>5.3999999999999999E-2</v>
      </c>
      <c r="F151">
        <v>14.21</v>
      </c>
      <c r="G151">
        <v>-7.1599999999999997E-2</v>
      </c>
      <c r="H151">
        <v>5.7</v>
      </c>
      <c r="I151">
        <v>0.5</v>
      </c>
      <c r="J151">
        <v>2.21</v>
      </c>
      <c r="L151" t="str">
        <f t="shared" si="9"/>
        <v xml:space="preserve">    -  6.000</v>
      </c>
      <c r="N151" t="str">
        <f t="shared" si="8"/>
        <v xml:space="preserve">    - [1.363, 0.965, 0.054, 14.21, -0.0716]</v>
      </c>
    </row>
    <row r="152" spans="2:14">
      <c r="B152">
        <v>8</v>
      </c>
      <c r="C152">
        <v>1.4410000000000001</v>
      </c>
      <c r="D152">
        <v>0.99399999999999999</v>
      </c>
      <c r="E152">
        <v>6.0999999999999999E-2</v>
      </c>
      <c r="F152">
        <v>14.18</v>
      </c>
      <c r="G152">
        <v>-0.08</v>
      </c>
      <c r="H152">
        <v>5.8</v>
      </c>
      <c r="I152">
        <v>0.5</v>
      </c>
      <c r="J152">
        <v>2.4500000000000002</v>
      </c>
      <c r="L152" t="str">
        <f t="shared" si="9"/>
        <v xml:space="preserve">    -  8.000</v>
      </c>
      <c r="N152" t="str">
        <f t="shared" si="8"/>
        <v xml:space="preserve">    - [1.441, 0.994, 0.061, 14.18, -0.0800]</v>
      </c>
    </row>
    <row r="153" spans="2:14">
      <c r="B153">
        <v>10</v>
      </c>
      <c r="C153">
        <v>1.464</v>
      </c>
      <c r="D153">
        <v>1.1479999999999999</v>
      </c>
      <c r="E153">
        <v>3.2000000000000001E-2</v>
      </c>
      <c r="F153">
        <v>14.08</v>
      </c>
      <c r="G153">
        <v>-5.5399999999999998E-2</v>
      </c>
      <c r="H153">
        <v>4.0999999999999996</v>
      </c>
      <c r="I153">
        <v>0.5</v>
      </c>
      <c r="J153">
        <v>1.73</v>
      </c>
      <c r="L153" t="str">
        <f t="shared" si="9"/>
        <v xml:space="preserve">    -  10.000</v>
      </c>
      <c r="N153" t="str">
        <f t="shared" si="8"/>
        <v xml:space="preserve">    - [1.464, 1.148, 0.032, 14.08, -0.0554]</v>
      </c>
    </row>
    <row r="154" spans="2:14">
      <c r="B154">
        <v>15</v>
      </c>
      <c r="C154">
        <v>1.573</v>
      </c>
      <c r="D154">
        <v>1.337</v>
      </c>
      <c r="E154">
        <v>1.6E-2</v>
      </c>
      <c r="F154">
        <v>13.54</v>
      </c>
      <c r="G154">
        <v>-4.6300000000000001E-2</v>
      </c>
      <c r="H154">
        <v>3.5</v>
      </c>
      <c r="I154">
        <v>0.5</v>
      </c>
      <c r="J154">
        <v>1.76</v>
      </c>
      <c r="L154" t="str">
        <f t="shared" si="9"/>
        <v xml:space="preserve">    -  15.000</v>
      </c>
      <c r="N154" t="str">
        <f t="shared" si="8"/>
        <v xml:space="preserve">    - [1.573, 1.337, 0.016, 13.54, -0.0463]</v>
      </c>
    </row>
    <row r="156" spans="2:14">
      <c r="C156" s="5" t="s">
        <v>56</v>
      </c>
    </row>
    <row r="157" spans="2:14">
      <c r="B157" t="s">
        <v>1</v>
      </c>
      <c r="C157" t="s">
        <v>11</v>
      </c>
      <c r="D157" t="s">
        <v>12</v>
      </c>
      <c r="E157" t="s">
        <v>13</v>
      </c>
      <c r="F157" t="s">
        <v>16</v>
      </c>
      <c r="G157" t="s">
        <v>14</v>
      </c>
      <c r="H157" t="s">
        <v>17</v>
      </c>
      <c r="I157" t="s">
        <v>18</v>
      </c>
      <c r="J157" t="s">
        <v>15</v>
      </c>
    </row>
    <row r="158" spans="2:14">
      <c r="B158" s="4">
        <v>0.03</v>
      </c>
      <c r="C158" s="4">
        <v>1005</v>
      </c>
      <c r="D158" s="4">
        <v>0.33600000000000002</v>
      </c>
      <c r="E158" s="4">
        <v>0.224</v>
      </c>
      <c r="F158" s="7">
        <v>25.06</v>
      </c>
      <c r="G158" s="6">
        <v>-0.2039</v>
      </c>
      <c r="H158">
        <v>0</v>
      </c>
      <c r="I158">
        <v>5</v>
      </c>
      <c r="J158">
        <v>0.02</v>
      </c>
      <c r="L158" t="str">
        <f>CONCATENATE("    -  ",TEXT(B158,"0.000"))</f>
        <v xml:space="preserve">    -  0.030</v>
      </c>
      <c r="N158" t="str">
        <f t="shared" ref="N158:N190" si="10">CONCATENATE("    - [",TEXT(C158,$N$2),", ",TEXT(D158,$N$2),", ",TEXT(E158,$N$2),", ",TEXT(F158,$O$2),", ",TEXT(G158,$P$2),"]")</f>
        <v xml:space="preserve">    - [1005.000, 0.336, 0.224, 25.06, -0.2039]</v>
      </c>
    </row>
    <row r="159" spans="2:14">
      <c r="B159" s="4">
        <v>0.04</v>
      </c>
      <c r="C159" s="4">
        <v>1.01</v>
      </c>
      <c r="D159" s="4">
        <v>0.29599999999999999</v>
      </c>
      <c r="E159" s="4">
        <v>0.27200000000000002</v>
      </c>
      <c r="F159" s="7">
        <v>14.23</v>
      </c>
      <c r="G159" s="6">
        <v>-0.11990000000000001</v>
      </c>
      <c r="H159">
        <v>0.1</v>
      </c>
      <c r="I159">
        <v>2</v>
      </c>
      <c r="J159">
        <v>0.03</v>
      </c>
      <c r="L159" t="str">
        <f t="shared" ref="L159:L182" si="11">CONCATENATE("    -  ",TEXT(B159,"0.000"))</f>
        <v xml:space="preserve">    -  0.040</v>
      </c>
      <c r="N159" t="str">
        <f t="shared" si="10"/>
        <v xml:space="preserve">    - [1.010, 0.296, 0.272, 14.23, -0.1199]</v>
      </c>
    </row>
    <row r="160" spans="2:14">
      <c r="B160" s="4">
        <v>0.05</v>
      </c>
      <c r="C160" s="4">
        <v>1.016</v>
      </c>
      <c r="D160" s="4">
        <v>0.313</v>
      </c>
      <c r="E160" s="4">
        <v>0.245</v>
      </c>
      <c r="F160" s="7">
        <v>13.51</v>
      </c>
      <c r="G160" s="6">
        <f>-0.0593</f>
        <v>-5.9299999999999999E-2</v>
      </c>
      <c r="H160">
        <v>0.1</v>
      </c>
      <c r="I160">
        <v>10</v>
      </c>
      <c r="J160">
        <v>0.03</v>
      </c>
      <c r="L160" t="str">
        <f t="shared" si="11"/>
        <v xml:space="preserve">    -  0.050</v>
      </c>
      <c r="N160" t="str">
        <f t="shared" si="10"/>
        <v xml:space="preserve">    - [1.016, 0.313, 0.245, 13.51, -0.0593]</v>
      </c>
    </row>
    <row r="161" spans="2:14">
      <c r="B161" s="4">
        <v>0.06</v>
      </c>
      <c r="C161" s="4">
        <v>1.022</v>
      </c>
      <c r="D161" s="4">
        <v>0.33600000000000002</v>
      </c>
      <c r="E161" s="4">
        <v>0.24399999999999999</v>
      </c>
      <c r="F161" s="7">
        <v>14.48</v>
      </c>
      <c r="G161" s="6">
        <f>-0.1157</f>
        <v>-0.1157</v>
      </c>
      <c r="H161">
        <v>0.1</v>
      </c>
      <c r="I161">
        <v>2</v>
      </c>
      <c r="J161">
        <v>0.04</v>
      </c>
      <c r="L161" t="str">
        <f t="shared" si="11"/>
        <v xml:space="preserve">    -  0.060</v>
      </c>
      <c r="N161" t="str">
        <f t="shared" si="10"/>
        <v xml:space="preserve">    - [1.022, 0.336, 0.244, 14.48, -0.1157]</v>
      </c>
    </row>
    <row r="162" spans="2:14">
      <c r="B162" s="4">
        <v>0.08</v>
      </c>
      <c r="C162" s="4">
        <v>1.0389999999999999</v>
      </c>
      <c r="D162" s="4">
        <v>0.35699999999999998</v>
      </c>
      <c r="E162" s="4">
        <v>0.23599999999999999</v>
      </c>
      <c r="F162" s="7">
        <v>13.57</v>
      </c>
      <c r="G162" s="6">
        <f>-0.1154</f>
        <v>-0.1154</v>
      </c>
      <c r="H162">
        <v>0.2</v>
      </c>
      <c r="I162">
        <v>0.5</v>
      </c>
      <c r="J162">
        <v>0.09</v>
      </c>
      <c r="L162" t="str">
        <f t="shared" si="11"/>
        <v xml:space="preserve">    -  0.080</v>
      </c>
      <c r="N162" t="str">
        <f t="shared" si="10"/>
        <v xml:space="preserve">    - [1.039, 0.357, 0.236, 13.57, -0.1154]</v>
      </c>
    </row>
    <row r="163" spans="2:14">
      <c r="B163" s="4">
        <v>0.1</v>
      </c>
      <c r="C163" s="4">
        <v>1.0569999999999999</v>
      </c>
      <c r="D163" s="4">
        <v>0.39</v>
      </c>
      <c r="E163" s="4">
        <v>0.217</v>
      </c>
      <c r="F163" s="7">
        <v>13.75</v>
      </c>
      <c r="G163" s="6">
        <v>-0.1096</v>
      </c>
      <c r="H163">
        <v>0.2</v>
      </c>
      <c r="I163">
        <v>3</v>
      </c>
      <c r="J163">
        <v>0.13</v>
      </c>
      <c r="L163" t="str">
        <f t="shared" si="11"/>
        <v xml:space="preserve">    -  0.100</v>
      </c>
      <c r="N163" t="str">
        <f t="shared" si="10"/>
        <v xml:space="preserve">    - [1.057, 0.390, 0.217, 13.75, -0.1096]</v>
      </c>
    </row>
    <row r="164" spans="2:14">
      <c r="B164" s="4">
        <v>0.115</v>
      </c>
      <c r="C164" s="4">
        <v>1.071</v>
      </c>
      <c r="D164" s="4">
        <v>0.435</v>
      </c>
      <c r="E164" s="4">
        <v>0.19400000000000001</v>
      </c>
      <c r="F164" s="7">
        <v>14.51</v>
      </c>
      <c r="G164" s="6">
        <v>-9.9599999999999994E-2</v>
      </c>
      <c r="H164">
        <v>0.3</v>
      </c>
      <c r="I164">
        <v>0.5</v>
      </c>
      <c r="J164">
        <v>0.14000000000000001</v>
      </c>
      <c r="L164" t="str">
        <f t="shared" si="11"/>
        <v xml:space="preserve">    -  0.115</v>
      </c>
      <c r="N164" t="str">
        <f t="shared" si="10"/>
        <v xml:space="preserve">    - [1.071, 0.435, 0.194, 14.51, -0.0996]</v>
      </c>
    </row>
    <row r="165" spans="2:14">
      <c r="B165" s="4">
        <v>0.11600000000000001</v>
      </c>
      <c r="C165" s="4">
        <v>2.0699999999999998</v>
      </c>
      <c r="D165" s="4">
        <v>1.63</v>
      </c>
      <c r="E165" s="4">
        <v>5.0999999999999997E-2</v>
      </c>
      <c r="F165" s="7">
        <v>14.52</v>
      </c>
      <c r="G165" s="6">
        <v>-4.1200000000000001E-2</v>
      </c>
      <c r="H165">
        <v>10.1</v>
      </c>
      <c r="I165">
        <v>3</v>
      </c>
      <c r="J165">
        <v>5.12</v>
      </c>
      <c r="L165" t="str">
        <f t="shared" si="11"/>
        <v xml:space="preserve">    -  0.116</v>
      </c>
      <c r="N165" t="str">
        <f t="shared" si="10"/>
        <v xml:space="preserve">    - [2.070, 1.630, 0.051, 14.52, -0.0412]</v>
      </c>
    </row>
    <row r="166" spans="2:14">
      <c r="B166" s="4">
        <v>0.12</v>
      </c>
      <c r="C166" s="4">
        <v>1.921</v>
      </c>
      <c r="D166" s="4">
        <v>1.623</v>
      </c>
      <c r="E166" s="4">
        <v>0.05</v>
      </c>
      <c r="F166" s="7">
        <v>29.71</v>
      </c>
      <c r="G166" s="6">
        <v>-0.1023</v>
      </c>
      <c r="H166">
        <v>7.4</v>
      </c>
      <c r="I166">
        <v>20</v>
      </c>
      <c r="J166">
        <v>4.41</v>
      </c>
      <c r="L166" t="str">
        <f t="shared" si="11"/>
        <v xml:space="preserve">    -  0.120</v>
      </c>
      <c r="N166" t="str">
        <f t="shared" si="10"/>
        <v xml:space="preserve">    - [1.921, 1.623, 0.050, 29.71, -0.1023]</v>
      </c>
    </row>
    <row r="167" spans="2:14">
      <c r="B167" s="4">
        <v>0.13</v>
      </c>
      <c r="C167" s="4">
        <v>1.917</v>
      </c>
      <c r="D167" s="4">
        <v>1.3149999999999999</v>
      </c>
      <c r="E167" s="4">
        <v>9.2999999999999999E-2</v>
      </c>
      <c r="F167" s="7">
        <v>15.12</v>
      </c>
      <c r="G167" s="6">
        <v>-7.1099999999999997E-2</v>
      </c>
      <c r="H167">
        <v>9.6999999999999993</v>
      </c>
      <c r="I167">
        <v>3</v>
      </c>
      <c r="J167">
        <v>4.3499999999999996</v>
      </c>
      <c r="L167" t="str">
        <f t="shared" si="11"/>
        <v xml:space="preserve">    -  0.130</v>
      </c>
      <c r="N167" t="str">
        <f t="shared" si="10"/>
        <v xml:space="preserve">    - [1.917, 1.315, 0.093, 15.12, -0.0711]</v>
      </c>
    </row>
    <row r="168" spans="2:14">
      <c r="B168" s="4">
        <v>0.14000000000000001</v>
      </c>
      <c r="C168" s="4">
        <v>1.734</v>
      </c>
      <c r="D168" s="4">
        <v>1.1539999999999999</v>
      </c>
      <c r="E168" s="4">
        <v>0.10299999999999999</v>
      </c>
      <c r="F168" s="7">
        <v>16.309999999999999</v>
      </c>
      <c r="G168" s="6">
        <v>-8.14E-2</v>
      </c>
      <c r="H168">
        <v>5.0999999999999996</v>
      </c>
      <c r="I168">
        <v>4</v>
      </c>
      <c r="J168">
        <v>2.79</v>
      </c>
      <c r="L168" t="str">
        <f t="shared" si="11"/>
        <v xml:space="preserve">    -  0.140</v>
      </c>
      <c r="N168" t="str">
        <f t="shared" si="10"/>
        <v xml:space="preserve">    - [1.734, 1.154, 0.103, 16.31, -0.0814]</v>
      </c>
    </row>
    <row r="169" spans="2:14">
      <c r="B169" s="4">
        <v>0.15</v>
      </c>
      <c r="C169" s="4">
        <v>1.595</v>
      </c>
      <c r="D169" s="4">
        <v>1.03</v>
      </c>
      <c r="E169" s="4">
        <v>0.122</v>
      </c>
      <c r="F169" s="7">
        <v>16.02</v>
      </c>
      <c r="G169" s="6">
        <v>-9.9599999999999994E-2</v>
      </c>
      <c r="H169">
        <v>4</v>
      </c>
      <c r="I169">
        <v>1</v>
      </c>
      <c r="J169">
        <v>2</v>
      </c>
      <c r="L169" t="str">
        <f t="shared" si="11"/>
        <v xml:space="preserve">    -  0.150</v>
      </c>
      <c r="N169" t="str">
        <f t="shared" si="10"/>
        <v xml:space="preserve">    - [1.595, 1.030, 0.122, 16.02, -0.0996]</v>
      </c>
    </row>
    <row r="170" spans="2:14">
      <c r="B170" s="4">
        <v>0.16</v>
      </c>
      <c r="C170" s="4">
        <v>1.5289999999999999</v>
      </c>
      <c r="D170" s="4">
        <v>0.52600000000000002</v>
      </c>
      <c r="E170" s="4">
        <v>0.16400000000000001</v>
      </c>
      <c r="F170" s="7">
        <v>15.64</v>
      </c>
      <c r="G170" s="6">
        <v>-0.14050000000000001</v>
      </c>
      <c r="H170">
        <v>2.9</v>
      </c>
      <c r="I170">
        <v>1</v>
      </c>
      <c r="J170">
        <v>1.65</v>
      </c>
      <c r="L170" t="str">
        <f t="shared" si="11"/>
        <v xml:space="preserve">    -  0.160</v>
      </c>
      <c r="N170" t="str">
        <f t="shared" si="10"/>
        <v xml:space="preserve">    - [1.529, 0.526, 0.164, 15.64, -0.1405]</v>
      </c>
    </row>
    <row r="171" spans="2:14">
      <c r="B171" s="4">
        <v>0.17</v>
      </c>
      <c r="C171" s="4">
        <v>1.4610000000000001</v>
      </c>
      <c r="D171" s="4">
        <v>0.64900000000000002</v>
      </c>
      <c r="E171" s="4">
        <v>0.20899999999999999</v>
      </c>
      <c r="F171" s="7">
        <v>15.75</v>
      </c>
      <c r="G171" s="6">
        <v>-0.1759</v>
      </c>
      <c r="H171">
        <v>2.2999999999999998</v>
      </c>
      <c r="I171">
        <v>35</v>
      </c>
      <c r="J171">
        <v>1.54</v>
      </c>
      <c r="L171" t="str">
        <f t="shared" si="11"/>
        <v xml:space="preserve">    -  0.170</v>
      </c>
      <c r="N171" t="str">
        <f t="shared" si="10"/>
        <v xml:space="preserve">    - [1.461, 0.649, 0.209, 15.75, -0.1759]</v>
      </c>
    </row>
    <row r="172" spans="2:14">
      <c r="B172" s="4">
        <v>0.15</v>
      </c>
      <c r="C172" s="4">
        <v>1.423</v>
      </c>
      <c r="D172" s="4">
        <v>0.47</v>
      </c>
      <c r="E172" s="4">
        <v>0.26900000000000002</v>
      </c>
      <c r="F172" s="7">
        <v>16.52</v>
      </c>
      <c r="G172" s="6">
        <v>-0.20039999999999999</v>
      </c>
      <c r="H172">
        <v>1.4</v>
      </c>
      <c r="I172">
        <v>35</v>
      </c>
      <c r="J172">
        <v>0.55000000000000004</v>
      </c>
      <c r="L172" t="str">
        <f t="shared" si="11"/>
        <v xml:space="preserve">    -  0.150</v>
      </c>
      <c r="N172" t="str">
        <f t="shared" si="10"/>
        <v xml:space="preserve">    - [1.423, 0.470, 0.269, 16.52, -0.2004]</v>
      </c>
    </row>
    <row r="173" spans="2:14">
      <c r="B173" s="4">
        <v>0.19</v>
      </c>
      <c r="C173" s="4">
        <v>1.377</v>
      </c>
      <c r="D173" s="4">
        <v>0.374</v>
      </c>
      <c r="E173" s="4">
        <v>0.26700000000000002</v>
      </c>
      <c r="F173" s="7">
        <v>15.15</v>
      </c>
      <c r="G173" s="6">
        <v>-6.3899999999999998E-2</v>
      </c>
      <c r="H173">
        <v>1.1000000000000001</v>
      </c>
      <c r="I173">
        <v>0.5</v>
      </c>
      <c r="J173">
        <v>0.52</v>
      </c>
      <c r="L173" t="str">
        <f t="shared" si="11"/>
        <v xml:space="preserve">    -  0.190</v>
      </c>
      <c r="N173" t="str">
        <f t="shared" si="10"/>
        <v xml:space="preserve">    - [1.377, 0.374, 0.267, 15.15, -0.0639]</v>
      </c>
    </row>
    <row r="174" spans="2:14">
      <c r="B174" s="4">
        <v>0.2</v>
      </c>
      <c r="C174" s="4">
        <v>1.3240000000000001</v>
      </c>
      <c r="D174" s="4">
        <v>0.36599999999999999</v>
      </c>
      <c r="E174" s="4">
        <v>0.16700000000000001</v>
      </c>
      <c r="F174" s="7">
        <v>13.25</v>
      </c>
      <c r="G174" s="6">
        <v>-6.5500000000000003E-2</v>
      </c>
      <c r="H174">
        <v>0.2</v>
      </c>
      <c r="I174">
        <v>3</v>
      </c>
      <c r="J174">
        <v>0.11</v>
      </c>
      <c r="L174" t="str">
        <f t="shared" si="11"/>
        <v xml:space="preserve">    -  0.200</v>
      </c>
      <c r="N174" t="str">
        <f t="shared" si="10"/>
        <v xml:space="preserve">    - [1.324, 0.366, 0.167, 13.25, -0.0655]</v>
      </c>
    </row>
    <row r="175" spans="2:14">
      <c r="B175" s="4">
        <v>0.25</v>
      </c>
      <c r="C175" s="4">
        <v>1.206</v>
      </c>
      <c r="D175" s="4">
        <v>0.191</v>
      </c>
      <c r="E175" s="4">
        <v>0.375</v>
      </c>
      <c r="F175" s="7">
        <v>14.46</v>
      </c>
      <c r="G175" s="6">
        <v>-0.16389999999999999</v>
      </c>
      <c r="H175">
        <v>0.3</v>
      </c>
      <c r="I175">
        <v>35</v>
      </c>
      <c r="J175">
        <v>0.17</v>
      </c>
      <c r="L175" t="str">
        <f t="shared" si="11"/>
        <v xml:space="preserve">    -  0.250</v>
      </c>
      <c r="N175" t="str">
        <f t="shared" si="10"/>
        <v xml:space="preserve">    - [1.206, 0.191, 0.375, 14.46, -0.1639]</v>
      </c>
    </row>
    <row r="176" spans="2:14">
      <c r="B176" s="4">
        <v>0.3</v>
      </c>
      <c r="C176" s="4">
        <v>1.1599999999999999</v>
      </c>
      <c r="D176" s="4">
        <v>0.254</v>
      </c>
      <c r="E176" s="4">
        <v>0.30399999999999999</v>
      </c>
      <c r="F176" s="7">
        <v>13.25</v>
      </c>
      <c r="G176" s="6">
        <v>-0.1643</v>
      </c>
      <c r="H176">
        <v>0.5</v>
      </c>
      <c r="I176">
        <v>0.5</v>
      </c>
      <c r="J176">
        <v>0.42</v>
      </c>
      <c r="L176" t="str">
        <f t="shared" si="11"/>
        <v xml:space="preserve">    -  0.300</v>
      </c>
      <c r="N176" t="str">
        <f t="shared" si="10"/>
        <v xml:space="preserve">    - [1.160, 0.254, 0.304, 13.25, -0.1643]</v>
      </c>
    </row>
    <row r="177" spans="2:14">
      <c r="B177" s="4">
        <v>0.4</v>
      </c>
      <c r="C177" s="4">
        <v>1.157</v>
      </c>
      <c r="D177" s="4">
        <v>0.49</v>
      </c>
      <c r="E177" s="4">
        <v>0.17100000000000001</v>
      </c>
      <c r="F177" s="7">
        <v>13.96</v>
      </c>
      <c r="G177" s="6">
        <v>-9.11E-2</v>
      </c>
      <c r="H177">
        <v>0.9</v>
      </c>
      <c r="I177">
        <v>0.5</v>
      </c>
      <c r="J177">
        <v>0.42</v>
      </c>
      <c r="L177" t="str">
        <f t="shared" si="11"/>
        <v xml:space="preserve">    -  0.400</v>
      </c>
      <c r="N177" t="str">
        <f t="shared" si="10"/>
        <v xml:space="preserve">    - [1.157, 0.490, 0.171, 13.96, -0.0911]</v>
      </c>
    </row>
    <row r="178" spans="2:14">
      <c r="B178" s="4">
        <v>0.5</v>
      </c>
      <c r="C178" s="4">
        <v>1.155</v>
      </c>
      <c r="D178" s="4">
        <v>0.57699999999999996</v>
      </c>
      <c r="E178" s="4">
        <v>0.13100000000000001</v>
      </c>
      <c r="F178" s="7">
        <v>14.05</v>
      </c>
      <c r="G178" s="6">
        <v>-6.5199999999999994E-2</v>
      </c>
      <c r="H178">
        <v>0.7</v>
      </c>
      <c r="I178">
        <v>0.5</v>
      </c>
      <c r="J178">
        <v>0.39</v>
      </c>
      <c r="L178" t="str">
        <f t="shared" si="11"/>
        <v xml:space="preserve">    -  0.500</v>
      </c>
      <c r="N178" t="str">
        <f t="shared" si="10"/>
        <v xml:space="preserve">    - [1.155, 0.577, 0.131, 14.05, -0.0652]</v>
      </c>
    </row>
    <row r="179" spans="2:14">
      <c r="B179" s="4">
        <v>0.6</v>
      </c>
      <c r="C179" s="4">
        <v>1.2070000000000001</v>
      </c>
      <c r="D179" s="4">
        <v>0.64300000000000002</v>
      </c>
      <c r="E179" s="4">
        <v>0.10100000000000001</v>
      </c>
      <c r="F179" s="7">
        <v>13.5</v>
      </c>
      <c r="G179" s="6">
        <v>-4.7300000000000002E-2</v>
      </c>
      <c r="H179">
        <v>0.6</v>
      </c>
      <c r="I179">
        <v>1</v>
      </c>
      <c r="J179">
        <v>0.33</v>
      </c>
      <c r="L179" t="str">
        <f t="shared" si="11"/>
        <v xml:space="preserve">    -  0.600</v>
      </c>
      <c r="N179" t="str">
        <f t="shared" si="10"/>
        <v xml:space="preserve">    - [1.207, 0.643, 0.101, 13.50, -0.0473]</v>
      </c>
    </row>
    <row r="180" spans="2:14">
      <c r="B180" s="4">
        <v>0.5</v>
      </c>
      <c r="C180" s="4">
        <v>1.2609999999999999</v>
      </c>
      <c r="D180" s="4">
        <v>0.105</v>
      </c>
      <c r="E180" s="4">
        <v>0.08</v>
      </c>
      <c r="F180" s="7">
        <v>13.59</v>
      </c>
      <c r="G180" s="6">
        <v>-3.6200000000000003E-2</v>
      </c>
      <c r="H180">
        <v>0.7</v>
      </c>
      <c r="I180">
        <v>1</v>
      </c>
      <c r="J180">
        <v>0.35</v>
      </c>
      <c r="L180" t="str">
        <f t="shared" si="11"/>
        <v xml:space="preserve">    -  0.500</v>
      </c>
      <c r="N180" t="str">
        <f t="shared" si="10"/>
        <v xml:space="preserve">    - [1.261, 0.105, 0.080, 13.59, -0.0362]</v>
      </c>
    </row>
    <row r="181" spans="2:14">
      <c r="B181" s="4">
        <v>1</v>
      </c>
      <c r="C181" s="4">
        <v>1.2949999999999999</v>
      </c>
      <c r="D181" s="4">
        <v>0.754</v>
      </c>
      <c r="E181" s="4">
        <v>6.6000000000000003E-2</v>
      </c>
      <c r="F181" s="7">
        <v>13.69</v>
      </c>
      <c r="G181" s="6">
        <v>-3.2500000000000001E-2</v>
      </c>
      <c r="H181">
        <v>0.7</v>
      </c>
      <c r="I181">
        <v>1</v>
      </c>
      <c r="J181">
        <v>0.4</v>
      </c>
      <c r="L181" t="str">
        <f t="shared" si="11"/>
        <v xml:space="preserve">    -  1.000</v>
      </c>
      <c r="N181" t="str">
        <f t="shared" si="10"/>
        <v xml:space="preserve">    - [1.295, 0.754, 0.066, 13.69, -0.0325]</v>
      </c>
    </row>
    <row r="182" spans="2:14">
      <c r="B182" s="4">
        <v>1.5</v>
      </c>
      <c r="C182" s="4">
        <v>1.32</v>
      </c>
      <c r="D182" s="4">
        <v>0.57299999999999995</v>
      </c>
      <c r="E182" s="4">
        <v>3.5000000000000003E-2</v>
      </c>
      <c r="F182" s="7">
        <v>14.75</v>
      </c>
      <c r="G182" s="6">
        <v>-2.52E-2</v>
      </c>
      <c r="H182">
        <v>0.6</v>
      </c>
      <c r="I182">
        <v>10</v>
      </c>
      <c r="J182">
        <v>0.35</v>
      </c>
      <c r="L182" t="str">
        <f t="shared" si="11"/>
        <v xml:space="preserve">    -  1.500</v>
      </c>
      <c r="N182" t="str">
        <f t="shared" si="10"/>
        <v xml:space="preserve">    - [1.320, 0.573, 0.035, 14.75, -0.0252]</v>
      </c>
    </row>
    <row r="183" spans="2:14">
      <c r="B183" s="4">
        <v>2</v>
      </c>
      <c r="C183" s="4">
        <v>1.335</v>
      </c>
      <c r="D183" s="4">
        <v>0.92300000000000004</v>
      </c>
      <c r="E183" s="4">
        <v>2.5000000000000001E-2</v>
      </c>
      <c r="F183" s="7">
        <v>13.56</v>
      </c>
      <c r="G183" s="6">
        <v>-2.7400000000000001E-2</v>
      </c>
      <c r="H183">
        <v>1.6</v>
      </c>
      <c r="I183">
        <v>0.5</v>
      </c>
      <c r="J183">
        <v>0.69</v>
      </c>
      <c r="L183" t="str">
        <f>CONCATENATE("    -  ",TEXT(B183,"0.000"))</f>
        <v xml:space="preserve">    -  2.000</v>
      </c>
      <c r="N183" t="str">
        <f t="shared" si="10"/>
        <v xml:space="preserve">    - [1.335, 0.923, 0.025, 13.56, -0.0274]</v>
      </c>
    </row>
    <row r="184" spans="2:14">
      <c r="B184" s="4">
        <v>3</v>
      </c>
      <c r="C184" s="4">
        <v>1.3260000000000001</v>
      </c>
      <c r="D184" s="4">
        <v>0.96499999999999997</v>
      </c>
      <c r="E184" s="4">
        <v>2.4E-2</v>
      </c>
      <c r="F184" s="7">
        <v>13.45</v>
      </c>
      <c r="G184" s="6">
        <v>-3.7199999999999997E-2</v>
      </c>
      <c r="H184">
        <v>3.2</v>
      </c>
      <c r="I184">
        <v>0.5</v>
      </c>
      <c r="J184">
        <v>1.17</v>
      </c>
      <c r="L184" t="str">
        <f t="shared" ref="L184:L190" si="12">CONCATENATE("    -  ",TEXT(B184,"0.000"))</f>
        <v xml:space="preserve">    -  3.000</v>
      </c>
      <c r="N184" t="str">
        <f t="shared" si="10"/>
        <v xml:space="preserve">    - [1.326, 0.965, 0.024, 13.45, -0.0372]</v>
      </c>
    </row>
    <row r="185" spans="2:14">
      <c r="B185" s="4">
        <v>4</v>
      </c>
      <c r="C185" s="4">
        <v>1.2989999999999999</v>
      </c>
      <c r="D185" s="4">
        <v>0.95399999999999996</v>
      </c>
      <c r="E185" s="4">
        <v>2.7E-2</v>
      </c>
      <c r="F185" s="7">
        <v>13.84</v>
      </c>
      <c r="G185" s="6">
        <v>-4.1500000000000002E-2</v>
      </c>
      <c r="H185">
        <v>3.5</v>
      </c>
      <c r="I185">
        <v>0.5</v>
      </c>
      <c r="J185">
        <v>1.25</v>
      </c>
      <c r="L185" t="str">
        <f t="shared" si="12"/>
        <v xml:space="preserve">    -  4.000</v>
      </c>
      <c r="N185" t="str">
        <f t="shared" si="10"/>
        <v xml:space="preserve">    - [1.299, 0.954, 0.027, 13.84, -0.0415]</v>
      </c>
    </row>
    <row r="186" spans="2:14">
      <c r="B186" s="4">
        <v>5</v>
      </c>
      <c r="C186" s="4">
        <v>1.327</v>
      </c>
      <c r="D186" s="4">
        <v>0.93200000000000005</v>
      </c>
      <c r="E186" s="4">
        <v>5.1999999999999998E-2</v>
      </c>
      <c r="F186" s="7">
        <v>14.08</v>
      </c>
      <c r="G186" s="6">
        <v>-6.3500000000000001E-2</v>
      </c>
      <c r="H186">
        <v>5.0999999999999996</v>
      </c>
      <c r="I186">
        <v>0.5</v>
      </c>
      <c r="J186">
        <v>1.9</v>
      </c>
      <c r="L186" t="str">
        <f t="shared" si="12"/>
        <v xml:space="preserve">    -  5.000</v>
      </c>
      <c r="N186" t="str">
        <f t="shared" si="10"/>
        <v xml:space="preserve">    - [1.327, 0.932, 0.052, 14.08, -0.0635]</v>
      </c>
    </row>
    <row r="187" spans="2:14">
      <c r="B187" s="4">
        <v>6</v>
      </c>
      <c r="C187" s="4">
        <v>1.339</v>
      </c>
      <c r="D187" s="4">
        <v>0.93500000000000005</v>
      </c>
      <c r="E187" s="4">
        <v>5.5E-2</v>
      </c>
      <c r="F187" s="7">
        <v>14.53</v>
      </c>
      <c r="G187" s="6">
        <v>-6.7599999999999993E-2</v>
      </c>
      <c r="H187">
        <v>5.0999999999999996</v>
      </c>
      <c r="I187">
        <v>0.5</v>
      </c>
      <c r="J187">
        <v>1.95</v>
      </c>
      <c r="L187" t="str">
        <f t="shared" si="12"/>
        <v xml:space="preserve">    -  6.000</v>
      </c>
      <c r="N187" t="str">
        <f t="shared" si="10"/>
        <v xml:space="preserve">    - [1.339, 0.935, 0.055, 14.53, -0.0676]</v>
      </c>
    </row>
    <row r="188" spans="2:14">
      <c r="B188" s="4">
        <v>5</v>
      </c>
      <c r="C188" s="4">
        <v>1.4219999999999999</v>
      </c>
      <c r="D188" s="4">
        <v>0.97299999999999998</v>
      </c>
      <c r="E188" s="4">
        <v>6.3E-2</v>
      </c>
      <c r="F188" s="7">
        <v>14.26</v>
      </c>
      <c r="G188" s="6">
        <v>-7.6100000000000001E-2</v>
      </c>
      <c r="H188">
        <v>5.3</v>
      </c>
      <c r="I188">
        <v>0.5</v>
      </c>
      <c r="J188">
        <v>2.19</v>
      </c>
      <c r="L188" t="str">
        <f t="shared" si="12"/>
        <v xml:space="preserve">    -  5.000</v>
      </c>
      <c r="N188" t="str">
        <f t="shared" si="10"/>
        <v xml:space="preserve">    - [1.422, 0.973, 0.063, 14.26, -0.0761]</v>
      </c>
    </row>
    <row r="189" spans="2:14">
      <c r="B189" s="4">
        <v>10</v>
      </c>
      <c r="C189" s="4">
        <v>1.4510000000000001</v>
      </c>
      <c r="D189" s="4">
        <v>1.133</v>
      </c>
      <c r="E189" s="4">
        <v>3.2000000000000001E-2</v>
      </c>
      <c r="F189" s="7">
        <v>14.31</v>
      </c>
      <c r="G189" s="6">
        <f>-0.0502</f>
        <v>-5.0200000000000002E-2</v>
      </c>
      <c r="H189">
        <v>3.7</v>
      </c>
      <c r="I189">
        <v>0.5</v>
      </c>
      <c r="J189">
        <v>1.49</v>
      </c>
      <c r="L189" t="str">
        <f t="shared" si="12"/>
        <v xml:space="preserve">    -  10.000</v>
      </c>
      <c r="N189" t="str">
        <f t="shared" si="10"/>
        <v xml:space="preserve">    - [1.451, 1.133, 0.032, 14.31, -0.0502]</v>
      </c>
    </row>
    <row r="190" spans="2:14">
      <c r="B190" s="4">
        <v>15</v>
      </c>
      <c r="C190" s="4">
        <v>1.5569999999999999</v>
      </c>
      <c r="D190" s="4">
        <v>1.3280000000000001</v>
      </c>
      <c r="E190" s="4">
        <v>1.4999999999999999E-2</v>
      </c>
      <c r="F190" s="7">
        <v>13.75</v>
      </c>
      <c r="G190" s="6">
        <v>-4.0500000000000001E-2</v>
      </c>
      <c r="H190">
        <v>3.6</v>
      </c>
      <c r="I190">
        <v>0.5</v>
      </c>
      <c r="J190">
        <v>1.57</v>
      </c>
      <c r="L190" t="str">
        <f t="shared" si="12"/>
        <v xml:space="preserve">    -  15.000</v>
      </c>
      <c r="N190" t="str">
        <f t="shared" si="10"/>
        <v xml:space="preserve">    - [1.557, 1.328, 0.015, 13.75, -0.0405]</v>
      </c>
    </row>
    <row r="192" spans="2:14">
      <c r="C192" s="5" t="s">
        <v>57</v>
      </c>
    </row>
    <row r="193" spans="2:16">
      <c r="B193" t="s">
        <v>1</v>
      </c>
      <c r="C193" t="s">
        <v>11</v>
      </c>
      <c r="D193" t="s">
        <v>12</v>
      </c>
      <c r="E193" t="s">
        <v>13</v>
      </c>
      <c r="F193" t="s">
        <v>16</v>
      </c>
      <c r="G193" t="s">
        <v>14</v>
      </c>
      <c r="H193" t="s">
        <v>17</v>
      </c>
      <c r="I193" t="s">
        <v>18</v>
      </c>
      <c r="J193" t="s">
        <v>15</v>
      </c>
      <c r="O193" s="8"/>
      <c r="P193" s="8"/>
    </row>
    <row r="194" spans="2:16">
      <c r="B194" s="4">
        <v>1.4999999999999999E-2</v>
      </c>
      <c r="C194" s="4">
        <v>1.1819999999999999</v>
      </c>
      <c r="D194" s="4">
        <v>0.46300000000000002</v>
      </c>
      <c r="E194" s="4">
        <v>0.17499999999999999</v>
      </c>
      <c r="F194" s="7">
        <v>14.23</v>
      </c>
      <c r="G194" s="6">
        <v>-9.0800000000000006E-2</v>
      </c>
      <c r="H194" s="2">
        <v>1.6899999999999998E-2</v>
      </c>
      <c r="I194">
        <v>0.5</v>
      </c>
      <c r="J194" s="2">
        <v>6.3400000000000001E-3</v>
      </c>
      <c r="L194" t="str">
        <f>CONCATENATE("    -  ",TEXT(B194,"0.000"))</f>
        <v xml:space="preserve">    -  0.015</v>
      </c>
      <c r="N194" t="str">
        <f t="shared" ref="N194:N218" si="13">CONCATENATE("    - [",TEXT(C194,$N$2),", ",TEXT(D194,$N$2),", ",TEXT(E194,$N$2),", ",TEXT(F194,$O$2),", ",TEXT(G194,$P$2),"]")</f>
        <v xml:space="preserve">    - [1.182, 0.463, 0.175, 14.23, -0.0908]</v>
      </c>
    </row>
    <row r="195" spans="2:16">
      <c r="B195" s="4">
        <v>0.02</v>
      </c>
      <c r="C195" s="4">
        <v>1.427</v>
      </c>
      <c r="D195" s="4">
        <v>0.54900000000000004</v>
      </c>
      <c r="E195" s="4">
        <v>0.14299999999999999</v>
      </c>
      <c r="F195" s="7">
        <v>14.86</v>
      </c>
      <c r="G195" s="6">
        <v>-7.0699999999999999E-2</v>
      </c>
      <c r="H195" s="2">
        <v>2.3099999999999999E-2</v>
      </c>
      <c r="I195">
        <v>0.5</v>
      </c>
      <c r="J195" s="2">
        <v>7.7999999999999996E-3</v>
      </c>
      <c r="L195" t="str">
        <f t="shared" ref="L195:L218" si="14">CONCATENATE("    -  ",TEXT(B195,"0.000"))</f>
        <v xml:space="preserve">    -  0.020</v>
      </c>
      <c r="N195" t="str">
        <f t="shared" si="13"/>
        <v xml:space="preserve">    - [1.427, 0.549, 0.143, 14.86, -0.0707]</v>
      </c>
    </row>
    <row r="196" spans="2:16">
      <c r="B196" s="4">
        <v>0.03</v>
      </c>
      <c r="C196" s="4">
        <v>2.335</v>
      </c>
      <c r="D196" s="4">
        <v>0.73599999999999999</v>
      </c>
      <c r="E196" s="4">
        <v>8.6999999999999994E-2</v>
      </c>
      <c r="F196" s="7">
        <v>13.28</v>
      </c>
      <c r="G196" s="6">
        <v>-4.19E-2</v>
      </c>
      <c r="H196" s="2">
        <v>2.3400000000000001E-2</v>
      </c>
      <c r="I196">
        <v>0.5</v>
      </c>
      <c r="J196" s="2">
        <v>1.18E-2</v>
      </c>
      <c r="L196" t="str">
        <f t="shared" si="14"/>
        <v xml:space="preserve">    -  0.030</v>
      </c>
      <c r="N196" t="str">
        <f t="shared" si="13"/>
        <v xml:space="preserve">    - [2.335, 0.736, 0.087, 13.28, -0.0419]</v>
      </c>
    </row>
    <row r="197" spans="2:16">
      <c r="B197" s="4">
        <v>0.04</v>
      </c>
      <c r="C197" s="4">
        <v>3.4769999999999999</v>
      </c>
      <c r="D197" s="4">
        <v>1.117</v>
      </c>
      <c r="E197" s="4">
        <v>-1.9E-2</v>
      </c>
      <c r="F197" s="7">
        <v>11.67</v>
      </c>
      <c r="G197" s="6">
        <v>2.5999999999999999E-3</v>
      </c>
      <c r="H197" s="2">
        <v>8.8999999999999999E-3</v>
      </c>
      <c r="I197">
        <v>0.5</v>
      </c>
      <c r="J197" s="2">
        <v>2.98E-3</v>
      </c>
      <c r="L197" t="str">
        <f t="shared" si="14"/>
        <v xml:space="preserve">    -  0.040</v>
      </c>
      <c r="N197" t="str">
        <f t="shared" si="13"/>
        <v xml:space="preserve">    - [3.477, 1.117, -0.019, 11.67, 0.0026]</v>
      </c>
    </row>
    <row r="198" spans="2:16">
      <c r="B198" s="4">
        <v>0.05</v>
      </c>
      <c r="C198" s="4">
        <v>4.4610000000000003</v>
      </c>
      <c r="D198" s="4">
        <v>1.4570000000000001</v>
      </c>
      <c r="E198" s="4">
        <v>-8.4000000000000005E-2</v>
      </c>
      <c r="F198" s="7">
        <v>13.62</v>
      </c>
      <c r="G198" s="6">
        <v>3.4099999999999998E-2</v>
      </c>
      <c r="H198" s="2">
        <v>1.26E-2</v>
      </c>
      <c r="I198">
        <v>10</v>
      </c>
      <c r="J198" s="2">
        <v>8.5000000000000006E-3</v>
      </c>
      <c r="L198" t="str">
        <f t="shared" si="14"/>
        <v xml:space="preserve">    -  0.050</v>
      </c>
      <c r="N198" t="str">
        <f t="shared" si="13"/>
        <v xml:space="preserve">    - [4.461, 1.457, -0.084, 13.62, 0.0341]</v>
      </c>
    </row>
    <row r="199" spans="2:16">
      <c r="B199" s="4">
        <v>0.06</v>
      </c>
      <c r="C199" s="4">
        <v>4.9829999999999997</v>
      </c>
      <c r="D199" s="4">
        <v>1.73</v>
      </c>
      <c r="E199" s="4">
        <v>-0.126</v>
      </c>
      <c r="F199" s="7">
        <v>13.64</v>
      </c>
      <c r="G199" s="6">
        <v>5.6099999999999997E-2</v>
      </c>
      <c r="H199" s="2">
        <v>2.2200000000000001E-2</v>
      </c>
      <c r="I199">
        <v>10</v>
      </c>
      <c r="J199" s="2">
        <v>1.5630000000000002E-2</v>
      </c>
      <c r="L199" t="str">
        <f t="shared" si="14"/>
        <v xml:space="preserve">    -  0.060</v>
      </c>
      <c r="N199" t="str">
        <f t="shared" si="13"/>
        <v xml:space="preserve">    - [4.983, 1.730, -0.126, 13.64, 0.0561]</v>
      </c>
    </row>
    <row r="200" spans="2:16">
      <c r="B200" s="4">
        <v>0.08</v>
      </c>
      <c r="C200" s="4">
        <v>5.0590000000000002</v>
      </c>
      <c r="D200" s="4">
        <v>2.0590000000000002</v>
      </c>
      <c r="E200" s="4">
        <v>-0.16800000000000001</v>
      </c>
      <c r="F200" s="7">
        <v>13.67</v>
      </c>
      <c r="G200" s="6">
        <v>7.6999999999999999E-2</v>
      </c>
      <c r="H200" s="2">
        <v>2.9399999999999999E-2</v>
      </c>
      <c r="I200">
        <v>35</v>
      </c>
      <c r="J200" s="2">
        <v>1.9460000000000002E-2</v>
      </c>
      <c r="L200" t="str">
        <f t="shared" si="14"/>
        <v xml:space="preserve">    -  0.080</v>
      </c>
      <c r="N200" t="str">
        <f t="shared" si="13"/>
        <v xml:space="preserve">    - [5.059, 2.059, -0.168, 13.67, 0.0770]</v>
      </c>
    </row>
    <row r="201" spans="2:16">
      <c r="B201" s="4">
        <v>0.1</v>
      </c>
      <c r="C201" s="4">
        <v>4.6630000000000003</v>
      </c>
      <c r="D201" s="4">
        <v>2.2210000000000001</v>
      </c>
      <c r="E201" s="4">
        <v>-0.186</v>
      </c>
      <c r="F201" s="7">
        <v>13.33</v>
      </c>
      <c r="G201" s="6">
        <v>8.2600000000000007E-2</v>
      </c>
      <c r="H201" s="2">
        <v>3.0200000000000001E-2</v>
      </c>
      <c r="I201">
        <v>10</v>
      </c>
      <c r="J201" s="2">
        <v>1.925E-2</v>
      </c>
      <c r="L201" t="str">
        <f t="shared" si="14"/>
        <v xml:space="preserve">    -  0.100</v>
      </c>
      <c r="N201" t="str">
        <f t="shared" si="13"/>
        <v xml:space="preserve">    - [4.663, 2.221, -0.186, 13.33, 0.0826]</v>
      </c>
    </row>
    <row r="202" spans="2:16">
      <c r="B202" s="4">
        <v>0.15</v>
      </c>
      <c r="C202" s="4">
        <v>3.8969999999999998</v>
      </c>
      <c r="D202" s="4">
        <v>2.242</v>
      </c>
      <c r="E202" s="4">
        <v>-0.185</v>
      </c>
      <c r="F202" s="7">
        <v>14.19</v>
      </c>
      <c r="G202" s="6">
        <v>7.7700000000000005E-2</v>
      </c>
      <c r="H202" s="2">
        <v>2.5499999999999998E-2</v>
      </c>
      <c r="I202">
        <v>15</v>
      </c>
      <c r="J202" s="2">
        <v>1.584E-2</v>
      </c>
      <c r="L202" t="str">
        <f t="shared" si="14"/>
        <v xml:space="preserve">    -  0.150</v>
      </c>
      <c r="N202" t="str">
        <f t="shared" si="13"/>
        <v xml:space="preserve">    - [3.897, 2.242, -0.185, 14.19, 0.0777]</v>
      </c>
    </row>
    <row r="203" spans="2:16">
      <c r="B203" s="4">
        <v>0.2</v>
      </c>
      <c r="C203" s="4">
        <v>3.4780000000000002</v>
      </c>
      <c r="D203" s="4">
        <v>2.1539999999999999</v>
      </c>
      <c r="E203" s="4">
        <v>-0.17599999999999999</v>
      </c>
      <c r="F203" s="7">
        <v>14.5</v>
      </c>
      <c r="G203" s="6">
        <v>7.7399999999999997E-2</v>
      </c>
      <c r="H203" s="2">
        <v>2.5000000000000001E-2</v>
      </c>
      <c r="I203">
        <v>0.5</v>
      </c>
      <c r="J203" s="2">
        <v>1.4919999999999999E-2</v>
      </c>
      <c r="L203" t="str">
        <f t="shared" si="14"/>
        <v xml:space="preserve">    -  0.200</v>
      </c>
      <c r="N203" t="str">
        <f t="shared" si="13"/>
        <v xml:space="preserve">    - [3.478, 2.154, -0.176, 14.50, 0.0774]</v>
      </c>
    </row>
    <row r="204" spans="2:16">
      <c r="B204" s="4">
        <v>0.3</v>
      </c>
      <c r="C204" s="4">
        <v>2.92</v>
      </c>
      <c r="D204" s="4">
        <v>2.0219999999999998</v>
      </c>
      <c r="E204" s="4">
        <v>-0.16400000000000001</v>
      </c>
      <c r="F204" s="7">
        <v>14.21</v>
      </c>
      <c r="G204" s="6">
        <v>6.5500000000000003E-2</v>
      </c>
      <c r="H204" s="2">
        <v>2.46E-2</v>
      </c>
      <c r="I204">
        <v>1</v>
      </c>
      <c r="J204" s="2">
        <v>1.4710000000000001E-2</v>
      </c>
      <c r="L204" t="str">
        <f t="shared" si="14"/>
        <v xml:space="preserve">    -  0.300</v>
      </c>
      <c r="N204" t="str">
        <f t="shared" si="13"/>
        <v xml:space="preserve">    - [2.920, 2.022, -0.164, 14.21, 0.0655]</v>
      </c>
    </row>
    <row r="205" spans="2:16">
      <c r="B205" s="4">
        <v>0.4</v>
      </c>
      <c r="C205" s="4">
        <v>2.66</v>
      </c>
      <c r="D205" s="4">
        <v>1.8819999999999999</v>
      </c>
      <c r="E205" s="4">
        <v>-0.14899999999999999</v>
      </c>
      <c r="F205" s="7">
        <v>14.24</v>
      </c>
      <c r="G205" s="6">
        <v>5.9499999999999997E-2</v>
      </c>
      <c r="H205" s="2">
        <v>2.1700000000000001E-2</v>
      </c>
      <c r="I205">
        <v>35</v>
      </c>
      <c r="J205" s="2">
        <v>1.372E-2</v>
      </c>
      <c r="L205" t="str">
        <f t="shared" si="14"/>
        <v xml:space="preserve">    -  0.400</v>
      </c>
      <c r="N205" t="str">
        <f t="shared" si="13"/>
        <v xml:space="preserve">    - [2.660, 1.882, -0.149, 14.24, 0.0595]</v>
      </c>
    </row>
    <row r="206" spans="2:16">
      <c r="B206" s="4">
        <v>0.5</v>
      </c>
      <c r="C206" s="4">
        <v>2.5</v>
      </c>
      <c r="D206" s="4">
        <v>1.766</v>
      </c>
      <c r="E206" s="4">
        <v>-0.13500000000000001</v>
      </c>
      <c r="F206" s="7">
        <v>14.33</v>
      </c>
      <c r="G206" s="6">
        <v>5.4600000000000003E-2</v>
      </c>
      <c r="H206" s="2">
        <v>2.46E-2</v>
      </c>
      <c r="I206">
        <v>1</v>
      </c>
      <c r="J206" s="2">
        <v>1.38E-2</v>
      </c>
      <c r="L206" t="str">
        <f t="shared" si="14"/>
        <v xml:space="preserve">    -  0.500</v>
      </c>
      <c r="N206" t="str">
        <f t="shared" si="13"/>
        <v xml:space="preserve">    - [2.500, 1.766, -0.135, 14.33, 0.0546]</v>
      </c>
    </row>
    <row r="207" spans="2:16">
      <c r="B207" s="4">
        <v>0.6</v>
      </c>
      <c r="C207" s="4">
        <v>2.3769999999999998</v>
      </c>
      <c r="D207" s="4">
        <v>1.679</v>
      </c>
      <c r="E207" s="4">
        <v>-0.124</v>
      </c>
      <c r="F207" s="7">
        <v>14.23</v>
      </c>
      <c r="G207" s="6">
        <v>5.0299999999999997E-2</v>
      </c>
      <c r="H207" s="2">
        <v>2.0199999999999999E-2</v>
      </c>
      <c r="I207">
        <v>1</v>
      </c>
      <c r="J207" s="2">
        <v>1.265E-2</v>
      </c>
      <c r="L207" t="str">
        <f t="shared" si="14"/>
        <v xml:space="preserve">    -  0.600</v>
      </c>
      <c r="N207" t="str">
        <f t="shared" si="13"/>
        <v xml:space="preserve">    - [2.377, 1.679, -0.124, 14.23, 0.0503]</v>
      </c>
    </row>
    <row r="208" spans="2:16">
      <c r="B208" s="4">
        <v>0.8</v>
      </c>
      <c r="C208" s="4">
        <v>2.2120000000000002</v>
      </c>
      <c r="D208" s="4">
        <v>1.544</v>
      </c>
      <c r="E208" s="4">
        <v>-0.105</v>
      </c>
      <c r="F208" s="7">
        <v>14.36</v>
      </c>
      <c r="G208" s="6">
        <v>4.3700000000000003E-2</v>
      </c>
      <c r="H208" s="2">
        <v>1.9699999999999999E-2</v>
      </c>
      <c r="I208">
        <v>0.5</v>
      </c>
      <c r="J208" s="2">
        <v>1.1860000000000001E-2</v>
      </c>
      <c r="L208" t="str">
        <f t="shared" si="14"/>
        <v xml:space="preserve">    -  0.800</v>
      </c>
      <c r="N208" t="str">
        <f t="shared" si="13"/>
        <v xml:space="preserve">    - [2.212, 1.544, -0.105, 14.36, 0.0437]</v>
      </c>
    </row>
    <row r="209" spans="2:14">
      <c r="B209" s="4">
        <v>1</v>
      </c>
      <c r="C209" s="4">
        <v>2.1030000000000002</v>
      </c>
      <c r="D209" s="4">
        <v>1.4410000000000001</v>
      </c>
      <c r="E209" s="4">
        <v>-8.8999999999999996E-2</v>
      </c>
      <c r="F209" s="7">
        <v>14.22</v>
      </c>
      <c r="G209" s="6">
        <v>3.78E-2</v>
      </c>
      <c r="H209" s="2">
        <v>1.55E-2</v>
      </c>
      <c r="I209">
        <v>0.5</v>
      </c>
      <c r="J209" s="2">
        <v>8.9499999999999996E-3</v>
      </c>
      <c r="L209" t="str">
        <f t="shared" si="14"/>
        <v xml:space="preserve">    -  1.000</v>
      </c>
      <c r="N209" t="str">
        <f t="shared" si="13"/>
        <v xml:space="preserve">    - [2.103, 1.441, -0.089, 14.22, 0.0378]</v>
      </c>
    </row>
    <row r="210" spans="2:14">
      <c r="B210" s="4">
        <v>1.5</v>
      </c>
      <c r="C210" s="4">
        <v>1.9390000000000001</v>
      </c>
      <c r="D210" s="4">
        <v>1.2689999999999999</v>
      </c>
      <c r="E210" s="4">
        <v>-5.8000000000000003E-2</v>
      </c>
      <c r="F210" s="7">
        <v>14.52</v>
      </c>
      <c r="G210" s="6">
        <v>2.46E-2</v>
      </c>
      <c r="H210" s="2">
        <v>1.9099999999999999E-2</v>
      </c>
      <c r="I210">
        <v>0.5</v>
      </c>
      <c r="J210" s="2">
        <v>7.5700000000000003E-3</v>
      </c>
      <c r="L210" t="str">
        <f t="shared" si="14"/>
        <v xml:space="preserve">    -  1.500</v>
      </c>
      <c r="N210" t="str">
        <f t="shared" si="13"/>
        <v xml:space="preserve">    - [1.939, 1.269, -0.058, 14.52, 0.0246]</v>
      </c>
    </row>
    <row r="211" spans="2:14">
      <c r="B211" s="4">
        <v>2</v>
      </c>
      <c r="C211" s="4">
        <v>1.839</v>
      </c>
      <c r="D211" s="4">
        <v>1.173</v>
      </c>
      <c r="E211" s="4">
        <v>-3.9E-2</v>
      </c>
      <c r="F211" s="7">
        <v>14.07</v>
      </c>
      <c r="G211" s="6">
        <v>1.61E-2</v>
      </c>
      <c r="H211" s="2">
        <v>1.4500000000000001E-2</v>
      </c>
      <c r="I211">
        <v>0.5</v>
      </c>
      <c r="J211" s="2">
        <v>5.2199999999999998E-3</v>
      </c>
      <c r="L211" t="str">
        <f t="shared" si="14"/>
        <v xml:space="preserve">    -  2.000</v>
      </c>
      <c r="N211" t="str">
        <f t="shared" si="13"/>
        <v xml:space="preserve">    - [1.839, 1.173, -0.039, 14.07, 0.0161]</v>
      </c>
    </row>
    <row r="212" spans="2:14">
      <c r="B212" s="4">
        <v>3</v>
      </c>
      <c r="C212" s="4">
        <v>1.71</v>
      </c>
      <c r="D212" s="4">
        <v>1.056</v>
      </c>
      <c r="E212" s="4">
        <v>-1.2999999999999999E-2</v>
      </c>
      <c r="F212" s="7">
        <v>11.82</v>
      </c>
      <c r="G212" s="6">
        <v>4.7000000000000002E-3</v>
      </c>
      <c r="H212" s="2">
        <v>7.0000000000000001E-3</v>
      </c>
      <c r="I212">
        <v>0.5</v>
      </c>
      <c r="J212" s="2">
        <v>2.3900000000000002E-3</v>
      </c>
      <c r="L212" t="str">
        <f t="shared" si="14"/>
        <v xml:space="preserve">    -  3.000</v>
      </c>
      <c r="N212" t="str">
        <f t="shared" si="13"/>
        <v xml:space="preserve">    - [1.710, 1.056, -0.013, 11.82, 0.0047]</v>
      </c>
    </row>
    <row r="213" spans="2:14">
      <c r="B213" s="4">
        <v>4</v>
      </c>
      <c r="C213" s="4">
        <v>1.621</v>
      </c>
      <c r="D213" s="4">
        <v>0.98899999999999999</v>
      </c>
      <c r="E213" s="4">
        <v>4.0000000000000001E-3</v>
      </c>
      <c r="F213" s="7">
        <v>13.45</v>
      </c>
      <c r="G213" s="6">
        <v>-4.1000000000000003E-3</v>
      </c>
      <c r="H213" s="2">
        <v>5.4999999999999997E-3</v>
      </c>
      <c r="I213">
        <v>1</v>
      </c>
      <c r="J213" s="2">
        <v>2.1099999999999999E-3</v>
      </c>
      <c r="L213" t="str">
        <f t="shared" si="14"/>
        <v xml:space="preserve">    -  4.000</v>
      </c>
      <c r="N213" t="str">
        <f t="shared" si="13"/>
        <v xml:space="preserve">    - [1.621, 0.989, 0.004, 13.45, -0.0041]</v>
      </c>
    </row>
    <row r="214" spans="2:14">
      <c r="B214" s="4">
        <v>5</v>
      </c>
      <c r="C214" s="4">
        <v>1.554</v>
      </c>
      <c r="D214" s="4">
        <v>0.93899999999999995</v>
      </c>
      <c r="E214" s="4">
        <v>1.7999999999999999E-2</v>
      </c>
      <c r="F214" s="7">
        <v>13.55</v>
      </c>
      <c r="G214" s="6">
        <v>-1.2200000000000001E-2</v>
      </c>
      <c r="H214" s="2">
        <v>5.1000000000000004E-3</v>
      </c>
      <c r="I214">
        <v>30</v>
      </c>
      <c r="J214" s="2">
        <v>3.3300000000000001E-3</v>
      </c>
      <c r="L214" t="str">
        <f t="shared" si="14"/>
        <v xml:space="preserve">    -  5.000</v>
      </c>
      <c r="N214" t="str">
        <f t="shared" si="13"/>
        <v xml:space="preserve">    - [1.554, 0.939, 0.018, 13.55, -0.0122]</v>
      </c>
    </row>
    <row r="215" spans="2:14">
      <c r="B215" s="4">
        <v>6</v>
      </c>
      <c r="C215" s="4">
        <v>1.5069999999999999</v>
      </c>
      <c r="D215" s="4">
        <v>0.90300000000000002</v>
      </c>
      <c r="E215" s="4">
        <v>2.9000000000000001E-2</v>
      </c>
      <c r="F215" s="7">
        <v>16.13</v>
      </c>
      <c r="G215" s="6">
        <v>-2.7199999999999998E-2</v>
      </c>
      <c r="H215" s="2">
        <v>8.5000000000000006E-3</v>
      </c>
      <c r="I215">
        <v>25</v>
      </c>
      <c r="J215" s="2">
        <v>4.7499999999999999E-3</v>
      </c>
      <c r="L215" t="str">
        <f t="shared" si="14"/>
        <v xml:space="preserve">    -  6.000</v>
      </c>
      <c r="N215" t="str">
        <f t="shared" si="13"/>
        <v xml:space="preserve">    - [1.507, 0.903, 0.029, 16.13, -0.0272]</v>
      </c>
    </row>
    <row r="216" spans="2:14">
      <c r="B216" s="4">
        <v>8</v>
      </c>
      <c r="C216" s="4">
        <v>1.4219999999999999</v>
      </c>
      <c r="D216" s="4">
        <v>0.879</v>
      </c>
      <c r="E216" s="4">
        <v>3.5000000000000003E-2</v>
      </c>
      <c r="F216" s="7">
        <v>13.36</v>
      </c>
      <c r="G216" s="6">
        <v>-1.9099999999999999E-2</v>
      </c>
      <c r="H216" s="2">
        <v>8.8999999999999999E-3</v>
      </c>
      <c r="I216">
        <v>0.5</v>
      </c>
      <c r="J216" s="2">
        <v>4.45E-3</v>
      </c>
      <c r="L216" t="str">
        <f t="shared" si="14"/>
        <v xml:space="preserve">    -  8.000</v>
      </c>
      <c r="N216" t="str">
        <f t="shared" si="13"/>
        <v xml:space="preserve">    - [1.422, 0.879, 0.035, 13.36, -0.0191]</v>
      </c>
    </row>
    <row r="217" spans="2:14">
      <c r="B217" s="4">
        <v>10</v>
      </c>
      <c r="C217" s="4">
        <v>1.3620000000000001</v>
      </c>
      <c r="D217" s="4">
        <v>0.85899999999999999</v>
      </c>
      <c r="E217" s="4">
        <v>4.2000000000000003E-2</v>
      </c>
      <c r="F217" s="7">
        <v>13.37</v>
      </c>
      <c r="G217" s="6">
        <v>-2.47E-2</v>
      </c>
      <c r="H217" s="2">
        <v>8.9999999999999993E-3</v>
      </c>
      <c r="I217">
        <v>0.5</v>
      </c>
      <c r="J217" s="2">
        <v>4.5300000000000002E-3</v>
      </c>
      <c r="L217" t="str">
        <f t="shared" si="14"/>
        <v xml:space="preserve">    -  10.000</v>
      </c>
      <c r="N217" t="str">
        <f t="shared" si="13"/>
        <v xml:space="preserve">    - [1.362, 0.859, 0.042, 13.37, -0.0247]</v>
      </c>
    </row>
    <row r="218" spans="2:14">
      <c r="B218" s="4">
        <v>15</v>
      </c>
      <c r="C218" s="4">
        <v>1.2669999999999999</v>
      </c>
      <c r="D218" s="4">
        <v>0.84299999999999997</v>
      </c>
      <c r="E218" s="4">
        <v>4.7E-2</v>
      </c>
      <c r="F218" s="7">
        <v>15.08</v>
      </c>
      <c r="G218" s="6">
        <v>-3.3599999999999998E-2</v>
      </c>
      <c r="H218" s="2">
        <v>1.0200000000000001E-2</v>
      </c>
      <c r="I218">
        <v>1</v>
      </c>
      <c r="J218" s="2">
        <v>6.0400000000000002E-3</v>
      </c>
      <c r="L218" t="str">
        <f t="shared" si="14"/>
        <v xml:space="preserve">    -  15.000</v>
      </c>
      <c r="N218" t="str">
        <f t="shared" si="13"/>
        <v xml:space="preserve">    - [1.267, 0.843, 0.047, 15.08, -0.0336]</v>
      </c>
    </row>
    <row r="220" spans="2:14">
      <c r="C220" s="5" t="s">
        <v>58</v>
      </c>
    </row>
    <row r="221" spans="2:14">
      <c r="B221" t="s">
        <v>1</v>
      </c>
      <c r="C221" t="s">
        <v>11</v>
      </c>
      <c r="D221" t="s">
        <v>12</v>
      </c>
      <c r="E221" t="s">
        <v>13</v>
      </c>
      <c r="F221" t="s">
        <v>16</v>
      </c>
      <c r="G221" t="s">
        <v>14</v>
      </c>
      <c r="H221" t="s">
        <v>17</v>
      </c>
      <c r="I221" t="s">
        <v>18</v>
      </c>
      <c r="J221" t="s">
        <v>15</v>
      </c>
    </row>
    <row r="222" spans="2:14">
      <c r="B222" s="4">
        <v>1.4999999999999999E-2</v>
      </c>
      <c r="C222" s="4">
        <v>1.17</v>
      </c>
      <c r="D222" s="4">
        <v>0.45900000000000002</v>
      </c>
      <c r="E222" s="4">
        <v>0.17499999999999999</v>
      </c>
      <c r="F222" s="7">
        <v>13.73</v>
      </c>
      <c r="G222" s="6">
        <v>-8.6199999999999999E-2</v>
      </c>
      <c r="H222" s="2">
        <v>1.4500000000000001E-2</v>
      </c>
      <c r="I222">
        <v>0.5</v>
      </c>
      <c r="J222" s="2">
        <v>5.1200000000000004E-3</v>
      </c>
      <c r="L222" t="str">
        <f>CONCATENATE("    -  ",TEXT(B222,"0.000"))</f>
        <v xml:space="preserve">    -  0.015</v>
      </c>
      <c r="N222" t="str">
        <f t="shared" ref="N222:N246" si="15">CONCATENATE("    - [",TEXT(C222,$N$2),", ",TEXT(D222,$N$2),", ",TEXT(E222,$N$2),", ",TEXT(F222,$O$2),", ",TEXT(G222,$P$2),"]")</f>
        <v xml:space="preserve">    - [1.170, 0.459, 0.175, 13.73, -0.0862]</v>
      </c>
    </row>
    <row r="223" spans="2:14">
      <c r="B223" s="4">
        <v>0.02</v>
      </c>
      <c r="C223" s="4">
        <v>1.407</v>
      </c>
      <c r="D223" s="4">
        <v>0.51200000000000001</v>
      </c>
      <c r="E223" s="4">
        <v>0.161</v>
      </c>
      <c r="F223" s="7">
        <v>14.4</v>
      </c>
      <c r="G223" s="6">
        <v>-8.1900000000000001E-2</v>
      </c>
      <c r="H223" s="2">
        <v>2.1499999999999998E-2</v>
      </c>
      <c r="I223">
        <v>0.5</v>
      </c>
      <c r="J223" s="2">
        <v>8.3000000000000001E-3</v>
      </c>
      <c r="L223" t="str">
        <f t="shared" ref="L223:L246" si="16">CONCATENATE("    -  ",TEXT(B223,"0.000"))</f>
        <v xml:space="preserve">    -  0.020</v>
      </c>
      <c r="N223" t="str">
        <f t="shared" si="15"/>
        <v xml:space="preserve">    - [1.407, 0.512, 0.161, 14.40, -0.0819]</v>
      </c>
    </row>
    <row r="224" spans="2:14">
      <c r="B224" s="4">
        <v>0.03</v>
      </c>
      <c r="C224" s="4">
        <v>2.2919999999999998</v>
      </c>
      <c r="D224" s="4">
        <v>0.69299999999999995</v>
      </c>
      <c r="E224" s="4">
        <v>0.10199999999999999</v>
      </c>
      <c r="F224" s="7">
        <v>13.34</v>
      </c>
      <c r="G224" s="6">
        <v>-4.8399999999999999E-2</v>
      </c>
      <c r="H224" s="2">
        <v>2.4799999999999999E-2</v>
      </c>
      <c r="I224">
        <v>0.5</v>
      </c>
      <c r="J224" s="2">
        <v>1.24E-2</v>
      </c>
      <c r="L224" t="str">
        <f t="shared" si="16"/>
        <v xml:space="preserve">    -  0.030</v>
      </c>
      <c r="N224" t="str">
        <f t="shared" si="15"/>
        <v xml:space="preserve">    - [2.292, 0.693, 0.102, 13.34, -0.0484]</v>
      </c>
    </row>
    <row r="225" spans="2:14">
      <c r="B225" s="4">
        <v>0.04</v>
      </c>
      <c r="C225" s="4">
        <v>3.39</v>
      </c>
      <c r="D225" s="4">
        <v>1.052</v>
      </c>
      <c r="E225" s="4">
        <v>-4.0000000000000001E-3</v>
      </c>
      <c r="F225" s="7">
        <v>19.760000000000002</v>
      </c>
      <c r="G225" s="6">
        <v>-6.7999999999999996E-3</v>
      </c>
      <c r="H225" s="2">
        <v>9.4999999999999998E-3</v>
      </c>
      <c r="I225">
        <v>0.5</v>
      </c>
      <c r="J225" s="2">
        <v>3.8300000000000001E-3</v>
      </c>
      <c r="L225" t="str">
        <f t="shared" si="16"/>
        <v xml:space="preserve">    -  0.040</v>
      </c>
      <c r="N225" t="str">
        <f t="shared" si="15"/>
        <v xml:space="preserve">    - [3.390, 1.052, -0.004, 19.76, -0.0068]</v>
      </c>
    </row>
    <row r="226" spans="2:14">
      <c r="B226" s="4">
        <v>0.05</v>
      </c>
      <c r="C226" s="4">
        <v>4.3220000000000001</v>
      </c>
      <c r="D226" s="4">
        <v>1.383</v>
      </c>
      <c r="E226" s="4">
        <v>-7.0999999999999994E-2</v>
      </c>
      <c r="F226" s="7">
        <v>13.51</v>
      </c>
      <c r="G226" s="6">
        <v>2.7E-2</v>
      </c>
      <c r="H226" s="2">
        <v>1.1900000000000001E-2</v>
      </c>
      <c r="I226">
        <v>4</v>
      </c>
      <c r="J226" s="2">
        <v>7.8200000000000006E-3</v>
      </c>
      <c r="L226" t="str">
        <f t="shared" si="16"/>
        <v xml:space="preserve">    -  0.050</v>
      </c>
      <c r="N226" t="str">
        <f t="shared" si="15"/>
        <v xml:space="preserve">    - [4.322, 1.383, -0.071, 13.51, 0.0270]</v>
      </c>
    </row>
    <row r="227" spans="2:14">
      <c r="B227" s="4">
        <v>0.06</v>
      </c>
      <c r="C227" s="4">
        <v>4.8369999999999997</v>
      </c>
      <c r="D227" s="4">
        <v>1.653</v>
      </c>
      <c r="E227" s="4">
        <v>-0.115</v>
      </c>
      <c r="F227" s="7">
        <v>13.66</v>
      </c>
      <c r="G227" s="6">
        <v>5.11E-2</v>
      </c>
      <c r="H227" s="2">
        <v>2.3699999999999999E-2</v>
      </c>
      <c r="I227">
        <v>0.5</v>
      </c>
      <c r="J227" s="2">
        <v>1.422E-2</v>
      </c>
      <c r="L227" t="str">
        <f t="shared" si="16"/>
        <v xml:space="preserve">    -  0.060</v>
      </c>
      <c r="N227" t="str">
        <f t="shared" si="15"/>
        <v xml:space="preserve">    - [4.837, 1.653, -0.115, 13.66, 0.0511]</v>
      </c>
    </row>
    <row r="228" spans="2:14">
      <c r="B228" s="4">
        <v>0.08</v>
      </c>
      <c r="C228" s="4">
        <v>4.9290000000000003</v>
      </c>
      <c r="D228" s="4">
        <v>1.9830000000000001</v>
      </c>
      <c r="E228" s="4">
        <v>-0.159</v>
      </c>
      <c r="F228" s="7">
        <v>13.74</v>
      </c>
      <c r="G228" s="6">
        <v>7.2999999999999995E-2</v>
      </c>
      <c r="H228" s="2">
        <v>2.7300000000000001E-2</v>
      </c>
      <c r="I228">
        <v>10</v>
      </c>
      <c r="J228" s="2">
        <v>1.9089999999999999E-2</v>
      </c>
      <c r="L228" t="str">
        <f t="shared" si="16"/>
        <v xml:space="preserve">    -  0.080</v>
      </c>
      <c r="N228" t="str">
        <f t="shared" si="15"/>
        <v xml:space="preserve">    - [4.929, 1.983, -0.159, 13.74, 0.0730]</v>
      </c>
    </row>
    <row r="229" spans="2:14">
      <c r="B229" s="4">
        <v>0.1</v>
      </c>
      <c r="C229" s="4">
        <v>4.58</v>
      </c>
      <c r="D229" s="4">
        <v>2.1459999999999999</v>
      </c>
      <c r="E229" s="4">
        <v>-0.17799999999999999</v>
      </c>
      <c r="F229" s="7">
        <v>12.83</v>
      </c>
      <c r="G229" s="6">
        <v>7.5899999999999995E-2</v>
      </c>
      <c r="H229" s="2">
        <v>2.69E-2</v>
      </c>
      <c r="I229">
        <v>1</v>
      </c>
      <c r="J229" s="2">
        <v>1.7330000000000002E-2</v>
      </c>
      <c r="L229" t="str">
        <f t="shared" si="16"/>
        <v xml:space="preserve">    -  0.100</v>
      </c>
      <c r="N229" t="str">
        <f t="shared" si="15"/>
        <v xml:space="preserve">    - [4.580, 2.146, -0.178, 12.83, 0.0759]</v>
      </c>
    </row>
    <row r="230" spans="2:14">
      <c r="B230" s="4">
        <v>0.15</v>
      </c>
      <c r="C230" s="4">
        <v>3.8940000000000001</v>
      </c>
      <c r="D230" s="4">
        <v>2.1480000000000001</v>
      </c>
      <c r="E230" s="4">
        <v>-0.17299999999999999</v>
      </c>
      <c r="F230" s="7">
        <v>14.46</v>
      </c>
      <c r="G230" s="6">
        <v>6.9800000000000001E-2</v>
      </c>
      <c r="H230" s="2">
        <v>2.5100000000000001E-2</v>
      </c>
      <c r="I230">
        <v>35</v>
      </c>
      <c r="J230" s="2">
        <v>1.506E-2</v>
      </c>
      <c r="L230" t="str">
        <f t="shared" si="16"/>
        <v xml:space="preserve">    -  0.150</v>
      </c>
      <c r="N230" t="str">
        <f t="shared" si="15"/>
        <v xml:space="preserve">    - [3.894, 2.148, -0.173, 14.46, 0.0698]</v>
      </c>
    </row>
    <row r="231" spans="2:14">
      <c r="B231" s="4">
        <v>0.2</v>
      </c>
      <c r="C231" s="4">
        <v>3.3450000000000002</v>
      </c>
      <c r="D231" s="4">
        <v>2.1469999999999998</v>
      </c>
      <c r="E231" s="4">
        <v>-0.17599999999999999</v>
      </c>
      <c r="F231" s="7">
        <v>14.08</v>
      </c>
      <c r="G231" s="6">
        <v>7.1900000000000006E-2</v>
      </c>
      <c r="H231" s="2">
        <v>2.5100000000000001E-2</v>
      </c>
      <c r="I231">
        <v>35</v>
      </c>
      <c r="J231" s="2">
        <v>1.54E-2</v>
      </c>
      <c r="L231" t="str">
        <f t="shared" si="16"/>
        <v xml:space="preserve">    -  0.200</v>
      </c>
      <c r="N231" t="str">
        <f t="shared" si="15"/>
        <v xml:space="preserve">    - [3.345, 2.147, -0.176, 14.08, 0.0719]</v>
      </c>
    </row>
    <row r="232" spans="2:14">
      <c r="B232" s="4">
        <v>0.3</v>
      </c>
      <c r="C232" s="4">
        <v>2.887</v>
      </c>
      <c r="D232" s="4">
        <v>1.99</v>
      </c>
      <c r="E232" s="4">
        <v>-0.16</v>
      </c>
      <c r="F232" s="7">
        <v>14.13</v>
      </c>
      <c r="G232" s="6">
        <v>6.3299999999999995E-2</v>
      </c>
      <c r="H232" s="2">
        <v>2.29E-2</v>
      </c>
      <c r="I232">
        <v>25</v>
      </c>
      <c r="J232" s="2">
        <v>1.4500000000000001E-2</v>
      </c>
      <c r="L232" t="str">
        <f t="shared" si="16"/>
        <v xml:space="preserve">    -  0.300</v>
      </c>
      <c r="N232" t="str">
        <f t="shared" si="15"/>
        <v xml:space="preserve">    - [2.887, 1.990, -0.160, 14.13, 0.0633]</v>
      </c>
    </row>
    <row r="233" spans="2:14">
      <c r="B233" s="4">
        <v>0.4</v>
      </c>
      <c r="C233" s="4">
        <v>2.6349999999999998</v>
      </c>
      <c r="D233" s="4">
        <v>1.86</v>
      </c>
      <c r="E233" s="4">
        <v>-0.14599999999999999</v>
      </c>
      <c r="F233" s="7">
        <v>14.24</v>
      </c>
      <c r="G233" s="6">
        <v>5.8299999999999998E-2</v>
      </c>
      <c r="H233" s="2">
        <v>2.1700000000000001E-2</v>
      </c>
      <c r="I233">
        <v>35</v>
      </c>
      <c r="J233" s="2">
        <v>1.3769999999999999E-2</v>
      </c>
      <c r="L233" t="str">
        <f t="shared" si="16"/>
        <v xml:space="preserve">    -  0.400</v>
      </c>
      <c r="N233" t="str">
        <f t="shared" si="15"/>
        <v xml:space="preserve">    - [2.635, 1.860, -0.146, 14.24, 0.0583]</v>
      </c>
    </row>
    <row r="234" spans="2:14">
      <c r="B234" s="4">
        <v>0.5</v>
      </c>
      <c r="C234" s="4">
        <v>2.496</v>
      </c>
      <c r="D234" s="4">
        <v>1.736</v>
      </c>
      <c r="E234" s="4">
        <v>-0.13</v>
      </c>
      <c r="F234" s="7">
        <v>14.32</v>
      </c>
      <c r="G234" s="6">
        <v>5.0500000000000003E-2</v>
      </c>
      <c r="H234" s="2">
        <v>2.3E-2</v>
      </c>
      <c r="I234">
        <v>1</v>
      </c>
      <c r="J234" s="2">
        <v>1.2670000000000001E-2</v>
      </c>
      <c r="L234" t="str">
        <f t="shared" si="16"/>
        <v xml:space="preserve">    -  0.500</v>
      </c>
      <c r="N234" t="str">
        <f t="shared" si="15"/>
        <v xml:space="preserve">    - [2.496, 1.736, -0.130, 14.32, 0.0505]</v>
      </c>
    </row>
    <row r="235" spans="2:14">
      <c r="B235" s="4">
        <v>0.6</v>
      </c>
      <c r="C235" s="4">
        <v>2.371</v>
      </c>
      <c r="D235" s="4">
        <v>1.6559999999999999</v>
      </c>
      <c r="E235" s="4">
        <v>-0.12</v>
      </c>
      <c r="F235" s="7">
        <v>14.27</v>
      </c>
      <c r="G235" s="6">
        <v>4.7199999999999999E-2</v>
      </c>
      <c r="H235" s="2">
        <v>1.7999999999999999E-2</v>
      </c>
      <c r="I235">
        <v>25</v>
      </c>
      <c r="J235" s="2">
        <v>1.1979999999999999E-2</v>
      </c>
      <c r="L235" t="str">
        <f t="shared" si="16"/>
        <v xml:space="preserve">    -  0.600</v>
      </c>
      <c r="N235" t="str">
        <f t="shared" si="15"/>
        <v xml:space="preserve">    - [2.371, 1.656, -0.120, 14.27, 0.0472]</v>
      </c>
    </row>
    <row r="236" spans="2:14">
      <c r="B236" s="4">
        <v>0.8</v>
      </c>
      <c r="C236" s="4">
        <v>2.2069999999999999</v>
      </c>
      <c r="D236" s="4">
        <v>1.532</v>
      </c>
      <c r="E236" s="4">
        <v>-0.10299999999999999</v>
      </c>
      <c r="F236" s="7">
        <v>14.12</v>
      </c>
      <c r="G236" s="6">
        <v>4.2500000000000003E-2</v>
      </c>
      <c r="H236" s="2">
        <v>1.9199999999999998E-2</v>
      </c>
      <c r="I236">
        <v>0.5</v>
      </c>
      <c r="J236" s="2">
        <v>1.1310000000000001E-2</v>
      </c>
      <c r="L236" t="str">
        <f t="shared" si="16"/>
        <v xml:space="preserve">    -  0.800</v>
      </c>
      <c r="N236" t="str">
        <f t="shared" si="15"/>
        <v xml:space="preserve">    - [2.207, 1.532, -0.103, 14.12, 0.0425]</v>
      </c>
    </row>
    <row r="237" spans="2:14">
      <c r="B237" s="4">
        <v>1</v>
      </c>
      <c r="C237" s="4">
        <v>2.1019999999999999</v>
      </c>
      <c r="D237" s="4">
        <v>1.4279999999999999</v>
      </c>
      <c r="E237" s="4">
        <v>-8.5999999999999993E-2</v>
      </c>
      <c r="F237" s="7">
        <v>14.35</v>
      </c>
      <c r="G237" s="6">
        <v>3.44E-2</v>
      </c>
      <c r="H237" s="2">
        <v>1.6299999999999999E-2</v>
      </c>
      <c r="I237">
        <v>0.5</v>
      </c>
      <c r="J237" s="2">
        <v>8.5800000000000008E-3</v>
      </c>
      <c r="L237" t="str">
        <f t="shared" si="16"/>
        <v xml:space="preserve">    -  1.000</v>
      </c>
      <c r="N237" t="str">
        <f t="shared" si="15"/>
        <v xml:space="preserve">    - [2.102, 1.428, -0.086, 14.35, 0.0344]</v>
      </c>
    </row>
    <row r="238" spans="2:14">
      <c r="B238" s="4">
        <v>1.5</v>
      </c>
      <c r="C238" s="4">
        <v>1.9390000000000001</v>
      </c>
      <c r="D238" s="4">
        <v>1.2649999999999999</v>
      </c>
      <c r="E238" s="4">
        <v>-5.7000000000000002E-2</v>
      </c>
      <c r="F238" s="7">
        <v>14.24</v>
      </c>
      <c r="G238" s="6">
        <v>2.3199999999999998E-2</v>
      </c>
      <c r="H238" s="2">
        <v>1.2200000000000001E-2</v>
      </c>
      <c r="I238">
        <v>0.5</v>
      </c>
      <c r="J238" s="2">
        <v>6.1000000000000004E-3</v>
      </c>
      <c r="L238" t="str">
        <f t="shared" si="16"/>
        <v xml:space="preserve">    -  1.500</v>
      </c>
      <c r="N238" t="str">
        <f t="shared" si="15"/>
        <v xml:space="preserve">    - [1.939, 1.265, -0.057, 14.24, 0.0232]</v>
      </c>
    </row>
    <row r="239" spans="2:14">
      <c r="B239" s="4">
        <v>2</v>
      </c>
      <c r="C239" s="4">
        <v>1.835</v>
      </c>
      <c r="D239" s="4">
        <v>1.173</v>
      </c>
      <c r="E239" s="4">
        <v>-3.9E-2</v>
      </c>
      <c r="F239" s="7">
        <v>14.07</v>
      </c>
      <c r="G239" s="6">
        <v>1.61E-2</v>
      </c>
      <c r="H239" s="2">
        <v>1.3100000000000001E-2</v>
      </c>
      <c r="I239">
        <v>0.5</v>
      </c>
      <c r="J239" s="2">
        <v>5.3400000000000001E-3</v>
      </c>
      <c r="L239" t="str">
        <f t="shared" si="16"/>
        <v xml:space="preserve">    -  2.000</v>
      </c>
      <c r="N239" t="str">
        <f t="shared" si="15"/>
        <v xml:space="preserve">    - [1.835, 1.173, -0.039, 14.07, 0.0161]</v>
      </c>
    </row>
    <row r="240" spans="2:14">
      <c r="B240" s="4">
        <v>3</v>
      </c>
      <c r="C240" s="4">
        <v>1.712</v>
      </c>
      <c r="D240" s="4">
        <v>1.0509999999999999</v>
      </c>
      <c r="E240" s="4">
        <v>-1.0999999999999999E-2</v>
      </c>
      <c r="F240" s="7">
        <v>13.67</v>
      </c>
      <c r="G240" s="6">
        <v>2.3999999999999998E-3</v>
      </c>
      <c r="H240" s="2">
        <v>8.0999999999999996E-3</v>
      </c>
      <c r="I240">
        <v>0.5</v>
      </c>
      <c r="J240" s="2">
        <v>2.5400000000000002E-3</v>
      </c>
      <c r="L240" t="str">
        <f t="shared" si="16"/>
        <v xml:space="preserve">    -  3.000</v>
      </c>
      <c r="N240" t="str">
        <f t="shared" si="15"/>
        <v xml:space="preserve">    - [1.712, 1.051, -0.011, 13.67, 0.0024]</v>
      </c>
    </row>
    <row r="241" spans="2:14">
      <c r="B241" s="4">
        <v>4</v>
      </c>
      <c r="C241" s="4">
        <v>1.627</v>
      </c>
      <c r="D241" s="4">
        <v>0.98299999999999998</v>
      </c>
      <c r="E241" s="4">
        <v>6.0000000000000001E-3</v>
      </c>
      <c r="F241" s="7">
        <v>13.51</v>
      </c>
      <c r="G241" s="6">
        <v>-5.1000000000000004E-3</v>
      </c>
      <c r="H241" s="2">
        <v>4.4000000000000003E-3</v>
      </c>
      <c r="I241">
        <v>5</v>
      </c>
      <c r="J241" s="2">
        <v>2.5699999999999998E-3</v>
      </c>
      <c r="L241" t="str">
        <f t="shared" si="16"/>
        <v xml:space="preserve">    -  4.000</v>
      </c>
      <c r="N241" t="str">
        <f t="shared" si="15"/>
        <v xml:space="preserve">    - [1.627, 0.983, 0.006, 13.51, -0.0051]</v>
      </c>
    </row>
    <row r="242" spans="2:14">
      <c r="B242" s="4">
        <v>5</v>
      </c>
      <c r="C242" s="4">
        <v>1.5580000000000001</v>
      </c>
      <c r="D242" s="4">
        <v>0.94299999999999995</v>
      </c>
      <c r="E242" s="4">
        <v>1.7000000000000001E-2</v>
      </c>
      <c r="F242" s="7">
        <v>13.82</v>
      </c>
      <c r="G242" s="6">
        <v>-1.17E-2</v>
      </c>
      <c r="H242" s="2">
        <v>7.6E-3</v>
      </c>
      <c r="I242">
        <v>1</v>
      </c>
      <c r="J242" s="2">
        <v>3.7100000000000002E-3</v>
      </c>
      <c r="L242" t="str">
        <f t="shared" si="16"/>
        <v xml:space="preserve">    -  5.000</v>
      </c>
      <c r="N242" t="str">
        <f t="shared" si="15"/>
        <v xml:space="preserve">    - [1.558, 0.943, 0.017, 13.82, -0.0117]</v>
      </c>
    </row>
    <row r="243" spans="2:14">
      <c r="B243" s="4">
        <v>6</v>
      </c>
      <c r="C243" s="4">
        <v>1.5049999999999999</v>
      </c>
      <c r="D243" s="4">
        <v>0.91500000000000004</v>
      </c>
      <c r="E243" s="4">
        <v>2.5000000000000001E-2</v>
      </c>
      <c r="F243" s="7">
        <v>16.37</v>
      </c>
      <c r="G243" s="6">
        <v>-2.3099999999999999E-2</v>
      </c>
      <c r="H243" s="2">
        <v>9.9000000000000008E-3</v>
      </c>
      <c r="I243">
        <v>1</v>
      </c>
      <c r="J243" s="2">
        <v>5.13E-3</v>
      </c>
      <c r="L243" t="str">
        <f t="shared" si="16"/>
        <v xml:space="preserve">    -  6.000</v>
      </c>
      <c r="N243" t="str">
        <f t="shared" si="15"/>
        <v xml:space="preserve">    - [1.505, 0.915, 0.025, 16.37, -0.0231]</v>
      </c>
    </row>
    <row r="244" spans="2:14">
      <c r="B244" s="4">
        <v>8</v>
      </c>
      <c r="C244" s="4">
        <v>1.4179999999999999</v>
      </c>
      <c r="D244" s="4">
        <v>0.89100000000000001</v>
      </c>
      <c r="E244" s="4">
        <v>3.2000000000000001E-2</v>
      </c>
      <c r="F244" s="7">
        <v>12.06</v>
      </c>
      <c r="G244" s="6">
        <v>-1.67E-2</v>
      </c>
      <c r="H244" s="2">
        <v>1.12E-2</v>
      </c>
      <c r="I244">
        <v>0.5</v>
      </c>
      <c r="J244" s="2">
        <v>4.1799999999999997E-3</v>
      </c>
      <c r="L244" t="str">
        <f t="shared" si="16"/>
        <v xml:space="preserve">    -  8.000</v>
      </c>
      <c r="N244" t="str">
        <f t="shared" si="15"/>
        <v xml:space="preserve">    - [1.418, 0.891, 0.032, 12.06, -0.0167]</v>
      </c>
    </row>
    <row r="245" spans="2:14">
      <c r="B245" s="4">
        <v>10</v>
      </c>
      <c r="C245" s="4">
        <v>1.3580000000000001</v>
      </c>
      <c r="D245" s="4">
        <v>0.875</v>
      </c>
      <c r="E245" s="4">
        <v>3.6999999999999998E-2</v>
      </c>
      <c r="F245" s="7">
        <v>14.01</v>
      </c>
      <c r="G245" s="6">
        <v>-2.2599999999999999E-2</v>
      </c>
      <c r="H245" s="2">
        <v>1.1599999999999999E-2</v>
      </c>
      <c r="I245">
        <v>0.5</v>
      </c>
      <c r="J245" s="2">
        <v>5.47E-3</v>
      </c>
      <c r="L245" t="str">
        <f t="shared" si="16"/>
        <v xml:space="preserve">    -  10.000</v>
      </c>
      <c r="N245" t="str">
        <f t="shared" si="15"/>
        <v xml:space="preserve">    - [1.358, 0.875, 0.037, 14.01, -0.0226]</v>
      </c>
    </row>
    <row r="246" spans="2:14">
      <c r="B246" s="4">
        <v>15</v>
      </c>
      <c r="C246" s="4">
        <v>1.2669999999999999</v>
      </c>
      <c r="D246" s="4">
        <v>0.84399999999999997</v>
      </c>
      <c r="E246" s="4">
        <v>4.8000000000000001E-2</v>
      </c>
      <c r="F246" s="7">
        <v>14.55</v>
      </c>
      <c r="G246" s="6">
        <v>-3.44E-2</v>
      </c>
      <c r="H246" s="2">
        <v>1.0800000000000001E-2</v>
      </c>
      <c r="I246">
        <v>4</v>
      </c>
      <c r="J246" s="2">
        <v>6.5100000000000002E-3</v>
      </c>
      <c r="L246" t="str">
        <f t="shared" si="16"/>
        <v xml:space="preserve">    -  15.000</v>
      </c>
      <c r="N246" t="str">
        <f t="shared" si="15"/>
        <v xml:space="preserve">    - [1.267, 0.844, 0.048, 14.55, -0.0344]</v>
      </c>
    </row>
    <row r="248" spans="2:14">
      <c r="C248" s="5" t="s">
        <v>59</v>
      </c>
    </row>
    <row r="249" spans="2:14">
      <c r="B249" t="s">
        <v>1</v>
      </c>
      <c r="C249" t="s">
        <v>11</v>
      </c>
      <c r="D249" t="s">
        <v>12</v>
      </c>
      <c r="E249" t="s">
        <v>13</v>
      </c>
      <c r="F249" t="s">
        <v>16</v>
      </c>
      <c r="G249" t="s">
        <v>14</v>
      </c>
      <c r="H249" t="s">
        <v>17</v>
      </c>
      <c r="I249" t="s">
        <v>18</v>
      </c>
      <c r="J249" t="s">
        <v>15</v>
      </c>
    </row>
    <row r="250" spans="2:14">
      <c r="B250" s="4">
        <v>1.4999999999999999E-2</v>
      </c>
      <c r="C250" s="4">
        <v>1.0289999999999999</v>
      </c>
      <c r="D250" s="4">
        <v>0.36399999999999999</v>
      </c>
      <c r="E250" s="4">
        <v>0.24</v>
      </c>
      <c r="F250" s="7">
        <v>14.12</v>
      </c>
      <c r="G250" s="6">
        <v>-0.1704</v>
      </c>
      <c r="H250" s="2">
        <v>4.5999999999999999E-3</v>
      </c>
      <c r="I250">
        <v>25</v>
      </c>
      <c r="J250" s="2">
        <v>2.3600000000000001E-3</v>
      </c>
      <c r="L250" t="str">
        <f t="shared" ref="L250" si="17">CONCATENATE("    -  ",TEXT(B250,"0.000"))</f>
        <v xml:space="preserve">    -  0.015</v>
      </c>
      <c r="N250" t="str">
        <f t="shared" ref="N250:N274" si="18">CONCATENATE("    - [",TEXT(C250,$N$2),", ",TEXT(D250,$N$2),", ",TEXT(E250,$N$2),", ",TEXT(F250,$O$2),", ",TEXT(G250,$P$2),"]")</f>
        <v xml:space="preserve">    - [1.029, 0.364, 0.240, 14.12, -0.1704]</v>
      </c>
    </row>
    <row r="251" spans="2:14">
      <c r="B251" s="4">
        <v>0.02</v>
      </c>
      <c r="C251" s="4">
        <v>1.0669999999999999</v>
      </c>
      <c r="D251" s="4">
        <v>0.38900000000000001</v>
      </c>
      <c r="E251" s="4">
        <v>0.214</v>
      </c>
      <c r="F251" s="7">
        <v>12.68</v>
      </c>
      <c r="G251" s="6">
        <v>-0.11260000000000001</v>
      </c>
      <c r="H251" s="2">
        <v>7.1999999999999998E-3</v>
      </c>
      <c r="I251">
        <v>0.5</v>
      </c>
      <c r="J251" s="2">
        <v>3.5899999999999999E-3</v>
      </c>
      <c r="L251" t="str">
        <f t="shared" ref="L251:L274" si="19">CONCATENATE("    -  ",TEXT(B251,"0.000"))</f>
        <v xml:space="preserve">    -  0.020</v>
      </c>
      <c r="N251" t="str">
        <f t="shared" si="18"/>
        <v xml:space="preserve">    - [1.067, 0.389, 0.214, 12.68, -0.1126]</v>
      </c>
    </row>
    <row r="252" spans="2:14">
      <c r="B252" s="4">
        <v>0.03</v>
      </c>
      <c r="C252" s="4">
        <v>1.212</v>
      </c>
      <c r="D252" s="4">
        <v>0.42099999999999999</v>
      </c>
      <c r="E252" s="4">
        <v>0.20100000000000001</v>
      </c>
      <c r="F252" s="7">
        <v>14.12</v>
      </c>
      <c r="G252" s="6">
        <v>-0.1079</v>
      </c>
      <c r="H252" s="2">
        <v>1.5599999999999999E-2</v>
      </c>
      <c r="I252">
        <v>0.5</v>
      </c>
      <c r="J252" s="2">
        <v>6.1000000000000004E-3</v>
      </c>
      <c r="L252" t="str">
        <f t="shared" si="19"/>
        <v xml:space="preserve">    -  0.030</v>
      </c>
      <c r="N252" t="str">
        <f t="shared" si="18"/>
        <v xml:space="preserve">    - [1.212, 0.421, 0.201, 14.12, -0.1079]</v>
      </c>
    </row>
    <row r="253" spans="2:14">
      <c r="B253" s="4">
        <v>0.04</v>
      </c>
      <c r="C253" s="4">
        <v>1.4550000000000001</v>
      </c>
      <c r="D253" s="4">
        <v>0.49299999999999999</v>
      </c>
      <c r="E253" s="4">
        <v>0.17100000000000001</v>
      </c>
      <c r="F253" s="7">
        <v>14.53</v>
      </c>
      <c r="G253" s="6">
        <v>-9.2499999999999999E-2</v>
      </c>
      <c r="H253" s="2">
        <v>2.01E-2</v>
      </c>
      <c r="I253">
        <v>0.5</v>
      </c>
      <c r="J253" s="2">
        <v>8.3099999999999997E-3</v>
      </c>
      <c r="L253" t="str">
        <f t="shared" si="19"/>
        <v xml:space="preserve">    -  0.040</v>
      </c>
      <c r="N253" t="str">
        <f t="shared" si="18"/>
        <v xml:space="preserve">    - [1.455, 0.493, 0.171, 14.53, -0.0925]</v>
      </c>
    </row>
    <row r="254" spans="2:14">
      <c r="B254" s="4">
        <v>0.05</v>
      </c>
      <c r="C254" s="4">
        <v>1.7370000000000001</v>
      </c>
      <c r="D254" s="4">
        <v>0.628</v>
      </c>
      <c r="E254" s="4">
        <v>0.115</v>
      </c>
      <c r="F254" s="7">
        <v>15.82</v>
      </c>
      <c r="G254" s="6">
        <v>-0.06</v>
      </c>
      <c r="H254" s="2">
        <v>9.7000000000000003E-3</v>
      </c>
      <c r="I254">
        <v>2</v>
      </c>
      <c r="J254" s="2">
        <v>4.9899999999999996E-3</v>
      </c>
      <c r="L254" t="str">
        <f t="shared" si="19"/>
        <v xml:space="preserve">    -  0.050</v>
      </c>
      <c r="N254" t="str">
        <f t="shared" si="18"/>
        <v xml:space="preserve">    - [1.737, 0.628, 0.115, 15.82, -0.0600]</v>
      </c>
    </row>
    <row r="255" spans="2:14">
      <c r="B255" s="4">
        <v>0.06</v>
      </c>
      <c r="C255" s="4">
        <v>2.125</v>
      </c>
      <c r="D255" s="4">
        <v>0.66400000000000003</v>
      </c>
      <c r="E255" s="4">
        <v>0.11799999999999999</v>
      </c>
      <c r="F255" s="7">
        <v>11.9</v>
      </c>
      <c r="G255" s="6">
        <v>-6.1499999999999999E-2</v>
      </c>
      <c r="H255" s="2">
        <v>2.9000000000000001E-2</v>
      </c>
      <c r="I255">
        <v>0.5</v>
      </c>
      <c r="J255" s="2">
        <v>1.389E-2</v>
      </c>
      <c r="L255" t="str">
        <f t="shared" si="19"/>
        <v xml:space="preserve">    -  0.060</v>
      </c>
      <c r="N255" t="str">
        <f t="shared" si="18"/>
        <v xml:space="preserve">    - [2.125, 0.664, 0.118, 11.90, -0.0615]</v>
      </c>
    </row>
    <row r="256" spans="2:14">
      <c r="B256" s="4">
        <v>0.08</v>
      </c>
      <c r="C256" s="4">
        <v>2.5569999999999999</v>
      </c>
      <c r="D256" s="4">
        <v>0.89500000000000002</v>
      </c>
      <c r="E256" s="4">
        <v>4.2000000000000003E-2</v>
      </c>
      <c r="F256" s="7">
        <v>14.37</v>
      </c>
      <c r="G256" s="6">
        <v>-4.1300000000000003E-2</v>
      </c>
      <c r="H256" s="2">
        <v>1.8599999999999998E-2</v>
      </c>
      <c r="I256">
        <v>0.5</v>
      </c>
      <c r="J256" s="2">
        <v>9.58E-3</v>
      </c>
      <c r="L256" t="str">
        <f t="shared" si="19"/>
        <v xml:space="preserve">    -  0.080</v>
      </c>
      <c r="N256" t="str">
        <f t="shared" si="18"/>
        <v xml:space="preserve">    - [2.557, 0.895, 0.042, 14.37, -0.0413]</v>
      </c>
    </row>
    <row r="257" spans="2:14">
      <c r="B257" s="4">
        <v>0.1</v>
      </c>
      <c r="C257" s="4">
        <v>2.766</v>
      </c>
      <c r="D257" s="4">
        <v>1.069</v>
      </c>
      <c r="E257" s="4">
        <v>1E-3</v>
      </c>
      <c r="F257" s="7">
        <v>12.64</v>
      </c>
      <c r="G257" s="6">
        <v>-2.5100000000000001E-2</v>
      </c>
      <c r="H257" s="2">
        <v>1.14E-2</v>
      </c>
      <c r="I257">
        <v>35</v>
      </c>
      <c r="J257" s="2">
        <v>6.2300000000000003E-3</v>
      </c>
      <c r="L257" t="str">
        <f t="shared" si="19"/>
        <v xml:space="preserve">    -  0.100</v>
      </c>
      <c r="N257" t="str">
        <f t="shared" si="18"/>
        <v xml:space="preserve">    - [2.766, 1.069, 0.001, 12.64, -0.0251]</v>
      </c>
    </row>
    <row r="258" spans="2:14">
      <c r="B258" s="4">
        <v>0.15</v>
      </c>
      <c r="C258" s="4">
        <v>2.8239999999999998</v>
      </c>
      <c r="D258" s="4">
        <v>1.3149999999999999</v>
      </c>
      <c r="E258" s="4">
        <v>-4.9000000000000002E-2</v>
      </c>
      <c r="F258" s="7">
        <v>8.66</v>
      </c>
      <c r="G258" s="6">
        <v>-4.7999999999999996E-3</v>
      </c>
      <c r="H258" s="2">
        <v>3.5999999999999999E-3</v>
      </c>
      <c r="I258">
        <v>30</v>
      </c>
      <c r="J258" s="2">
        <v>1.75E-3</v>
      </c>
      <c r="L258" t="str">
        <f t="shared" si="19"/>
        <v xml:space="preserve">    -  0.150</v>
      </c>
      <c r="N258" t="str">
        <f t="shared" si="18"/>
        <v xml:space="preserve">    - [2.824, 1.315, -0.049, 8.66, -0.0048]</v>
      </c>
    </row>
    <row r="259" spans="2:14">
      <c r="B259" s="4">
        <v>0.2</v>
      </c>
      <c r="C259" s="4">
        <v>2.7160000000000002</v>
      </c>
      <c r="D259" s="4">
        <v>1.43</v>
      </c>
      <c r="E259" s="4">
        <v>-7.0000000000000007E-2</v>
      </c>
      <c r="F259" s="7">
        <v>18.52</v>
      </c>
      <c r="G259" s="6">
        <v>1.0800000000000001E-2</v>
      </c>
      <c r="H259" s="2">
        <v>5.0000000000000001E-3</v>
      </c>
      <c r="I259">
        <v>0.5</v>
      </c>
      <c r="J259" s="2">
        <v>1.64E-3</v>
      </c>
      <c r="L259" t="str">
        <f t="shared" si="19"/>
        <v xml:space="preserve">    -  0.200</v>
      </c>
      <c r="N259" t="str">
        <f t="shared" si="18"/>
        <v xml:space="preserve">    - [2.716, 1.430, -0.070, 18.52, 0.0108]</v>
      </c>
    </row>
    <row r="260" spans="2:14">
      <c r="B260" s="4">
        <v>0.3</v>
      </c>
      <c r="C260" s="4">
        <v>2.5219999999999998</v>
      </c>
      <c r="D260" s="4">
        <v>1.492</v>
      </c>
      <c r="E260" s="4">
        <v>-8.2000000000000003E-2</v>
      </c>
      <c r="F260" s="7">
        <v>16.59</v>
      </c>
      <c r="G260" s="6">
        <v>1.61E-2</v>
      </c>
      <c r="H260" s="2">
        <v>4.8999999999999998E-3</v>
      </c>
      <c r="I260">
        <v>40</v>
      </c>
      <c r="J260" s="2">
        <v>2.4599999999999999E-3</v>
      </c>
      <c r="L260" t="str">
        <f t="shared" si="19"/>
        <v xml:space="preserve">    -  0.300</v>
      </c>
      <c r="N260" t="str">
        <f t="shared" si="18"/>
        <v xml:space="preserve">    - [2.522, 1.492, -0.082, 16.59, 0.0161]</v>
      </c>
    </row>
    <row r="261" spans="2:14">
      <c r="B261" s="4">
        <v>0.4</v>
      </c>
      <c r="C261" s="4">
        <v>2.3719999999999999</v>
      </c>
      <c r="D261" s="4">
        <v>1.494</v>
      </c>
      <c r="E261" s="4">
        <v>-8.5000000000000006E-2</v>
      </c>
      <c r="F261" s="7">
        <v>15.96</v>
      </c>
      <c r="G261" s="6">
        <v>1.9400000000000001E-2</v>
      </c>
      <c r="H261" s="2">
        <v>4.0000000000000001E-3</v>
      </c>
      <c r="I261">
        <v>25</v>
      </c>
      <c r="J261" s="2">
        <v>1.9499999999999999E-3</v>
      </c>
      <c r="L261" t="str">
        <f t="shared" si="19"/>
        <v xml:space="preserve">    -  0.400</v>
      </c>
      <c r="N261" t="str">
        <f t="shared" si="18"/>
        <v xml:space="preserve">    - [2.372, 1.494, -0.085, 15.96, 0.0194]</v>
      </c>
    </row>
    <row r="262" spans="2:14">
      <c r="B262" s="4">
        <v>0.5</v>
      </c>
      <c r="C262" s="4">
        <v>2.2709999999999999</v>
      </c>
      <c r="D262" s="4">
        <v>1.466</v>
      </c>
      <c r="E262" s="4">
        <v>-8.2000000000000003E-2</v>
      </c>
      <c r="F262" s="7">
        <v>16.25</v>
      </c>
      <c r="G262" s="6">
        <v>1.95E-2</v>
      </c>
      <c r="H262" s="2">
        <v>2.8E-3</v>
      </c>
      <c r="I262">
        <v>15</v>
      </c>
      <c r="J262" s="2">
        <v>1.6299999999999999E-3</v>
      </c>
      <c r="L262" t="str">
        <f t="shared" si="19"/>
        <v xml:space="preserve">    -  0.500</v>
      </c>
      <c r="N262" t="str">
        <f t="shared" si="18"/>
        <v xml:space="preserve">    - [2.271, 1.466, -0.082, 16.25, 0.0195]</v>
      </c>
    </row>
    <row r="263" spans="2:14">
      <c r="B263" s="4">
        <v>0.6</v>
      </c>
      <c r="C263" s="4">
        <v>2.1920000000000002</v>
      </c>
      <c r="D263" s="4">
        <v>1.4339999999999999</v>
      </c>
      <c r="E263" s="4">
        <v>-7.8E-2</v>
      </c>
      <c r="F263" s="7">
        <v>17.02</v>
      </c>
      <c r="G263" s="6">
        <v>1.9900000000000001E-2</v>
      </c>
      <c r="H263" s="2">
        <v>5.4999999999999997E-3</v>
      </c>
      <c r="I263">
        <v>1</v>
      </c>
      <c r="J263" s="2">
        <v>2.4199999999999998E-3</v>
      </c>
      <c r="L263" t="str">
        <f t="shared" si="19"/>
        <v xml:space="preserve">    -  0.600</v>
      </c>
      <c r="N263" t="str">
        <f t="shared" si="18"/>
        <v xml:space="preserve">    - [2.192, 1.434, -0.078, 17.02, 0.0199]</v>
      </c>
    </row>
    <row r="264" spans="2:14">
      <c r="B264" s="4">
        <v>0.8</v>
      </c>
      <c r="C264" s="4">
        <v>2.0659999999999998</v>
      </c>
      <c r="D264" s="4">
        <v>1.3859999999999999</v>
      </c>
      <c r="E264" s="4">
        <v>-7.2999999999999995E-2</v>
      </c>
      <c r="F264" s="7">
        <v>15.07</v>
      </c>
      <c r="G264" s="6">
        <v>2.0199999999999999E-2</v>
      </c>
      <c r="H264" s="2">
        <v>6.7999999999999996E-3</v>
      </c>
      <c r="I264">
        <v>35</v>
      </c>
      <c r="J264" s="2">
        <v>2.96E-3</v>
      </c>
      <c r="L264" t="str">
        <f t="shared" si="19"/>
        <v xml:space="preserve">    -  0.800</v>
      </c>
      <c r="N264" t="str">
        <f t="shared" si="18"/>
        <v xml:space="preserve">    - [2.066, 1.386, -0.073, 15.07, 0.0202]</v>
      </c>
    </row>
    <row r="265" spans="2:14">
      <c r="B265" s="4">
        <v>1</v>
      </c>
      <c r="C265" s="4">
        <v>1.982</v>
      </c>
      <c r="D265" s="4">
        <v>1.3320000000000001</v>
      </c>
      <c r="E265" s="4">
        <v>-6.5000000000000002E-2</v>
      </c>
      <c r="F265" s="7">
        <v>15.38</v>
      </c>
      <c r="G265" s="6">
        <v>1.9300000000000001E-2</v>
      </c>
      <c r="H265" s="2">
        <v>4.5999999999999999E-3</v>
      </c>
      <c r="I265">
        <v>35</v>
      </c>
      <c r="J265" s="2">
        <v>1.89E-3</v>
      </c>
      <c r="L265" t="str">
        <f t="shared" si="19"/>
        <v xml:space="preserve">    -  1.000</v>
      </c>
      <c r="N265" t="str">
        <f t="shared" si="18"/>
        <v xml:space="preserve">    - [1.982, 1.332, -0.065, 15.38, 0.0193]</v>
      </c>
    </row>
    <row r="266" spans="2:14">
      <c r="B266" s="4">
        <v>1.5</v>
      </c>
      <c r="C266" s="4">
        <v>1.8480000000000001</v>
      </c>
      <c r="D266" s="4">
        <v>1.2270000000000001</v>
      </c>
      <c r="E266" s="4">
        <v>-4.7E-2</v>
      </c>
      <c r="F266" s="7">
        <v>16.41</v>
      </c>
      <c r="G266" s="6">
        <v>1.6E-2</v>
      </c>
      <c r="H266" s="2">
        <v>6.4000000000000003E-3</v>
      </c>
      <c r="I266">
        <v>0.5</v>
      </c>
      <c r="J266" s="2">
        <v>3.1700000000000001E-3</v>
      </c>
      <c r="L266" t="str">
        <f t="shared" si="19"/>
        <v xml:space="preserve">    -  1.500</v>
      </c>
      <c r="N266" t="str">
        <f t="shared" si="18"/>
        <v xml:space="preserve">    - [1.848, 1.227, -0.047, 16.41, 0.0160]</v>
      </c>
    </row>
    <row r="267" spans="2:14">
      <c r="B267" s="4">
        <v>2</v>
      </c>
      <c r="C267" s="4">
        <v>1.7749999999999999</v>
      </c>
      <c r="D267" s="4">
        <v>1.1539999999999999</v>
      </c>
      <c r="E267" s="4">
        <v>-3.3000000000000002E-2</v>
      </c>
      <c r="F267" s="7">
        <v>14.35</v>
      </c>
      <c r="G267" s="6">
        <v>0.01</v>
      </c>
      <c r="H267" s="2">
        <v>6.4000000000000003E-3</v>
      </c>
      <c r="I267">
        <v>40</v>
      </c>
      <c r="J267" s="2">
        <v>1.9400000000000001E-3</v>
      </c>
      <c r="L267" t="str">
        <f t="shared" si="19"/>
        <v xml:space="preserve">    -  2.000</v>
      </c>
      <c r="N267" t="str">
        <f t="shared" si="18"/>
        <v xml:space="preserve">    - [1.775, 1.154, -0.033, 14.35, 0.0100]</v>
      </c>
    </row>
    <row r="268" spans="2:14">
      <c r="B268" s="4">
        <v>3</v>
      </c>
      <c r="C268" s="4">
        <v>1.671</v>
      </c>
      <c r="D268" s="4">
        <v>1.054</v>
      </c>
      <c r="E268" s="4">
        <v>-0.01</v>
      </c>
      <c r="F268" s="7">
        <v>10.47</v>
      </c>
      <c r="G268" s="6">
        <v>-8.0000000000000004E-4</v>
      </c>
      <c r="H268" s="2">
        <v>3.0999999999999999E-3</v>
      </c>
      <c r="I268">
        <v>3</v>
      </c>
      <c r="J268" s="2">
        <v>1.5200000000000001E-3</v>
      </c>
      <c r="L268" t="str">
        <f t="shared" si="19"/>
        <v xml:space="preserve">    -  3.000</v>
      </c>
      <c r="N268" t="str">
        <f t="shared" si="18"/>
        <v xml:space="preserve">    - [1.671, 1.054, -0.010, 10.47, -0.0008]</v>
      </c>
    </row>
    <row r="269" spans="2:14">
      <c r="B269" s="4">
        <v>4</v>
      </c>
      <c r="C269" s="4">
        <v>1.597</v>
      </c>
      <c r="D269" s="4">
        <v>0.98799999999999999</v>
      </c>
      <c r="E269" s="4">
        <v>8.0000000000000002E-3</v>
      </c>
      <c r="F269" s="7">
        <v>12.53</v>
      </c>
      <c r="G269" s="6">
        <v>-1.15E-2</v>
      </c>
      <c r="H269" s="2">
        <v>8.0999999999999996E-3</v>
      </c>
      <c r="I269">
        <v>1</v>
      </c>
      <c r="J269" s="2">
        <v>4.3299999999999996E-3</v>
      </c>
      <c r="L269" t="str">
        <f t="shared" si="19"/>
        <v xml:space="preserve">    -  4.000</v>
      </c>
      <c r="N269" t="str">
        <f t="shared" si="18"/>
        <v xml:space="preserve">    - [1.597, 0.988, 0.008, 12.53, -0.0115]</v>
      </c>
    </row>
    <row r="270" spans="2:14">
      <c r="B270" s="4">
        <v>5</v>
      </c>
      <c r="C270" s="4">
        <v>1.5269999999999999</v>
      </c>
      <c r="D270" s="4">
        <v>0.95099999999999996</v>
      </c>
      <c r="E270" s="4">
        <v>0.02</v>
      </c>
      <c r="F270" s="7">
        <v>9.99</v>
      </c>
      <c r="G270" s="6">
        <v>-1.84E-2</v>
      </c>
      <c r="H270" s="2">
        <v>7.1000000000000004E-3</v>
      </c>
      <c r="I270">
        <v>40</v>
      </c>
      <c r="J270" s="2">
        <v>3.5200000000000001E-3</v>
      </c>
      <c r="L270" t="str">
        <f t="shared" si="19"/>
        <v xml:space="preserve">    -  5.000</v>
      </c>
      <c r="N270" t="str">
        <f t="shared" si="18"/>
        <v xml:space="preserve">    - [1.527, 0.951, 0.020, 9.99, -0.0184]</v>
      </c>
    </row>
    <row r="271" spans="2:14">
      <c r="B271" s="4">
        <v>6</v>
      </c>
      <c r="C271" s="4">
        <v>1.478</v>
      </c>
      <c r="D271" s="4">
        <v>0.94</v>
      </c>
      <c r="E271" s="4">
        <v>2.1000000000000001E-2</v>
      </c>
      <c r="F271" s="7">
        <v>13.11</v>
      </c>
      <c r="G271" s="6">
        <v>-1.6299999999999999E-2</v>
      </c>
      <c r="H271" s="2">
        <v>1.2999999999999999E-2</v>
      </c>
      <c r="I271">
        <v>0.5</v>
      </c>
      <c r="J271" s="2">
        <v>5.5999999999999999E-3</v>
      </c>
      <c r="L271" t="str">
        <f t="shared" si="19"/>
        <v xml:space="preserve">    -  6.000</v>
      </c>
      <c r="N271" t="str">
        <f t="shared" si="18"/>
        <v xml:space="preserve">    - [1.478, 0.940, 0.021, 13.11, -0.0163]</v>
      </c>
    </row>
    <row r="272" spans="2:14">
      <c r="B272" s="4">
        <v>8</v>
      </c>
      <c r="C272" s="4">
        <v>1.395</v>
      </c>
      <c r="D272" s="4">
        <v>0.91700000000000004</v>
      </c>
      <c r="E272" s="4">
        <v>2.8000000000000001E-2</v>
      </c>
      <c r="F272" s="7">
        <v>13.45</v>
      </c>
      <c r="G272" s="6">
        <v>-2.1299999999999999E-2</v>
      </c>
      <c r="H272" s="2">
        <v>1.4200000000000001E-2</v>
      </c>
      <c r="I272">
        <v>0.5</v>
      </c>
      <c r="J272" s="2">
        <v>6.0400000000000002E-3</v>
      </c>
      <c r="L272" t="str">
        <f t="shared" si="19"/>
        <v xml:space="preserve">    -  8.000</v>
      </c>
      <c r="N272" t="str">
        <f t="shared" si="18"/>
        <v xml:space="preserve">    - [1.395, 0.917, 0.028, 13.45, -0.0213]</v>
      </c>
    </row>
    <row r="273" spans="2:14">
      <c r="B273" s="4">
        <v>10</v>
      </c>
      <c r="C273" s="4">
        <v>1.3340000000000001</v>
      </c>
      <c r="D273" s="4">
        <v>0.90100000000000002</v>
      </c>
      <c r="E273" s="4">
        <v>3.5000000000000003E-2</v>
      </c>
      <c r="F273" s="7">
        <v>12.56</v>
      </c>
      <c r="G273" s="6">
        <v>-2.6700000000000002E-2</v>
      </c>
      <c r="H273" s="2">
        <v>1.4800000000000001E-2</v>
      </c>
      <c r="I273">
        <v>0.5</v>
      </c>
      <c r="J273" s="2">
        <v>6.2300000000000003E-3</v>
      </c>
      <c r="L273" t="str">
        <f t="shared" si="19"/>
        <v xml:space="preserve">    -  10.000</v>
      </c>
      <c r="N273" t="str">
        <f t="shared" si="18"/>
        <v xml:space="preserve">    - [1.334, 0.901, 0.035, 12.56, -0.0267]</v>
      </c>
    </row>
    <row r="274" spans="2:14">
      <c r="B274" s="4">
        <v>15</v>
      </c>
      <c r="C274" s="4">
        <v>1.26</v>
      </c>
      <c r="D274" s="4">
        <v>0.82299999999999995</v>
      </c>
      <c r="E274" s="4">
        <v>6.5000000000000002E-2</v>
      </c>
      <c r="F274" s="7">
        <v>14.28</v>
      </c>
      <c r="G274" s="6">
        <v>-5.8099999999999999E-2</v>
      </c>
      <c r="H274" s="2">
        <v>1.9599999999999999E-2</v>
      </c>
      <c r="I274">
        <v>3</v>
      </c>
      <c r="J274" s="2">
        <v>1.1509999999999999E-2</v>
      </c>
      <c r="L274" t="str">
        <f t="shared" si="19"/>
        <v xml:space="preserve">    -  15.000</v>
      </c>
      <c r="N274" t="str">
        <f t="shared" si="18"/>
        <v xml:space="preserve">    - [1.260, 0.823, 0.065, 14.28, -0.0581]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BBDC-A503-4AE2-BD56-3F6288C5953B}">
  <sheetPr codeName="Sheet3"/>
  <dimension ref="A1:H30"/>
  <sheetViews>
    <sheetView workbookViewId="0">
      <selection activeCell="H3" sqref="H3"/>
    </sheetView>
  </sheetViews>
  <sheetFormatPr baseColWidth="10" defaultColWidth="8.83203125" defaultRowHeight="15"/>
  <cols>
    <col min="3" max="6" width="9.5" bestFit="1" customWidth="1"/>
    <col min="7" max="7" width="11.5" bestFit="1" customWidth="1"/>
    <col min="8" max="8" width="9.5" bestFit="1" customWidth="1"/>
  </cols>
  <sheetData>
    <row r="1" spans="1:8">
      <c r="A1" t="s">
        <v>0</v>
      </c>
      <c r="C1" s="5" t="s">
        <v>49</v>
      </c>
    </row>
    <row r="2" spans="1:8">
      <c r="B2" t="s">
        <v>1</v>
      </c>
      <c r="C2" t="s">
        <v>20</v>
      </c>
    </row>
    <row r="3" spans="1:8">
      <c r="B3">
        <v>0.01</v>
      </c>
      <c r="C3" s="3">
        <v>4.6399999999999997</v>
      </c>
      <c r="D3" s="3"/>
      <c r="E3" s="3"/>
      <c r="F3" s="3" t="str">
        <f>CONCATENATE("    - ", TEXT(B3,"0.000"))</f>
        <v xml:space="preserve">    - 0.010</v>
      </c>
      <c r="G3" s="3" t="str">
        <f>CONCATENATE("    - ", TEXT(C3,"0.000E+00"))</f>
        <v xml:space="preserve">    - 4.640E+00</v>
      </c>
      <c r="H3" s="3"/>
    </row>
    <row r="4" spans="1:8">
      <c r="B4" s="4">
        <v>1.4999999999999999E-2</v>
      </c>
      <c r="C4" s="3">
        <v>1.3</v>
      </c>
      <c r="D4" s="3"/>
      <c r="E4" s="3"/>
      <c r="F4" s="3" t="str">
        <f t="shared" ref="F4:F29" si="0">CONCATENATE("    - ", TEXT(B4,"0.000"))</f>
        <v xml:space="preserve">    - 0.015</v>
      </c>
      <c r="G4" s="3" t="str">
        <f t="shared" ref="G4:G29" si="1">CONCATENATE("    - ", TEXT(C4,"0.000E+00"))</f>
        <v xml:space="preserve">    - 1.300E+00</v>
      </c>
      <c r="H4" s="3"/>
    </row>
    <row r="5" spans="1:8">
      <c r="B5" s="4">
        <v>0.02</v>
      </c>
      <c r="C5" s="3">
        <v>0.52549999999999997</v>
      </c>
      <c r="D5" s="3"/>
      <c r="E5" s="3"/>
      <c r="F5" s="3" t="str">
        <f t="shared" si="0"/>
        <v xml:space="preserve">    - 0.020</v>
      </c>
      <c r="G5" s="3" t="str">
        <f t="shared" si="1"/>
        <v xml:space="preserve">    - 5.255E-01</v>
      </c>
      <c r="H5" s="3"/>
    </row>
    <row r="6" spans="1:8">
      <c r="B6" s="4">
        <v>0.03</v>
      </c>
      <c r="C6" s="3">
        <v>0.15010000000000001</v>
      </c>
      <c r="D6" s="3"/>
      <c r="E6" s="3"/>
      <c r="F6" s="3" t="str">
        <f t="shared" si="0"/>
        <v xml:space="preserve">    - 0.030</v>
      </c>
      <c r="G6" s="3" t="str">
        <f t="shared" si="1"/>
        <v xml:space="preserve">    - 1.501E-01</v>
      </c>
      <c r="H6" s="3"/>
    </row>
    <row r="7" spans="1:8">
      <c r="B7" s="4">
        <v>0.04</v>
      </c>
      <c r="C7" s="3">
        <v>6.694E-2</v>
      </c>
      <c r="D7" s="3"/>
      <c r="E7" s="3"/>
      <c r="F7" s="3" t="str">
        <f t="shared" si="0"/>
        <v xml:space="preserve">    - 0.040</v>
      </c>
      <c r="G7" s="3" t="str">
        <f t="shared" si="1"/>
        <v xml:space="preserve">    - 6.694E-02</v>
      </c>
      <c r="H7" s="3"/>
    </row>
    <row r="8" spans="1:8">
      <c r="B8" s="4">
        <v>0.05</v>
      </c>
      <c r="C8" s="3">
        <v>4.0309999999999999E-2</v>
      </c>
      <c r="D8" s="3"/>
      <c r="E8" s="3"/>
      <c r="F8" s="3" t="str">
        <f t="shared" si="0"/>
        <v xml:space="preserve">    - 0.050</v>
      </c>
      <c r="G8" s="3" t="str">
        <f t="shared" si="1"/>
        <v xml:space="preserve">    - 4.031E-02</v>
      </c>
      <c r="H8" s="3"/>
    </row>
    <row r="9" spans="1:8">
      <c r="B9" s="4">
        <v>0.06</v>
      </c>
      <c r="C9" s="3">
        <v>3.0040000000000001E-2</v>
      </c>
      <c r="D9" s="3"/>
      <c r="E9" s="3"/>
      <c r="F9" s="3" t="str">
        <f t="shared" si="0"/>
        <v xml:space="preserve">    - 0.060</v>
      </c>
      <c r="G9" s="3" t="str">
        <f t="shared" si="1"/>
        <v xml:space="preserve">    - 3.004E-02</v>
      </c>
      <c r="H9" s="3"/>
    </row>
    <row r="10" spans="1:8">
      <c r="B10" s="4">
        <v>0.08</v>
      </c>
      <c r="C10" s="3">
        <v>2.393E-2</v>
      </c>
      <c r="D10" s="3"/>
      <c r="E10" s="3"/>
      <c r="F10" s="3" t="str">
        <f t="shared" si="0"/>
        <v xml:space="preserve">    - 0.080</v>
      </c>
      <c r="G10" s="3" t="str">
        <f t="shared" si="1"/>
        <v xml:space="preserve">    - 2.393E-02</v>
      </c>
      <c r="H10" s="3"/>
    </row>
    <row r="11" spans="1:8">
      <c r="B11" s="4">
        <v>0.1</v>
      </c>
      <c r="C11" s="3">
        <v>2.3179999999999999E-2</v>
      </c>
      <c r="D11" s="3"/>
      <c r="E11" s="3"/>
      <c r="F11" s="3" t="str">
        <f t="shared" si="0"/>
        <v xml:space="preserve">    - 0.100</v>
      </c>
      <c r="G11" s="3" t="str">
        <f t="shared" si="1"/>
        <v xml:space="preserve">    - 2.318E-02</v>
      </c>
      <c r="H11" s="3"/>
    </row>
    <row r="12" spans="1:8">
      <c r="B12" s="4">
        <v>0.15</v>
      </c>
      <c r="C12" s="3">
        <v>2.494E-2</v>
      </c>
      <c r="D12" s="3"/>
      <c r="E12" s="3"/>
      <c r="F12" s="3" t="str">
        <f t="shared" si="0"/>
        <v xml:space="preserve">    - 0.150</v>
      </c>
      <c r="G12" s="3" t="str">
        <f t="shared" si="1"/>
        <v xml:space="preserve">    - 2.494E-02</v>
      </c>
      <c r="H12" s="3"/>
    </row>
    <row r="13" spans="1:8">
      <c r="B13" s="4">
        <v>0.2</v>
      </c>
      <c r="C13" s="3">
        <v>2.6720000000000001E-2</v>
      </c>
      <c r="D13" s="3"/>
      <c r="E13" s="3"/>
      <c r="F13" s="3" t="str">
        <f t="shared" si="0"/>
        <v xml:space="preserve">    - 0.200</v>
      </c>
      <c r="G13" s="3" t="str">
        <f t="shared" si="1"/>
        <v xml:space="preserve">    - 2.672E-02</v>
      </c>
      <c r="H13" s="3"/>
    </row>
    <row r="14" spans="1:8">
      <c r="B14" s="4">
        <v>0.3</v>
      </c>
      <c r="C14" s="3">
        <v>2.8719999999999999E-2</v>
      </c>
      <c r="D14" s="3"/>
      <c r="E14" s="3"/>
      <c r="F14" s="3" t="str">
        <f t="shared" si="0"/>
        <v xml:space="preserve">    - 0.300</v>
      </c>
      <c r="G14" s="3" t="str">
        <f t="shared" si="1"/>
        <v xml:space="preserve">    - 2.872E-02</v>
      </c>
      <c r="H14" s="3"/>
    </row>
    <row r="15" spans="1:8">
      <c r="B15" s="4">
        <v>0.4</v>
      </c>
      <c r="C15" s="3">
        <v>2.9489999999999999E-2</v>
      </c>
      <c r="D15" s="3"/>
      <c r="E15" s="3"/>
      <c r="F15" s="3" t="str">
        <f t="shared" si="0"/>
        <v xml:space="preserve">    - 0.400</v>
      </c>
      <c r="G15" s="3" t="str">
        <f t="shared" si="1"/>
        <v xml:space="preserve">    - 2.949E-02</v>
      </c>
      <c r="H15" s="3"/>
    </row>
    <row r="16" spans="1:8">
      <c r="B16" s="4">
        <v>0.5</v>
      </c>
      <c r="C16" s="3">
        <v>2.9659999999999999E-2</v>
      </c>
      <c r="D16" s="3"/>
      <c r="E16" s="3"/>
      <c r="F16" s="3" t="str">
        <f t="shared" si="0"/>
        <v xml:space="preserve">    - 0.500</v>
      </c>
      <c r="G16" s="3" t="str">
        <f t="shared" si="1"/>
        <v xml:space="preserve">    - 2.966E-02</v>
      </c>
      <c r="H16" s="3"/>
    </row>
    <row r="17" spans="2:8">
      <c r="B17" s="4">
        <v>0.6</v>
      </c>
      <c r="C17" s="3">
        <v>2.9530000000000001E-2</v>
      </c>
      <c r="D17" s="3"/>
      <c r="E17" s="3"/>
      <c r="F17" s="3" t="str">
        <f t="shared" si="0"/>
        <v xml:space="preserve">    - 0.600</v>
      </c>
      <c r="G17" s="3" t="str">
        <f t="shared" si="1"/>
        <v xml:space="preserve">    - 2.953E-02</v>
      </c>
      <c r="H17" s="3"/>
    </row>
    <row r="18" spans="2:8">
      <c r="B18" s="4">
        <v>0.8</v>
      </c>
      <c r="C18" s="3">
        <v>2.8819999999999998E-2</v>
      </c>
      <c r="D18" s="3"/>
      <c r="E18" s="3"/>
      <c r="F18" s="3" t="str">
        <f t="shared" si="0"/>
        <v xml:space="preserve">    - 0.800</v>
      </c>
      <c r="G18" s="3" t="str">
        <f t="shared" si="1"/>
        <v xml:space="preserve">    - 2.882E-02</v>
      </c>
      <c r="H18" s="3"/>
    </row>
    <row r="19" spans="2:8">
      <c r="B19" s="4">
        <v>1</v>
      </c>
      <c r="C19" s="3">
        <v>2.7869999999999999E-2</v>
      </c>
      <c r="D19" s="3"/>
      <c r="E19" s="3"/>
      <c r="F19" s="3" t="str">
        <f t="shared" si="0"/>
        <v xml:space="preserve">    - 1.000</v>
      </c>
      <c r="G19" s="3" t="str">
        <f t="shared" si="1"/>
        <v xml:space="preserve">    - 2.787E-02</v>
      </c>
      <c r="H19" s="3"/>
    </row>
    <row r="20" spans="2:8">
      <c r="B20" s="4">
        <v>1.5</v>
      </c>
      <c r="C20" s="3">
        <v>2.545E-2</v>
      </c>
      <c r="D20" s="3"/>
      <c r="E20" s="3"/>
      <c r="F20" s="3" t="str">
        <f t="shared" si="0"/>
        <v xml:space="preserve">    - 1.500</v>
      </c>
      <c r="G20" s="3" t="str">
        <f t="shared" si="1"/>
        <v xml:space="preserve">    - 2.545E-02</v>
      </c>
      <c r="H20" s="3"/>
    </row>
    <row r="21" spans="2:8">
      <c r="B21" s="4">
        <v>2</v>
      </c>
      <c r="C21" s="3">
        <v>2.342E-2</v>
      </c>
      <c r="D21" s="3"/>
      <c r="E21" s="3"/>
      <c r="F21" s="3" t="str">
        <f t="shared" si="0"/>
        <v xml:space="preserve">    - 2.000</v>
      </c>
      <c r="G21" s="3" t="str">
        <f t="shared" si="1"/>
        <v xml:space="preserve">    - 2.342E-02</v>
      </c>
      <c r="H21" s="3"/>
    </row>
    <row r="22" spans="2:8">
      <c r="B22" s="4">
        <v>3</v>
      </c>
      <c r="C22" s="3">
        <v>2.0539999999999999E-2</v>
      </c>
      <c r="D22" s="3"/>
      <c r="E22" s="3"/>
      <c r="F22" s="3" t="str">
        <f t="shared" si="0"/>
        <v xml:space="preserve">    - 3.000</v>
      </c>
      <c r="G22" s="3" t="str">
        <f t="shared" si="1"/>
        <v xml:space="preserve">    - 2.054E-02</v>
      </c>
      <c r="H22" s="3"/>
    </row>
    <row r="23" spans="2:8">
      <c r="B23" s="4">
        <v>4</v>
      </c>
      <c r="C23" s="3">
        <v>1.866E-2</v>
      </c>
      <c r="D23" s="3"/>
      <c r="E23" s="3"/>
      <c r="F23" s="3" t="str">
        <f t="shared" si="0"/>
        <v xml:space="preserve">    - 4.000</v>
      </c>
      <c r="G23" s="3" t="str">
        <f t="shared" si="1"/>
        <v xml:space="preserve">    - 1.866E-02</v>
      </c>
      <c r="H23" s="3"/>
    </row>
    <row r="24" spans="2:8">
      <c r="B24" s="4">
        <v>5</v>
      </c>
      <c r="C24" s="3">
        <v>1.737E-2</v>
      </c>
      <c r="D24" s="3"/>
      <c r="E24" s="3"/>
      <c r="F24" s="3" t="str">
        <f t="shared" si="0"/>
        <v xml:space="preserve">    - 5.000</v>
      </c>
      <c r="G24" s="3" t="str">
        <f t="shared" si="1"/>
        <v xml:space="preserve">    - 1.737E-02</v>
      </c>
      <c r="H24" s="3"/>
    </row>
    <row r="25" spans="2:8">
      <c r="B25" s="4">
        <v>6</v>
      </c>
      <c r="C25" s="3">
        <v>1.644E-2</v>
      </c>
      <c r="D25" s="3"/>
      <c r="E25" s="3"/>
      <c r="F25" s="3" t="str">
        <f t="shared" si="0"/>
        <v xml:space="preserve">    - 6.000</v>
      </c>
      <c r="G25" s="3" t="str">
        <f t="shared" si="1"/>
        <v xml:space="preserve">    - 1.644E-02</v>
      </c>
      <c r="H25" s="3"/>
    </row>
    <row r="26" spans="2:8">
      <c r="B26" s="4">
        <v>8</v>
      </c>
      <c r="C26" s="3">
        <v>1.521E-2</v>
      </c>
      <c r="D26" s="3"/>
      <c r="E26" s="3"/>
      <c r="F26" s="3" t="str">
        <f t="shared" si="0"/>
        <v xml:space="preserve">    - 8.000</v>
      </c>
      <c r="G26" s="3" t="str">
        <f t="shared" si="1"/>
        <v xml:space="preserve">    - 1.521E-02</v>
      </c>
      <c r="H26" s="3"/>
    </row>
    <row r="27" spans="2:8">
      <c r="B27" s="4">
        <v>10</v>
      </c>
      <c r="C27" s="3">
        <v>1.4460000000000001E-2</v>
      </c>
      <c r="D27" s="3"/>
      <c r="E27" s="3"/>
      <c r="F27" s="3" t="str">
        <f t="shared" si="0"/>
        <v xml:space="preserve">    - 10.000</v>
      </c>
      <c r="G27" s="3" t="str">
        <f t="shared" si="1"/>
        <v xml:space="preserve">    - 1.446E-02</v>
      </c>
      <c r="H27" s="3"/>
    </row>
    <row r="28" spans="2:8">
      <c r="B28" s="4">
        <v>15</v>
      </c>
      <c r="C28" s="3">
        <v>1.349E-2</v>
      </c>
      <c r="D28" s="3"/>
      <c r="E28" s="3"/>
      <c r="F28" s="3" t="str">
        <f t="shared" si="0"/>
        <v xml:space="preserve">    - 15.000</v>
      </c>
      <c r="G28" s="3" t="str">
        <f t="shared" si="1"/>
        <v xml:space="preserve">    - 1.349E-02</v>
      </c>
      <c r="H28" s="3"/>
    </row>
    <row r="29" spans="2:8">
      <c r="B29" s="4">
        <v>20</v>
      </c>
      <c r="C29" s="3">
        <v>1.308E-2</v>
      </c>
      <c r="D29" s="3"/>
      <c r="E29" s="3"/>
      <c r="F29" s="3" t="str">
        <f t="shared" si="0"/>
        <v xml:space="preserve">    - 20.000</v>
      </c>
      <c r="G29" s="3" t="str">
        <f t="shared" si="1"/>
        <v xml:space="preserve">    - 1.308E-02</v>
      </c>
      <c r="H29" s="3"/>
    </row>
    <row r="30" spans="2:8">
      <c r="B30" s="4"/>
      <c r="C30" s="3"/>
      <c r="D30" s="3"/>
      <c r="E30" s="3"/>
      <c r="F30" s="3"/>
      <c r="G30" s="3"/>
      <c r="H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mass att coef wo coherent</vt:lpstr>
      <vt:lpstr>G-P Exposure BF Coeff</vt:lpstr>
      <vt:lpstr>mass energy abs coef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alan025</dc:creator>
  <cp:lastModifiedBy>Microsoft Office User</cp:lastModifiedBy>
  <dcterms:created xsi:type="dcterms:W3CDTF">2020-02-07T20:22:13Z</dcterms:created>
  <dcterms:modified xsi:type="dcterms:W3CDTF">2022-06-04T17:43:33Z</dcterms:modified>
</cp:coreProperties>
</file>